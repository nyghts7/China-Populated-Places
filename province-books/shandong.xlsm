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1C8D935D-1C00-41E8-9B13-3E73E3C6BCFA}" xr6:coauthVersionLast="47" xr6:coauthVersionMax="47" xr10:uidLastSave="{00000000-0000-0000-0000-000000000000}"/>
  <bookViews>
    <workbookView xWindow="-120" yWindow="480" windowWidth="24240" windowHeight="13140" tabRatio="1000" activeTab="16" xr2:uid="{E8235EE4-97D4-47E3-A438-41FB16778A22}"/>
  </bookViews>
  <sheets>
    <sheet name="binzhou" sheetId="1" r:id="rId1"/>
    <sheet name="dezhou" sheetId="2" r:id="rId2"/>
    <sheet name="dongying" sheetId="3" r:id="rId3"/>
    <sheet name="heze" sheetId="4" r:id="rId4"/>
    <sheet name="jinan" sheetId="5" r:id="rId5"/>
    <sheet name="jining" sheetId="6" r:id="rId6"/>
    <sheet name="liaocheng" sheetId="7" r:id="rId7"/>
    <sheet name="linyi" sheetId="8" r:id="rId8"/>
    <sheet name="qingdao" sheetId="9" r:id="rId9"/>
    <sheet name="rizhao" sheetId="10" r:id="rId10"/>
    <sheet name="tai'an" sheetId="11" r:id="rId11"/>
    <sheet name="weifang" sheetId="12" r:id="rId12"/>
    <sheet name="weihai" sheetId="13" r:id="rId13"/>
    <sheet name="yantai" sheetId="14" r:id="rId14"/>
    <sheet name="zaozhuang" sheetId="15" r:id="rId15"/>
    <sheet name="zibo" sheetId="16" r:id="rId16"/>
    <sheet name="main table" sheetId="18" r:id="rId17"/>
    <sheet name="cities" sheetId="19" r:id="rId18"/>
    <sheet name="json" sheetId="20" r:id="rId19"/>
    <sheet name="county-naming" sheetId="17" r:id="rId20"/>
  </sheets>
  <externalReferences>
    <externalReference r:id="rId21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1" i="18" l="1"/>
  <c r="B89" i="18"/>
  <c r="B91" i="18"/>
  <c r="B97" i="18"/>
  <c r="B103" i="18"/>
  <c r="B122" i="18"/>
  <c r="B146" i="18"/>
  <c r="B163" i="18"/>
  <c r="B187" i="18"/>
  <c r="B194" i="18"/>
  <c r="B204" i="18"/>
  <c r="B221" i="18"/>
  <c r="B230" i="18"/>
  <c r="B244" i="18"/>
  <c r="B300" i="18"/>
  <c r="B352" i="18"/>
  <c r="B408" i="18"/>
  <c r="B420" i="18"/>
  <c r="B451" i="18"/>
  <c r="B519" i="18"/>
  <c r="B520" i="18"/>
  <c r="B524" i="18"/>
  <c r="B534" i="18"/>
  <c r="B537" i="18"/>
  <c r="B546" i="18"/>
  <c r="B609" i="18"/>
  <c r="B613" i="18"/>
  <c r="B623" i="18"/>
  <c r="B667" i="18"/>
  <c r="B683" i="18"/>
  <c r="B706" i="18"/>
  <c r="B712" i="18"/>
  <c r="B721" i="18"/>
  <c r="B769" i="18"/>
  <c r="B781" i="18"/>
  <c r="B802" i="18"/>
  <c r="B810" i="18"/>
  <c r="B834" i="18"/>
  <c r="B850" i="18"/>
  <c r="B868" i="18"/>
  <c r="B869" i="18"/>
  <c r="B919" i="18"/>
  <c r="B923" i="18"/>
  <c r="B939" i="18"/>
  <c r="B969" i="18"/>
  <c r="B1019" i="18"/>
  <c r="B1025" i="18"/>
  <c r="B1046" i="18"/>
  <c r="B1069" i="18"/>
  <c r="B1072" i="18"/>
  <c r="B1076" i="18"/>
  <c r="B1106" i="18"/>
  <c r="B1109" i="18"/>
  <c r="B1117" i="18"/>
  <c r="B1125" i="18"/>
  <c r="B1146" i="18"/>
  <c r="B1162" i="18"/>
  <c r="B1181" i="18"/>
  <c r="B1187" i="18"/>
  <c r="B1208" i="18"/>
  <c r="B1211" i="18"/>
  <c r="B1250" i="18"/>
  <c r="B1251" i="18"/>
  <c r="B1265" i="18"/>
  <c r="B1368" i="18"/>
  <c r="B1370" i="18"/>
  <c r="B1382" i="18"/>
  <c r="B1407" i="18"/>
  <c r="B1427" i="18"/>
  <c r="B1447" i="18"/>
  <c r="B1461" i="18"/>
  <c r="B1465" i="18"/>
  <c r="B1476" i="18"/>
  <c r="B1491" i="18"/>
  <c r="B1510" i="18"/>
  <c r="B1537" i="18"/>
  <c r="B1550" i="18"/>
  <c r="B1588" i="18"/>
  <c r="B1595" i="18"/>
  <c r="B1707" i="18"/>
  <c r="B1719" i="18"/>
  <c r="B1830" i="18"/>
  <c r="B6" i="18"/>
  <c r="B13" i="18"/>
  <c r="B14" i="18"/>
  <c r="B28" i="18"/>
  <c r="B47" i="18"/>
  <c r="B83" i="18"/>
  <c r="B87" i="18"/>
  <c r="B98" i="18"/>
  <c r="B138" i="18"/>
  <c r="B139" i="18"/>
  <c r="B209" i="18"/>
  <c r="B216" i="18"/>
  <c r="B224" i="18"/>
  <c r="B236" i="18"/>
  <c r="B260" i="18"/>
  <c r="B286" i="18"/>
  <c r="B287" i="18"/>
  <c r="B305" i="18"/>
  <c r="B308" i="18"/>
  <c r="B331" i="18"/>
  <c r="B343" i="18"/>
  <c r="B353" i="18"/>
  <c r="B354" i="18"/>
  <c r="B363" i="18"/>
  <c r="B366" i="18"/>
  <c r="B378" i="18"/>
  <c r="B466" i="18"/>
  <c r="B472" i="18"/>
  <c r="B503" i="18"/>
  <c r="B535" i="18"/>
  <c r="B549" i="18"/>
  <c r="B578" i="18"/>
  <c r="B584" i="18"/>
  <c r="B601" i="18"/>
  <c r="B604" i="18"/>
  <c r="B625" i="18"/>
  <c r="B629" i="18"/>
  <c r="B634" i="18"/>
  <c r="B646" i="18"/>
  <c r="B666" i="18"/>
  <c r="B733" i="18"/>
  <c r="B747" i="18"/>
  <c r="B768" i="18"/>
  <c r="B777" i="18"/>
  <c r="B786" i="18"/>
  <c r="B803" i="18"/>
  <c r="B805" i="18"/>
  <c r="B823" i="18"/>
  <c r="B824" i="18"/>
  <c r="B826" i="18"/>
  <c r="B828" i="18"/>
  <c r="B829" i="18"/>
  <c r="B851" i="18"/>
  <c r="B858" i="18"/>
  <c r="B878" i="18"/>
  <c r="B904" i="18"/>
  <c r="B917" i="18"/>
  <c r="B955" i="18"/>
  <c r="B960" i="18"/>
  <c r="B981" i="18"/>
  <c r="B1008" i="18"/>
  <c r="B1017" i="18"/>
  <c r="B1038" i="18"/>
  <c r="B1042" i="18"/>
  <c r="B1074" i="18"/>
  <c r="B1097" i="18"/>
  <c r="B1113" i="18"/>
  <c r="B1131" i="18"/>
  <c r="B1157" i="18"/>
  <c r="B1176" i="18"/>
  <c r="B1190" i="18"/>
  <c r="B1198" i="18"/>
  <c r="B1231" i="18"/>
  <c r="B1232" i="18"/>
  <c r="B1235" i="18"/>
  <c r="B1237" i="18"/>
  <c r="B1242" i="18"/>
  <c r="B1263" i="18"/>
  <c r="B1307" i="18"/>
  <c r="B1310" i="18"/>
  <c r="B1315" i="18"/>
  <c r="B1338" i="18"/>
  <c r="B1341" i="18"/>
  <c r="B1343" i="18"/>
  <c r="B1404" i="18"/>
  <c r="B1439" i="18"/>
  <c r="B1442" i="18"/>
  <c r="B1477" i="18"/>
  <c r="B1507" i="18"/>
  <c r="B1524" i="18"/>
  <c r="B1521" i="18"/>
  <c r="B1530" i="18"/>
  <c r="B1555" i="18"/>
  <c r="B1570" i="18"/>
  <c r="B1576" i="18"/>
  <c r="B1578" i="18"/>
  <c r="B1583" i="18"/>
  <c r="B1614" i="18"/>
  <c r="B1624" i="18"/>
  <c r="B1633" i="18"/>
  <c r="B1636" i="18"/>
  <c r="B1669" i="18"/>
  <c r="B1685" i="18"/>
  <c r="B1692" i="18"/>
  <c r="B1714" i="18"/>
  <c r="B1718" i="18"/>
  <c r="B1721" i="18"/>
  <c r="B1726" i="18"/>
  <c r="B1750" i="18"/>
  <c r="B1752" i="18"/>
  <c r="B1760" i="18"/>
  <c r="B1762" i="18"/>
  <c r="B1764" i="18"/>
  <c r="B1786" i="18"/>
  <c r="B1803" i="18"/>
  <c r="B1829" i="18"/>
  <c r="B74" i="18"/>
  <c r="B170" i="18"/>
  <c r="B193" i="18"/>
  <c r="B239" i="18"/>
  <c r="B252" i="18"/>
  <c r="B264" i="18"/>
  <c r="B298" i="18"/>
  <c r="B307" i="18"/>
  <c r="B326" i="18"/>
  <c r="B345" i="18"/>
  <c r="B344" i="18"/>
  <c r="B393" i="18"/>
  <c r="B465" i="18"/>
  <c r="B470" i="18"/>
  <c r="B485" i="18"/>
  <c r="B533" i="18"/>
  <c r="B544" i="18"/>
  <c r="B545" i="18"/>
  <c r="B561" i="18"/>
  <c r="B581" i="18"/>
  <c r="B599" i="18"/>
  <c r="B600" i="18"/>
  <c r="B743" i="18"/>
  <c r="B744" i="18"/>
  <c r="B745" i="18"/>
  <c r="B776" i="18"/>
  <c r="B806" i="18"/>
  <c r="B807" i="18"/>
  <c r="B830" i="18"/>
  <c r="B840" i="18"/>
  <c r="B841" i="18"/>
  <c r="B877" i="18"/>
  <c r="B968" i="18"/>
  <c r="B1016" i="18"/>
  <c r="B1123" i="18"/>
  <c r="B1149" i="18"/>
  <c r="B1152" i="18"/>
  <c r="B1153" i="18"/>
  <c r="B1171" i="18"/>
  <c r="B1318" i="18"/>
  <c r="B1387" i="18"/>
  <c r="B1444" i="18"/>
  <c r="B1523" i="18"/>
  <c r="B1613" i="18"/>
  <c r="B1635" i="18"/>
  <c r="B4" i="18"/>
  <c r="B15" i="18"/>
  <c r="B42" i="18"/>
  <c r="B93" i="18"/>
  <c r="B111" i="18"/>
  <c r="B114" i="18"/>
  <c r="B118" i="18"/>
  <c r="B123" i="18"/>
  <c r="B124" i="18"/>
  <c r="B125" i="18"/>
  <c r="B126" i="18"/>
  <c r="B127" i="18"/>
  <c r="B128" i="18"/>
  <c r="B129" i="18"/>
  <c r="B143" i="18"/>
  <c r="B147" i="18"/>
  <c r="B169" i="18"/>
  <c r="B171" i="18"/>
  <c r="B172" i="18"/>
  <c r="B173" i="18"/>
  <c r="B174" i="18"/>
  <c r="B175" i="18"/>
  <c r="B176" i="18"/>
  <c r="B177" i="18"/>
  <c r="B178" i="18"/>
  <c r="B179" i="18"/>
  <c r="B180" i="18"/>
  <c r="B181" i="18"/>
  <c r="B190" i="18"/>
  <c r="B192" i="18"/>
  <c r="B225" i="18"/>
  <c r="B243" i="18"/>
  <c r="B245" i="18"/>
  <c r="B263" i="18"/>
  <c r="B269" i="18"/>
  <c r="B276" i="18"/>
  <c r="B289" i="18"/>
  <c r="B303" i="18"/>
  <c r="B323" i="18"/>
  <c r="B329" i="18"/>
  <c r="B335" i="18"/>
  <c r="B360" i="18"/>
  <c r="B361" i="18"/>
  <c r="B362" i="18"/>
  <c r="B377" i="18"/>
  <c r="B391" i="18"/>
  <c r="B404" i="18"/>
  <c r="B406" i="18"/>
  <c r="B439" i="18"/>
  <c r="B450" i="18"/>
  <c r="B499" i="18"/>
  <c r="B508" i="18"/>
  <c r="B510" i="18"/>
  <c r="B516" i="18"/>
  <c r="B547" i="18"/>
  <c r="B554" i="18"/>
  <c r="B558" i="18"/>
  <c r="B573" i="18"/>
  <c r="B575" i="18"/>
  <c r="B588" i="18"/>
  <c r="B591" i="18"/>
  <c r="B595" i="18"/>
  <c r="B594" i="18"/>
  <c r="B603" i="18"/>
  <c r="B606" i="18"/>
  <c r="B616" i="18"/>
  <c r="B671" i="18"/>
  <c r="B715" i="18"/>
  <c r="B719" i="18"/>
  <c r="B758" i="18"/>
  <c r="B785" i="18"/>
  <c r="B797" i="18"/>
  <c r="B808" i="18"/>
  <c r="B804" i="18"/>
  <c r="B825" i="18"/>
  <c r="B833" i="18"/>
  <c r="B864" i="18"/>
  <c r="B875" i="18"/>
  <c r="B893" i="18"/>
  <c r="B903" i="18"/>
  <c r="B916" i="18"/>
  <c r="B929" i="18"/>
  <c r="B953" i="18"/>
  <c r="B974" i="18"/>
  <c r="B997" i="18"/>
  <c r="B1003" i="18"/>
  <c r="B1007" i="18"/>
  <c r="B1018" i="18"/>
  <c r="B1020" i="18"/>
  <c r="B1026" i="18"/>
  <c r="B1036" i="18"/>
  <c r="B1052" i="18"/>
  <c r="B1057" i="18"/>
  <c r="B1058" i="18"/>
  <c r="B1059" i="18"/>
  <c r="B1093" i="18"/>
  <c r="B1103" i="18"/>
  <c r="B1142" i="18"/>
  <c r="B1143" i="18"/>
  <c r="B1177" i="18"/>
  <c r="B1199" i="18"/>
  <c r="B1203" i="18"/>
  <c r="B1239" i="18"/>
  <c r="B1240" i="18"/>
  <c r="B1249" i="18"/>
  <c r="B1276" i="18"/>
  <c r="B1278" i="18"/>
  <c r="B1290" i="18"/>
  <c r="B1295" i="18"/>
  <c r="B1306" i="18"/>
  <c r="B1309" i="18"/>
  <c r="B1334" i="18"/>
  <c r="B1335" i="18"/>
  <c r="B1349" i="18"/>
  <c r="B1397" i="18"/>
  <c r="B1403" i="18"/>
  <c r="B1406" i="18"/>
  <c r="B1416" i="18"/>
  <c r="B1452" i="18"/>
  <c r="B1454" i="18"/>
  <c r="B1474" i="18"/>
  <c r="B1479" i="18"/>
  <c r="B1571" i="18"/>
  <c r="B1582" i="18"/>
  <c r="B1596" i="18"/>
  <c r="B1605" i="18"/>
  <c r="B1610" i="18"/>
  <c r="B1664" i="18"/>
  <c r="B1665" i="18"/>
  <c r="B1672" i="18"/>
  <c r="B1677" i="18"/>
  <c r="B1697" i="18"/>
  <c r="B1704" i="18"/>
  <c r="B1724" i="18"/>
  <c r="B1728" i="18"/>
  <c r="B1736" i="18"/>
  <c r="B1739" i="18"/>
  <c r="B1743" i="18"/>
  <c r="B1768" i="18"/>
  <c r="B1769" i="18"/>
  <c r="B1795" i="18"/>
  <c r="B1808" i="18"/>
  <c r="B1809" i="18"/>
  <c r="B1834" i="18"/>
  <c r="B3" i="18"/>
  <c r="B5" i="18"/>
  <c r="B30" i="18"/>
  <c r="B31" i="18"/>
  <c r="B39" i="18"/>
  <c r="B50" i="18"/>
  <c r="B51" i="18"/>
  <c r="B54" i="18"/>
  <c r="B62" i="18"/>
  <c r="B76" i="18"/>
  <c r="B78" i="18"/>
  <c r="B105" i="18"/>
  <c r="B110" i="18"/>
  <c r="B119" i="18"/>
  <c r="B154" i="18"/>
  <c r="B211" i="18"/>
  <c r="B222" i="18"/>
  <c r="B240" i="18"/>
  <c r="B242" i="18"/>
  <c r="B246" i="18"/>
  <c r="B253" i="18"/>
  <c r="B266" i="18"/>
  <c r="B290" i="18"/>
  <c r="B297" i="18"/>
  <c r="B302" i="18"/>
  <c r="B309" i="18"/>
  <c r="B318" i="18"/>
  <c r="B327" i="18"/>
  <c r="B347" i="18"/>
  <c r="B350" i="18"/>
  <c r="B357" i="18"/>
  <c r="B358" i="18"/>
  <c r="B364" i="18"/>
  <c r="B379" i="18"/>
  <c r="B423" i="18"/>
  <c r="B429" i="18"/>
  <c r="B436" i="18"/>
  <c r="B455" i="18"/>
  <c r="B479" i="18"/>
  <c r="B480" i="18"/>
  <c r="B492" i="18"/>
  <c r="B500" i="18"/>
  <c r="B518" i="18"/>
  <c r="B529" i="18"/>
  <c r="B540" i="18"/>
  <c r="B557" i="18"/>
  <c r="B560" i="18"/>
  <c r="B565" i="18"/>
  <c r="B582" i="18"/>
  <c r="B598" i="18"/>
  <c r="B619" i="18"/>
  <c r="B626" i="18"/>
  <c r="B661" i="18"/>
  <c r="B675" i="18"/>
  <c r="B676" i="18"/>
  <c r="B677" i="18"/>
  <c r="B709" i="18"/>
  <c r="B737" i="18"/>
  <c r="B748" i="18"/>
  <c r="B750" i="18"/>
  <c r="B753" i="18"/>
  <c r="B811" i="18"/>
  <c r="B835" i="18"/>
  <c r="B846" i="18"/>
  <c r="B863" i="18"/>
  <c r="B872" i="18"/>
  <c r="B884" i="18"/>
  <c r="B909" i="18"/>
  <c r="B913" i="18"/>
  <c r="B937" i="18"/>
  <c r="B947" i="18"/>
  <c r="B950" i="18"/>
  <c r="B963" i="18"/>
  <c r="B970" i="18"/>
  <c r="B982" i="18"/>
  <c r="B998" i="18"/>
  <c r="B1010" i="18"/>
  <c r="B1015" i="18"/>
  <c r="B1027" i="18"/>
  <c r="B1028" i="18"/>
  <c r="B1034" i="18"/>
  <c r="B1039" i="18"/>
  <c r="B1054" i="18"/>
  <c r="B1062" i="18"/>
  <c r="B1082" i="18"/>
  <c r="B1083" i="18"/>
  <c r="B1084" i="18"/>
  <c r="B1092" i="18"/>
  <c r="B1094" i="18"/>
  <c r="B1108" i="18"/>
  <c r="B1122" i="18"/>
  <c r="B1148" i="18"/>
  <c r="B1175" i="18"/>
  <c r="B1200" i="18"/>
  <c r="B1201" i="18"/>
  <c r="B1212" i="18"/>
  <c r="B1213" i="18"/>
  <c r="B1214" i="18"/>
  <c r="B1216" i="18"/>
  <c r="B1224" i="18"/>
  <c r="B1244" i="18"/>
  <c r="B1245" i="18"/>
  <c r="B1246" i="18"/>
  <c r="B1280" i="18"/>
  <c r="B1282" i="18"/>
  <c r="B1305" i="18"/>
  <c r="B1332" i="18"/>
  <c r="B1348" i="18"/>
  <c r="B1358" i="18"/>
  <c r="B1367" i="18"/>
  <c r="B1369" i="18"/>
  <c r="B1377" i="18"/>
  <c r="B1383" i="18"/>
  <c r="B1400" i="18"/>
  <c r="B1401" i="18"/>
  <c r="B1408" i="18"/>
  <c r="B1410" i="18"/>
  <c r="B1412" i="18"/>
  <c r="B1419" i="18"/>
  <c r="B1435" i="18"/>
  <c r="B1453" i="18"/>
  <c r="B1463" i="18"/>
  <c r="B1509" i="18"/>
  <c r="B1531" i="18"/>
  <c r="B1543" i="18"/>
  <c r="B1547" i="18"/>
  <c r="B1548" i="18"/>
  <c r="B1551" i="18"/>
  <c r="B1559" i="18"/>
  <c r="B1568" i="18"/>
  <c r="B1592" i="18"/>
  <c r="B1609" i="18"/>
  <c r="B1620" i="18"/>
  <c r="B1621" i="18"/>
  <c r="B1622" i="18"/>
  <c r="B1641" i="18"/>
  <c r="B1650" i="18"/>
  <c r="B1708" i="18"/>
  <c r="B1715" i="18"/>
  <c r="B1723" i="18"/>
  <c r="B1732" i="18"/>
  <c r="B1741" i="18"/>
  <c r="B1748" i="18"/>
  <c r="B1765" i="18"/>
  <c r="B1773" i="18"/>
  <c r="B1779" i="18"/>
  <c r="B1781" i="18"/>
  <c r="B1785" i="18"/>
  <c r="B1788" i="18"/>
  <c r="B10" i="18"/>
  <c r="B36" i="18"/>
  <c r="B75" i="18"/>
  <c r="B95" i="18"/>
  <c r="B106" i="18"/>
  <c r="B120" i="18"/>
  <c r="B137" i="18"/>
  <c r="B165" i="18"/>
  <c r="B205" i="18"/>
  <c r="B214" i="18"/>
  <c r="B238" i="18"/>
  <c r="B258" i="18"/>
  <c r="B280" i="18"/>
  <c r="B376" i="18"/>
  <c r="B405" i="18"/>
  <c r="B412" i="18"/>
  <c r="B413" i="18"/>
  <c r="B424" i="18"/>
  <c r="B437" i="18"/>
  <c r="B443" i="18"/>
  <c r="B453" i="18"/>
  <c r="B467" i="18"/>
  <c r="B478" i="18"/>
  <c r="B477" i="18"/>
  <c r="B490" i="18"/>
  <c r="B497" i="18"/>
  <c r="B505" i="18"/>
  <c r="B507" i="18"/>
  <c r="B513" i="18"/>
  <c r="B525" i="18"/>
  <c r="B526" i="18"/>
  <c r="B532" i="18"/>
  <c r="B541" i="18"/>
  <c r="B577" i="18"/>
  <c r="B586" i="18"/>
  <c r="B593" i="18"/>
  <c r="B614" i="18"/>
  <c r="B620" i="18"/>
  <c r="B672" i="18"/>
  <c r="B685" i="18"/>
  <c r="B686" i="18"/>
  <c r="B710" i="18"/>
  <c r="B711" i="18"/>
  <c r="B714" i="18"/>
  <c r="B716" i="18"/>
  <c r="B728" i="18"/>
  <c r="B736" i="18"/>
  <c r="B739" i="18"/>
  <c r="B742" i="18"/>
  <c r="B772" i="18"/>
  <c r="B774" i="18"/>
  <c r="B780" i="18"/>
  <c r="B783" i="18"/>
  <c r="B788" i="18"/>
  <c r="B799" i="18"/>
  <c r="B812" i="18"/>
  <c r="B857" i="18"/>
  <c r="B862" i="18"/>
  <c r="B865" i="18"/>
  <c r="B879" i="18"/>
  <c r="B898" i="18"/>
  <c r="B910" i="18"/>
  <c r="B915" i="18"/>
  <c r="B922" i="18"/>
  <c r="B930" i="18"/>
  <c r="B932" i="18"/>
  <c r="B934" i="18"/>
  <c r="B943" i="18"/>
  <c r="B952" i="18"/>
  <c r="B961" i="18"/>
  <c r="B996" i="18"/>
  <c r="B999" i="18"/>
  <c r="B1000" i="18"/>
  <c r="B1002" i="18"/>
  <c r="B1001" i="18"/>
  <c r="B1005" i="18"/>
  <c r="B1013" i="18"/>
  <c r="B1040" i="18"/>
  <c r="B1087" i="18"/>
  <c r="B1088" i="18"/>
  <c r="B1151" i="18"/>
  <c r="B1180" i="18"/>
  <c r="B1182" i="18"/>
  <c r="B1191" i="18"/>
  <c r="B1196" i="18"/>
  <c r="B1204" i="18"/>
  <c r="B1217" i="18"/>
  <c r="B1222" i="18"/>
  <c r="B1225" i="18"/>
  <c r="B1228" i="18"/>
  <c r="B1269" i="18"/>
  <c r="B1274" i="18"/>
  <c r="B1275" i="18"/>
  <c r="B1302" i="18"/>
  <c r="B1326" i="18"/>
  <c r="B1354" i="18"/>
  <c r="B1357" i="18"/>
  <c r="B1361" i="18"/>
  <c r="B1366" i="18"/>
  <c r="B1371" i="18"/>
  <c r="B1394" i="18"/>
  <c r="B1402" i="18"/>
  <c r="B1405" i="18"/>
  <c r="B1430" i="18"/>
  <c r="B1445" i="18"/>
  <c r="B1446" i="18"/>
  <c r="B1455" i="18"/>
  <c r="B1456" i="18"/>
  <c r="B1460" i="18"/>
  <c r="B1462" i="18"/>
  <c r="B1469" i="18"/>
  <c r="B1506" i="18"/>
  <c r="B1517" i="18"/>
  <c r="B1536" i="18"/>
  <c r="B1538" i="18"/>
  <c r="B1546" i="18"/>
  <c r="B1554" i="18"/>
  <c r="B1572" i="18"/>
  <c r="B1579" i="18"/>
  <c r="B1585" i="18"/>
  <c r="B1594" i="18"/>
  <c r="B1598" i="18"/>
  <c r="B1601" i="18"/>
  <c r="B1607" i="18"/>
  <c r="B1619" i="18"/>
  <c r="B1649" i="18"/>
  <c r="B1653" i="18"/>
  <c r="B1654" i="18"/>
  <c r="B1673" i="18"/>
  <c r="B1674" i="18"/>
  <c r="B1678" i="18"/>
  <c r="B1703" i="18"/>
  <c r="B1727" i="18"/>
  <c r="B1733" i="18"/>
  <c r="B1751" i="18"/>
  <c r="B1753" i="18"/>
  <c r="B1756" i="18"/>
  <c r="B1759" i="18"/>
  <c r="B1776" i="18"/>
  <c r="B1783" i="18"/>
  <c r="B1787" i="18"/>
  <c r="B1792" i="18"/>
  <c r="B1794" i="18"/>
  <c r="B2" i="18"/>
  <c r="B11" i="18"/>
  <c r="B18" i="18"/>
  <c r="B66" i="18"/>
  <c r="B99" i="18"/>
  <c r="B101" i="18"/>
  <c r="B112" i="18"/>
  <c r="B149" i="18"/>
  <c r="B200" i="18"/>
  <c r="B215" i="18"/>
  <c r="B229" i="18"/>
  <c r="B248" i="18"/>
  <c r="B254" i="18"/>
  <c r="B265" i="18"/>
  <c r="B273" i="18"/>
  <c r="B279" i="18"/>
  <c r="B304" i="18"/>
  <c r="B306" i="18"/>
  <c r="B317" i="18"/>
  <c r="B324" i="18"/>
  <c r="B333" i="18"/>
  <c r="B348" i="18"/>
  <c r="B355" i="18"/>
  <c r="B382" i="18"/>
  <c r="B387" i="18"/>
  <c r="B426" i="18"/>
  <c r="B438" i="18"/>
  <c r="B447" i="18"/>
  <c r="B463" i="18"/>
  <c r="B469" i="18"/>
  <c r="B487" i="18"/>
  <c r="B489" i="18"/>
  <c r="B501" i="18"/>
  <c r="B517" i="18"/>
  <c r="B531" i="18"/>
  <c r="B536" i="18"/>
  <c r="B562" i="18"/>
  <c r="B576" i="18"/>
  <c r="B630" i="18"/>
  <c r="B643" i="18"/>
  <c r="B647" i="18"/>
  <c r="B649" i="18"/>
  <c r="B674" i="18"/>
  <c r="B645" i="18"/>
  <c r="B692" i="18"/>
  <c r="B699" i="18"/>
  <c r="B740" i="18"/>
  <c r="B766" i="18"/>
  <c r="B775" i="18"/>
  <c r="B778" i="18"/>
  <c r="B784" i="18"/>
  <c r="B789" i="18"/>
  <c r="B790" i="18"/>
  <c r="B832" i="18"/>
  <c r="B837" i="18"/>
  <c r="B842" i="18"/>
  <c r="B847" i="18"/>
  <c r="B860" i="18"/>
  <c r="B951" i="18"/>
  <c r="B1014" i="18"/>
  <c r="B1022" i="18"/>
  <c r="B1044" i="18"/>
  <c r="B1050" i="18"/>
  <c r="B1065" i="18"/>
  <c r="B1066" i="18"/>
  <c r="B1068" i="18"/>
  <c r="B1095" i="18"/>
  <c r="B1104" i="18"/>
  <c r="B1112" i="18"/>
  <c r="B1124" i="18"/>
  <c r="B1144" i="18"/>
  <c r="B1159" i="18"/>
  <c r="B1164" i="18"/>
  <c r="B1186" i="18"/>
  <c r="B1192" i="18"/>
  <c r="B1194" i="18"/>
  <c r="B1195" i="18"/>
  <c r="B1233" i="18"/>
  <c r="B1283" i="18"/>
  <c r="B1284" i="18"/>
  <c r="B1320" i="18"/>
  <c r="B1340" i="18"/>
  <c r="B1364" i="18"/>
  <c r="B1365" i="18"/>
  <c r="B1375" i="18"/>
  <c r="B1379" i="18"/>
  <c r="B1429" i="18"/>
  <c r="B1437" i="18"/>
  <c r="B1451" i="18"/>
  <c r="B1478" i="18"/>
  <c r="B1500" i="18"/>
  <c r="B1525" i="18"/>
  <c r="B1529" i="18"/>
  <c r="B1532" i="18"/>
  <c r="B1542" i="18"/>
  <c r="B1569" i="18"/>
  <c r="B1580" i="18"/>
  <c r="B1581" i="18"/>
  <c r="B1586" i="18"/>
  <c r="B1600" i="18"/>
  <c r="B1608" i="18"/>
  <c r="B1611" i="18"/>
  <c r="B1612" i="18"/>
  <c r="B1618" i="18"/>
  <c r="B1623" i="18"/>
  <c r="B1642" i="18"/>
  <c r="B1643" i="18"/>
  <c r="B1686" i="18"/>
  <c r="B1698" i="18"/>
  <c r="B1701" i="18"/>
  <c r="B1735" i="18"/>
  <c r="B1734" i="18"/>
  <c r="B1737" i="18"/>
  <c r="B1744" i="18"/>
  <c r="B1758" i="18"/>
  <c r="B1763" i="18"/>
  <c r="B1772" i="18"/>
  <c r="B1817" i="18"/>
  <c r="B1833" i="18"/>
  <c r="B7" i="18"/>
  <c r="B23" i="18"/>
  <c r="B26" i="18"/>
  <c r="B29" i="18"/>
  <c r="B32" i="18"/>
  <c r="B38" i="18"/>
  <c r="B41" i="18"/>
  <c r="B44" i="18"/>
  <c r="B53" i="18"/>
  <c r="B84" i="18"/>
  <c r="B86" i="18"/>
  <c r="B116" i="18"/>
  <c r="B130" i="18"/>
  <c r="B131" i="18"/>
  <c r="B136" i="18"/>
  <c r="B145" i="18"/>
  <c r="B195" i="18"/>
  <c r="B199" i="18"/>
  <c r="B202" i="18"/>
  <c r="B208" i="18"/>
  <c r="B219" i="18"/>
  <c r="B226" i="18"/>
  <c r="B247" i="18"/>
  <c r="B251" i="18"/>
  <c r="B261" i="18"/>
  <c r="B272" i="18"/>
  <c r="B282" i="18"/>
  <c r="B283" i="18"/>
  <c r="B291" i="18"/>
  <c r="B299" i="18"/>
  <c r="B334" i="18"/>
  <c r="B359" i="18"/>
  <c r="B373" i="18"/>
  <c r="B375" i="18"/>
  <c r="B383" i="18"/>
  <c r="B394" i="18"/>
  <c r="B401" i="18"/>
  <c r="B407" i="18"/>
  <c r="B421" i="18"/>
  <c r="B425" i="18"/>
  <c r="B432" i="18"/>
  <c r="B433" i="18"/>
  <c r="B434" i="18"/>
  <c r="B448" i="18"/>
  <c r="B491" i="18"/>
  <c r="B564" i="18"/>
  <c r="B612" i="18"/>
  <c r="B610" i="18"/>
  <c r="B639" i="18"/>
  <c r="B644" i="18"/>
  <c r="B665" i="18"/>
  <c r="B679" i="18"/>
  <c r="B707" i="18"/>
  <c r="B724" i="18"/>
  <c r="B729" i="18"/>
  <c r="B751" i="18"/>
  <c r="B763" i="18"/>
  <c r="B764" i="18"/>
  <c r="B771" i="18"/>
  <c r="B779" i="18"/>
  <c r="B787" i="18"/>
  <c r="B801" i="18"/>
  <c r="B815" i="18"/>
  <c r="B822" i="18"/>
  <c r="B827" i="18"/>
  <c r="B852" i="18"/>
  <c r="B859" i="18"/>
  <c r="B870" i="18"/>
  <c r="B876" i="18"/>
  <c r="B899" i="18"/>
  <c r="B911" i="18"/>
  <c r="B914" i="18"/>
  <c r="B920" i="18"/>
  <c r="B921" i="18"/>
  <c r="B931" i="18"/>
  <c r="B944" i="18"/>
  <c r="B946" i="18"/>
  <c r="B949" i="18"/>
  <c r="B956" i="18"/>
  <c r="B964" i="18"/>
  <c r="B973" i="18"/>
  <c r="B992" i="18"/>
  <c r="B1031" i="18"/>
  <c r="B1032" i="18"/>
  <c r="B1037" i="18"/>
  <c r="B1070" i="18"/>
  <c r="B1075" i="18"/>
  <c r="B1086" i="18"/>
  <c r="B1090" i="18"/>
  <c r="B1091" i="18"/>
  <c r="B1132" i="18"/>
  <c r="B1133" i="18"/>
  <c r="B1150" i="18"/>
  <c r="B1154" i="18"/>
  <c r="B1156" i="18"/>
  <c r="B1169" i="18"/>
  <c r="B1174" i="18"/>
  <c r="B1179" i="18"/>
  <c r="B1193" i="18"/>
  <c r="B1197" i="18"/>
  <c r="B1226" i="18"/>
  <c r="B1238" i="18"/>
  <c r="B1252" i="18"/>
  <c r="B1266" i="18"/>
  <c r="B1267" i="18"/>
  <c r="B1272" i="18"/>
  <c r="B1279" i="18"/>
  <c r="B1286" i="18"/>
  <c r="B1291" i="18"/>
  <c r="B1323" i="18"/>
  <c r="B1325" i="18"/>
  <c r="B1327" i="18"/>
  <c r="B1346" i="18"/>
  <c r="B1396" i="18"/>
  <c r="B1398" i="18"/>
  <c r="B1417" i="18"/>
  <c r="B1421" i="18"/>
  <c r="B1431" i="18"/>
  <c r="B1434" i="18"/>
  <c r="B1436" i="18"/>
  <c r="B1467" i="18"/>
  <c r="B1560" i="18"/>
  <c r="B1564" i="18"/>
  <c r="B1577" i="18"/>
  <c r="B1589" i="18"/>
  <c r="B1628" i="18"/>
  <c r="B1630" i="18"/>
  <c r="B1647" i="18"/>
  <c r="B1656" i="18"/>
  <c r="B1655" i="18"/>
  <c r="B1657" i="18"/>
  <c r="B1667" i="18"/>
  <c r="B1702" i="18"/>
  <c r="B1709" i="18"/>
  <c r="B1757" i="18"/>
  <c r="B1761" i="18"/>
  <c r="B1766" i="18"/>
  <c r="B1767" i="18"/>
  <c r="B1780" i="18"/>
  <c r="B1784" i="18"/>
  <c r="B1804" i="18"/>
  <c r="B1805" i="18"/>
  <c r="B1806" i="18"/>
  <c r="B1810" i="18"/>
  <c r="B1812" i="18"/>
  <c r="B1820" i="18"/>
  <c r="B1824" i="18"/>
  <c r="B17" i="18"/>
  <c r="B19" i="18"/>
  <c r="B20" i="18"/>
  <c r="B21" i="18"/>
  <c r="B33" i="18"/>
  <c r="B52" i="18"/>
  <c r="B56" i="18"/>
  <c r="B80" i="18"/>
  <c r="B90" i="18"/>
  <c r="B94" i="18"/>
  <c r="B100" i="18"/>
  <c r="B115" i="18"/>
  <c r="B142" i="18"/>
  <c r="B150" i="18"/>
  <c r="B207" i="18"/>
  <c r="B217" i="18"/>
  <c r="B218" i="18"/>
  <c r="B220" i="18"/>
  <c r="B270" i="18"/>
  <c r="B278" i="18"/>
  <c r="B285" i="18"/>
  <c r="B288" i="18"/>
  <c r="B319" i="18"/>
  <c r="B349" i="18"/>
  <c r="B356" i="18"/>
  <c r="B402" i="18"/>
  <c r="B417" i="18"/>
  <c r="B414" i="18"/>
  <c r="B419" i="18"/>
  <c r="B473" i="18"/>
  <c r="B488" i="18"/>
  <c r="B515" i="18"/>
  <c r="B521" i="18"/>
  <c r="B522" i="18"/>
  <c r="B538" i="18"/>
  <c r="B553" i="18"/>
  <c r="B555" i="18"/>
  <c r="B556" i="18"/>
  <c r="B559" i="18"/>
  <c r="B568" i="18"/>
  <c r="B569" i="18"/>
  <c r="B590" i="18"/>
  <c r="B618" i="18"/>
  <c r="B637" i="18"/>
  <c r="B654" i="18"/>
  <c r="B655" i="18"/>
  <c r="B662" i="18"/>
  <c r="B663" i="18"/>
  <c r="B664" i="18"/>
  <c r="B669" i="18"/>
  <c r="B687" i="18"/>
  <c r="B688" i="18"/>
  <c r="B700" i="18"/>
  <c r="B702" i="18"/>
  <c r="B701" i="18"/>
  <c r="B705" i="18"/>
  <c r="B720" i="18"/>
  <c r="B726" i="18"/>
  <c r="B760" i="18"/>
  <c r="B762" i="18"/>
  <c r="B792" i="18"/>
  <c r="B793" i="18"/>
  <c r="B794" i="18"/>
  <c r="B795" i="18"/>
  <c r="B796" i="18"/>
  <c r="B800" i="18"/>
  <c r="B816" i="18"/>
  <c r="B817" i="18"/>
  <c r="B819" i="18"/>
  <c r="B854" i="18"/>
  <c r="B856" i="18"/>
  <c r="B867" i="18"/>
  <c r="B891" i="18"/>
  <c r="B897" i="18"/>
  <c r="B912" i="18"/>
  <c r="B928" i="18"/>
  <c r="B948" i="18"/>
  <c r="B967" i="18"/>
  <c r="B983" i="18"/>
  <c r="B994" i="18"/>
  <c r="B1012" i="18"/>
  <c r="B1029" i="18"/>
  <c r="B1035" i="18"/>
  <c r="B1098" i="18"/>
  <c r="B1100" i="18"/>
  <c r="B1110" i="18"/>
  <c r="B1130" i="18"/>
  <c r="B1145" i="18"/>
  <c r="B1207" i="18"/>
  <c r="B1209" i="18"/>
  <c r="B1221" i="18"/>
  <c r="B1255" i="18"/>
  <c r="B1264" i="18"/>
  <c r="B1301" i="18"/>
  <c r="B1313" i="18"/>
  <c r="B1314" i="18"/>
  <c r="B1321" i="18"/>
  <c r="B1322" i="18"/>
  <c r="B1336" i="18"/>
  <c r="B1344" i="18"/>
  <c r="B1359" i="18"/>
  <c r="B1426" i="18"/>
  <c r="B1432" i="18"/>
  <c r="B1433" i="18"/>
  <c r="B1438" i="18"/>
  <c r="B1470" i="18"/>
  <c r="B1480" i="18"/>
  <c r="B1504" i="18"/>
  <c r="B1511" i="18"/>
  <c r="B1516" i="18"/>
  <c r="B1520" i="18"/>
  <c r="B1558" i="18"/>
  <c r="B1575" i="18"/>
  <c r="B1587" i="18"/>
  <c r="B1634" i="18"/>
  <c r="B1637" i="18"/>
  <c r="B1651" i="18"/>
  <c r="B1666" i="18"/>
  <c r="B1671" i="18"/>
  <c r="B1694" i="18"/>
  <c r="B1695" i="18"/>
  <c r="B1696" i="18"/>
  <c r="B1706" i="18"/>
  <c r="B1730" i="18"/>
  <c r="B1749" i="18"/>
  <c r="B1770" i="18"/>
  <c r="B1771" i="18"/>
  <c r="B1789" i="18"/>
  <c r="B1793" i="18"/>
  <c r="B1797" i="18"/>
  <c r="B1813" i="18"/>
  <c r="B1814" i="18"/>
  <c r="B1822" i="18"/>
  <c r="B8" i="18"/>
  <c r="B16" i="18"/>
  <c r="B69" i="18"/>
  <c r="B71" i="18"/>
  <c r="B144" i="18"/>
  <c r="B151" i="18"/>
  <c r="B191" i="18"/>
  <c r="B296" i="18"/>
  <c r="B322" i="18"/>
  <c r="B410" i="18"/>
  <c r="B452" i="18"/>
  <c r="B454" i="18"/>
  <c r="B509" i="18"/>
  <c r="B551" i="18"/>
  <c r="B566" i="18"/>
  <c r="B572" i="18"/>
  <c r="B592" i="18"/>
  <c r="B624" i="18"/>
  <c r="B668" i="18"/>
  <c r="B684" i="18"/>
  <c r="B734" i="18"/>
  <c r="B749" i="18"/>
  <c r="B755" i="18"/>
  <c r="B757" i="18"/>
  <c r="B765" i="18"/>
  <c r="B782" i="18"/>
  <c r="B818" i="18"/>
  <c r="B839" i="18"/>
  <c r="B888" i="18"/>
  <c r="B908" i="18"/>
  <c r="B986" i="18"/>
  <c r="B1041" i="18"/>
  <c r="B1077" i="18"/>
  <c r="B1099" i="18"/>
  <c r="B1107" i="18"/>
  <c r="B1114" i="18"/>
  <c r="B1161" i="18"/>
  <c r="B1170" i="18"/>
  <c r="B1229" i="18"/>
  <c r="B1289" i="18"/>
  <c r="B1350" i="18"/>
  <c r="B1448" i="18"/>
  <c r="B1566" i="18"/>
  <c r="B1687" i="18"/>
  <c r="B1717" i="18"/>
  <c r="B1755" i="18"/>
  <c r="B1791" i="18"/>
  <c r="B1798" i="18"/>
  <c r="B9" i="18"/>
  <c r="B12" i="18"/>
  <c r="B43" i="18"/>
  <c r="B55" i="18"/>
  <c r="B70" i="18"/>
  <c r="B85" i="18"/>
  <c r="B113" i="18"/>
  <c r="B152" i="18"/>
  <c r="B206" i="18"/>
  <c r="B212" i="18"/>
  <c r="B227" i="18"/>
  <c r="B228" i="18"/>
  <c r="B234" i="18"/>
  <c r="B249" i="18"/>
  <c r="B267" i="18"/>
  <c r="B274" i="18"/>
  <c r="B316" i="18"/>
  <c r="B336" i="18"/>
  <c r="B340" i="18"/>
  <c r="B346" i="18"/>
  <c r="B372" i="18"/>
  <c r="B374" i="18"/>
  <c r="B369" i="18"/>
  <c r="B415" i="18"/>
  <c r="B422" i="18"/>
  <c r="B459" i="18"/>
  <c r="B461" i="18"/>
  <c r="B493" i="18"/>
  <c r="B502" i="18"/>
  <c r="B552" i="18"/>
  <c r="B579" i="18"/>
  <c r="B585" i="18"/>
  <c r="B607" i="18"/>
  <c r="B650" i="18"/>
  <c r="B670" i="18"/>
  <c r="B681" i="18"/>
  <c r="B727" i="18"/>
  <c r="B767" i="18"/>
  <c r="B770" i="18"/>
  <c r="B791" i="18"/>
  <c r="B836" i="18"/>
  <c r="B892" i="18"/>
  <c r="B896" i="18"/>
  <c r="B933" i="18"/>
  <c r="B945" i="18"/>
  <c r="B1023" i="18"/>
  <c r="B1073" i="18"/>
  <c r="B1081" i="18"/>
  <c r="B1085" i="18"/>
  <c r="B1120" i="18"/>
  <c r="B1126" i="18"/>
  <c r="B1129" i="18"/>
  <c r="B1135" i="18"/>
  <c r="B1155" i="18"/>
  <c r="B1165" i="18"/>
  <c r="B1172" i="18"/>
  <c r="B1220" i="18"/>
  <c r="B1243" i="18"/>
  <c r="B1261" i="18"/>
  <c r="B1294" i="18"/>
  <c r="B1298" i="18"/>
  <c r="B1304" i="18"/>
  <c r="B1316" i="18"/>
  <c r="B1347" i="18"/>
  <c r="B1389" i="18"/>
  <c r="B1390" i="18"/>
  <c r="B1399" i="18"/>
  <c r="B1425" i="18"/>
  <c r="B1441" i="18"/>
  <c r="B1459" i="18"/>
  <c r="B1468" i="18"/>
  <c r="B1522" i="18"/>
  <c r="B1533" i="18"/>
  <c r="B1553" i="18"/>
  <c r="B1565" i="18"/>
  <c r="B1593" i="18"/>
  <c r="B1648" i="18"/>
  <c r="B1658" i="18"/>
  <c r="B1676" i="18"/>
  <c r="B1679" i="18"/>
  <c r="B1713" i="18"/>
  <c r="B1800" i="18"/>
  <c r="B1801" i="18"/>
  <c r="B1827" i="18"/>
  <c r="B24" i="18"/>
  <c r="B25" i="18"/>
  <c r="B46" i="18"/>
  <c r="B48" i="18"/>
  <c r="B73" i="18"/>
  <c r="B79" i="18"/>
  <c r="B109" i="18"/>
  <c r="B132" i="18"/>
  <c r="B135" i="18"/>
  <c r="B164" i="18"/>
  <c r="B231" i="18"/>
  <c r="B241" i="18"/>
  <c r="B250" i="18"/>
  <c r="B257" i="18"/>
  <c r="B277" i="18"/>
  <c r="B342" i="18"/>
  <c r="B351" i="18"/>
  <c r="B370" i="18"/>
  <c r="B371" i="18"/>
  <c r="B440" i="18"/>
  <c r="B442" i="18"/>
  <c r="B444" i="18"/>
  <c r="B445" i="18"/>
  <c r="B446" i="18"/>
  <c r="B471" i="18"/>
  <c r="B481" i="18"/>
  <c r="B482" i="18"/>
  <c r="B486" i="18"/>
  <c r="B530" i="18"/>
  <c r="B539" i="18"/>
  <c r="B563" i="18"/>
  <c r="B571" i="18"/>
  <c r="B583" i="18"/>
  <c r="B602" i="18"/>
  <c r="B605" i="18"/>
  <c r="B608" i="18"/>
  <c r="B628" i="18"/>
  <c r="B658" i="18"/>
  <c r="B659" i="18"/>
  <c r="B673" i="18"/>
  <c r="B693" i="18"/>
  <c r="B697" i="18"/>
  <c r="B713" i="18"/>
  <c r="B718" i="18"/>
  <c r="B725" i="18"/>
  <c r="B738" i="18"/>
  <c r="B741" i="18"/>
  <c r="B754" i="18"/>
  <c r="B813" i="18"/>
  <c r="B821" i="18"/>
  <c r="B853" i="18"/>
  <c r="B855" i="18"/>
  <c r="B866" i="18"/>
  <c r="B871" i="18"/>
  <c r="B873" i="18"/>
  <c r="B905" i="18"/>
  <c r="B965" i="18"/>
  <c r="B966" i="18"/>
  <c r="B972" i="18"/>
  <c r="B985" i="18"/>
  <c r="B1004" i="18"/>
  <c r="B1043" i="18"/>
  <c r="B1056" i="18"/>
  <c r="B1128" i="18"/>
  <c r="B1139" i="18"/>
  <c r="B1141" i="18"/>
  <c r="B1147" i="18"/>
  <c r="B1160" i="18"/>
  <c r="B1163" i="18"/>
  <c r="B1185" i="18"/>
  <c r="B1215" i="18"/>
  <c r="B1227" i="18"/>
  <c r="B1247" i="18"/>
  <c r="B1254" i="18"/>
  <c r="B1262" i="18"/>
  <c r="B1268" i="18"/>
  <c r="B1281" i="18"/>
  <c r="B1288" i="18"/>
  <c r="B1303" i="18"/>
  <c r="B1339" i="18"/>
  <c r="B1342" i="18"/>
  <c r="B1351" i="18"/>
  <c r="B1353" i="18"/>
  <c r="B1374" i="18"/>
  <c r="B1376" i="18"/>
  <c r="B1388" i="18"/>
  <c r="B1411" i="18"/>
  <c r="B1415" i="18"/>
  <c r="B1418" i="18"/>
  <c r="B1443" i="18"/>
  <c r="B1466" i="18"/>
  <c r="B1482" i="18"/>
  <c r="B1501" i="18"/>
  <c r="B1539" i="18"/>
  <c r="B1591" i="18"/>
  <c r="B1606" i="18"/>
  <c r="B1629" i="18"/>
  <c r="B1632" i="18"/>
  <c r="B1640" i="18"/>
  <c r="B1681" i="18"/>
  <c r="B1693" i="18"/>
  <c r="B1774" i="18"/>
  <c r="B1778" i="18"/>
  <c r="B1818" i="18"/>
  <c r="B1819" i="18"/>
  <c r="B34" i="18"/>
  <c r="B104" i="18"/>
  <c r="B107" i="18"/>
  <c r="B108" i="18"/>
  <c r="B121" i="18"/>
  <c r="B166" i="18"/>
  <c r="B167" i="18"/>
  <c r="B197" i="18"/>
  <c r="B201" i="18"/>
  <c r="B223" i="18"/>
  <c r="B259" i="18"/>
  <c r="B262" i="18"/>
  <c r="B398" i="18"/>
  <c r="B427" i="18"/>
  <c r="B428" i="18"/>
  <c r="B431" i="18"/>
  <c r="B458" i="18"/>
  <c r="B511" i="18"/>
  <c r="B523" i="18"/>
  <c r="B574" i="18"/>
  <c r="B587" i="18"/>
  <c r="B596" i="18"/>
  <c r="B617" i="18"/>
  <c r="B682" i="18"/>
  <c r="B696" i="18"/>
  <c r="B773" i="18"/>
  <c r="B798" i="18"/>
  <c r="B971" i="18"/>
  <c r="B987" i="18"/>
  <c r="B1011" i="18"/>
  <c r="B1045" i="18"/>
  <c r="B1067" i="18"/>
  <c r="B1096" i="18"/>
  <c r="B1101" i="18"/>
  <c r="B1102" i="18"/>
  <c r="B1134" i="18"/>
  <c r="B1230" i="18"/>
  <c r="B1248" i="18"/>
  <c r="B1297" i="18"/>
  <c r="B1299" i="18"/>
  <c r="B1300" i="18"/>
  <c r="B1352" i="18"/>
  <c r="B1360" i="18"/>
  <c r="B1380" i="18"/>
  <c r="B1381" i="18"/>
  <c r="B1393" i="18"/>
  <c r="B1409" i="18"/>
  <c r="B1420" i="18"/>
  <c r="B1422" i="18"/>
  <c r="B1449" i="18"/>
  <c r="B1552" i="18"/>
  <c r="B1562" i="18"/>
  <c r="B1567" i="18"/>
  <c r="B1599" i="18"/>
  <c r="B1625" i="18"/>
  <c r="B1626" i="18"/>
  <c r="B1627" i="18"/>
  <c r="B1652" i="18"/>
  <c r="B1659" i="18"/>
  <c r="B1688" i="18"/>
  <c r="B1710" i="18"/>
  <c r="B1711" i="18"/>
  <c r="B1720" i="18"/>
  <c r="B1729" i="18"/>
  <c r="B1811" i="18"/>
  <c r="B1825" i="18"/>
  <c r="B27" i="18"/>
  <c r="B35" i="18"/>
  <c r="B40" i="18"/>
  <c r="B57" i="18"/>
  <c r="B63" i="18"/>
  <c r="B67" i="18"/>
  <c r="B72" i="18"/>
  <c r="B88" i="18"/>
  <c r="B92" i="18"/>
  <c r="B117" i="18"/>
  <c r="B153" i="18"/>
  <c r="B158" i="18"/>
  <c r="B162" i="18"/>
  <c r="B184" i="18"/>
  <c r="B203" i="18"/>
  <c r="B210" i="18"/>
  <c r="B213" i="18"/>
  <c r="B233" i="18"/>
  <c r="B235" i="18"/>
  <c r="B237" i="18"/>
  <c r="B255" i="18"/>
  <c r="B256" i="18"/>
  <c r="B271" i="18"/>
  <c r="B275" i="18"/>
  <c r="B284" i="18"/>
  <c r="B315" i="18"/>
  <c r="B328" i="18"/>
  <c r="B330" i="18"/>
  <c r="B341" i="18"/>
  <c r="B365" i="18"/>
  <c r="B368" i="18"/>
  <c r="B380" i="18"/>
  <c r="B386" i="18"/>
  <c r="B395" i="18"/>
  <c r="B411" i="18"/>
  <c r="B416" i="18"/>
  <c r="B418" i="18"/>
  <c r="B435" i="18"/>
  <c r="B441" i="18"/>
  <c r="B449" i="18"/>
  <c r="B464" i="18"/>
  <c r="B474" i="18"/>
  <c r="B476" i="18"/>
  <c r="B494" i="18"/>
  <c r="B498" i="18"/>
  <c r="B504" i="18"/>
  <c r="B514" i="18"/>
  <c r="B543" i="18"/>
  <c r="B548" i="18"/>
  <c r="B597" i="18"/>
  <c r="B611" i="18"/>
  <c r="B615" i="18"/>
  <c r="B627" i="18"/>
  <c r="B640" i="18"/>
  <c r="B648" i="18"/>
  <c r="B656" i="18"/>
  <c r="B680" i="18"/>
  <c r="B691" i="18"/>
  <c r="B735" i="18"/>
  <c r="B759" i="18"/>
  <c r="B761" i="18"/>
  <c r="B814" i="18"/>
  <c r="B838" i="18"/>
  <c r="B843" i="18"/>
  <c r="B874" i="18"/>
  <c r="B887" i="18"/>
  <c r="B894" i="18"/>
  <c r="B901" i="18"/>
  <c r="B907" i="18"/>
  <c r="B918" i="18"/>
  <c r="B936" i="18"/>
  <c r="B957" i="18"/>
  <c r="B959" i="18"/>
  <c r="B962" i="18"/>
  <c r="B977" i="18"/>
  <c r="B978" i="18"/>
  <c r="B988" i="18"/>
  <c r="B995" i="18"/>
  <c r="B1009" i="18"/>
  <c r="B1021" i="18"/>
  <c r="B1024" i="18"/>
  <c r="B1030" i="18"/>
  <c r="B1051" i="18"/>
  <c r="B1071" i="18"/>
  <c r="B1078" i="18"/>
  <c r="B1089" i="18"/>
  <c r="B1111" i="18"/>
  <c r="B1137" i="18"/>
  <c r="B1158" i="18"/>
  <c r="B1166" i="18"/>
  <c r="B1173" i="18"/>
  <c r="B1205" i="18"/>
  <c r="B1223" i="18"/>
  <c r="B1236" i="18"/>
  <c r="B1241" i="18"/>
  <c r="B1270" i="18"/>
  <c r="B1273" i="18"/>
  <c r="B1287" i="18"/>
  <c r="B1317" i="18"/>
  <c r="B1324" i="18"/>
  <c r="B1328" i="18"/>
  <c r="B1329" i="18"/>
  <c r="B1330" i="18"/>
  <c r="B1331" i="18"/>
  <c r="B1333" i="18"/>
  <c r="B1345" i="18"/>
  <c r="B1378" i="18"/>
  <c r="B1384" i="18"/>
  <c r="B1385" i="18"/>
  <c r="B1414" i="18"/>
  <c r="B1423" i="18"/>
  <c r="B1424" i="18"/>
  <c r="B1440" i="18"/>
  <c r="B1450" i="18"/>
  <c r="B1457" i="18"/>
  <c r="B1458" i="18"/>
  <c r="B1464" i="18"/>
  <c r="B1475" i="18"/>
  <c r="B1490" i="18"/>
  <c r="B1502" i="18"/>
  <c r="B1505" i="18"/>
  <c r="B1508" i="18"/>
  <c r="B1528" i="18"/>
  <c r="B1556" i="18"/>
  <c r="B1561" i="18"/>
  <c r="B1563" i="18"/>
  <c r="B1584" i="18"/>
  <c r="B1590" i="18"/>
  <c r="B1597" i="18"/>
  <c r="B1631" i="18"/>
  <c r="B1663" i="18"/>
  <c r="B1668" i="18"/>
  <c r="B1682" i="18"/>
  <c r="B1689" i="18"/>
  <c r="B1705" i="18"/>
  <c r="B1712" i="18"/>
  <c r="B1725" i="18"/>
  <c r="B1742" i="18"/>
  <c r="B1754" i="18"/>
  <c r="B1775" i="18"/>
  <c r="B1777" i="18"/>
  <c r="B1807" i="18"/>
  <c r="B1821" i="18"/>
  <c r="B1826" i="18"/>
  <c r="B1828" i="18"/>
  <c r="B1831" i="18"/>
  <c r="B49" i="18"/>
  <c r="B77" i="18"/>
  <c r="B82" i="18"/>
  <c r="B96" i="18"/>
  <c r="B148" i="18"/>
  <c r="B168" i="18"/>
  <c r="B268" i="18"/>
  <c r="B301" i="18"/>
  <c r="B325" i="18"/>
  <c r="B337" i="18"/>
  <c r="B367" i="18"/>
  <c r="B399" i="18"/>
  <c r="B403" i="18"/>
  <c r="B460" i="18"/>
  <c r="B468" i="18"/>
  <c r="B475" i="18"/>
  <c r="B512" i="18"/>
  <c r="B570" i="18"/>
  <c r="B657" i="18"/>
  <c r="B660" i="18"/>
  <c r="B678" i="18"/>
  <c r="B694" i="18"/>
  <c r="B717" i="18"/>
  <c r="B752" i="18"/>
  <c r="B809" i="18"/>
  <c r="B861" i="18"/>
  <c r="B895" i="18"/>
  <c r="B927" i="18"/>
  <c r="B958" i="18"/>
  <c r="B976" i="18"/>
  <c r="B993" i="18"/>
  <c r="B1006" i="18"/>
  <c r="B1033" i="18"/>
  <c r="B1047" i="18"/>
  <c r="B1105" i="18"/>
  <c r="B1121" i="18"/>
  <c r="B1136" i="18"/>
  <c r="B1206" i="18"/>
  <c r="B1210" i="18"/>
  <c r="B1285" i="18"/>
  <c r="B1296" i="18"/>
  <c r="B1386" i="18"/>
  <c r="B1413" i="18"/>
  <c r="B1481" i="18"/>
  <c r="B1486" i="18"/>
  <c r="B1503" i="18"/>
  <c r="B1518" i="18"/>
  <c r="B1549" i="18"/>
  <c r="B1646" i="18"/>
  <c r="B1722" i="18"/>
  <c r="B1738" i="18"/>
  <c r="B1740" i="18"/>
  <c r="B1796" i="18"/>
  <c r="B1802" i="18"/>
  <c r="B1832" i="18"/>
  <c r="B22" i="18"/>
  <c r="B37" i="18"/>
  <c r="B45" i="18"/>
  <c r="B68" i="18"/>
  <c r="B102" i="18"/>
  <c r="B155" i="18"/>
  <c r="B196" i="18"/>
  <c r="B198" i="18"/>
  <c r="B232" i="18"/>
  <c r="B281" i="18"/>
  <c r="B332" i="18"/>
  <c r="B381" i="18"/>
  <c r="B392" i="18"/>
  <c r="B400" i="18"/>
  <c r="B409" i="18"/>
  <c r="B430" i="18"/>
  <c r="B462" i="18"/>
  <c r="B506" i="18"/>
  <c r="B542" i="18"/>
  <c r="B550" i="18"/>
  <c r="B567" i="18"/>
  <c r="B580" i="18"/>
  <c r="B589" i="18"/>
  <c r="B638" i="18"/>
  <c r="B651" i="18"/>
  <c r="B695" i="18"/>
  <c r="B698" i="18"/>
  <c r="B708" i="18"/>
  <c r="B730" i="18"/>
  <c r="B746" i="18"/>
  <c r="B756" i="18"/>
  <c r="B820" i="18"/>
  <c r="B831" i="18"/>
  <c r="B900" i="18"/>
  <c r="B902" i="18"/>
  <c r="B906" i="18"/>
  <c r="B935" i="18"/>
  <c r="B938" i="18"/>
  <c r="B954" i="18"/>
  <c r="B975" i="18"/>
  <c r="B984" i="18"/>
  <c r="B989" i="18"/>
  <c r="B990" i="18"/>
  <c r="B991" i="18"/>
  <c r="B1048" i="18"/>
  <c r="B1049" i="18"/>
  <c r="B1053" i="18"/>
  <c r="B1055" i="18"/>
  <c r="B1127" i="18"/>
  <c r="B1138" i="18"/>
  <c r="B1140" i="18"/>
  <c r="B1178" i="18"/>
  <c r="B1202" i="18"/>
  <c r="B1218" i="18"/>
  <c r="B1219" i="18"/>
  <c r="B1234" i="18"/>
  <c r="B1253" i="18"/>
  <c r="B1256" i="18"/>
  <c r="B1271" i="18"/>
  <c r="B1277" i="18"/>
  <c r="B1308" i="18"/>
  <c r="B1319" i="18"/>
  <c r="B1337" i="18"/>
  <c r="B1395" i="18"/>
  <c r="B1428" i="18"/>
  <c r="B1483" i="18"/>
  <c r="B1487" i="18"/>
  <c r="B1495" i="18"/>
  <c r="B1519" i="18"/>
  <c r="B1557" i="18"/>
  <c r="B1615" i="18"/>
  <c r="B1660" i="18"/>
  <c r="B1670" i="18"/>
  <c r="B1675" i="18"/>
  <c r="B1680" i="18"/>
  <c r="B1716" i="18"/>
  <c r="B1731" i="18"/>
  <c r="B1782" i="18"/>
  <c r="B1790" i="18"/>
  <c r="B1799" i="18"/>
  <c r="B1823" i="18"/>
  <c r="N81" i="18"/>
  <c r="O81" i="18" s="1"/>
  <c r="N89" i="18"/>
  <c r="O89" i="18" s="1"/>
  <c r="N91" i="18"/>
  <c r="O91" i="18" s="1"/>
  <c r="N97" i="18"/>
  <c r="O97" i="18" s="1"/>
  <c r="N103" i="18"/>
  <c r="O103" i="18" s="1"/>
  <c r="N122" i="18"/>
  <c r="O122" i="18" s="1"/>
  <c r="N146" i="18"/>
  <c r="O146" i="18" s="1"/>
  <c r="N156" i="18"/>
  <c r="N163" i="18"/>
  <c r="O163" i="18" s="1"/>
  <c r="N187" i="18"/>
  <c r="O187" i="18" s="1"/>
  <c r="N194" i="18"/>
  <c r="O194" i="18" s="1"/>
  <c r="N204" i="18"/>
  <c r="O204" i="18" s="1"/>
  <c r="N221" i="18"/>
  <c r="O221" i="18" s="1"/>
  <c r="N230" i="18"/>
  <c r="O230" i="18" s="1"/>
  <c r="N244" i="18"/>
  <c r="O244" i="18" s="1"/>
  <c r="N292" i="18"/>
  <c r="N300" i="18"/>
  <c r="O300" i="18" s="1"/>
  <c r="N352" i="18"/>
  <c r="O352" i="18" s="1"/>
  <c r="N396" i="18"/>
  <c r="N408" i="18"/>
  <c r="O408" i="18" s="1"/>
  <c r="N420" i="18"/>
  <c r="O420" i="18" s="1"/>
  <c r="N451" i="18"/>
  <c r="O451" i="18" s="1"/>
  <c r="N483" i="18"/>
  <c r="N519" i="18"/>
  <c r="O519" i="18" s="1"/>
  <c r="N520" i="18"/>
  <c r="O520" i="18" s="1"/>
  <c r="N524" i="18"/>
  <c r="O524" i="18" s="1"/>
  <c r="N534" i="18"/>
  <c r="O534" i="18" s="1"/>
  <c r="N537" i="18"/>
  <c r="O537" i="18" s="1"/>
  <c r="N546" i="18"/>
  <c r="O546" i="18" s="1"/>
  <c r="N609" i="18"/>
  <c r="O609" i="18" s="1"/>
  <c r="N613" i="18"/>
  <c r="O613" i="18" s="1"/>
  <c r="N623" i="18"/>
  <c r="O623" i="18" s="1"/>
  <c r="N631" i="18"/>
  <c r="N652" i="18"/>
  <c r="N667" i="18"/>
  <c r="O667" i="18" s="1"/>
  <c r="N683" i="18"/>
  <c r="O683" i="18" s="1"/>
  <c r="N706" i="18"/>
  <c r="O706" i="18" s="1"/>
  <c r="N712" i="18"/>
  <c r="O712" i="18" s="1"/>
  <c r="N721" i="18"/>
  <c r="O721" i="18" s="1"/>
  <c r="N769" i="18"/>
  <c r="O769" i="18" s="1"/>
  <c r="N781" i="18"/>
  <c r="O781" i="18" s="1"/>
  <c r="N802" i="18"/>
  <c r="O802" i="18" s="1"/>
  <c r="N810" i="18"/>
  <c r="O810" i="18" s="1"/>
  <c r="N834" i="18"/>
  <c r="O834" i="18" s="1"/>
  <c r="N850" i="18"/>
  <c r="O850" i="18" s="1"/>
  <c r="N868" i="18"/>
  <c r="O868" i="18" s="1"/>
  <c r="N869" i="18"/>
  <c r="O869" i="18" s="1"/>
  <c r="N919" i="18"/>
  <c r="O919" i="18" s="1"/>
  <c r="N923" i="18"/>
  <c r="O923" i="18" s="1"/>
  <c r="N939" i="18"/>
  <c r="O939" i="18" s="1"/>
  <c r="N940" i="18"/>
  <c r="N969" i="18"/>
  <c r="O969" i="18" s="1"/>
  <c r="N1019" i="18"/>
  <c r="O1019" i="18" s="1"/>
  <c r="N1025" i="18"/>
  <c r="O1025" i="18" s="1"/>
  <c r="N1046" i="18"/>
  <c r="O1046" i="18" s="1"/>
  <c r="N1060" i="18"/>
  <c r="N1069" i="18"/>
  <c r="O1069" i="18" s="1"/>
  <c r="N1072" i="18"/>
  <c r="O1072" i="18" s="1"/>
  <c r="N1076" i="18"/>
  <c r="O1076" i="18" s="1"/>
  <c r="N1106" i="18"/>
  <c r="O1106" i="18" s="1"/>
  <c r="N1109" i="18"/>
  <c r="O1109" i="18" s="1"/>
  <c r="N1117" i="18"/>
  <c r="O1117" i="18" s="1"/>
  <c r="N1125" i="18"/>
  <c r="O1125" i="18" s="1"/>
  <c r="N1146" i="18"/>
  <c r="O1146" i="18" s="1"/>
  <c r="N1162" i="18"/>
  <c r="O1162" i="18" s="1"/>
  <c r="N1181" i="18"/>
  <c r="O1181" i="18" s="1"/>
  <c r="N1187" i="18"/>
  <c r="O1187" i="18" s="1"/>
  <c r="N1188" i="18"/>
  <c r="N1208" i="18"/>
  <c r="O1208" i="18" s="1"/>
  <c r="N1211" i="18"/>
  <c r="O1211" i="18" s="1"/>
  <c r="N1250" i="18"/>
  <c r="O1250" i="18" s="1"/>
  <c r="N1251" i="18"/>
  <c r="O1251" i="18" s="1"/>
  <c r="N1265" i="18"/>
  <c r="O1265" i="18" s="1"/>
  <c r="N1368" i="18"/>
  <c r="O1368" i="18" s="1"/>
  <c r="N1370" i="18"/>
  <c r="O1370" i="18" s="1"/>
  <c r="N1382" i="18"/>
  <c r="O1382" i="18" s="1"/>
  <c r="N1407" i="18"/>
  <c r="O1407" i="18" s="1"/>
  <c r="N1427" i="18"/>
  <c r="O1427" i="18" s="1"/>
  <c r="N1447" i="18"/>
  <c r="O1447" i="18" s="1"/>
  <c r="N1461" i="18"/>
  <c r="O1461" i="18" s="1"/>
  <c r="N1465" i="18"/>
  <c r="O1465" i="18" s="1"/>
  <c r="N1476" i="18"/>
  <c r="O1476" i="18" s="1"/>
  <c r="N1491" i="18"/>
  <c r="O1491" i="18" s="1"/>
  <c r="N1498" i="18"/>
  <c r="B1498" i="18" s="1"/>
  <c r="N1510" i="18"/>
  <c r="O1510" i="18" s="1"/>
  <c r="N1537" i="18"/>
  <c r="O1537" i="18" s="1"/>
  <c r="N1550" i="18"/>
  <c r="O1550" i="18" s="1"/>
  <c r="N1588" i="18"/>
  <c r="O1588" i="18" s="1"/>
  <c r="N1595" i="18"/>
  <c r="O1595" i="18" s="1"/>
  <c r="N1707" i="18"/>
  <c r="O1707" i="18" s="1"/>
  <c r="N1719" i="18"/>
  <c r="O1719" i="18" s="1"/>
  <c r="N1830" i="18"/>
  <c r="O1830" i="18" s="1"/>
  <c r="N6" i="18"/>
  <c r="O6" i="18" s="1"/>
  <c r="N13" i="18"/>
  <c r="O13" i="18" s="1"/>
  <c r="N14" i="18"/>
  <c r="O14" i="18" s="1"/>
  <c r="N28" i="18"/>
  <c r="O28" i="18" s="1"/>
  <c r="N47" i="18"/>
  <c r="O47" i="18" s="1"/>
  <c r="N58" i="18"/>
  <c r="N83" i="18"/>
  <c r="O83" i="18" s="1"/>
  <c r="N87" i="18"/>
  <c r="O87" i="18" s="1"/>
  <c r="N98" i="18"/>
  <c r="O98" i="18" s="1"/>
  <c r="N133" i="18"/>
  <c r="N138" i="18"/>
  <c r="O138" i="18" s="1"/>
  <c r="N139" i="18"/>
  <c r="O139" i="18" s="1"/>
  <c r="N140" i="18"/>
  <c r="N209" i="18"/>
  <c r="O209" i="18" s="1"/>
  <c r="N216" i="18"/>
  <c r="O216" i="18" s="1"/>
  <c r="N224" i="18"/>
  <c r="O224" i="18" s="1"/>
  <c r="N236" i="18"/>
  <c r="O236" i="18" s="1"/>
  <c r="N260" i="18"/>
  <c r="O260" i="18" s="1"/>
  <c r="N286" i="18"/>
  <c r="O286" i="18" s="1"/>
  <c r="N287" i="18"/>
  <c r="O287" i="18" s="1"/>
  <c r="N305" i="18"/>
  <c r="O305" i="18" s="1"/>
  <c r="N308" i="18"/>
  <c r="O308" i="18" s="1"/>
  <c r="N331" i="18"/>
  <c r="O331" i="18" s="1"/>
  <c r="N343" i="18"/>
  <c r="O343" i="18" s="1"/>
  <c r="N353" i="18"/>
  <c r="O353" i="18" s="1"/>
  <c r="N354" i="18"/>
  <c r="O354" i="18" s="1"/>
  <c r="N363" i="18"/>
  <c r="O363" i="18" s="1"/>
  <c r="N366" i="18"/>
  <c r="O366" i="18" s="1"/>
  <c r="N378" i="18"/>
  <c r="O378" i="18" s="1"/>
  <c r="N466" i="18"/>
  <c r="O466" i="18" s="1"/>
  <c r="N472" i="18"/>
  <c r="O472" i="18" s="1"/>
  <c r="N503" i="18"/>
  <c r="O503" i="18" s="1"/>
  <c r="N535" i="18"/>
  <c r="O535" i="18" s="1"/>
  <c r="N549" i="18"/>
  <c r="O549" i="18" s="1"/>
  <c r="N578" i="18"/>
  <c r="O578" i="18" s="1"/>
  <c r="N584" i="18"/>
  <c r="O584" i="18" s="1"/>
  <c r="N601" i="18"/>
  <c r="O601" i="18" s="1"/>
  <c r="N604" i="18"/>
  <c r="O604" i="18" s="1"/>
  <c r="N621" i="18"/>
  <c r="N625" i="18"/>
  <c r="O625" i="18" s="1"/>
  <c r="N629" i="18"/>
  <c r="O629" i="18" s="1"/>
  <c r="N634" i="18"/>
  <c r="O634" i="18" s="1"/>
  <c r="N646" i="18"/>
  <c r="O646" i="18" s="1"/>
  <c r="N666" i="18"/>
  <c r="O666" i="18" s="1"/>
  <c r="N689" i="18"/>
  <c r="N733" i="18"/>
  <c r="O733" i="18" s="1"/>
  <c r="N747" i="18"/>
  <c r="O747" i="18" s="1"/>
  <c r="N768" i="18"/>
  <c r="O768" i="18" s="1"/>
  <c r="N777" i="18"/>
  <c r="O777" i="18" s="1"/>
  <c r="N786" i="18"/>
  <c r="O786" i="18" s="1"/>
  <c r="N803" i="18"/>
  <c r="O803" i="18" s="1"/>
  <c r="N805" i="18"/>
  <c r="O805" i="18" s="1"/>
  <c r="N823" i="18"/>
  <c r="O823" i="18" s="1"/>
  <c r="N824" i="18"/>
  <c r="O824" i="18" s="1"/>
  <c r="N826" i="18"/>
  <c r="O826" i="18" s="1"/>
  <c r="N828" i="18"/>
  <c r="O828" i="18" s="1"/>
  <c r="N829" i="18"/>
  <c r="O829" i="18" s="1"/>
  <c r="N851" i="18"/>
  <c r="O851" i="18" s="1"/>
  <c r="N858" i="18"/>
  <c r="O858" i="18" s="1"/>
  <c r="N878" i="18"/>
  <c r="O878" i="18" s="1"/>
  <c r="N904" i="18"/>
  <c r="O904" i="18" s="1"/>
  <c r="N917" i="18"/>
  <c r="O917" i="18" s="1"/>
  <c r="N924" i="18"/>
  <c r="N955" i="18"/>
  <c r="O955" i="18" s="1"/>
  <c r="N960" i="18"/>
  <c r="O960" i="18" s="1"/>
  <c r="N981" i="18"/>
  <c r="O981" i="18" s="1"/>
  <c r="N1008" i="18"/>
  <c r="O1008" i="18" s="1"/>
  <c r="N1017" i="18"/>
  <c r="O1017" i="18" s="1"/>
  <c r="N1038" i="18"/>
  <c r="O1038" i="18" s="1"/>
  <c r="N1042" i="18"/>
  <c r="O1042" i="18" s="1"/>
  <c r="N1074" i="18"/>
  <c r="O1074" i="18" s="1"/>
  <c r="N1097" i="18"/>
  <c r="O1097" i="18" s="1"/>
  <c r="N1113" i="18"/>
  <c r="O1113" i="18" s="1"/>
  <c r="N1131" i="18"/>
  <c r="O1131" i="18" s="1"/>
  <c r="N1157" i="18"/>
  <c r="O1157" i="18" s="1"/>
  <c r="N1167" i="18"/>
  <c r="N1176" i="18"/>
  <c r="O1176" i="18" s="1"/>
  <c r="N1189" i="18"/>
  <c r="N1190" i="18"/>
  <c r="O1190" i="18" s="1"/>
  <c r="N1198" i="18"/>
  <c r="O1198" i="18" s="1"/>
  <c r="N1231" i="18"/>
  <c r="O1231" i="18" s="1"/>
  <c r="N1232" i="18"/>
  <c r="O1232" i="18" s="1"/>
  <c r="N1235" i="18"/>
  <c r="O1235" i="18" s="1"/>
  <c r="N1237" i="18"/>
  <c r="O1237" i="18" s="1"/>
  <c r="N1242" i="18"/>
  <c r="O1242" i="18" s="1"/>
  <c r="N1263" i="18"/>
  <c r="O1263" i="18" s="1"/>
  <c r="N1292" i="18"/>
  <c r="N1307" i="18"/>
  <c r="O1307" i="18" s="1"/>
  <c r="N1310" i="18"/>
  <c r="O1310" i="18" s="1"/>
  <c r="N1315" i="18"/>
  <c r="O1315" i="18" s="1"/>
  <c r="N1338" i="18"/>
  <c r="O1338" i="18" s="1"/>
  <c r="N1341" i="18"/>
  <c r="O1341" i="18" s="1"/>
  <c r="N1343" i="18"/>
  <c r="O1343" i="18" s="1"/>
  <c r="N1355" i="18"/>
  <c r="N1404" i="18"/>
  <c r="O1404" i="18" s="1"/>
  <c r="N1439" i="18"/>
  <c r="O1439" i="18" s="1"/>
  <c r="N1442" i="18"/>
  <c r="O1442" i="18" s="1"/>
  <c r="N1477" i="18"/>
  <c r="O1477" i="18" s="1"/>
  <c r="N1499" i="18"/>
  <c r="N1507" i="18"/>
  <c r="O1507" i="18" s="1"/>
  <c r="N1514" i="18"/>
  <c r="B1514" i="18" s="1"/>
  <c r="N1524" i="18"/>
  <c r="O1524" i="18" s="1"/>
  <c r="N1521" i="18"/>
  <c r="O1521" i="18" s="1"/>
  <c r="N1530" i="18"/>
  <c r="O1530" i="18" s="1"/>
  <c r="N1540" i="18"/>
  <c r="N1555" i="18"/>
  <c r="O1555" i="18" s="1"/>
  <c r="N1570" i="18"/>
  <c r="O1570" i="18" s="1"/>
  <c r="N1576" i="18"/>
  <c r="O1576" i="18" s="1"/>
  <c r="N1578" i="18"/>
  <c r="O1578" i="18" s="1"/>
  <c r="N1583" i="18"/>
  <c r="O1583" i="18" s="1"/>
  <c r="N1614" i="18"/>
  <c r="O1614" i="18" s="1"/>
  <c r="N1624" i="18"/>
  <c r="O1624" i="18" s="1"/>
  <c r="N1633" i="18"/>
  <c r="O1633" i="18" s="1"/>
  <c r="N1636" i="18"/>
  <c r="O1636" i="18" s="1"/>
  <c r="N1669" i="18"/>
  <c r="O1669" i="18" s="1"/>
  <c r="N1685" i="18"/>
  <c r="O1685" i="18" s="1"/>
  <c r="N1690" i="18"/>
  <c r="B1690" i="18" s="1"/>
  <c r="N1692" i="18"/>
  <c r="O1692" i="18" s="1"/>
  <c r="N1714" i="18"/>
  <c r="O1714" i="18" s="1"/>
  <c r="N1718" i="18"/>
  <c r="O1718" i="18" s="1"/>
  <c r="N1721" i="18"/>
  <c r="O1721" i="18" s="1"/>
  <c r="N1726" i="18"/>
  <c r="O1726" i="18" s="1"/>
  <c r="N1745" i="18"/>
  <c r="N1750" i="18"/>
  <c r="O1750" i="18" s="1"/>
  <c r="N1752" i="18"/>
  <c r="O1752" i="18" s="1"/>
  <c r="N1760" i="18"/>
  <c r="O1760" i="18" s="1"/>
  <c r="N1762" i="18"/>
  <c r="O1762" i="18" s="1"/>
  <c r="N1764" i="18"/>
  <c r="O1764" i="18" s="1"/>
  <c r="N1786" i="18"/>
  <c r="O1786" i="18" s="1"/>
  <c r="N1803" i="18"/>
  <c r="O1803" i="18" s="1"/>
  <c r="N1815" i="18"/>
  <c r="N1829" i="18"/>
  <c r="O1829" i="18" s="1"/>
  <c r="N74" i="18"/>
  <c r="O74" i="18" s="1"/>
  <c r="N170" i="18"/>
  <c r="O170" i="18" s="1"/>
  <c r="N193" i="18"/>
  <c r="O193" i="18" s="1"/>
  <c r="N239" i="18"/>
  <c r="O239" i="18" s="1"/>
  <c r="N252" i="18"/>
  <c r="O252" i="18" s="1"/>
  <c r="N264" i="18"/>
  <c r="O264" i="18" s="1"/>
  <c r="N298" i="18"/>
  <c r="O298" i="18" s="1"/>
  <c r="N307" i="18"/>
  <c r="O307" i="18" s="1"/>
  <c r="N310" i="18"/>
  <c r="N326" i="18"/>
  <c r="O326" i="18" s="1"/>
  <c r="N345" i="18"/>
  <c r="O345" i="18" s="1"/>
  <c r="N344" i="18"/>
  <c r="O344" i="18" s="1"/>
  <c r="N393" i="18"/>
  <c r="O393" i="18" s="1"/>
  <c r="N465" i="18"/>
  <c r="O465" i="18" s="1"/>
  <c r="N470" i="18"/>
  <c r="O470" i="18" s="1"/>
  <c r="N485" i="18"/>
  <c r="O485" i="18" s="1"/>
  <c r="N533" i="18"/>
  <c r="O533" i="18" s="1"/>
  <c r="N544" i="18"/>
  <c r="O544" i="18" s="1"/>
  <c r="N545" i="18"/>
  <c r="O545" i="18" s="1"/>
  <c r="N561" i="18"/>
  <c r="O561" i="18" s="1"/>
  <c r="N581" i="18"/>
  <c r="O581" i="18" s="1"/>
  <c r="N599" i="18"/>
  <c r="O599" i="18" s="1"/>
  <c r="N600" i="18"/>
  <c r="O600" i="18" s="1"/>
  <c r="N743" i="18"/>
  <c r="O743" i="18" s="1"/>
  <c r="N744" i="18"/>
  <c r="O744" i="18" s="1"/>
  <c r="N745" i="18"/>
  <c r="O745" i="18" s="1"/>
  <c r="N776" i="18"/>
  <c r="O776" i="18" s="1"/>
  <c r="N806" i="18"/>
  <c r="O806" i="18" s="1"/>
  <c r="N807" i="18"/>
  <c r="O807" i="18" s="1"/>
  <c r="N830" i="18"/>
  <c r="O830" i="18" s="1"/>
  <c r="N840" i="18"/>
  <c r="O840" i="18" s="1"/>
  <c r="N841" i="18"/>
  <c r="O841" i="18" s="1"/>
  <c r="N877" i="18"/>
  <c r="O877" i="18" s="1"/>
  <c r="N968" i="18"/>
  <c r="O968" i="18" s="1"/>
  <c r="N1016" i="18"/>
  <c r="O1016" i="18" s="1"/>
  <c r="N1123" i="18"/>
  <c r="O1123" i="18" s="1"/>
  <c r="N1149" i="18"/>
  <c r="O1149" i="18" s="1"/>
  <c r="N1152" i="18"/>
  <c r="O1152" i="18" s="1"/>
  <c r="N1153" i="18"/>
  <c r="O1153" i="18" s="1"/>
  <c r="N1171" i="18"/>
  <c r="O1171" i="18" s="1"/>
  <c r="N1318" i="18"/>
  <c r="O1318" i="18" s="1"/>
  <c r="N1387" i="18"/>
  <c r="O1387" i="18" s="1"/>
  <c r="N1444" i="18"/>
  <c r="O1444" i="18" s="1"/>
  <c r="N1496" i="18"/>
  <c r="N1512" i="18"/>
  <c r="N1523" i="18"/>
  <c r="O1523" i="18" s="1"/>
  <c r="N1613" i="18"/>
  <c r="O1613" i="18" s="1"/>
  <c r="N1635" i="18"/>
  <c r="O1635" i="18" s="1"/>
  <c r="N1661" i="18"/>
  <c r="N4" i="18"/>
  <c r="O4" i="18" s="1"/>
  <c r="N15" i="18"/>
  <c r="O15" i="18" s="1"/>
  <c r="N42" i="18"/>
  <c r="O42" i="18" s="1"/>
  <c r="N59" i="18"/>
  <c r="N60" i="18"/>
  <c r="N93" i="18"/>
  <c r="O93" i="18" s="1"/>
  <c r="N111" i="18"/>
  <c r="O111" i="18" s="1"/>
  <c r="N114" i="18"/>
  <c r="O114" i="18" s="1"/>
  <c r="N118" i="18"/>
  <c r="O118" i="18" s="1"/>
  <c r="N123" i="18"/>
  <c r="O123" i="18" s="1"/>
  <c r="N124" i="18"/>
  <c r="O124" i="18" s="1"/>
  <c r="N125" i="18"/>
  <c r="O125" i="18" s="1"/>
  <c r="N126" i="18"/>
  <c r="O126" i="18" s="1"/>
  <c r="N127" i="18"/>
  <c r="O127" i="18" s="1"/>
  <c r="N128" i="18"/>
  <c r="O128" i="18" s="1"/>
  <c r="N129" i="18"/>
  <c r="O129" i="18" s="1"/>
  <c r="N143" i="18"/>
  <c r="O143" i="18" s="1"/>
  <c r="N147" i="18"/>
  <c r="O147" i="18" s="1"/>
  <c r="N159" i="18"/>
  <c r="N169" i="18"/>
  <c r="O169" i="18" s="1"/>
  <c r="N171" i="18"/>
  <c r="O171" i="18" s="1"/>
  <c r="N172" i="18"/>
  <c r="O172" i="18" s="1"/>
  <c r="N173" i="18"/>
  <c r="O173" i="18" s="1"/>
  <c r="N174" i="18"/>
  <c r="O174" i="18" s="1"/>
  <c r="N175" i="18"/>
  <c r="O175" i="18" s="1"/>
  <c r="N176" i="18"/>
  <c r="O176" i="18" s="1"/>
  <c r="N177" i="18"/>
  <c r="O177" i="18" s="1"/>
  <c r="N178" i="18"/>
  <c r="O178" i="18" s="1"/>
  <c r="N179" i="18"/>
  <c r="O179" i="18" s="1"/>
  <c r="N180" i="18"/>
  <c r="O180" i="18" s="1"/>
  <c r="N181" i="18"/>
  <c r="O181" i="18" s="1"/>
  <c r="N188" i="18"/>
  <c r="N190" i="18"/>
  <c r="O190" i="18" s="1"/>
  <c r="N192" i="18"/>
  <c r="O192" i="18" s="1"/>
  <c r="N225" i="18"/>
  <c r="O225" i="18" s="1"/>
  <c r="N243" i="18"/>
  <c r="O243" i="18" s="1"/>
  <c r="N245" i="18"/>
  <c r="O245" i="18" s="1"/>
  <c r="N263" i="18"/>
  <c r="O263" i="18" s="1"/>
  <c r="N269" i="18"/>
  <c r="O269" i="18" s="1"/>
  <c r="N276" i="18"/>
  <c r="O276" i="18" s="1"/>
  <c r="N289" i="18"/>
  <c r="O289" i="18" s="1"/>
  <c r="N303" i="18"/>
  <c r="O303" i="18" s="1"/>
  <c r="N311" i="18"/>
  <c r="N312" i="18"/>
  <c r="N323" i="18"/>
  <c r="O323" i="18" s="1"/>
  <c r="N329" i="18"/>
  <c r="O329" i="18" s="1"/>
  <c r="N335" i="18"/>
  <c r="O335" i="18" s="1"/>
  <c r="N360" i="18"/>
  <c r="O360" i="18" s="1"/>
  <c r="N361" i="18"/>
  <c r="O361" i="18" s="1"/>
  <c r="N362" i="18"/>
  <c r="O362" i="18" s="1"/>
  <c r="N377" i="18"/>
  <c r="O377" i="18" s="1"/>
  <c r="N388" i="18"/>
  <c r="N391" i="18"/>
  <c r="O391" i="18" s="1"/>
  <c r="N404" i="18"/>
  <c r="O404" i="18" s="1"/>
  <c r="N406" i="18"/>
  <c r="O406" i="18" s="1"/>
  <c r="N439" i="18"/>
  <c r="O439" i="18" s="1"/>
  <c r="N450" i="18"/>
  <c r="O450" i="18" s="1"/>
  <c r="N456" i="18"/>
  <c r="N499" i="18"/>
  <c r="O499" i="18" s="1"/>
  <c r="N508" i="18"/>
  <c r="O508" i="18" s="1"/>
  <c r="N510" i="18"/>
  <c r="O510" i="18" s="1"/>
  <c r="N516" i="18"/>
  <c r="O516" i="18" s="1"/>
  <c r="N527" i="18"/>
  <c r="N547" i="18"/>
  <c r="O547" i="18" s="1"/>
  <c r="N554" i="18"/>
  <c r="O554" i="18" s="1"/>
  <c r="N558" i="18"/>
  <c r="O558" i="18" s="1"/>
  <c r="N573" i="18"/>
  <c r="O573" i="18" s="1"/>
  <c r="N575" i="18"/>
  <c r="O575" i="18" s="1"/>
  <c r="N588" i="18"/>
  <c r="O588" i="18" s="1"/>
  <c r="N591" i="18"/>
  <c r="O591" i="18" s="1"/>
  <c r="N595" i="18"/>
  <c r="O595" i="18" s="1"/>
  <c r="N594" i="18"/>
  <c r="O594" i="18" s="1"/>
  <c r="N603" i="18"/>
  <c r="O603" i="18" s="1"/>
  <c r="N606" i="18"/>
  <c r="O606" i="18" s="1"/>
  <c r="N616" i="18"/>
  <c r="O616" i="18" s="1"/>
  <c r="N632" i="18"/>
  <c r="N671" i="18"/>
  <c r="O671" i="18" s="1"/>
  <c r="N715" i="18"/>
  <c r="O715" i="18" s="1"/>
  <c r="N719" i="18"/>
  <c r="O719" i="18" s="1"/>
  <c r="N758" i="18"/>
  <c r="O758" i="18" s="1"/>
  <c r="N785" i="18"/>
  <c r="O785" i="18" s="1"/>
  <c r="N797" i="18"/>
  <c r="O797" i="18" s="1"/>
  <c r="N808" i="18"/>
  <c r="O808" i="18" s="1"/>
  <c r="N804" i="18"/>
  <c r="O804" i="18" s="1"/>
  <c r="N825" i="18"/>
  <c r="O825" i="18" s="1"/>
  <c r="N833" i="18"/>
  <c r="O833" i="18" s="1"/>
  <c r="N844" i="18"/>
  <c r="N848" i="18"/>
  <c r="N864" i="18"/>
  <c r="O864" i="18" s="1"/>
  <c r="N875" i="18"/>
  <c r="O875" i="18" s="1"/>
  <c r="N893" i="18"/>
  <c r="O893" i="18" s="1"/>
  <c r="N903" i="18"/>
  <c r="O903" i="18" s="1"/>
  <c r="N916" i="18"/>
  <c r="O916" i="18" s="1"/>
  <c r="N925" i="18"/>
  <c r="N929" i="18"/>
  <c r="O929" i="18" s="1"/>
  <c r="N941" i="18"/>
  <c r="N953" i="18"/>
  <c r="O953" i="18" s="1"/>
  <c r="N974" i="18"/>
  <c r="O974" i="18" s="1"/>
  <c r="N979" i="18"/>
  <c r="N980" i="18"/>
  <c r="N997" i="18"/>
  <c r="O997" i="18" s="1"/>
  <c r="N1003" i="18"/>
  <c r="O1003" i="18" s="1"/>
  <c r="N1007" i="18"/>
  <c r="O1007" i="18" s="1"/>
  <c r="N1018" i="18"/>
  <c r="O1018" i="18" s="1"/>
  <c r="N1020" i="18"/>
  <c r="O1020" i="18" s="1"/>
  <c r="N1026" i="18"/>
  <c r="O1026" i="18" s="1"/>
  <c r="N1036" i="18"/>
  <c r="O1036" i="18" s="1"/>
  <c r="N1052" i="18"/>
  <c r="O1052" i="18" s="1"/>
  <c r="N1057" i="18"/>
  <c r="O1057" i="18" s="1"/>
  <c r="N1058" i="18"/>
  <c r="O1058" i="18" s="1"/>
  <c r="N1059" i="18"/>
  <c r="O1059" i="18" s="1"/>
  <c r="N1093" i="18"/>
  <c r="O1093" i="18" s="1"/>
  <c r="N1103" i="18"/>
  <c r="O1103" i="18" s="1"/>
  <c r="N1142" i="18"/>
  <c r="O1142" i="18" s="1"/>
  <c r="N1143" i="18"/>
  <c r="O1143" i="18" s="1"/>
  <c r="N1168" i="18"/>
  <c r="N1177" i="18"/>
  <c r="O1177" i="18" s="1"/>
  <c r="N1199" i="18"/>
  <c r="O1199" i="18" s="1"/>
  <c r="N1203" i="18"/>
  <c r="O1203" i="18" s="1"/>
  <c r="N1239" i="18"/>
  <c r="O1239" i="18" s="1"/>
  <c r="N1240" i="18"/>
  <c r="O1240" i="18" s="1"/>
  <c r="N1249" i="18"/>
  <c r="O1249" i="18" s="1"/>
  <c r="N1259" i="18"/>
  <c r="N1276" i="18"/>
  <c r="O1276" i="18" s="1"/>
  <c r="N1278" i="18"/>
  <c r="O1278" i="18" s="1"/>
  <c r="N1290" i="18"/>
  <c r="O1290" i="18" s="1"/>
  <c r="N1295" i="18"/>
  <c r="O1295" i="18" s="1"/>
  <c r="N1306" i="18"/>
  <c r="O1306" i="18" s="1"/>
  <c r="N1309" i="18"/>
  <c r="O1309" i="18" s="1"/>
  <c r="N1311" i="18"/>
  <c r="N1334" i="18"/>
  <c r="O1334" i="18" s="1"/>
  <c r="N1335" i="18"/>
  <c r="O1335" i="18" s="1"/>
  <c r="N1349" i="18"/>
  <c r="O1349" i="18" s="1"/>
  <c r="N1372" i="18"/>
  <c r="N1397" i="18"/>
  <c r="O1397" i="18" s="1"/>
  <c r="N1403" i="18"/>
  <c r="O1403" i="18" s="1"/>
  <c r="N1406" i="18"/>
  <c r="O1406" i="18" s="1"/>
  <c r="N1416" i="18"/>
  <c r="O1416" i="18" s="1"/>
  <c r="N1452" i="18"/>
  <c r="O1452" i="18" s="1"/>
  <c r="N1454" i="18"/>
  <c r="O1454" i="18" s="1"/>
  <c r="N1474" i="18"/>
  <c r="O1474" i="18" s="1"/>
  <c r="N1479" i="18"/>
  <c r="O1479" i="18" s="1"/>
  <c r="N1571" i="18"/>
  <c r="O1571" i="18" s="1"/>
  <c r="N1582" i="18"/>
  <c r="O1582" i="18" s="1"/>
  <c r="N1596" i="18"/>
  <c r="O1596" i="18" s="1"/>
  <c r="N1605" i="18"/>
  <c r="O1605" i="18" s="1"/>
  <c r="N1610" i="18"/>
  <c r="O1610" i="18" s="1"/>
  <c r="N1638" i="18"/>
  <c r="B1638" i="18" s="1"/>
  <c r="N1644" i="18"/>
  <c r="N1664" i="18"/>
  <c r="O1664" i="18" s="1"/>
  <c r="N1665" i="18"/>
  <c r="O1665" i="18" s="1"/>
  <c r="N1672" i="18"/>
  <c r="O1672" i="18" s="1"/>
  <c r="N1677" i="18"/>
  <c r="O1677" i="18" s="1"/>
  <c r="N1683" i="18"/>
  <c r="N1697" i="18"/>
  <c r="O1697" i="18" s="1"/>
  <c r="N1704" i="18"/>
  <c r="O1704" i="18" s="1"/>
  <c r="N1724" i="18"/>
  <c r="O1724" i="18" s="1"/>
  <c r="N1728" i="18"/>
  <c r="O1728" i="18" s="1"/>
  <c r="N1736" i="18"/>
  <c r="O1736" i="18" s="1"/>
  <c r="N1739" i="18"/>
  <c r="O1739" i="18" s="1"/>
  <c r="N1743" i="18"/>
  <c r="O1743" i="18" s="1"/>
  <c r="N1768" i="18"/>
  <c r="O1768" i="18" s="1"/>
  <c r="N1769" i="18"/>
  <c r="O1769" i="18" s="1"/>
  <c r="N1795" i="18"/>
  <c r="O1795" i="18" s="1"/>
  <c r="N1808" i="18"/>
  <c r="O1808" i="18" s="1"/>
  <c r="N1809" i="18"/>
  <c r="O1809" i="18" s="1"/>
  <c r="N1816" i="18"/>
  <c r="N1834" i="18"/>
  <c r="O1834" i="18" s="1"/>
  <c r="N3" i="18"/>
  <c r="O3" i="18" s="1"/>
  <c r="N5" i="18"/>
  <c r="O5" i="18" s="1"/>
  <c r="N30" i="18"/>
  <c r="O30" i="18" s="1"/>
  <c r="N31" i="18"/>
  <c r="O31" i="18" s="1"/>
  <c r="N39" i="18"/>
  <c r="O39" i="18" s="1"/>
  <c r="N50" i="18"/>
  <c r="O50" i="18" s="1"/>
  <c r="N51" i="18"/>
  <c r="O51" i="18" s="1"/>
  <c r="N54" i="18"/>
  <c r="O54" i="18" s="1"/>
  <c r="N62" i="18"/>
  <c r="O62" i="18" s="1"/>
  <c r="N76" i="18"/>
  <c r="O76" i="18" s="1"/>
  <c r="N78" i="18"/>
  <c r="O78" i="18" s="1"/>
  <c r="N105" i="18"/>
  <c r="O105" i="18" s="1"/>
  <c r="N110" i="18"/>
  <c r="O110" i="18" s="1"/>
  <c r="N119" i="18"/>
  <c r="O119" i="18" s="1"/>
  <c r="N154" i="18"/>
  <c r="O154" i="18" s="1"/>
  <c r="N211" i="18"/>
  <c r="O211" i="18" s="1"/>
  <c r="N222" i="18"/>
  <c r="O222" i="18" s="1"/>
  <c r="N240" i="18"/>
  <c r="O240" i="18" s="1"/>
  <c r="N242" i="18"/>
  <c r="O242" i="18" s="1"/>
  <c r="N246" i="18"/>
  <c r="O246" i="18" s="1"/>
  <c r="N253" i="18"/>
  <c r="O253" i="18" s="1"/>
  <c r="N266" i="18"/>
  <c r="O266" i="18" s="1"/>
  <c r="N290" i="18"/>
  <c r="O290" i="18" s="1"/>
  <c r="N297" i="18"/>
  <c r="O297" i="18" s="1"/>
  <c r="N302" i="18"/>
  <c r="O302" i="18" s="1"/>
  <c r="N309" i="18"/>
  <c r="O309" i="18" s="1"/>
  <c r="N318" i="18"/>
  <c r="O318" i="18" s="1"/>
  <c r="N320" i="18"/>
  <c r="N327" i="18"/>
  <c r="O327" i="18" s="1"/>
  <c r="N347" i="18"/>
  <c r="O347" i="18" s="1"/>
  <c r="N350" i="18"/>
  <c r="O350" i="18" s="1"/>
  <c r="N357" i="18"/>
  <c r="O357" i="18" s="1"/>
  <c r="N358" i="18"/>
  <c r="O358" i="18" s="1"/>
  <c r="N364" i="18"/>
  <c r="O364" i="18" s="1"/>
  <c r="N379" i="18"/>
  <c r="O379" i="18" s="1"/>
  <c r="N384" i="18"/>
  <c r="N423" i="18"/>
  <c r="O423" i="18" s="1"/>
  <c r="N429" i="18"/>
  <c r="O429" i="18" s="1"/>
  <c r="N436" i="18"/>
  <c r="O436" i="18" s="1"/>
  <c r="N455" i="18"/>
  <c r="O455" i="18" s="1"/>
  <c r="N479" i="18"/>
  <c r="O479" i="18" s="1"/>
  <c r="N480" i="18"/>
  <c r="O480" i="18" s="1"/>
  <c r="N492" i="18"/>
  <c r="O492" i="18" s="1"/>
  <c r="N500" i="18"/>
  <c r="O500" i="18" s="1"/>
  <c r="N518" i="18"/>
  <c r="O518" i="18" s="1"/>
  <c r="N529" i="18"/>
  <c r="O529" i="18" s="1"/>
  <c r="N540" i="18"/>
  <c r="O540" i="18" s="1"/>
  <c r="N557" i="18"/>
  <c r="O557" i="18" s="1"/>
  <c r="N560" i="18"/>
  <c r="O560" i="18" s="1"/>
  <c r="N565" i="18"/>
  <c r="O565" i="18" s="1"/>
  <c r="N582" i="18"/>
  <c r="O582" i="18" s="1"/>
  <c r="N598" i="18"/>
  <c r="O598" i="18" s="1"/>
  <c r="N619" i="18"/>
  <c r="O619" i="18" s="1"/>
  <c r="N626" i="18"/>
  <c r="O626" i="18" s="1"/>
  <c r="N661" i="18"/>
  <c r="O661" i="18" s="1"/>
  <c r="N675" i="18"/>
  <c r="O675" i="18" s="1"/>
  <c r="N676" i="18"/>
  <c r="O676" i="18" s="1"/>
  <c r="N677" i="18"/>
  <c r="O677" i="18" s="1"/>
  <c r="N709" i="18"/>
  <c r="O709" i="18" s="1"/>
  <c r="N731" i="18"/>
  <c r="N737" i="18"/>
  <c r="O737" i="18" s="1"/>
  <c r="N748" i="18"/>
  <c r="O748" i="18" s="1"/>
  <c r="N750" i="18"/>
  <c r="O750" i="18" s="1"/>
  <c r="N753" i="18"/>
  <c r="O753" i="18" s="1"/>
  <c r="N811" i="18"/>
  <c r="O811" i="18" s="1"/>
  <c r="N835" i="18"/>
  <c r="O835" i="18" s="1"/>
  <c r="N846" i="18"/>
  <c r="O846" i="18" s="1"/>
  <c r="N863" i="18"/>
  <c r="O863" i="18" s="1"/>
  <c r="N872" i="18"/>
  <c r="O872" i="18" s="1"/>
  <c r="N884" i="18"/>
  <c r="O884" i="18" s="1"/>
  <c r="N885" i="18"/>
  <c r="N909" i="18"/>
  <c r="O909" i="18" s="1"/>
  <c r="N913" i="18"/>
  <c r="O913" i="18" s="1"/>
  <c r="N937" i="18"/>
  <c r="O937" i="18" s="1"/>
  <c r="N947" i="18"/>
  <c r="O947" i="18" s="1"/>
  <c r="N950" i="18"/>
  <c r="O950" i="18" s="1"/>
  <c r="N963" i="18"/>
  <c r="O963" i="18" s="1"/>
  <c r="N970" i="18"/>
  <c r="O970" i="18" s="1"/>
  <c r="N982" i="18"/>
  <c r="O982" i="18" s="1"/>
  <c r="N998" i="18"/>
  <c r="O998" i="18" s="1"/>
  <c r="N1010" i="18"/>
  <c r="O1010" i="18" s="1"/>
  <c r="N1015" i="18"/>
  <c r="O1015" i="18" s="1"/>
  <c r="N1027" i="18"/>
  <c r="O1027" i="18" s="1"/>
  <c r="N1028" i="18"/>
  <c r="O1028" i="18" s="1"/>
  <c r="N1034" i="18"/>
  <c r="O1034" i="18" s="1"/>
  <c r="N1039" i="18"/>
  <c r="O1039" i="18" s="1"/>
  <c r="N1054" i="18"/>
  <c r="O1054" i="18" s="1"/>
  <c r="N1062" i="18"/>
  <c r="O1062" i="18" s="1"/>
  <c r="N1082" i="18"/>
  <c r="O1082" i="18" s="1"/>
  <c r="N1083" i="18"/>
  <c r="O1083" i="18" s="1"/>
  <c r="N1084" i="18"/>
  <c r="O1084" i="18" s="1"/>
  <c r="N1092" i="18"/>
  <c r="O1092" i="18" s="1"/>
  <c r="N1094" i="18"/>
  <c r="O1094" i="18" s="1"/>
  <c r="N1108" i="18"/>
  <c r="O1108" i="18" s="1"/>
  <c r="N1118" i="18"/>
  <c r="N1122" i="18"/>
  <c r="O1122" i="18" s="1"/>
  <c r="N1148" i="18"/>
  <c r="O1148" i="18" s="1"/>
  <c r="N1175" i="18"/>
  <c r="O1175" i="18" s="1"/>
  <c r="N1200" i="18"/>
  <c r="O1200" i="18" s="1"/>
  <c r="N1201" i="18"/>
  <c r="O1201" i="18" s="1"/>
  <c r="N1212" i="18"/>
  <c r="O1212" i="18" s="1"/>
  <c r="N1213" i="18"/>
  <c r="O1213" i="18" s="1"/>
  <c r="N1214" i="18"/>
  <c r="O1214" i="18" s="1"/>
  <c r="N1216" i="18"/>
  <c r="O1216" i="18" s="1"/>
  <c r="N1224" i="18"/>
  <c r="O1224" i="18" s="1"/>
  <c r="N1244" i="18"/>
  <c r="O1244" i="18" s="1"/>
  <c r="N1245" i="18"/>
  <c r="O1245" i="18" s="1"/>
  <c r="N1246" i="18"/>
  <c r="O1246" i="18" s="1"/>
  <c r="N1257" i="18"/>
  <c r="N1280" i="18"/>
  <c r="O1280" i="18" s="1"/>
  <c r="N1282" i="18"/>
  <c r="O1282" i="18" s="1"/>
  <c r="N1305" i="18"/>
  <c r="O1305" i="18" s="1"/>
  <c r="N1332" i="18"/>
  <c r="O1332" i="18" s="1"/>
  <c r="N1348" i="18"/>
  <c r="O1348" i="18" s="1"/>
  <c r="N1358" i="18"/>
  <c r="O1358" i="18" s="1"/>
  <c r="N1367" i="18"/>
  <c r="O1367" i="18" s="1"/>
  <c r="N1369" i="18"/>
  <c r="O1369" i="18" s="1"/>
  <c r="N1377" i="18"/>
  <c r="O1377" i="18" s="1"/>
  <c r="N1383" i="18"/>
  <c r="O1383" i="18" s="1"/>
  <c r="N1400" i="18"/>
  <c r="O1400" i="18" s="1"/>
  <c r="N1401" i="18"/>
  <c r="O1401" i="18" s="1"/>
  <c r="N1408" i="18"/>
  <c r="O1408" i="18" s="1"/>
  <c r="N1410" i="18"/>
  <c r="O1410" i="18" s="1"/>
  <c r="N1412" i="18"/>
  <c r="O1412" i="18" s="1"/>
  <c r="N1419" i="18"/>
  <c r="O1419" i="18" s="1"/>
  <c r="N1435" i="18"/>
  <c r="O1435" i="18" s="1"/>
  <c r="N1453" i="18"/>
  <c r="O1453" i="18" s="1"/>
  <c r="N1463" i="18"/>
  <c r="O1463" i="18" s="1"/>
  <c r="N1509" i="18"/>
  <c r="O1509" i="18" s="1"/>
  <c r="N1513" i="18"/>
  <c r="N1531" i="18"/>
  <c r="O1531" i="18" s="1"/>
  <c r="N1541" i="18"/>
  <c r="N1543" i="18"/>
  <c r="O1543" i="18" s="1"/>
  <c r="N1547" i="18"/>
  <c r="O1547" i="18" s="1"/>
  <c r="N1548" i="18"/>
  <c r="O1548" i="18" s="1"/>
  <c r="N1551" i="18"/>
  <c r="O1551" i="18" s="1"/>
  <c r="N1559" i="18"/>
  <c r="O1559" i="18" s="1"/>
  <c r="N1568" i="18"/>
  <c r="O1568" i="18" s="1"/>
  <c r="N1592" i="18"/>
  <c r="O1592" i="18" s="1"/>
  <c r="N1602" i="18"/>
  <c r="B1602" i="18" s="1"/>
  <c r="N1609" i="18"/>
  <c r="O1609" i="18" s="1"/>
  <c r="N1616" i="18"/>
  <c r="N1620" i="18"/>
  <c r="O1620" i="18" s="1"/>
  <c r="N1621" i="18"/>
  <c r="O1621" i="18" s="1"/>
  <c r="N1622" i="18"/>
  <c r="O1622" i="18" s="1"/>
  <c r="N1641" i="18"/>
  <c r="O1641" i="18" s="1"/>
  <c r="N1650" i="18"/>
  <c r="O1650" i="18" s="1"/>
  <c r="N1684" i="18"/>
  <c r="N1699" i="18"/>
  <c r="N1708" i="18"/>
  <c r="O1708" i="18" s="1"/>
  <c r="N1715" i="18"/>
  <c r="O1715" i="18" s="1"/>
  <c r="N1723" i="18"/>
  <c r="O1723" i="18" s="1"/>
  <c r="N1732" i="18"/>
  <c r="O1732" i="18" s="1"/>
  <c r="N1741" i="18"/>
  <c r="O1741" i="18" s="1"/>
  <c r="N1748" i="18"/>
  <c r="O1748" i="18" s="1"/>
  <c r="N1765" i="18"/>
  <c r="O1765" i="18" s="1"/>
  <c r="N1773" i="18"/>
  <c r="O1773" i="18" s="1"/>
  <c r="N1779" i="18"/>
  <c r="O1779" i="18" s="1"/>
  <c r="N1781" i="18"/>
  <c r="O1781" i="18" s="1"/>
  <c r="N1785" i="18"/>
  <c r="O1785" i="18" s="1"/>
  <c r="N1788" i="18"/>
  <c r="O1788" i="18" s="1"/>
  <c r="N10" i="18"/>
  <c r="O10" i="18" s="1"/>
  <c r="N36" i="18"/>
  <c r="O36" i="18" s="1"/>
  <c r="N75" i="18"/>
  <c r="O75" i="18" s="1"/>
  <c r="N95" i="18"/>
  <c r="O95" i="18" s="1"/>
  <c r="N106" i="18"/>
  <c r="O106" i="18" s="1"/>
  <c r="N120" i="18"/>
  <c r="O120" i="18" s="1"/>
  <c r="N137" i="18"/>
  <c r="O137" i="18" s="1"/>
  <c r="N165" i="18"/>
  <c r="O165" i="18" s="1"/>
  <c r="N205" i="18"/>
  <c r="O205" i="18" s="1"/>
  <c r="N214" i="18"/>
  <c r="O214" i="18" s="1"/>
  <c r="N238" i="18"/>
  <c r="O238" i="18" s="1"/>
  <c r="N258" i="18"/>
  <c r="O258" i="18" s="1"/>
  <c r="N280" i="18"/>
  <c r="O280" i="18" s="1"/>
  <c r="N376" i="18"/>
  <c r="O376" i="18" s="1"/>
  <c r="N405" i="18"/>
  <c r="O405" i="18" s="1"/>
  <c r="N412" i="18"/>
  <c r="O412" i="18" s="1"/>
  <c r="N413" i="18"/>
  <c r="O413" i="18" s="1"/>
  <c r="N424" i="18"/>
  <c r="O424" i="18" s="1"/>
  <c r="N437" i="18"/>
  <c r="O437" i="18" s="1"/>
  <c r="N443" i="18"/>
  <c r="O443" i="18" s="1"/>
  <c r="N453" i="18"/>
  <c r="O453" i="18" s="1"/>
  <c r="N467" i="18"/>
  <c r="O467" i="18" s="1"/>
  <c r="N478" i="18"/>
  <c r="O478" i="18" s="1"/>
  <c r="N477" i="18"/>
  <c r="O477" i="18" s="1"/>
  <c r="N490" i="18"/>
  <c r="O490" i="18" s="1"/>
  <c r="N495" i="18"/>
  <c r="N497" i="18"/>
  <c r="O497" i="18" s="1"/>
  <c r="N505" i="18"/>
  <c r="O505" i="18" s="1"/>
  <c r="N507" i="18"/>
  <c r="O507" i="18" s="1"/>
  <c r="N513" i="18"/>
  <c r="O513" i="18" s="1"/>
  <c r="N525" i="18"/>
  <c r="O525" i="18" s="1"/>
  <c r="N526" i="18"/>
  <c r="O526" i="18" s="1"/>
  <c r="N532" i="18"/>
  <c r="O532" i="18" s="1"/>
  <c r="N541" i="18"/>
  <c r="O541" i="18" s="1"/>
  <c r="N577" i="18"/>
  <c r="O577" i="18" s="1"/>
  <c r="N586" i="18"/>
  <c r="O586" i="18" s="1"/>
  <c r="N593" i="18"/>
  <c r="O593" i="18" s="1"/>
  <c r="N614" i="18"/>
  <c r="O614" i="18" s="1"/>
  <c r="N620" i="18"/>
  <c r="O620" i="18" s="1"/>
  <c r="N633" i="18"/>
  <c r="N672" i="18"/>
  <c r="O672" i="18" s="1"/>
  <c r="N685" i="18"/>
  <c r="O685" i="18" s="1"/>
  <c r="N686" i="18"/>
  <c r="O686" i="18" s="1"/>
  <c r="N690" i="18"/>
  <c r="N710" i="18"/>
  <c r="O710" i="18" s="1"/>
  <c r="N711" i="18"/>
  <c r="O711" i="18" s="1"/>
  <c r="N714" i="18"/>
  <c r="O714" i="18" s="1"/>
  <c r="N716" i="18"/>
  <c r="O716" i="18" s="1"/>
  <c r="N728" i="18"/>
  <c r="O728" i="18" s="1"/>
  <c r="N732" i="18"/>
  <c r="N736" i="18"/>
  <c r="O736" i="18" s="1"/>
  <c r="N739" i="18"/>
  <c r="O739" i="18" s="1"/>
  <c r="N742" i="18"/>
  <c r="O742" i="18" s="1"/>
  <c r="N772" i="18"/>
  <c r="O772" i="18" s="1"/>
  <c r="N774" i="18"/>
  <c r="O774" i="18" s="1"/>
  <c r="N780" i="18"/>
  <c r="O780" i="18" s="1"/>
  <c r="N783" i="18"/>
  <c r="O783" i="18" s="1"/>
  <c r="N788" i="18"/>
  <c r="O788" i="18" s="1"/>
  <c r="N799" i="18"/>
  <c r="O799" i="18" s="1"/>
  <c r="N812" i="18"/>
  <c r="O812" i="18" s="1"/>
  <c r="N849" i="18"/>
  <c r="N857" i="18"/>
  <c r="O857" i="18" s="1"/>
  <c r="N862" i="18"/>
  <c r="O862" i="18" s="1"/>
  <c r="N865" i="18"/>
  <c r="O865" i="18" s="1"/>
  <c r="N879" i="18"/>
  <c r="O879" i="18" s="1"/>
  <c r="N898" i="18"/>
  <c r="O898" i="18" s="1"/>
  <c r="N910" i="18"/>
  <c r="O910" i="18" s="1"/>
  <c r="N915" i="18"/>
  <c r="O915" i="18" s="1"/>
  <c r="N922" i="18"/>
  <c r="O922" i="18" s="1"/>
  <c r="N926" i="18"/>
  <c r="N930" i="18"/>
  <c r="O930" i="18" s="1"/>
  <c r="N932" i="18"/>
  <c r="O932" i="18" s="1"/>
  <c r="N934" i="18"/>
  <c r="O934" i="18" s="1"/>
  <c r="N943" i="18"/>
  <c r="O943" i="18" s="1"/>
  <c r="N952" i="18"/>
  <c r="O952" i="18" s="1"/>
  <c r="N961" i="18"/>
  <c r="O961" i="18" s="1"/>
  <c r="N996" i="18"/>
  <c r="O996" i="18" s="1"/>
  <c r="N999" i="18"/>
  <c r="O999" i="18" s="1"/>
  <c r="N1000" i="18"/>
  <c r="O1000" i="18" s="1"/>
  <c r="N1002" i="18"/>
  <c r="O1002" i="18" s="1"/>
  <c r="N1001" i="18"/>
  <c r="O1001" i="18" s="1"/>
  <c r="N1005" i="18"/>
  <c r="O1005" i="18" s="1"/>
  <c r="N1013" i="18"/>
  <c r="O1013" i="18" s="1"/>
  <c r="N1040" i="18"/>
  <c r="O1040" i="18" s="1"/>
  <c r="N1061" i="18"/>
  <c r="N1087" i="18"/>
  <c r="O1087" i="18" s="1"/>
  <c r="N1088" i="18"/>
  <c r="O1088" i="18" s="1"/>
  <c r="N1151" i="18"/>
  <c r="O1151" i="18" s="1"/>
  <c r="N1180" i="18"/>
  <c r="O1180" i="18" s="1"/>
  <c r="N1182" i="18"/>
  <c r="O1182" i="18" s="1"/>
  <c r="N1183" i="18"/>
  <c r="N1191" i="18"/>
  <c r="O1191" i="18" s="1"/>
  <c r="N1196" i="18"/>
  <c r="O1196" i="18" s="1"/>
  <c r="N1204" i="18"/>
  <c r="O1204" i="18" s="1"/>
  <c r="N1217" i="18"/>
  <c r="O1217" i="18" s="1"/>
  <c r="N1222" i="18"/>
  <c r="O1222" i="18" s="1"/>
  <c r="N1225" i="18"/>
  <c r="O1225" i="18" s="1"/>
  <c r="N1228" i="18"/>
  <c r="O1228" i="18" s="1"/>
  <c r="N1260" i="18"/>
  <c r="N1269" i="18"/>
  <c r="O1269" i="18" s="1"/>
  <c r="N1274" i="18"/>
  <c r="O1274" i="18" s="1"/>
  <c r="N1275" i="18"/>
  <c r="O1275" i="18" s="1"/>
  <c r="N1302" i="18"/>
  <c r="O1302" i="18" s="1"/>
  <c r="N1326" i="18"/>
  <c r="O1326" i="18" s="1"/>
  <c r="N1354" i="18"/>
  <c r="O1354" i="18" s="1"/>
  <c r="N1356" i="18"/>
  <c r="N1357" i="18"/>
  <c r="O1357" i="18" s="1"/>
  <c r="N1361" i="18"/>
  <c r="O1361" i="18" s="1"/>
  <c r="N1362" i="18"/>
  <c r="B1362" i="18" s="1"/>
  <c r="N1366" i="18"/>
  <c r="O1366" i="18" s="1"/>
  <c r="N1371" i="18"/>
  <c r="O1371" i="18" s="1"/>
  <c r="N1394" i="18"/>
  <c r="O1394" i="18" s="1"/>
  <c r="N1402" i="18"/>
  <c r="O1402" i="18" s="1"/>
  <c r="N1405" i="18"/>
  <c r="O1405" i="18" s="1"/>
  <c r="N1430" i="18"/>
  <c r="O1430" i="18" s="1"/>
  <c r="N1445" i="18"/>
  <c r="O1445" i="18" s="1"/>
  <c r="N1446" i="18"/>
  <c r="O1446" i="18" s="1"/>
  <c r="N1455" i="18"/>
  <c r="O1455" i="18" s="1"/>
  <c r="N1456" i="18"/>
  <c r="O1456" i="18" s="1"/>
  <c r="N1460" i="18"/>
  <c r="O1460" i="18" s="1"/>
  <c r="N1462" i="18"/>
  <c r="O1462" i="18" s="1"/>
  <c r="N1469" i="18"/>
  <c r="O1469" i="18" s="1"/>
  <c r="N1506" i="18"/>
  <c r="O1506" i="18" s="1"/>
  <c r="N1515" i="18"/>
  <c r="N1517" i="18"/>
  <c r="O1517" i="18" s="1"/>
  <c r="N1536" i="18"/>
  <c r="O1536" i="18" s="1"/>
  <c r="N1538" i="18"/>
  <c r="O1538" i="18" s="1"/>
  <c r="N1546" i="18"/>
  <c r="O1546" i="18" s="1"/>
  <c r="N1554" i="18"/>
  <c r="O1554" i="18" s="1"/>
  <c r="N1572" i="18"/>
  <c r="O1572" i="18" s="1"/>
  <c r="N1579" i="18"/>
  <c r="O1579" i="18" s="1"/>
  <c r="N1585" i="18"/>
  <c r="O1585" i="18" s="1"/>
  <c r="N1594" i="18"/>
  <c r="O1594" i="18" s="1"/>
  <c r="N1598" i="18"/>
  <c r="O1598" i="18" s="1"/>
  <c r="N1601" i="18"/>
  <c r="O1601" i="18" s="1"/>
  <c r="N1607" i="18"/>
  <c r="O1607" i="18" s="1"/>
  <c r="N1619" i="18"/>
  <c r="O1619" i="18" s="1"/>
  <c r="N1649" i="18"/>
  <c r="O1649" i="18" s="1"/>
  <c r="N1653" i="18"/>
  <c r="O1653" i="18" s="1"/>
  <c r="N1654" i="18"/>
  <c r="O1654" i="18" s="1"/>
  <c r="N1673" i="18"/>
  <c r="O1673" i="18" s="1"/>
  <c r="N1674" i="18"/>
  <c r="O1674" i="18" s="1"/>
  <c r="N1678" i="18"/>
  <c r="O1678" i="18" s="1"/>
  <c r="N1700" i="18"/>
  <c r="N1703" i="18"/>
  <c r="O1703" i="18" s="1"/>
  <c r="N1727" i="18"/>
  <c r="O1727" i="18" s="1"/>
  <c r="N1733" i="18"/>
  <c r="O1733" i="18" s="1"/>
  <c r="N1746" i="18"/>
  <c r="B1746" i="18" s="1"/>
  <c r="N1751" i="18"/>
  <c r="O1751" i="18" s="1"/>
  <c r="N1753" i="18"/>
  <c r="O1753" i="18" s="1"/>
  <c r="N1756" i="18"/>
  <c r="O1756" i="18" s="1"/>
  <c r="N1759" i="18"/>
  <c r="O1759" i="18" s="1"/>
  <c r="N1776" i="18"/>
  <c r="O1776" i="18" s="1"/>
  <c r="N1783" i="18"/>
  <c r="O1783" i="18" s="1"/>
  <c r="N1787" i="18"/>
  <c r="O1787" i="18" s="1"/>
  <c r="N1792" i="18"/>
  <c r="O1792" i="18" s="1"/>
  <c r="N1794" i="18"/>
  <c r="O1794" i="18" s="1"/>
  <c r="N2" i="18"/>
  <c r="O2" i="18" s="1"/>
  <c r="N11" i="18"/>
  <c r="O11" i="18" s="1"/>
  <c r="N18" i="18"/>
  <c r="O18" i="18" s="1"/>
  <c r="N61" i="18"/>
  <c r="N66" i="18"/>
  <c r="O66" i="18" s="1"/>
  <c r="N99" i="18"/>
  <c r="O99" i="18" s="1"/>
  <c r="N101" i="18"/>
  <c r="O101" i="18" s="1"/>
  <c r="N112" i="18"/>
  <c r="O112" i="18" s="1"/>
  <c r="N149" i="18"/>
  <c r="O149" i="18" s="1"/>
  <c r="N189" i="18"/>
  <c r="N200" i="18"/>
  <c r="O200" i="18" s="1"/>
  <c r="N215" i="18"/>
  <c r="O215" i="18" s="1"/>
  <c r="N229" i="18"/>
  <c r="O229" i="18" s="1"/>
  <c r="N248" i="18"/>
  <c r="O248" i="18" s="1"/>
  <c r="N254" i="18"/>
  <c r="O254" i="18" s="1"/>
  <c r="N265" i="18"/>
  <c r="O265" i="18" s="1"/>
  <c r="N273" i="18"/>
  <c r="O273" i="18" s="1"/>
  <c r="N279" i="18"/>
  <c r="O279" i="18" s="1"/>
  <c r="N293" i="18"/>
  <c r="N304" i="18"/>
  <c r="O304" i="18" s="1"/>
  <c r="N306" i="18"/>
  <c r="O306" i="18" s="1"/>
  <c r="N313" i="18"/>
  <c r="N317" i="18"/>
  <c r="O317" i="18" s="1"/>
  <c r="N324" i="18"/>
  <c r="O324" i="18" s="1"/>
  <c r="N333" i="18"/>
  <c r="O333" i="18" s="1"/>
  <c r="N348" i="18"/>
  <c r="O348" i="18" s="1"/>
  <c r="N355" i="18"/>
  <c r="O355" i="18" s="1"/>
  <c r="N382" i="18"/>
  <c r="O382" i="18" s="1"/>
  <c r="N387" i="18"/>
  <c r="O387" i="18" s="1"/>
  <c r="N389" i="18"/>
  <c r="N426" i="18"/>
  <c r="O426" i="18" s="1"/>
  <c r="N438" i="18"/>
  <c r="O438" i="18" s="1"/>
  <c r="N447" i="18"/>
  <c r="O447" i="18" s="1"/>
  <c r="N463" i="18"/>
  <c r="O463" i="18" s="1"/>
  <c r="N469" i="18"/>
  <c r="O469" i="18" s="1"/>
  <c r="N484" i="18"/>
  <c r="N487" i="18"/>
  <c r="O487" i="18" s="1"/>
  <c r="N489" i="18"/>
  <c r="O489" i="18" s="1"/>
  <c r="N496" i="18"/>
  <c r="N501" i="18"/>
  <c r="O501" i="18" s="1"/>
  <c r="N517" i="18"/>
  <c r="O517" i="18" s="1"/>
  <c r="N528" i="18"/>
  <c r="N531" i="18"/>
  <c r="O531" i="18" s="1"/>
  <c r="N536" i="18"/>
  <c r="O536" i="18" s="1"/>
  <c r="N562" i="18"/>
  <c r="O562" i="18" s="1"/>
  <c r="N576" i="18"/>
  <c r="O576" i="18" s="1"/>
  <c r="N630" i="18"/>
  <c r="O630" i="18" s="1"/>
  <c r="N641" i="18"/>
  <c r="N643" i="18"/>
  <c r="O643" i="18" s="1"/>
  <c r="N647" i="18"/>
  <c r="O647" i="18" s="1"/>
  <c r="N649" i="18"/>
  <c r="O649" i="18" s="1"/>
  <c r="N653" i="18"/>
  <c r="N674" i="18"/>
  <c r="O674" i="18" s="1"/>
  <c r="N645" i="18"/>
  <c r="O645" i="18" s="1"/>
  <c r="N692" i="18"/>
  <c r="O692" i="18" s="1"/>
  <c r="N699" i="18"/>
  <c r="O699" i="18" s="1"/>
  <c r="N740" i="18"/>
  <c r="O740" i="18" s="1"/>
  <c r="N766" i="18"/>
  <c r="O766" i="18" s="1"/>
  <c r="N775" i="18"/>
  <c r="O775" i="18" s="1"/>
  <c r="N778" i="18"/>
  <c r="O778" i="18" s="1"/>
  <c r="N784" i="18"/>
  <c r="O784" i="18" s="1"/>
  <c r="N789" i="18"/>
  <c r="O789" i="18" s="1"/>
  <c r="N790" i="18"/>
  <c r="O790" i="18" s="1"/>
  <c r="N832" i="18"/>
  <c r="O832" i="18" s="1"/>
  <c r="N837" i="18"/>
  <c r="O837" i="18" s="1"/>
  <c r="N842" i="18"/>
  <c r="O842" i="18" s="1"/>
  <c r="N845" i="18"/>
  <c r="N847" i="18"/>
  <c r="O847" i="18" s="1"/>
  <c r="N860" i="18"/>
  <c r="O860" i="18" s="1"/>
  <c r="N951" i="18"/>
  <c r="O951" i="18" s="1"/>
  <c r="N1014" i="18"/>
  <c r="O1014" i="18" s="1"/>
  <c r="N1022" i="18"/>
  <c r="O1022" i="18" s="1"/>
  <c r="N1044" i="18"/>
  <c r="O1044" i="18" s="1"/>
  <c r="N1050" i="18"/>
  <c r="O1050" i="18" s="1"/>
  <c r="N1063" i="18"/>
  <c r="N1065" i="18"/>
  <c r="O1065" i="18" s="1"/>
  <c r="N1066" i="18"/>
  <c r="O1066" i="18" s="1"/>
  <c r="N1068" i="18"/>
  <c r="O1068" i="18" s="1"/>
  <c r="N1095" i="18"/>
  <c r="O1095" i="18" s="1"/>
  <c r="N1104" i="18"/>
  <c r="O1104" i="18" s="1"/>
  <c r="N1112" i="18"/>
  <c r="O1112" i="18" s="1"/>
  <c r="N1124" i="18"/>
  <c r="O1124" i="18" s="1"/>
  <c r="N1144" i="18"/>
  <c r="O1144" i="18" s="1"/>
  <c r="N1159" i="18"/>
  <c r="O1159" i="18" s="1"/>
  <c r="N1164" i="18"/>
  <c r="O1164" i="18" s="1"/>
  <c r="N1186" i="18"/>
  <c r="O1186" i="18" s="1"/>
  <c r="N1192" i="18"/>
  <c r="O1192" i="18" s="1"/>
  <c r="N1194" i="18"/>
  <c r="O1194" i="18" s="1"/>
  <c r="N1195" i="18"/>
  <c r="O1195" i="18" s="1"/>
  <c r="N1233" i="18"/>
  <c r="O1233" i="18" s="1"/>
  <c r="N1283" i="18"/>
  <c r="O1283" i="18" s="1"/>
  <c r="N1284" i="18"/>
  <c r="O1284" i="18" s="1"/>
  <c r="N1320" i="18"/>
  <c r="O1320" i="18" s="1"/>
  <c r="N1340" i="18"/>
  <c r="O1340" i="18" s="1"/>
  <c r="N1364" i="18"/>
  <c r="O1364" i="18" s="1"/>
  <c r="N1365" i="18"/>
  <c r="O1365" i="18" s="1"/>
  <c r="N1373" i="18"/>
  <c r="N1375" i="18"/>
  <c r="O1375" i="18" s="1"/>
  <c r="N1379" i="18"/>
  <c r="O1379" i="18" s="1"/>
  <c r="N1429" i="18"/>
  <c r="O1429" i="18" s="1"/>
  <c r="N1437" i="18"/>
  <c r="O1437" i="18" s="1"/>
  <c r="N1451" i="18"/>
  <c r="O1451" i="18" s="1"/>
  <c r="N1478" i="18"/>
  <c r="O1478" i="18" s="1"/>
  <c r="N1484" i="18"/>
  <c r="N1492" i="18"/>
  <c r="N1500" i="18"/>
  <c r="O1500" i="18" s="1"/>
  <c r="N1525" i="18"/>
  <c r="O1525" i="18" s="1"/>
  <c r="N1526" i="18"/>
  <c r="B1526" i="18" s="1"/>
  <c r="N1529" i="18"/>
  <c r="O1529" i="18" s="1"/>
  <c r="N1532" i="18"/>
  <c r="O1532" i="18" s="1"/>
  <c r="N1542" i="18"/>
  <c r="O1542" i="18" s="1"/>
  <c r="N1569" i="18"/>
  <c r="O1569" i="18" s="1"/>
  <c r="N1573" i="18"/>
  <c r="N1580" i="18"/>
  <c r="O1580" i="18" s="1"/>
  <c r="N1581" i="18"/>
  <c r="O1581" i="18" s="1"/>
  <c r="N1586" i="18"/>
  <c r="O1586" i="18" s="1"/>
  <c r="N1600" i="18"/>
  <c r="O1600" i="18" s="1"/>
  <c r="N1608" i="18"/>
  <c r="O1608" i="18" s="1"/>
  <c r="N1611" i="18"/>
  <c r="O1611" i="18" s="1"/>
  <c r="N1612" i="18"/>
  <c r="O1612" i="18" s="1"/>
  <c r="N1618" i="18"/>
  <c r="O1618" i="18" s="1"/>
  <c r="N1623" i="18"/>
  <c r="O1623" i="18" s="1"/>
  <c r="N1642" i="18"/>
  <c r="O1642" i="18" s="1"/>
  <c r="N1643" i="18"/>
  <c r="O1643" i="18" s="1"/>
  <c r="N1686" i="18"/>
  <c r="O1686" i="18" s="1"/>
  <c r="N1698" i="18"/>
  <c r="O1698" i="18" s="1"/>
  <c r="N1701" i="18"/>
  <c r="O1701" i="18" s="1"/>
  <c r="N1735" i="18"/>
  <c r="O1735" i="18" s="1"/>
  <c r="N1734" i="18"/>
  <c r="O1734" i="18" s="1"/>
  <c r="N1737" i="18"/>
  <c r="O1737" i="18" s="1"/>
  <c r="N1744" i="18"/>
  <c r="O1744" i="18" s="1"/>
  <c r="N1758" i="18"/>
  <c r="O1758" i="18" s="1"/>
  <c r="N1763" i="18"/>
  <c r="O1763" i="18" s="1"/>
  <c r="N1772" i="18"/>
  <c r="O1772" i="18" s="1"/>
  <c r="N1817" i="18"/>
  <c r="O1817" i="18" s="1"/>
  <c r="N1833" i="18"/>
  <c r="O1833" i="18" s="1"/>
  <c r="N7" i="18"/>
  <c r="O7" i="18" s="1"/>
  <c r="N23" i="18"/>
  <c r="O23" i="18" s="1"/>
  <c r="N26" i="18"/>
  <c r="O26" i="18" s="1"/>
  <c r="N29" i="18"/>
  <c r="O29" i="18" s="1"/>
  <c r="N32" i="18"/>
  <c r="O32" i="18" s="1"/>
  <c r="N38" i="18"/>
  <c r="O38" i="18" s="1"/>
  <c r="N41" i="18"/>
  <c r="O41" i="18" s="1"/>
  <c r="N44" i="18"/>
  <c r="O44" i="18" s="1"/>
  <c r="N53" i="18"/>
  <c r="O53" i="18" s="1"/>
  <c r="N84" i="18"/>
  <c r="O84" i="18" s="1"/>
  <c r="N86" i="18"/>
  <c r="O86" i="18" s="1"/>
  <c r="N116" i="18"/>
  <c r="O116" i="18" s="1"/>
  <c r="N130" i="18"/>
  <c r="O130" i="18" s="1"/>
  <c r="N131" i="18"/>
  <c r="O131" i="18" s="1"/>
  <c r="N136" i="18"/>
  <c r="O136" i="18" s="1"/>
  <c r="N145" i="18"/>
  <c r="O145" i="18" s="1"/>
  <c r="N195" i="18"/>
  <c r="O195" i="18" s="1"/>
  <c r="N199" i="18"/>
  <c r="O199" i="18" s="1"/>
  <c r="N202" i="18"/>
  <c r="O202" i="18" s="1"/>
  <c r="N208" i="18"/>
  <c r="O208" i="18" s="1"/>
  <c r="N219" i="18"/>
  <c r="O219" i="18" s="1"/>
  <c r="N226" i="18"/>
  <c r="O226" i="18" s="1"/>
  <c r="N247" i="18"/>
  <c r="O247" i="18" s="1"/>
  <c r="N251" i="18"/>
  <c r="O251" i="18" s="1"/>
  <c r="N261" i="18"/>
  <c r="O261" i="18" s="1"/>
  <c r="N272" i="18"/>
  <c r="O272" i="18" s="1"/>
  <c r="N282" i="18"/>
  <c r="O282" i="18" s="1"/>
  <c r="N283" i="18"/>
  <c r="O283" i="18" s="1"/>
  <c r="N291" i="18"/>
  <c r="O291" i="18" s="1"/>
  <c r="N299" i="18"/>
  <c r="O299" i="18" s="1"/>
  <c r="N334" i="18"/>
  <c r="O334" i="18" s="1"/>
  <c r="N359" i="18"/>
  <c r="O359" i="18" s="1"/>
  <c r="N373" i="18"/>
  <c r="O373" i="18" s="1"/>
  <c r="N375" i="18"/>
  <c r="O375" i="18" s="1"/>
  <c r="N383" i="18"/>
  <c r="O383" i="18" s="1"/>
  <c r="N394" i="18"/>
  <c r="O394" i="18" s="1"/>
  <c r="N401" i="18"/>
  <c r="O401" i="18" s="1"/>
  <c r="N407" i="18"/>
  <c r="O407" i="18" s="1"/>
  <c r="N421" i="18"/>
  <c r="O421" i="18" s="1"/>
  <c r="N425" i="18"/>
  <c r="O425" i="18" s="1"/>
  <c r="N432" i="18"/>
  <c r="O432" i="18" s="1"/>
  <c r="N433" i="18"/>
  <c r="O433" i="18" s="1"/>
  <c r="N434" i="18"/>
  <c r="O434" i="18" s="1"/>
  <c r="N448" i="18"/>
  <c r="O448" i="18" s="1"/>
  <c r="N457" i="18"/>
  <c r="N491" i="18"/>
  <c r="O491" i="18" s="1"/>
  <c r="N564" i="18"/>
  <c r="O564" i="18" s="1"/>
  <c r="N612" i="18"/>
  <c r="O612" i="18" s="1"/>
  <c r="N610" i="18"/>
  <c r="O610" i="18" s="1"/>
  <c r="N622" i="18"/>
  <c r="N639" i="18"/>
  <c r="O639" i="18" s="1"/>
  <c r="N644" i="18"/>
  <c r="O644" i="18" s="1"/>
  <c r="N665" i="18"/>
  <c r="O665" i="18" s="1"/>
  <c r="N679" i="18"/>
  <c r="O679" i="18" s="1"/>
  <c r="N707" i="18"/>
  <c r="O707" i="18" s="1"/>
  <c r="N724" i="18"/>
  <c r="O724" i="18" s="1"/>
  <c r="N729" i="18"/>
  <c r="O729" i="18" s="1"/>
  <c r="N751" i="18"/>
  <c r="O751" i="18" s="1"/>
  <c r="N763" i="18"/>
  <c r="O763" i="18" s="1"/>
  <c r="N764" i="18"/>
  <c r="O764" i="18" s="1"/>
  <c r="N771" i="18"/>
  <c r="O771" i="18" s="1"/>
  <c r="N779" i="18"/>
  <c r="O779" i="18" s="1"/>
  <c r="N787" i="18"/>
  <c r="O787" i="18" s="1"/>
  <c r="N801" i="18"/>
  <c r="O801" i="18" s="1"/>
  <c r="N815" i="18"/>
  <c r="O815" i="18" s="1"/>
  <c r="N822" i="18"/>
  <c r="O822" i="18" s="1"/>
  <c r="N827" i="18"/>
  <c r="O827" i="18" s="1"/>
  <c r="N852" i="18"/>
  <c r="O852" i="18" s="1"/>
  <c r="N859" i="18"/>
  <c r="O859" i="18" s="1"/>
  <c r="N870" i="18"/>
  <c r="O870" i="18" s="1"/>
  <c r="N876" i="18"/>
  <c r="O876" i="18" s="1"/>
  <c r="N899" i="18"/>
  <c r="O899" i="18" s="1"/>
  <c r="N911" i="18"/>
  <c r="O911" i="18" s="1"/>
  <c r="N914" i="18"/>
  <c r="O914" i="18" s="1"/>
  <c r="N920" i="18"/>
  <c r="O920" i="18" s="1"/>
  <c r="N921" i="18"/>
  <c r="O921" i="18" s="1"/>
  <c r="N931" i="18"/>
  <c r="O931" i="18" s="1"/>
  <c r="N942" i="18"/>
  <c r="N944" i="18"/>
  <c r="O944" i="18" s="1"/>
  <c r="N946" i="18"/>
  <c r="O946" i="18" s="1"/>
  <c r="N949" i="18"/>
  <c r="O949" i="18" s="1"/>
  <c r="N956" i="18"/>
  <c r="O956" i="18" s="1"/>
  <c r="N964" i="18"/>
  <c r="O964" i="18" s="1"/>
  <c r="N973" i="18"/>
  <c r="O973" i="18" s="1"/>
  <c r="N992" i="18"/>
  <c r="O992" i="18" s="1"/>
  <c r="N1031" i="18"/>
  <c r="O1031" i="18" s="1"/>
  <c r="N1032" i="18"/>
  <c r="O1032" i="18" s="1"/>
  <c r="N1037" i="18"/>
  <c r="O1037" i="18" s="1"/>
  <c r="N1070" i="18"/>
  <c r="O1070" i="18" s="1"/>
  <c r="N1075" i="18"/>
  <c r="O1075" i="18" s="1"/>
  <c r="N1086" i="18"/>
  <c r="O1086" i="18" s="1"/>
  <c r="N1090" i="18"/>
  <c r="O1090" i="18" s="1"/>
  <c r="N1091" i="18"/>
  <c r="O1091" i="18" s="1"/>
  <c r="N1115" i="18"/>
  <c r="N1132" i="18"/>
  <c r="O1132" i="18" s="1"/>
  <c r="N1133" i="18"/>
  <c r="O1133" i="18" s="1"/>
  <c r="N1150" i="18"/>
  <c r="O1150" i="18" s="1"/>
  <c r="N1154" i="18"/>
  <c r="O1154" i="18" s="1"/>
  <c r="N1156" i="18"/>
  <c r="O1156" i="18" s="1"/>
  <c r="N1169" i="18"/>
  <c r="O1169" i="18" s="1"/>
  <c r="N1174" i="18"/>
  <c r="O1174" i="18" s="1"/>
  <c r="N1179" i="18"/>
  <c r="O1179" i="18" s="1"/>
  <c r="N1193" i="18"/>
  <c r="O1193" i="18" s="1"/>
  <c r="N1197" i="18"/>
  <c r="O1197" i="18" s="1"/>
  <c r="N1226" i="18"/>
  <c r="O1226" i="18" s="1"/>
  <c r="N1238" i="18"/>
  <c r="O1238" i="18" s="1"/>
  <c r="N1252" i="18"/>
  <c r="O1252" i="18" s="1"/>
  <c r="N1258" i="18"/>
  <c r="N1266" i="18"/>
  <c r="O1266" i="18" s="1"/>
  <c r="N1267" i="18"/>
  <c r="O1267" i="18" s="1"/>
  <c r="N1272" i="18"/>
  <c r="O1272" i="18" s="1"/>
  <c r="N1279" i="18"/>
  <c r="O1279" i="18" s="1"/>
  <c r="N1286" i="18"/>
  <c r="O1286" i="18" s="1"/>
  <c r="N1291" i="18"/>
  <c r="O1291" i="18" s="1"/>
  <c r="N1323" i="18"/>
  <c r="O1323" i="18" s="1"/>
  <c r="N1325" i="18"/>
  <c r="O1325" i="18" s="1"/>
  <c r="N1327" i="18"/>
  <c r="O1327" i="18" s="1"/>
  <c r="N1346" i="18"/>
  <c r="O1346" i="18" s="1"/>
  <c r="N1396" i="18"/>
  <c r="O1396" i="18" s="1"/>
  <c r="N1398" i="18"/>
  <c r="O1398" i="18" s="1"/>
  <c r="N1417" i="18"/>
  <c r="O1417" i="18" s="1"/>
  <c r="N1421" i="18"/>
  <c r="O1421" i="18" s="1"/>
  <c r="N1431" i="18"/>
  <c r="O1431" i="18" s="1"/>
  <c r="N1434" i="18"/>
  <c r="O1434" i="18" s="1"/>
  <c r="N1436" i="18"/>
  <c r="O1436" i="18" s="1"/>
  <c r="N1467" i="18"/>
  <c r="O1467" i="18" s="1"/>
  <c r="N1527" i="18"/>
  <c r="N1534" i="18"/>
  <c r="B1534" i="18" s="1"/>
  <c r="N1544" i="18"/>
  <c r="N1560" i="18"/>
  <c r="O1560" i="18" s="1"/>
  <c r="N1564" i="18"/>
  <c r="O1564" i="18" s="1"/>
  <c r="N1577" i="18"/>
  <c r="O1577" i="18" s="1"/>
  <c r="N1589" i="18"/>
  <c r="O1589" i="18" s="1"/>
  <c r="N1603" i="18"/>
  <c r="N1628" i="18"/>
  <c r="O1628" i="18" s="1"/>
  <c r="N1630" i="18"/>
  <c r="O1630" i="18" s="1"/>
  <c r="N1647" i="18"/>
  <c r="O1647" i="18" s="1"/>
  <c r="N1656" i="18"/>
  <c r="O1656" i="18" s="1"/>
  <c r="N1655" i="18"/>
  <c r="O1655" i="18" s="1"/>
  <c r="N1657" i="18"/>
  <c r="O1657" i="18" s="1"/>
  <c r="N1667" i="18"/>
  <c r="O1667" i="18" s="1"/>
  <c r="N1702" i="18"/>
  <c r="O1702" i="18" s="1"/>
  <c r="N1709" i="18"/>
  <c r="O1709" i="18" s="1"/>
  <c r="N1747" i="18"/>
  <c r="N1757" i="18"/>
  <c r="O1757" i="18" s="1"/>
  <c r="N1761" i="18"/>
  <c r="O1761" i="18" s="1"/>
  <c r="N1766" i="18"/>
  <c r="O1766" i="18" s="1"/>
  <c r="N1767" i="18"/>
  <c r="O1767" i="18" s="1"/>
  <c r="N1780" i="18"/>
  <c r="O1780" i="18" s="1"/>
  <c r="N1784" i="18"/>
  <c r="O1784" i="18" s="1"/>
  <c r="N1804" i="18"/>
  <c r="O1804" i="18" s="1"/>
  <c r="N1805" i="18"/>
  <c r="O1805" i="18" s="1"/>
  <c r="N1806" i="18"/>
  <c r="O1806" i="18" s="1"/>
  <c r="N1810" i="18"/>
  <c r="O1810" i="18" s="1"/>
  <c r="N1812" i="18"/>
  <c r="O1812" i="18" s="1"/>
  <c r="N1820" i="18"/>
  <c r="O1820" i="18" s="1"/>
  <c r="N1824" i="18"/>
  <c r="O1824" i="18" s="1"/>
  <c r="N17" i="18"/>
  <c r="O17" i="18" s="1"/>
  <c r="N19" i="18"/>
  <c r="O19" i="18" s="1"/>
  <c r="N20" i="18"/>
  <c r="O20" i="18" s="1"/>
  <c r="N21" i="18"/>
  <c r="O21" i="18" s="1"/>
  <c r="N33" i="18"/>
  <c r="O33" i="18" s="1"/>
  <c r="N52" i="18"/>
  <c r="O52" i="18" s="1"/>
  <c r="N56" i="18"/>
  <c r="O56" i="18" s="1"/>
  <c r="N64" i="18"/>
  <c r="N80" i="18"/>
  <c r="O80" i="18" s="1"/>
  <c r="N90" i="18"/>
  <c r="O90" i="18" s="1"/>
  <c r="N94" i="18"/>
  <c r="O94" i="18" s="1"/>
  <c r="N100" i="18"/>
  <c r="O100" i="18" s="1"/>
  <c r="N115" i="18"/>
  <c r="O115" i="18" s="1"/>
  <c r="N142" i="18"/>
  <c r="O142" i="18" s="1"/>
  <c r="N150" i="18"/>
  <c r="O150" i="18" s="1"/>
  <c r="N185" i="18"/>
  <c r="N207" i="18"/>
  <c r="O207" i="18" s="1"/>
  <c r="N217" i="18"/>
  <c r="O217" i="18" s="1"/>
  <c r="N218" i="18"/>
  <c r="O218" i="18" s="1"/>
  <c r="N220" i="18"/>
  <c r="O220" i="18" s="1"/>
  <c r="N270" i="18"/>
  <c r="O270" i="18" s="1"/>
  <c r="N278" i="18"/>
  <c r="O278" i="18" s="1"/>
  <c r="N285" i="18"/>
  <c r="O285" i="18" s="1"/>
  <c r="N288" i="18"/>
  <c r="O288" i="18" s="1"/>
  <c r="N294" i="18"/>
  <c r="N319" i="18"/>
  <c r="O319" i="18" s="1"/>
  <c r="N349" i="18"/>
  <c r="O349" i="18" s="1"/>
  <c r="N356" i="18"/>
  <c r="O356" i="18" s="1"/>
  <c r="N402" i="18"/>
  <c r="O402" i="18" s="1"/>
  <c r="N417" i="18"/>
  <c r="O417" i="18" s="1"/>
  <c r="N414" i="18"/>
  <c r="O414" i="18" s="1"/>
  <c r="N419" i="18"/>
  <c r="O419" i="18" s="1"/>
  <c r="N473" i="18"/>
  <c r="O473" i="18" s="1"/>
  <c r="N488" i="18"/>
  <c r="O488" i="18" s="1"/>
  <c r="N515" i="18"/>
  <c r="O515" i="18" s="1"/>
  <c r="N521" i="18"/>
  <c r="O521" i="18" s="1"/>
  <c r="N522" i="18"/>
  <c r="O522" i="18" s="1"/>
  <c r="N538" i="18"/>
  <c r="O538" i="18" s="1"/>
  <c r="N553" i="18"/>
  <c r="O553" i="18" s="1"/>
  <c r="N555" i="18"/>
  <c r="O555" i="18" s="1"/>
  <c r="N556" i="18"/>
  <c r="O556" i="18" s="1"/>
  <c r="N559" i="18"/>
  <c r="O559" i="18" s="1"/>
  <c r="N568" i="18"/>
  <c r="O568" i="18" s="1"/>
  <c r="N569" i="18"/>
  <c r="O569" i="18" s="1"/>
  <c r="N590" i="18"/>
  <c r="O590" i="18" s="1"/>
  <c r="N618" i="18"/>
  <c r="O618" i="18" s="1"/>
  <c r="N637" i="18"/>
  <c r="O637" i="18" s="1"/>
  <c r="N654" i="18"/>
  <c r="O654" i="18" s="1"/>
  <c r="N655" i="18"/>
  <c r="O655" i="18" s="1"/>
  <c r="N662" i="18"/>
  <c r="O662" i="18" s="1"/>
  <c r="N663" i="18"/>
  <c r="O663" i="18" s="1"/>
  <c r="N664" i="18"/>
  <c r="O664" i="18" s="1"/>
  <c r="N669" i="18"/>
  <c r="O669" i="18" s="1"/>
  <c r="N687" i="18"/>
  <c r="O687" i="18" s="1"/>
  <c r="N688" i="18"/>
  <c r="O688" i="18" s="1"/>
  <c r="N700" i="18"/>
  <c r="O700" i="18" s="1"/>
  <c r="N702" i="18"/>
  <c r="O702" i="18" s="1"/>
  <c r="N701" i="18"/>
  <c r="O701" i="18" s="1"/>
  <c r="N705" i="18"/>
  <c r="O705" i="18" s="1"/>
  <c r="N720" i="18"/>
  <c r="O720" i="18" s="1"/>
  <c r="N722" i="18"/>
  <c r="N726" i="18"/>
  <c r="O726" i="18" s="1"/>
  <c r="N760" i="18"/>
  <c r="O760" i="18" s="1"/>
  <c r="N762" i="18"/>
  <c r="O762" i="18" s="1"/>
  <c r="N792" i="18"/>
  <c r="O792" i="18" s="1"/>
  <c r="N793" i="18"/>
  <c r="O793" i="18" s="1"/>
  <c r="N794" i="18"/>
  <c r="O794" i="18" s="1"/>
  <c r="N795" i="18"/>
  <c r="O795" i="18" s="1"/>
  <c r="N796" i="18"/>
  <c r="O796" i="18" s="1"/>
  <c r="N800" i="18"/>
  <c r="O800" i="18" s="1"/>
  <c r="N816" i="18"/>
  <c r="O816" i="18" s="1"/>
  <c r="N817" i="18"/>
  <c r="O817" i="18" s="1"/>
  <c r="N819" i="18"/>
  <c r="O819" i="18" s="1"/>
  <c r="N854" i="18"/>
  <c r="O854" i="18" s="1"/>
  <c r="N856" i="18"/>
  <c r="O856" i="18" s="1"/>
  <c r="N867" i="18"/>
  <c r="O867" i="18" s="1"/>
  <c r="N880" i="18"/>
  <c r="N886" i="18"/>
  <c r="N891" i="18"/>
  <c r="O891" i="18" s="1"/>
  <c r="N897" i="18"/>
  <c r="O897" i="18" s="1"/>
  <c r="N912" i="18"/>
  <c r="O912" i="18" s="1"/>
  <c r="N928" i="18"/>
  <c r="O928" i="18" s="1"/>
  <c r="N948" i="18"/>
  <c r="O948" i="18" s="1"/>
  <c r="N967" i="18"/>
  <c r="O967" i="18" s="1"/>
  <c r="N983" i="18"/>
  <c r="O983" i="18" s="1"/>
  <c r="N994" i="18"/>
  <c r="O994" i="18" s="1"/>
  <c r="N1012" i="18"/>
  <c r="O1012" i="18" s="1"/>
  <c r="N1029" i="18"/>
  <c r="O1029" i="18" s="1"/>
  <c r="N1035" i="18"/>
  <c r="O1035" i="18" s="1"/>
  <c r="N1098" i="18"/>
  <c r="O1098" i="18" s="1"/>
  <c r="N1100" i="18"/>
  <c r="O1100" i="18" s="1"/>
  <c r="N1110" i="18"/>
  <c r="O1110" i="18" s="1"/>
  <c r="N1130" i="18"/>
  <c r="O1130" i="18" s="1"/>
  <c r="N1145" i="18"/>
  <c r="O1145" i="18" s="1"/>
  <c r="N1207" i="18"/>
  <c r="O1207" i="18" s="1"/>
  <c r="N1209" i="18"/>
  <c r="O1209" i="18" s="1"/>
  <c r="N1221" i="18"/>
  <c r="O1221" i="18" s="1"/>
  <c r="N1255" i="18"/>
  <c r="O1255" i="18" s="1"/>
  <c r="N1264" i="18"/>
  <c r="O1264" i="18" s="1"/>
  <c r="N1301" i="18"/>
  <c r="O1301" i="18" s="1"/>
  <c r="N1313" i="18"/>
  <c r="O1313" i="18" s="1"/>
  <c r="N1314" i="18"/>
  <c r="O1314" i="18" s="1"/>
  <c r="N1321" i="18"/>
  <c r="O1321" i="18" s="1"/>
  <c r="N1322" i="18"/>
  <c r="O1322" i="18" s="1"/>
  <c r="N1336" i="18"/>
  <c r="O1336" i="18" s="1"/>
  <c r="N1344" i="18"/>
  <c r="O1344" i="18" s="1"/>
  <c r="N1359" i="18"/>
  <c r="O1359" i="18" s="1"/>
  <c r="N1391" i="18"/>
  <c r="N1426" i="18"/>
  <c r="O1426" i="18" s="1"/>
  <c r="N1432" i="18"/>
  <c r="O1432" i="18" s="1"/>
  <c r="N1433" i="18"/>
  <c r="O1433" i="18" s="1"/>
  <c r="N1438" i="18"/>
  <c r="O1438" i="18" s="1"/>
  <c r="N1470" i="18"/>
  <c r="O1470" i="18" s="1"/>
  <c r="N1480" i="18"/>
  <c r="O1480" i="18" s="1"/>
  <c r="N1488" i="18"/>
  <c r="N1504" i="18"/>
  <c r="O1504" i="18" s="1"/>
  <c r="N1511" i="18"/>
  <c r="O1511" i="18" s="1"/>
  <c r="N1516" i="18"/>
  <c r="O1516" i="18" s="1"/>
  <c r="N1520" i="18"/>
  <c r="O1520" i="18" s="1"/>
  <c r="N1558" i="18"/>
  <c r="O1558" i="18" s="1"/>
  <c r="N1575" i="18"/>
  <c r="O1575" i="18" s="1"/>
  <c r="N1587" i="18"/>
  <c r="O1587" i="18" s="1"/>
  <c r="N1634" i="18"/>
  <c r="O1634" i="18" s="1"/>
  <c r="N1637" i="18"/>
  <c r="O1637" i="18" s="1"/>
  <c r="N1651" i="18"/>
  <c r="O1651" i="18" s="1"/>
  <c r="N1666" i="18"/>
  <c r="O1666" i="18" s="1"/>
  <c r="N1671" i="18"/>
  <c r="O1671" i="18" s="1"/>
  <c r="N1694" i="18"/>
  <c r="O1694" i="18" s="1"/>
  <c r="N1695" i="18"/>
  <c r="O1695" i="18" s="1"/>
  <c r="N1696" i="18"/>
  <c r="O1696" i="18" s="1"/>
  <c r="N1706" i="18"/>
  <c r="O1706" i="18" s="1"/>
  <c r="N1730" i="18"/>
  <c r="O1730" i="18" s="1"/>
  <c r="N1749" i="18"/>
  <c r="O1749" i="18" s="1"/>
  <c r="N1770" i="18"/>
  <c r="O1770" i="18" s="1"/>
  <c r="N1771" i="18"/>
  <c r="O1771" i="18" s="1"/>
  <c r="N1789" i="18"/>
  <c r="O1789" i="18" s="1"/>
  <c r="N1793" i="18"/>
  <c r="O1793" i="18" s="1"/>
  <c r="N1797" i="18"/>
  <c r="O1797" i="18" s="1"/>
  <c r="N1813" i="18"/>
  <c r="O1813" i="18" s="1"/>
  <c r="N1814" i="18"/>
  <c r="O1814" i="18" s="1"/>
  <c r="N1822" i="18"/>
  <c r="O1822" i="18" s="1"/>
  <c r="N8" i="18"/>
  <c r="O8" i="18" s="1"/>
  <c r="N16" i="18"/>
  <c r="O16" i="18" s="1"/>
  <c r="N69" i="18"/>
  <c r="O69" i="18" s="1"/>
  <c r="N71" i="18"/>
  <c r="O71" i="18" s="1"/>
  <c r="N144" i="18"/>
  <c r="O144" i="18" s="1"/>
  <c r="N151" i="18"/>
  <c r="O151" i="18" s="1"/>
  <c r="N186" i="18"/>
  <c r="N191" i="18"/>
  <c r="O191" i="18" s="1"/>
  <c r="N296" i="18"/>
  <c r="O296" i="18" s="1"/>
  <c r="N322" i="18"/>
  <c r="O322" i="18" s="1"/>
  <c r="N410" i="18"/>
  <c r="O410" i="18" s="1"/>
  <c r="N452" i="18"/>
  <c r="O452" i="18" s="1"/>
  <c r="N454" i="18"/>
  <c r="O454" i="18" s="1"/>
  <c r="N509" i="18"/>
  <c r="O509" i="18" s="1"/>
  <c r="N551" i="18"/>
  <c r="O551" i="18" s="1"/>
  <c r="N566" i="18"/>
  <c r="O566" i="18" s="1"/>
  <c r="N572" i="18"/>
  <c r="O572" i="18" s="1"/>
  <c r="N592" i="18"/>
  <c r="O592" i="18" s="1"/>
  <c r="N624" i="18"/>
  <c r="O624" i="18" s="1"/>
  <c r="N635" i="18"/>
  <c r="N668" i="18"/>
  <c r="O668" i="18" s="1"/>
  <c r="N684" i="18"/>
  <c r="O684" i="18" s="1"/>
  <c r="N734" i="18"/>
  <c r="O734" i="18" s="1"/>
  <c r="N749" i="18"/>
  <c r="O749" i="18" s="1"/>
  <c r="N755" i="18"/>
  <c r="O755" i="18" s="1"/>
  <c r="N757" i="18"/>
  <c r="O757" i="18" s="1"/>
  <c r="N765" i="18"/>
  <c r="O765" i="18" s="1"/>
  <c r="N782" i="18"/>
  <c r="O782" i="18" s="1"/>
  <c r="N818" i="18"/>
  <c r="O818" i="18" s="1"/>
  <c r="N839" i="18"/>
  <c r="O839" i="18" s="1"/>
  <c r="N888" i="18"/>
  <c r="O888" i="18" s="1"/>
  <c r="N908" i="18"/>
  <c r="O908" i="18" s="1"/>
  <c r="N986" i="18"/>
  <c r="O986" i="18" s="1"/>
  <c r="N1041" i="18"/>
  <c r="O1041" i="18" s="1"/>
  <c r="N1077" i="18"/>
  <c r="O1077" i="18" s="1"/>
  <c r="N1079" i="18"/>
  <c r="N1099" i="18"/>
  <c r="O1099" i="18" s="1"/>
  <c r="N1107" i="18"/>
  <c r="O1107" i="18" s="1"/>
  <c r="N1114" i="18"/>
  <c r="O1114" i="18" s="1"/>
  <c r="N1161" i="18"/>
  <c r="O1161" i="18" s="1"/>
  <c r="N1170" i="18"/>
  <c r="O1170" i="18" s="1"/>
  <c r="N1229" i="18"/>
  <c r="O1229" i="18" s="1"/>
  <c r="N1289" i="18"/>
  <c r="O1289" i="18" s="1"/>
  <c r="N1350" i="18"/>
  <c r="O1350" i="18" s="1"/>
  <c r="N1448" i="18"/>
  <c r="O1448" i="18" s="1"/>
  <c r="N1471" i="18"/>
  <c r="N1485" i="18"/>
  <c r="N1566" i="18"/>
  <c r="O1566" i="18" s="1"/>
  <c r="N1617" i="18"/>
  <c r="N1687" i="18"/>
  <c r="O1687" i="18" s="1"/>
  <c r="N1717" i="18"/>
  <c r="O1717" i="18" s="1"/>
  <c r="N1755" i="18"/>
  <c r="O1755" i="18" s="1"/>
  <c r="N1791" i="18"/>
  <c r="O1791" i="18" s="1"/>
  <c r="N1798" i="18"/>
  <c r="O1798" i="18" s="1"/>
  <c r="N9" i="18"/>
  <c r="O9" i="18" s="1"/>
  <c r="N12" i="18"/>
  <c r="O12" i="18" s="1"/>
  <c r="N43" i="18"/>
  <c r="O43" i="18" s="1"/>
  <c r="N55" i="18"/>
  <c r="O55" i="18" s="1"/>
  <c r="N70" i="18"/>
  <c r="O70" i="18" s="1"/>
  <c r="N85" i="18"/>
  <c r="O85" i="18" s="1"/>
  <c r="N113" i="18"/>
  <c r="O113" i="18" s="1"/>
  <c r="N152" i="18"/>
  <c r="O152" i="18" s="1"/>
  <c r="N206" i="18"/>
  <c r="O206" i="18" s="1"/>
  <c r="N212" i="18"/>
  <c r="O212" i="18" s="1"/>
  <c r="N227" i="18"/>
  <c r="O227" i="18" s="1"/>
  <c r="N228" i="18"/>
  <c r="O228" i="18" s="1"/>
  <c r="N234" i="18"/>
  <c r="O234" i="18" s="1"/>
  <c r="N249" i="18"/>
  <c r="O249" i="18" s="1"/>
  <c r="N267" i="18"/>
  <c r="O267" i="18" s="1"/>
  <c r="N274" i="18"/>
  <c r="O274" i="18" s="1"/>
  <c r="N316" i="18"/>
  <c r="O316" i="18" s="1"/>
  <c r="N336" i="18"/>
  <c r="O336" i="18" s="1"/>
  <c r="N340" i="18"/>
  <c r="O340" i="18" s="1"/>
  <c r="N346" i="18"/>
  <c r="O346" i="18" s="1"/>
  <c r="N372" i="18"/>
  <c r="O372" i="18" s="1"/>
  <c r="N374" i="18"/>
  <c r="O374" i="18" s="1"/>
  <c r="N369" i="18"/>
  <c r="O369" i="18" s="1"/>
  <c r="N415" i="18"/>
  <c r="O415" i="18" s="1"/>
  <c r="N422" i="18"/>
  <c r="O422" i="18" s="1"/>
  <c r="N459" i="18"/>
  <c r="O459" i="18" s="1"/>
  <c r="N461" i="18"/>
  <c r="O461" i="18" s="1"/>
  <c r="N493" i="18"/>
  <c r="O493" i="18" s="1"/>
  <c r="N502" i="18"/>
  <c r="O502" i="18" s="1"/>
  <c r="N552" i="18"/>
  <c r="O552" i="18" s="1"/>
  <c r="N579" i="18"/>
  <c r="O579" i="18" s="1"/>
  <c r="N585" i="18"/>
  <c r="O585" i="18" s="1"/>
  <c r="N607" i="18"/>
  <c r="O607" i="18" s="1"/>
  <c r="N642" i="18"/>
  <c r="N650" i="18"/>
  <c r="O650" i="18" s="1"/>
  <c r="N670" i="18"/>
  <c r="O670" i="18" s="1"/>
  <c r="N681" i="18"/>
  <c r="O681" i="18" s="1"/>
  <c r="N727" i="18"/>
  <c r="O727" i="18" s="1"/>
  <c r="N767" i="18"/>
  <c r="O767" i="18" s="1"/>
  <c r="N770" i="18"/>
  <c r="O770" i="18" s="1"/>
  <c r="N791" i="18"/>
  <c r="O791" i="18" s="1"/>
  <c r="N836" i="18"/>
  <c r="O836" i="18" s="1"/>
  <c r="N892" i="18"/>
  <c r="O892" i="18" s="1"/>
  <c r="N896" i="18"/>
  <c r="O896" i="18" s="1"/>
  <c r="N933" i="18"/>
  <c r="O933" i="18" s="1"/>
  <c r="N945" i="18"/>
  <c r="O945" i="18" s="1"/>
  <c r="N1023" i="18"/>
  <c r="O1023" i="18" s="1"/>
  <c r="N1073" i="18"/>
  <c r="O1073" i="18" s="1"/>
  <c r="N1081" i="18"/>
  <c r="O1081" i="18" s="1"/>
  <c r="N1085" i="18"/>
  <c r="O1085" i="18" s="1"/>
  <c r="N1120" i="18"/>
  <c r="O1120" i="18" s="1"/>
  <c r="N1126" i="18"/>
  <c r="O1126" i="18" s="1"/>
  <c r="N1129" i="18"/>
  <c r="O1129" i="18" s="1"/>
  <c r="N1135" i="18"/>
  <c r="O1135" i="18" s="1"/>
  <c r="N1155" i="18"/>
  <c r="O1155" i="18" s="1"/>
  <c r="N1165" i="18"/>
  <c r="O1165" i="18" s="1"/>
  <c r="N1172" i="18"/>
  <c r="O1172" i="18" s="1"/>
  <c r="N1220" i="18"/>
  <c r="O1220" i="18" s="1"/>
  <c r="N1243" i="18"/>
  <c r="O1243" i="18" s="1"/>
  <c r="N1261" i="18"/>
  <c r="O1261" i="18" s="1"/>
  <c r="N1294" i="18"/>
  <c r="O1294" i="18" s="1"/>
  <c r="N1298" i="18"/>
  <c r="O1298" i="18" s="1"/>
  <c r="N1304" i="18"/>
  <c r="O1304" i="18" s="1"/>
  <c r="N1316" i="18"/>
  <c r="O1316" i="18" s="1"/>
  <c r="N1347" i="18"/>
  <c r="O1347" i="18" s="1"/>
  <c r="N1363" i="18"/>
  <c r="N1389" i="18"/>
  <c r="O1389" i="18" s="1"/>
  <c r="N1390" i="18"/>
  <c r="O1390" i="18" s="1"/>
  <c r="N1399" i="18"/>
  <c r="O1399" i="18" s="1"/>
  <c r="N1425" i="18"/>
  <c r="O1425" i="18" s="1"/>
  <c r="N1441" i="18"/>
  <c r="O1441" i="18" s="1"/>
  <c r="N1459" i="18"/>
  <c r="O1459" i="18" s="1"/>
  <c r="N1468" i="18"/>
  <c r="O1468" i="18" s="1"/>
  <c r="N1493" i="18"/>
  <c r="N1522" i="18"/>
  <c r="O1522" i="18" s="1"/>
  <c r="N1533" i="18"/>
  <c r="O1533" i="18" s="1"/>
  <c r="N1553" i="18"/>
  <c r="O1553" i="18" s="1"/>
  <c r="N1565" i="18"/>
  <c r="O1565" i="18" s="1"/>
  <c r="N1593" i="18"/>
  <c r="O1593" i="18" s="1"/>
  <c r="N1648" i="18"/>
  <c r="O1648" i="18" s="1"/>
  <c r="N1658" i="18"/>
  <c r="O1658" i="18" s="1"/>
  <c r="N1676" i="18"/>
  <c r="O1676" i="18" s="1"/>
  <c r="N1679" i="18"/>
  <c r="O1679" i="18" s="1"/>
  <c r="N1713" i="18"/>
  <c r="O1713" i="18" s="1"/>
  <c r="N1800" i="18"/>
  <c r="O1800" i="18" s="1"/>
  <c r="N1801" i="18"/>
  <c r="O1801" i="18" s="1"/>
  <c r="N1827" i="18"/>
  <c r="O1827" i="18" s="1"/>
  <c r="N24" i="18"/>
  <c r="O24" i="18" s="1"/>
  <c r="N25" i="18"/>
  <c r="O25" i="18" s="1"/>
  <c r="N46" i="18"/>
  <c r="O46" i="18" s="1"/>
  <c r="N48" i="18"/>
  <c r="O48" i="18" s="1"/>
  <c r="N65" i="18"/>
  <c r="N73" i="18"/>
  <c r="O73" i="18" s="1"/>
  <c r="N79" i="18"/>
  <c r="O79" i="18" s="1"/>
  <c r="N109" i="18"/>
  <c r="O109" i="18" s="1"/>
  <c r="N132" i="18"/>
  <c r="O132" i="18" s="1"/>
  <c r="N135" i="18"/>
  <c r="O135" i="18" s="1"/>
  <c r="N160" i="18"/>
  <c r="N161" i="18"/>
  <c r="N164" i="18"/>
  <c r="O164" i="18" s="1"/>
  <c r="N231" i="18"/>
  <c r="O231" i="18" s="1"/>
  <c r="N241" i="18"/>
  <c r="O241" i="18" s="1"/>
  <c r="N250" i="18"/>
  <c r="O250" i="18" s="1"/>
  <c r="N257" i="18"/>
  <c r="O257" i="18" s="1"/>
  <c r="N277" i="18"/>
  <c r="O277" i="18" s="1"/>
  <c r="N314" i="18"/>
  <c r="N321" i="18"/>
  <c r="N342" i="18"/>
  <c r="O342" i="18" s="1"/>
  <c r="N351" i="18"/>
  <c r="O351" i="18" s="1"/>
  <c r="N370" i="18"/>
  <c r="O370" i="18" s="1"/>
  <c r="N371" i="18"/>
  <c r="O371" i="18" s="1"/>
  <c r="N390" i="18"/>
  <c r="N440" i="18"/>
  <c r="O440" i="18" s="1"/>
  <c r="N442" i="18"/>
  <c r="O442" i="18" s="1"/>
  <c r="N444" i="18"/>
  <c r="O444" i="18" s="1"/>
  <c r="N445" i="18"/>
  <c r="O445" i="18" s="1"/>
  <c r="N446" i="18"/>
  <c r="O446" i="18" s="1"/>
  <c r="N471" i="18"/>
  <c r="O471" i="18" s="1"/>
  <c r="N481" i="18"/>
  <c r="O481" i="18" s="1"/>
  <c r="N482" i="18"/>
  <c r="O482" i="18" s="1"/>
  <c r="N486" i="18"/>
  <c r="O486" i="18" s="1"/>
  <c r="N530" i="18"/>
  <c r="O530" i="18" s="1"/>
  <c r="N539" i="18"/>
  <c r="O539" i="18" s="1"/>
  <c r="N563" i="18"/>
  <c r="O563" i="18" s="1"/>
  <c r="N571" i="18"/>
  <c r="O571" i="18" s="1"/>
  <c r="N583" i="18"/>
  <c r="O583" i="18" s="1"/>
  <c r="N602" i="18"/>
  <c r="O602" i="18" s="1"/>
  <c r="N605" i="18"/>
  <c r="O605" i="18" s="1"/>
  <c r="N608" i="18"/>
  <c r="O608" i="18" s="1"/>
  <c r="N628" i="18"/>
  <c r="O628" i="18" s="1"/>
  <c r="N658" i="18"/>
  <c r="O658" i="18" s="1"/>
  <c r="N659" i="18"/>
  <c r="O659" i="18" s="1"/>
  <c r="N673" i="18"/>
  <c r="O673" i="18" s="1"/>
  <c r="N693" i="18"/>
  <c r="O693" i="18" s="1"/>
  <c r="N697" i="18"/>
  <c r="O697" i="18" s="1"/>
  <c r="N713" i="18"/>
  <c r="O713" i="18" s="1"/>
  <c r="N718" i="18"/>
  <c r="O718" i="18" s="1"/>
  <c r="N723" i="18"/>
  <c r="N725" i="18"/>
  <c r="O725" i="18" s="1"/>
  <c r="N738" i="18"/>
  <c r="O738" i="18" s="1"/>
  <c r="N741" i="18"/>
  <c r="O741" i="18" s="1"/>
  <c r="N754" i="18"/>
  <c r="O754" i="18" s="1"/>
  <c r="N813" i="18"/>
  <c r="O813" i="18" s="1"/>
  <c r="N821" i="18"/>
  <c r="O821" i="18" s="1"/>
  <c r="N853" i="18"/>
  <c r="O853" i="18" s="1"/>
  <c r="N855" i="18"/>
  <c r="O855" i="18" s="1"/>
  <c r="N866" i="18"/>
  <c r="O866" i="18" s="1"/>
  <c r="N871" i="18"/>
  <c r="O871" i="18" s="1"/>
  <c r="N873" i="18"/>
  <c r="O873" i="18" s="1"/>
  <c r="N905" i="18"/>
  <c r="O905" i="18" s="1"/>
  <c r="N965" i="18"/>
  <c r="O965" i="18" s="1"/>
  <c r="N966" i="18"/>
  <c r="O966" i="18" s="1"/>
  <c r="N972" i="18"/>
  <c r="O972" i="18" s="1"/>
  <c r="N985" i="18"/>
  <c r="O985" i="18" s="1"/>
  <c r="N1004" i="18"/>
  <c r="O1004" i="18" s="1"/>
  <c r="N1043" i="18"/>
  <c r="O1043" i="18" s="1"/>
  <c r="N1056" i="18"/>
  <c r="O1056" i="18" s="1"/>
  <c r="N1128" i="18"/>
  <c r="O1128" i="18" s="1"/>
  <c r="N1139" i="18"/>
  <c r="O1139" i="18" s="1"/>
  <c r="N1141" i="18"/>
  <c r="O1141" i="18" s="1"/>
  <c r="N1147" i="18"/>
  <c r="O1147" i="18" s="1"/>
  <c r="N1160" i="18"/>
  <c r="O1160" i="18" s="1"/>
  <c r="N1163" i="18"/>
  <c r="O1163" i="18" s="1"/>
  <c r="N1185" i="18"/>
  <c r="O1185" i="18" s="1"/>
  <c r="N1215" i="18"/>
  <c r="O1215" i="18" s="1"/>
  <c r="N1227" i="18"/>
  <c r="O1227" i="18" s="1"/>
  <c r="N1247" i="18"/>
  <c r="O1247" i="18" s="1"/>
  <c r="N1254" i="18"/>
  <c r="O1254" i="18" s="1"/>
  <c r="N1262" i="18"/>
  <c r="O1262" i="18" s="1"/>
  <c r="N1268" i="18"/>
  <c r="O1268" i="18" s="1"/>
  <c r="N1281" i="18"/>
  <c r="O1281" i="18" s="1"/>
  <c r="N1288" i="18"/>
  <c r="O1288" i="18" s="1"/>
  <c r="N1303" i="18"/>
  <c r="O1303" i="18" s="1"/>
  <c r="N1339" i="18"/>
  <c r="O1339" i="18" s="1"/>
  <c r="N1342" i="18"/>
  <c r="O1342" i="18" s="1"/>
  <c r="N1351" i="18"/>
  <c r="O1351" i="18" s="1"/>
  <c r="N1353" i="18"/>
  <c r="O1353" i="18" s="1"/>
  <c r="N1374" i="18"/>
  <c r="O1374" i="18" s="1"/>
  <c r="N1376" i="18"/>
  <c r="O1376" i="18" s="1"/>
  <c r="N1388" i="18"/>
  <c r="O1388" i="18" s="1"/>
  <c r="N1411" i="18"/>
  <c r="O1411" i="18" s="1"/>
  <c r="N1415" i="18"/>
  <c r="O1415" i="18" s="1"/>
  <c r="N1418" i="18"/>
  <c r="O1418" i="18" s="1"/>
  <c r="N1443" i="18"/>
  <c r="O1443" i="18" s="1"/>
  <c r="N1466" i="18"/>
  <c r="O1466" i="18" s="1"/>
  <c r="N1472" i="18"/>
  <c r="N1482" i="18"/>
  <c r="O1482" i="18" s="1"/>
  <c r="N1489" i="18"/>
  <c r="N1494" i="18"/>
  <c r="B1494" i="18" s="1"/>
  <c r="N1501" i="18"/>
  <c r="O1501" i="18" s="1"/>
  <c r="N1535" i="18"/>
  <c r="N1539" i="18"/>
  <c r="O1539" i="18" s="1"/>
  <c r="N1591" i="18"/>
  <c r="O1591" i="18" s="1"/>
  <c r="N1606" i="18"/>
  <c r="O1606" i="18" s="1"/>
  <c r="N1629" i="18"/>
  <c r="O1629" i="18" s="1"/>
  <c r="N1632" i="18"/>
  <c r="O1632" i="18" s="1"/>
  <c r="N1639" i="18"/>
  <c r="N1640" i="18"/>
  <c r="O1640" i="18" s="1"/>
  <c r="N1645" i="18"/>
  <c r="N1681" i="18"/>
  <c r="O1681" i="18" s="1"/>
  <c r="N1693" i="18"/>
  <c r="O1693" i="18" s="1"/>
  <c r="N1774" i="18"/>
  <c r="O1774" i="18" s="1"/>
  <c r="N1778" i="18"/>
  <c r="O1778" i="18" s="1"/>
  <c r="N1818" i="18"/>
  <c r="O1818" i="18" s="1"/>
  <c r="N1819" i="18"/>
  <c r="O1819" i="18" s="1"/>
  <c r="N34" i="18"/>
  <c r="O34" i="18" s="1"/>
  <c r="N104" i="18"/>
  <c r="O104" i="18" s="1"/>
  <c r="N107" i="18"/>
  <c r="O107" i="18" s="1"/>
  <c r="N108" i="18"/>
  <c r="O108" i="18" s="1"/>
  <c r="N121" i="18"/>
  <c r="O121" i="18" s="1"/>
  <c r="N166" i="18"/>
  <c r="O166" i="18" s="1"/>
  <c r="N167" i="18"/>
  <c r="O167" i="18" s="1"/>
  <c r="N182" i="18"/>
  <c r="N197" i="18"/>
  <c r="O197" i="18" s="1"/>
  <c r="N201" i="18"/>
  <c r="O201" i="18" s="1"/>
  <c r="N223" i="18"/>
  <c r="O223" i="18" s="1"/>
  <c r="N259" i="18"/>
  <c r="O259" i="18" s="1"/>
  <c r="N262" i="18"/>
  <c r="O262" i="18" s="1"/>
  <c r="N338" i="18"/>
  <c r="N397" i="18"/>
  <c r="N398" i="18"/>
  <c r="O398" i="18" s="1"/>
  <c r="N427" i="18"/>
  <c r="O427" i="18" s="1"/>
  <c r="N428" i="18"/>
  <c r="O428" i="18" s="1"/>
  <c r="N431" i="18"/>
  <c r="O431" i="18" s="1"/>
  <c r="N458" i="18"/>
  <c r="O458" i="18" s="1"/>
  <c r="N511" i="18"/>
  <c r="O511" i="18" s="1"/>
  <c r="N523" i="18"/>
  <c r="O523" i="18" s="1"/>
  <c r="N574" i="18"/>
  <c r="O574" i="18" s="1"/>
  <c r="N587" i="18"/>
  <c r="O587" i="18" s="1"/>
  <c r="N596" i="18"/>
  <c r="O596" i="18" s="1"/>
  <c r="N617" i="18"/>
  <c r="O617" i="18" s="1"/>
  <c r="N636" i="18"/>
  <c r="N682" i="18"/>
  <c r="O682" i="18" s="1"/>
  <c r="N696" i="18"/>
  <c r="O696" i="18" s="1"/>
  <c r="N773" i="18"/>
  <c r="O773" i="18" s="1"/>
  <c r="N798" i="18"/>
  <c r="O798" i="18" s="1"/>
  <c r="N889" i="18"/>
  <c r="N971" i="18"/>
  <c r="O971" i="18" s="1"/>
  <c r="N987" i="18"/>
  <c r="O987" i="18" s="1"/>
  <c r="N1011" i="18"/>
  <c r="O1011" i="18" s="1"/>
  <c r="N1045" i="18"/>
  <c r="O1045" i="18" s="1"/>
  <c r="N1067" i="18"/>
  <c r="O1067" i="18" s="1"/>
  <c r="N1096" i="18"/>
  <c r="O1096" i="18" s="1"/>
  <c r="N1101" i="18"/>
  <c r="O1101" i="18" s="1"/>
  <c r="N1102" i="18"/>
  <c r="O1102" i="18" s="1"/>
  <c r="N1134" i="18"/>
  <c r="O1134" i="18" s="1"/>
  <c r="N1230" i="18"/>
  <c r="O1230" i="18" s="1"/>
  <c r="N1248" i="18"/>
  <c r="O1248" i="18" s="1"/>
  <c r="N1293" i="18"/>
  <c r="N1297" i="18"/>
  <c r="O1297" i="18" s="1"/>
  <c r="N1299" i="18"/>
  <c r="O1299" i="18" s="1"/>
  <c r="N1300" i="18"/>
  <c r="O1300" i="18" s="1"/>
  <c r="N1352" i="18"/>
  <c r="O1352" i="18" s="1"/>
  <c r="N1360" i="18"/>
  <c r="O1360" i="18" s="1"/>
  <c r="N1380" i="18"/>
  <c r="O1380" i="18" s="1"/>
  <c r="N1381" i="18"/>
  <c r="O1381" i="18" s="1"/>
  <c r="N1393" i="18"/>
  <c r="O1393" i="18" s="1"/>
  <c r="N1409" i="18"/>
  <c r="O1409" i="18" s="1"/>
  <c r="N1420" i="18"/>
  <c r="O1420" i="18" s="1"/>
  <c r="N1422" i="18"/>
  <c r="O1422" i="18" s="1"/>
  <c r="N1449" i="18"/>
  <c r="O1449" i="18" s="1"/>
  <c r="N1473" i="18"/>
  <c r="N1552" i="18"/>
  <c r="O1552" i="18" s="1"/>
  <c r="N1562" i="18"/>
  <c r="O1562" i="18" s="1"/>
  <c r="N1567" i="18"/>
  <c r="O1567" i="18" s="1"/>
  <c r="N1599" i="18"/>
  <c r="O1599" i="18" s="1"/>
  <c r="N1625" i="18"/>
  <c r="O1625" i="18" s="1"/>
  <c r="N1626" i="18"/>
  <c r="O1626" i="18" s="1"/>
  <c r="N1627" i="18"/>
  <c r="O1627" i="18" s="1"/>
  <c r="N1652" i="18"/>
  <c r="O1652" i="18" s="1"/>
  <c r="N1659" i="18"/>
  <c r="O1659" i="18" s="1"/>
  <c r="N1688" i="18"/>
  <c r="O1688" i="18" s="1"/>
  <c r="N1710" i="18"/>
  <c r="O1710" i="18" s="1"/>
  <c r="N1711" i="18"/>
  <c r="O1711" i="18" s="1"/>
  <c r="N1720" i="18"/>
  <c r="O1720" i="18" s="1"/>
  <c r="N1729" i="18"/>
  <c r="O1729" i="18" s="1"/>
  <c r="N1811" i="18"/>
  <c r="O1811" i="18" s="1"/>
  <c r="N1825" i="18"/>
  <c r="O1825" i="18" s="1"/>
  <c r="N27" i="18"/>
  <c r="O27" i="18" s="1"/>
  <c r="N35" i="18"/>
  <c r="O35" i="18" s="1"/>
  <c r="N40" i="18"/>
  <c r="O40" i="18" s="1"/>
  <c r="N57" i="18"/>
  <c r="O57" i="18" s="1"/>
  <c r="N63" i="18"/>
  <c r="O63" i="18" s="1"/>
  <c r="N67" i="18"/>
  <c r="O67" i="18" s="1"/>
  <c r="N72" i="18"/>
  <c r="O72" i="18" s="1"/>
  <c r="N88" i="18"/>
  <c r="O88" i="18" s="1"/>
  <c r="N92" i="18"/>
  <c r="O92" i="18" s="1"/>
  <c r="N117" i="18"/>
  <c r="O117" i="18" s="1"/>
  <c r="N153" i="18"/>
  <c r="O153" i="18" s="1"/>
  <c r="N158" i="18"/>
  <c r="O158" i="18" s="1"/>
  <c r="N162" i="18"/>
  <c r="O162" i="18" s="1"/>
  <c r="N184" i="18"/>
  <c r="O184" i="18" s="1"/>
  <c r="N203" i="18"/>
  <c r="O203" i="18" s="1"/>
  <c r="N210" i="18"/>
  <c r="O210" i="18" s="1"/>
  <c r="N213" i="18"/>
  <c r="O213" i="18" s="1"/>
  <c r="N233" i="18"/>
  <c r="O233" i="18" s="1"/>
  <c r="N235" i="18"/>
  <c r="O235" i="18" s="1"/>
  <c r="N237" i="18"/>
  <c r="O237" i="18" s="1"/>
  <c r="N255" i="18"/>
  <c r="O255" i="18" s="1"/>
  <c r="N256" i="18"/>
  <c r="O256" i="18" s="1"/>
  <c r="N271" i="18"/>
  <c r="O271" i="18" s="1"/>
  <c r="N275" i="18"/>
  <c r="O275" i="18" s="1"/>
  <c r="N284" i="18"/>
  <c r="O284" i="18" s="1"/>
  <c r="N315" i="18"/>
  <c r="O315" i="18" s="1"/>
  <c r="N328" i="18"/>
  <c r="O328" i="18" s="1"/>
  <c r="N330" i="18"/>
  <c r="O330" i="18" s="1"/>
  <c r="N339" i="18"/>
  <c r="N341" i="18"/>
  <c r="O341" i="18" s="1"/>
  <c r="N365" i="18"/>
  <c r="O365" i="18" s="1"/>
  <c r="N368" i="18"/>
  <c r="O368" i="18" s="1"/>
  <c r="N380" i="18"/>
  <c r="O380" i="18" s="1"/>
  <c r="N385" i="18"/>
  <c r="N386" i="18"/>
  <c r="O386" i="18" s="1"/>
  <c r="N395" i="18"/>
  <c r="O395" i="18" s="1"/>
  <c r="N411" i="18"/>
  <c r="O411" i="18" s="1"/>
  <c r="N416" i="18"/>
  <c r="O416" i="18" s="1"/>
  <c r="N418" i="18"/>
  <c r="O418" i="18" s="1"/>
  <c r="N435" i="18"/>
  <c r="O435" i="18" s="1"/>
  <c r="N441" i="18"/>
  <c r="O441" i="18" s="1"/>
  <c r="N449" i="18"/>
  <c r="O449" i="18" s="1"/>
  <c r="N464" i="18"/>
  <c r="O464" i="18" s="1"/>
  <c r="N474" i="18"/>
  <c r="O474" i="18" s="1"/>
  <c r="N476" i="18"/>
  <c r="O476" i="18" s="1"/>
  <c r="N494" i="18"/>
  <c r="O494" i="18" s="1"/>
  <c r="N498" i="18"/>
  <c r="O498" i="18" s="1"/>
  <c r="N504" i="18"/>
  <c r="O504" i="18" s="1"/>
  <c r="N514" i="18"/>
  <c r="O514" i="18" s="1"/>
  <c r="N543" i="18"/>
  <c r="O543" i="18" s="1"/>
  <c r="N548" i="18"/>
  <c r="O548" i="18" s="1"/>
  <c r="N597" i="18"/>
  <c r="O597" i="18" s="1"/>
  <c r="N611" i="18"/>
  <c r="O611" i="18" s="1"/>
  <c r="N615" i="18"/>
  <c r="O615" i="18" s="1"/>
  <c r="N627" i="18"/>
  <c r="O627" i="18" s="1"/>
  <c r="N640" i="18"/>
  <c r="O640" i="18" s="1"/>
  <c r="N648" i="18"/>
  <c r="O648" i="18" s="1"/>
  <c r="N656" i="18"/>
  <c r="O656" i="18" s="1"/>
  <c r="N680" i="18"/>
  <c r="O680" i="18" s="1"/>
  <c r="N691" i="18"/>
  <c r="O691" i="18" s="1"/>
  <c r="N703" i="18"/>
  <c r="N735" i="18"/>
  <c r="O735" i="18" s="1"/>
  <c r="N759" i="18"/>
  <c r="O759" i="18" s="1"/>
  <c r="N761" i="18"/>
  <c r="O761" i="18" s="1"/>
  <c r="N814" i="18"/>
  <c r="O814" i="18" s="1"/>
  <c r="N838" i="18"/>
  <c r="O838" i="18" s="1"/>
  <c r="N843" i="18"/>
  <c r="O843" i="18" s="1"/>
  <c r="N874" i="18"/>
  <c r="O874" i="18" s="1"/>
  <c r="N882" i="18"/>
  <c r="N887" i="18"/>
  <c r="O887" i="18" s="1"/>
  <c r="N894" i="18"/>
  <c r="O894" i="18" s="1"/>
  <c r="N901" i="18"/>
  <c r="O901" i="18" s="1"/>
  <c r="N907" i="18"/>
  <c r="O907" i="18" s="1"/>
  <c r="N918" i="18"/>
  <c r="O918" i="18" s="1"/>
  <c r="N936" i="18"/>
  <c r="O936" i="18" s="1"/>
  <c r="N957" i="18"/>
  <c r="O957" i="18" s="1"/>
  <c r="N959" i="18"/>
  <c r="O959" i="18" s="1"/>
  <c r="N962" i="18"/>
  <c r="O962" i="18" s="1"/>
  <c r="N977" i="18"/>
  <c r="O977" i="18" s="1"/>
  <c r="N978" i="18"/>
  <c r="O978" i="18" s="1"/>
  <c r="N988" i="18"/>
  <c r="O988" i="18" s="1"/>
  <c r="N995" i="18"/>
  <c r="O995" i="18" s="1"/>
  <c r="N1009" i="18"/>
  <c r="O1009" i="18" s="1"/>
  <c r="N1021" i="18"/>
  <c r="O1021" i="18" s="1"/>
  <c r="N1024" i="18"/>
  <c r="O1024" i="18" s="1"/>
  <c r="N1030" i="18"/>
  <c r="O1030" i="18" s="1"/>
  <c r="N1051" i="18"/>
  <c r="O1051" i="18" s="1"/>
  <c r="N1071" i="18"/>
  <c r="O1071" i="18" s="1"/>
  <c r="N1078" i="18"/>
  <c r="O1078" i="18" s="1"/>
  <c r="N1080" i="18"/>
  <c r="N1089" i="18"/>
  <c r="O1089" i="18" s="1"/>
  <c r="N1111" i="18"/>
  <c r="O1111" i="18" s="1"/>
  <c r="N1119" i="18"/>
  <c r="N1137" i="18"/>
  <c r="O1137" i="18" s="1"/>
  <c r="N1158" i="18"/>
  <c r="O1158" i="18" s="1"/>
  <c r="N1166" i="18"/>
  <c r="O1166" i="18" s="1"/>
  <c r="N1173" i="18"/>
  <c r="O1173" i="18" s="1"/>
  <c r="N1205" i="18"/>
  <c r="O1205" i="18" s="1"/>
  <c r="N1223" i="18"/>
  <c r="O1223" i="18" s="1"/>
  <c r="N1236" i="18"/>
  <c r="O1236" i="18" s="1"/>
  <c r="N1241" i="18"/>
  <c r="O1241" i="18" s="1"/>
  <c r="N1270" i="18"/>
  <c r="O1270" i="18" s="1"/>
  <c r="N1273" i="18"/>
  <c r="O1273" i="18" s="1"/>
  <c r="N1287" i="18"/>
  <c r="O1287" i="18" s="1"/>
  <c r="N1317" i="18"/>
  <c r="O1317" i="18" s="1"/>
  <c r="N1324" i="18"/>
  <c r="O1324" i="18" s="1"/>
  <c r="N1328" i="18"/>
  <c r="O1328" i="18" s="1"/>
  <c r="N1329" i="18"/>
  <c r="O1329" i="18" s="1"/>
  <c r="N1330" i="18"/>
  <c r="O1330" i="18" s="1"/>
  <c r="N1331" i="18"/>
  <c r="O1331" i="18" s="1"/>
  <c r="N1333" i="18"/>
  <c r="O1333" i="18" s="1"/>
  <c r="N1345" i="18"/>
  <c r="O1345" i="18" s="1"/>
  <c r="N1378" i="18"/>
  <c r="O1378" i="18" s="1"/>
  <c r="N1384" i="18"/>
  <c r="O1384" i="18" s="1"/>
  <c r="N1385" i="18"/>
  <c r="O1385" i="18" s="1"/>
  <c r="N1392" i="18"/>
  <c r="N1414" i="18"/>
  <c r="O1414" i="18" s="1"/>
  <c r="N1423" i="18"/>
  <c r="O1423" i="18" s="1"/>
  <c r="N1424" i="18"/>
  <c r="O1424" i="18" s="1"/>
  <c r="N1440" i="18"/>
  <c r="O1440" i="18" s="1"/>
  <c r="N1450" i="18"/>
  <c r="O1450" i="18" s="1"/>
  <c r="N1457" i="18"/>
  <c r="O1457" i="18" s="1"/>
  <c r="N1458" i="18"/>
  <c r="O1458" i="18" s="1"/>
  <c r="N1464" i="18"/>
  <c r="O1464" i="18" s="1"/>
  <c r="N1475" i="18"/>
  <c r="O1475" i="18" s="1"/>
  <c r="N1490" i="18"/>
  <c r="O1490" i="18" s="1"/>
  <c r="N1502" i="18"/>
  <c r="O1502" i="18" s="1"/>
  <c r="N1505" i="18"/>
  <c r="O1505" i="18" s="1"/>
  <c r="N1508" i="18"/>
  <c r="O1508" i="18" s="1"/>
  <c r="N1528" i="18"/>
  <c r="O1528" i="18" s="1"/>
  <c r="N1545" i="18"/>
  <c r="N1556" i="18"/>
  <c r="O1556" i="18" s="1"/>
  <c r="N1561" i="18"/>
  <c r="O1561" i="18" s="1"/>
  <c r="N1563" i="18"/>
  <c r="O1563" i="18" s="1"/>
  <c r="N1584" i="18"/>
  <c r="O1584" i="18" s="1"/>
  <c r="N1590" i="18"/>
  <c r="O1590" i="18" s="1"/>
  <c r="N1597" i="18"/>
  <c r="O1597" i="18" s="1"/>
  <c r="N1631" i="18"/>
  <c r="O1631" i="18" s="1"/>
  <c r="N1663" i="18"/>
  <c r="O1663" i="18" s="1"/>
  <c r="N1668" i="18"/>
  <c r="O1668" i="18" s="1"/>
  <c r="N1682" i="18"/>
  <c r="O1682" i="18" s="1"/>
  <c r="N1689" i="18"/>
  <c r="O1689" i="18" s="1"/>
  <c r="N1705" i="18"/>
  <c r="O1705" i="18" s="1"/>
  <c r="N1712" i="18"/>
  <c r="O1712" i="18" s="1"/>
  <c r="N1725" i="18"/>
  <c r="O1725" i="18" s="1"/>
  <c r="N1742" i="18"/>
  <c r="O1742" i="18" s="1"/>
  <c r="N1754" i="18"/>
  <c r="O1754" i="18" s="1"/>
  <c r="N1775" i="18"/>
  <c r="O1775" i="18" s="1"/>
  <c r="N1777" i="18"/>
  <c r="O1777" i="18" s="1"/>
  <c r="N1807" i="18"/>
  <c r="O1807" i="18" s="1"/>
  <c r="N1821" i="18"/>
  <c r="O1821" i="18" s="1"/>
  <c r="N1826" i="18"/>
  <c r="O1826" i="18" s="1"/>
  <c r="N1828" i="18"/>
  <c r="O1828" i="18" s="1"/>
  <c r="N1831" i="18"/>
  <c r="O1831" i="18" s="1"/>
  <c r="N49" i="18"/>
  <c r="O49" i="18" s="1"/>
  <c r="N77" i="18"/>
  <c r="O77" i="18" s="1"/>
  <c r="N82" i="18"/>
  <c r="O82" i="18" s="1"/>
  <c r="N96" i="18"/>
  <c r="O96" i="18" s="1"/>
  <c r="N134" i="18"/>
  <c r="N148" i="18"/>
  <c r="O148" i="18" s="1"/>
  <c r="N168" i="18"/>
  <c r="O168" i="18" s="1"/>
  <c r="N268" i="18"/>
  <c r="O268" i="18" s="1"/>
  <c r="N295" i="18"/>
  <c r="N301" i="18"/>
  <c r="O301" i="18" s="1"/>
  <c r="N325" i="18"/>
  <c r="O325" i="18" s="1"/>
  <c r="N337" i="18"/>
  <c r="O337" i="18" s="1"/>
  <c r="N367" i="18"/>
  <c r="O367" i="18" s="1"/>
  <c r="N399" i="18"/>
  <c r="O399" i="18" s="1"/>
  <c r="N403" i="18"/>
  <c r="O403" i="18" s="1"/>
  <c r="N460" i="18"/>
  <c r="O460" i="18" s="1"/>
  <c r="N468" i="18"/>
  <c r="O468" i="18" s="1"/>
  <c r="N475" i="18"/>
  <c r="O475" i="18" s="1"/>
  <c r="N512" i="18"/>
  <c r="O512" i="18" s="1"/>
  <c r="N570" i="18"/>
  <c r="O570" i="18" s="1"/>
  <c r="N657" i="18"/>
  <c r="O657" i="18" s="1"/>
  <c r="N660" i="18"/>
  <c r="O660" i="18" s="1"/>
  <c r="N678" i="18"/>
  <c r="O678" i="18" s="1"/>
  <c r="N694" i="18"/>
  <c r="O694" i="18" s="1"/>
  <c r="N717" i="18"/>
  <c r="O717" i="18" s="1"/>
  <c r="N752" i="18"/>
  <c r="O752" i="18" s="1"/>
  <c r="N809" i="18"/>
  <c r="O809" i="18" s="1"/>
  <c r="N861" i="18"/>
  <c r="O861" i="18" s="1"/>
  <c r="N881" i="18"/>
  <c r="N890" i="18"/>
  <c r="N895" i="18"/>
  <c r="O895" i="18" s="1"/>
  <c r="N927" i="18"/>
  <c r="O927" i="18" s="1"/>
  <c r="N958" i="18"/>
  <c r="O958" i="18" s="1"/>
  <c r="N976" i="18"/>
  <c r="O976" i="18" s="1"/>
  <c r="N993" i="18"/>
  <c r="O993" i="18" s="1"/>
  <c r="N1006" i="18"/>
  <c r="O1006" i="18" s="1"/>
  <c r="N1033" i="18"/>
  <c r="O1033" i="18" s="1"/>
  <c r="N1047" i="18"/>
  <c r="O1047" i="18" s="1"/>
  <c r="N1105" i="18"/>
  <c r="O1105" i="18" s="1"/>
  <c r="N1116" i="18"/>
  <c r="N1121" i="18"/>
  <c r="O1121" i="18" s="1"/>
  <c r="N1136" i="18"/>
  <c r="O1136" i="18" s="1"/>
  <c r="N1206" i="18"/>
  <c r="O1206" i="18" s="1"/>
  <c r="N1210" i="18"/>
  <c r="O1210" i="18" s="1"/>
  <c r="N1285" i="18"/>
  <c r="O1285" i="18" s="1"/>
  <c r="N1296" i="18"/>
  <c r="O1296" i="18" s="1"/>
  <c r="N1386" i="18"/>
  <c r="O1386" i="18" s="1"/>
  <c r="N1413" i="18"/>
  <c r="O1413" i="18" s="1"/>
  <c r="N1481" i="18"/>
  <c r="O1481" i="18" s="1"/>
  <c r="N1486" i="18"/>
  <c r="O1486" i="18" s="1"/>
  <c r="N1503" i="18"/>
  <c r="O1503" i="18" s="1"/>
  <c r="N1518" i="18"/>
  <c r="O1518" i="18" s="1"/>
  <c r="N1549" i="18"/>
  <c r="O1549" i="18" s="1"/>
  <c r="N1574" i="18"/>
  <c r="B1574" i="18" s="1"/>
  <c r="N1604" i="18"/>
  <c r="N1646" i="18"/>
  <c r="O1646" i="18" s="1"/>
  <c r="N1662" i="18"/>
  <c r="B1662" i="18" s="1"/>
  <c r="N1691" i="18"/>
  <c r="N1722" i="18"/>
  <c r="O1722" i="18" s="1"/>
  <c r="N1738" i="18"/>
  <c r="O1738" i="18" s="1"/>
  <c r="N1740" i="18"/>
  <c r="O1740" i="18" s="1"/>
  <c r="N1796" i="18"/>
  <c r="O1796" i="18" s="1"/>
  <c r="N1802" i="18"/>
  <c r="O1802" i="18" s="1"/>
  <c r="N1832" i="18"/>
  <c r="O1832" i="18" s="1"/>
  <c r="N22" i="18"/>
  <c r="O22" i="18" s="1"/>
  <c r="N37" i="18"/>
  <c r="O37" i="18" s="1"/>
  <c r="N45" i="18"/>
  <c r="O45" i="18" s="1"/>
  <c r="N68" i="18"/>
  <c r="O68" i="18" s="1"/>
  <c r="N102" i="18"/>
  <c r="O102" i="18" s="1"/>
  <c r="N141" i="18"/>
  <c r="N155" i="18"/>
  <c r="O155" i="18" s="1"/>
  <c r="N157" i="18"/>
  <c r="N183" i="18"/>
  <c r="N196" i="18"/>
  <c r="O196" i="18" s="1"/>
  <c r="N198" i="18"/>
  <c r="O198" i="18" s="1"/>
  <c r="N232" i="18"/>
  <c r="O232" i="18" s="1"/>
  <c r="N281" i="18"/>
  <c r="O281" i="18" s="1"/>
  <c r="N332" i="18"/>
  <c r="O332" i="18" s="1"/>
  <c r="N381" i="18"/>
  <c r="O381" i="18" s="1"/>
  <c r="N392" i="18"/>
  <c r="O392" i="18" s="1"/>
  <c r="N400" i="18"/>
  <c r="O400" i="18" s="1"/>
  <c r="N409" i="18"/>
  <c r="O409" i="18" s="1"/>
  <c r="N430" i="18"/>
  <c r="O430" i="18" s="1"/>
  <c r="N462" i="18"/>
  <c r="O462" i="18" s="1"/>
  <c r="N506" i="18"/>
  <c r="O506" i="18" s="1"/>
  <c r="N542" i="18"/>
  <c r="O542" i="18" s="1"/>
  <c r="N550" i="18"/>
  <c r="O550" i="18" s="1"/>
  <c r="N567" i="18"/>
  <c r="O567" i="18" s="1"/>
  <c r="N580" i="18"/>
  <c r="O580" i="18" s="1"/>
  <c r="N589" i="18"/>
  <c r="O589" i="18" s="1"/>
  <c r="N638" i="18"/>
  <c r="O638" i="18" s="1"/>
  <c r="N651" i="18"/>
  <c r="O651" i="18" s="1"/>
  <c r="N695" i="18"/>
  <c r="O695" i="18" s="1"/>
  <c r="N698" i="18"/>
  <c r="O698" i="18" s="1"/>
  <c r="N704" i="18"/>
  <c r="N708" i="18"/>
  <c r="O708" i="18" s="1"/>
  <c r="N730" i="18"/>
  <c r="O730" i="18" s="1"/>
  <c r="N746" i="18"/>
  <c r="O746" i="18" s="1"/>
  <c r="N756" i="18"/>
  <c r="O756" i="18" s="1"/>
  <c r="N820" i="18"/>
  <c r="O820" i="18" s="1"/>
  <c r="N831" i="18"/>
  <c r="O831" i="18" s="1"/>
  <c r="N883" i="18"/>
  <c r="N900" i="18"/>
  <c r="O900" i="18" s="1"/>
  <c r="N902" i="18"/>
  <c r="O902" i="18" s="1"/>
  <c r="N906" i="18"/>
  <c r="O906" i="18" s="1"/>
  <c r="N935" i="18"/>
  <c r="O935" i="18" s="1"/>
  <c r="N938" i="18"/>
  <c r="O938" i="18" s="1"/>
  <c r="N954" i="18"/>
  <c r="O954" i="18" s="1"/>
  <c r="N975" i="18"/>
  <c r="O975" i="18" s="1"/>
  <c r="N984" i="18"/>
  <c r="O984" i="18" s="1"/>
  <c r="N989" i="18"/>
  <c r="O989" i="18" s="1"/>
  <c r="N990" i="18"/>
  <c r="O990" i="18" s="1"/>
  <c r="N991" i="18"/>
  <c r="O991" i="18" s="1"/>
  <c r="N1048" i="18"/>
  <c r="O1048" i="18" s="1"/>
  <c r="N1049" i="18"/>
  <c r="O1049" i="18" s="1"/>
  <c r="N1053" i="18"/>
  <c r="O1053" i="18" s="1"/>
  <c r="N1055" i="18"/>
  <c r="O1055" i="18" s="1"/>
  <c r="N1064" i="18"/>
  <c r="N1127" i="18"/>
  <c r="O1127" i="18" s="1"/>
  <c r="N1138" i="18"/>
  <c r="O1138" i="18" s="1"/>
  <c r="N1140" i="18"/>
  <c r="O1140" i="18" s="1"/>
  <c r="N1178" i="18"/>
  <c r="O1178" i="18" s="1"/>
  <c r="N1184" i="18"/>
  <c r="N1202" i="18"/>
  <c r="O1202" i="18" s="1"/>
  <c r="N1218" i="18"/>
  <c r="O1218" i="18" s="1"/>
  <c r="N1219" i="18"/>
  <c r="O1219" i="18" s="1"/>
  <c r="N1234" i="18"/>
  <c r="O1234" i="18" s="1"/>
  <c r="N1253" i="18"/>
  <c r="O1253" i="18" s="1"/>
  <c r="N1256" i="18"/>
  <c r="O1256" i="18" s="1"/>
  <c r="N1271" i="18"/>
  <c r="O1271" i="18" s="1"/>
  <c r="N1277" i="18"/>
  <c r="O1277" i="18" s="1"/>
  <c r="N1308" i="18"/>
  <c r="O1308" i="18" s="1"/>
  <c r="N1312" i="18"/>
  <c r="N1319" i="18"/>
  <c r="O1319" i="18" s="1"/>
  <c r="N1337" i="18"/>
  <c r="O1337" i="18" s="1"/>
  <c r="N1395" i="18"/>
  <c r="O1395" i="18" s="1"/>
  <c r="N1428" i="18"/>
  <c r="O1428" i="18" s="1"/>
  <c r="N1483" i="18"/>
  <c r="O1483" i="18" s="1"/>
  <c r="N1487" i="18"/>
  <c r="O1487" i="18" s="1"/>
  <c r="N1495" i="18"/>
  <c r="O1495" i="18" s="1"/>
  <c r="N1497" i="18"/>
  <c r="N1519" i="18"/>
  <c r="O1519" i="18" s="1"/>
  <c r="N1557" i="18"/>
  <c r="O1557" i="18" s="1"/>
  <c r="N1615" i="18"/>
  <c r="O1615" i="18" s="1"/>
  <c r="N1660" i="18"/>
  <c r="O1660" i="18" s="1"/>
  <c r="N1670" i="18"/>
  <c r="O1670" i="18" s="1"/>
  <c r="N1675" i="18"/>
  <c r="O1675" i="18" s="1"/>
  <c r="N1680" i="18"/>
  <c r="O1680" i="18" s="1"/>
  <c r="N1716" i="18"/>
  <c r="O1716" i="18" s="1"/>
  <c r="N1731" i="18"/>
  <c r="O1731" i="18" s="1"/>
  <c r="N1782" i="18"/>
  <c r="O1782" i="18" s="1"/>
  <c r="N1790" i="18"/>
  <c r="O1790" i="18" s="1"/>
  <c r="N1799" i="18"/>
  <c r="O1799" i="18" s="1"/>
  <c r="N1823" i="18"/>
  <c r="O1823" i="18" s="1"/>
  <c r="M81" i="18"/>
  <c r="M89" i="18"/>
  <c r="M91" i="18"/>
  <c r="M97" i="18"/>
  <c r="M103" i="18"/>
  <c r="M122" i="18"/>
  <c r="M146" i="18"/>
  <c r="M156" i="18"/>
  <c r="M163" i="18"/>
  <c r="M187" i="18"/>
  <c r="M194" i="18"/>
  <c r="M204" i="18"/>
  <c r="M221" i="18"/>
  <c r="M230" i="18"/>
  <c r="M244" i="18"/>
  <c r="M292" i="18"/>
  <c r="M300" i="18"/>
  <c r="M352" i="18"/>
  <c r="M396" i="18"/>
  <c r="M408" i="18"/>
  <c r="M420" i="18"/>
  <c r="M451" i="18"/>
  <c r="M483" i="18"/>
  <c r="M519" i="18"/>
  <c r="M520" i="18"/>
  <c r="M524" i="18"/>
  <c r="M534" i="18"/>
  <c r="M537" i="18"/>
  <c r="M546" i="18"/>
  <c r="M609" i="18"/>
  <c r="M613" i="18"/>
  <c r="M623" i="18"/>
  <c r="M631" i="18"/>
  <c r="M652" i="18"/>
  <c r="M667" i="18"/>
  <c r="M683" i="18"/>
  <c r="M706" i="18"/>
  <c r="M712" i="18"/>
  <c r="M721" i="18"/>
  <c r="M769" i="18"/>
  <c r="M781" i="18"/>
  <c r="M802" i="18"/>
  <c r="M810" i="18"/>
  <c r="M834" i="18"/>
  <c r="M850" i="18"/>
  <c r="M868" i="18"/>
  <c r="M869" i="18"/>
  <c r="M919" i="18"/>
  <c r="M923" i="18"/>
  <c r="M939" i="18"/>
  <c r="M940" i="18"/>
  <c r="M969" i="18"/>
  <c r="M1019" i="18"/>
  <c r="M1025" i="18"/>
  <c r="M1046" i="18"/>
  <c r="M1060" i="18"/>
  <c r="M1069" i="18"/>
  <c r="M1072" i="18"/>
  <c r="M1076" i="18"/>
  <c r="M1106" i="18"/>
  <c r="M1109" i="18"/>
  <c r="M1117" i="18"/>
  <c r="M1125" i="18"/>
  <c r="M1146" i="18"/>
  <c r="M1162" i="18"/>
  <c r="M1181" i="18"/>
  <c r="M1187" i="18"/>
  <c r="M1188" i="18"/>
  <c r="M1208" i="18"/>
  <c r="M1211" i="18"/>
  <c r="M1250" i="18"/>
  <c r="M1251" i="18"/>
  <c r="M1265" i="18"/>
  <c r="M1368" i="18"/>
  <c r="M1370" i="18"/>
  <c r="M1382" i="18"/>
  <c r="M1407" i="18"/>
  <c r="M1427" i="18"/>
  <c r="M1447" i="18"/>
  <c r="M1461" i="18"/>
  <c r="M1465" i="18"/>
  <c r="M1476" i="18"/>
  <c r="M1491" i="18"/>
  <c r="M1498" i="18"/>
  <c r="M1510" i="18"/>
  <c r="M1537" i="18"/>
  <c r="M1550" i="18"/>
  <c r="M1588" i="18"/>
  <c r="M1595" i="18"/>
  <c r="M1707" i="18"/>
  <c r="M1719" i="18"/>
  <c r="M1830" i="18"/>
  <c r="M6" i="18"/>
  <c r="M13" i="18"/>
  <c r="M14" i="18"/>
  <c r="M28" i="18"/>
  <c r="M47" i="18"/>
  <c r="M58" i="18"/>
  <c r="M83" i="18"/>
  <c r="M87" i="18"/>
  <c r="M98" i="18"/>
  <c r="M133" i="18"/>
  <c r="M138" i="18"/>
  <c r="M139" i="18"/>
  <c r="M140" i="18"/>
  <c r="M209" i="18"/>
  <c r="M216" i="18"/>
  <c r="M224" i="18"/>
  <c r="M236" i="18"/>
  <c r="M260" i="18"/>
  <c r="M286" i="18"/>
  <c r="M287" i="18"/>
  <c r="M305" i="18"/>
  <c r="M308" i="18"/>
  <c r="M331" i="18"/>
  <c r="M343" i="18"/>
  <c r="M353" i="18"/>
  <c r="M354" i="18"/>
  <c r="M363" i="18"/>
  <c r="M366" i="18"/>
  <c r="M378" i="18"/>
  <c r="M466" i="18"/>
  <c r="M472" i="18"/>
  <c r="M503" i="18"/>
  <c r="M535" i="18"/>
  <c r="M549" i="18"/>
  <c r="M578" i="18"/>
  <c r="M584" i="18"/>
  <c r="M601" i="18"/>
  <c r="M604" i="18"/>
  <c r="M621" i="18"/>
  <c r="M625" i="18"/>
  <c r="M629" i="18"/>
  <c r="M634" i="18"/>
  <c r="M646" i="18"/>
  <c r="M666" i="18"/>
  <c r="M689" i="18"/>
  <c r="M733" i="18"/>
  <c r="M747" i="18"/>
  <c r="M768" i="18"/>
  <c r="M777" i="18"/>
  <c r="M786" i="18"/>
  <c r="M803" i="18"/>
  <c r="M805" i="18"/>
  <c r="M823" i="18"/>
  <c r="M824" i="18"/>
  <c r="M826" i="18"/>
  <c r="M828" i="18"/>
  <c r="M829" i="18"/>
  <c r="M851" i="18"/>
  <c r="M858" i="18"/>
  <c r="M878" i="18"/>
  <c r="M904" i="18"/>
  <c r="M917" i="18"/>
  <c r="M924" i="18"/>
  <c r="M955" i="18"/>
  <c r="M960" i="18"/>
  <c r="M981" i="18"/>
  <c r="M1008" i="18"/>
  <c r="M1017" i="18"/>
  <c r="M1038" i="18"/>
  <c r="M1042" i="18"/>
  <c r="M1074" i="18"/>
  <c r="M1097" i="18"/>
  <c r="M1113" i="18"/>
  <c r="M1131" i="18"/>
  <c r="M1157" i="18"/>
  <c r="M1167" i="18"/>
  <c r="M1176" i="18"/>
  <c r="M1189" i="18"/>
  <c r="M1190" i="18"/>
  <c r="M1198" i="18"/>
  <c r="M1231" i="18"/>
  <c r="M1232" i="18"/>
  <c r="M1235" i="18"/>
  <c r="M1237" i="18"/>
  <c r="M1242" i="18"/>
  <c r="M1263" i="18"/>
  <c r="M1292" i="18"/>
  <c r="M1307" i="18"/>
  <c r="M1310" i="18"/>
  <c r="M1315" i="18"/>
  <c r="M1338" i="18"/>
  <c r="M1341" i="18"/>
  <c r="M1343" i="18"/>
  <c r="M1355" i="18"/>
  <c r="M1404" i="18"/>
  <c r="M1439" i="18"/>
  <c r="M1442" i="18"/>
  <c r="M1477" i="18"/>
  <c r="M1499" i="18"/>
  <c r="M1507" i="18"/>
  <c r="M1514" i="18"/>
  <c r="M1524" i="18"/>
  <c r="M1521" i="18"/>
  <c r="M1530" i="18"/>
  <c r="M1540" i="18"/>
  <c r="M1555" i="18"/>
  <c r="M1570" i="18"/>
  <c r="M1576" i="18"/>
  <c r="M1578" i="18"/>
  <c r="M1583" i="18"/>
  <c r="M1614" i="18"/>
  <c r="M1624" i="18"/>
  <c r="M1633" i="18"/>
  <c r="M1636" i="18"/>
  <c r="M1669" i="18"/>
  <c r="M1685" i="18"/>
  <c r="M1690" i="18"/>
  <c r="M1692" i="18"/>
  <c r="M1714" i="18"/>
  <c r="M1718" i="18"/>
  <c r="M1721" i="18"/>
  <c r="M1726" i="18"/>
  <c r="M1745" i="18"/>
  <c r="M1750" i="18"/>
  <c r="M1752" i="18"/>
  <c r="M1760" i="18"/>
  <c r="M1762" i="18"/>
  <c r="M1764" i="18"/>
  <c r="M1786" i="18"/>
  <c r="M1803" i="18"/>
  <c r="M1815" i="18"/>
  <c r="M1829" i="18"/>
  <c r="M74" i="18"/>
  <c r="M170" i="18"/>
  <c r="M193" i="18"/>
  <c r="M239" i="18"/>
  <c r="M252" i="18"/>
  <c r="M264" i="18"/>
  <c r="M298" i="18"/>
  <c r="M307" i="18"/>
  <c r="M310" i="18"/>
  <c r="M326" i="18"/>
  <c r="M345" i="18"/>
  <c r="M344" i="18"/>
  <c r="M393" i="18"/>
  <c r="M465" i="18"/>
  <c r="M470" i="18"/>
  <c r="M485" i="18"/>
  <c r="M533" i="18"/>
  <c r="M544" i="18"/>
  <c r="M545" i="18"/>
  <c r="M561" i="18"/>
  <c r="M581" i="18"/>
  <c r="M599" i="18"/>
  <c r="M600" i="18"/>
  <c r="M743" i="18"/>
  <c r="M744" i="18"/>
  <c r="M745" i="18"/>
  <c r="M776" i="18"/>
  <c r="M806" i="18"/>
  <c r="M807" i="18"/>
  <c r="M830" i="18"/>
  <c r="M840" i="18"/>
  <c r="M841" i="18"/>
  <c r="M877" i="18"/>
  <c r="M968" i="18"/>
  <c r="M1016" i="18"/>
  <c r="M1123" i="18"/>
  <c r="M1149" i="18"/>
  <c r="M1152" i="18"/>
  <c r="M1153" i="18"/>
  <c r="M1171" i="18"/>
  <c r="M1318" i="18"/>
  <c r="M1387" i="18"/>
  <c r="M1444" i="18"/>
  <c r="M1496" i="18"/>
  <c r="M1512" i="18"/>
  <c r="M1523" i="18"/>
  <c r="M1613" i="18"/>
  <c r="M1635" i="18"/>
  <c r="M1661" i="18"/>
  <c r="M4" i="18"/>
  <c r="M15" i="18"/>
  <c r="M42" i="18"/>
  <c r="M59" i="18"/>
  <c r="M60" i="18"/>
  <c r="M93" i="18"/>
  <c r="M111" i="18"/>
  <c r="M114" i="18"/>
  <c r="M118" i="18"/>
  <c r="M123" i="18"/>
  <c r="M124" i="18"/>
  <c r="M125" i="18"/>
  <c r="M126" i="18"/>
  <c r="M127" i="18"/>
  <c r="M128" i="18"/>
  <c r="M129" i="18"/>
  <c r="M143" i="18"/>
  <c r="M147" i="18"/>
  <c r="M159" i="18"/>
  <c r="M169" i="18"/>
  <c r="M171" i="18"/>
  <c r="M172" i="18"/>
  <c r="M173" i="18"/>
  <c r="M174" i="18"/>
  <c r="M175" i="18"/>
  <c r="M176" i="18"/>
  <c r="M177" i="18"/>
  <c r="M178" i="18"/>
  <c r="M179" i="18"/>
  <c r="M180" i="18"/>
  <c r="M181" i="18"/>
  <c r="M188" i="18"/>
  <c r="M190" i="18"/>
  <c r="M192" i="18"/>
  <c r="M225" i="18"/>
  <c r="M243" i="18"/>
  <c r="M245" i="18"/>
  <c r="M263" i="18"/>
  <c r="M269" i="18"/>
  <c r="M276" i="18"/>
  <c r="M289" i="18"/>
  <c r="M303" i="18"/>
  <c r="M311" i="18"/>
  <c r="M312" i="18"/>
  <c r="M323" i="18"/>
  <c r="M329" i="18"/>
  <c r="M335" i="18"/>
  <c r="M360" i="18"/>
  <c r="M361" i="18"/>
  <c r="M362" i="18"/>
  <c r="M377" i="18"/>
  <c r="M388" i="18"/>
  <c r="M391" i="18"/>
  <c r="M404" i="18"/>
  <c r="M406" i="18"/>
  <c r="M439" i="18"/>
  <c r="M450" i="18"/>
  <c r="M456" i="18"/>
  <c r="M499" i="18"/>
  <c r="M508" i="18"/>
  <c r="M510" i="18"/>
  <c r="M516" i="18"/>
  <c r="M527" i="18"/>
  <c r="M547" i="18"/>
  <c r="M554" i="18"/>
  <c r="M558" i="18"/>
  <c r="M573" i="18"/>
  <c r="M575" i="18"/>
  <c r="M588" i="18"/>
  <c r="M591" i="18"/>
  <c r="M595" i="18"/>
  <c r="M594" i="18"/>
  <c r="M603" i="18"/>
  <c r="M606" i="18"/>
  <c r="M616" i="18"/>
  <c r="M632" i="18"/>
  <c r="M671" i="18"/>
  <c r="M715" i="18"/>
  <c r="M719" i="18"/>
  <c r="M758" i="18"/>
  <c r="M785" i="18"/>
  <c r="M797" i="18"/>
  <c r="M808" i="18"/>
  <c r="M804" i="18"/>
  <c r="M825" i="18"/>
  <c r="M833" i="18"/>
  <c r="M844" i="18"/>
  <c r="M848" i="18"/>
  <c r="M864" i="18"/>
  <c r="M875" i="18"/>
  <c r="M893" i="18"/>
  <c r="M903" i="18"/>
  <c r="M916" i="18"/>
  <c r="M925" i="18"/>
  <c r="M929" i="18"/>
  <c r="M941" i="18"/>
  <c r="M953" i="18"/>
  <c r="M974" i="18"/>
  <c r="M979" i="18"/>
  <c r="M980" i="18"/>
  <c r="M997" i="18"/>
  <c r="M1003" i="18"/>
  <c r="M1007" i="18"/>
  <c r="M1018" i="18"/>
  <c r="M1020" i="18"/>
  <c r="M1026" i="18"/>
  <c r="M1036" i="18"/>
  <c r="M1052" i="18"/>
  <c r="M1057" i="18"/>
  <c r="M1058" i="18"/>
  <c r="M1059" i="18"/>
  <c r="M1093" i="18"/>
  <c r="M1103" i="18"/>
  <c r="M1142" i="18"/>
  <c r="M1143" i="18"/>
  <c r="M1168" i="18"/>
  <c r="M1177" i="18"/>
  <c r="M1199" i="18"/>
  <c r="M1203" i="18"/>
  <c r="M1239" i="18"/>
  <c r="M1240" i="18"/>
  <c r="M1249" i="18"/>
  <c r="M1259" i="18"/>
  <c r="M1276" i="18"/>
  <c r="M1278" i="18"/>
  <c r="M1290" i="18"/>
  <c r="M1295" i="18"/>
  <c r="M1306" i="18"/>
  <c r="M1309" i="18"/>
  <c r="M1311" i="18"/>
  <c r="M1334" i="18"/>
  <c r="M1335" i="18"/>
  <c r="M1349" i="18"/>
  <c r="M1372" i="18"/>
  <c r="M1397" i="18"/>
  <c r="M1403" i="18"/>
  <c r="M1406" i="18"/>
  <c r="M1416" i="18"/>
  <c r="M1452" i="18"/>
  <c r="M1454" i="18"/>
  <c r="M1474" i="18"/>
  <c r="M1479" i="18"/>
  <c r="M1571" i="18"/>
  <c r="M1582" i="18"/>
  <c r="M1596" i="18"/>
  <c r="M1605" i="18"/>
  <c r="M1610" i="18"/>
  <c r="M1638" i="18"/>
  <c r="M1644" i="18"/>
  <c r="M1664" i="18"/>
  <c r="M1665" i="18"/>
  <c r="M1672" i="18"/>
  <c r="M1677" i="18"/>
  <c r="M1683" i="18"/>
  <c r="M1697" i="18"/>
  <c r="M1704" i="18"/>
  <c r="M1724" i="18"/>
  <c r="M1728" i="18"/>
  <c r="M1736" i="18"/>
  <c r="M1739" i="18"/>
  <c r="M1743" i="18"/>
  <c r="M1768" i="18"/>
  <c r="M1769" i="18"/>
  <c r="M1795" i="18"/>
  <c r="M1808" i="18"/>
  <c r="M1809" i="18"/>
  <c r="M1816" i="18"/>
  <c r="M1834" i="18"/>
  <c r="M3" i="18"/>
  <c r="M5" i="18"/>
  <c r="M30" i="18"/>
  <c r="M31" i="18"/>
  <c r="M39" i="18"/>
  <c r="M50" i="18"/>
  <c r="M51" i="18"/>
  <c r="M54" i="18"/>
  <c r="M62" i="18"/>
  <c r="M76" i="18"/>
  <c r="M78" i="18"/>
  <c r="M105" i="18"/>
  <c r="M110" i="18"/>
  <c r="M119" i="18"/>
  <c r="M154" i="18"/>
  <c r="M211" i="18"/>
  <c r="M222" i="18"/>
  <c r="M240" i="18"/>
  <c r="M242" i="18"/>
  <c r="M246" i="18"/>
  <c r="M253" i="18"/>
  <c r="M266" i="18"/>
  <c r="M290" i="18"/>
  <c r="M297" i="18"/>
  <c r="M302" i="18"/>
  <c r="M309" i="18"/>
  <c r="M318" i="18"/>
  <c r="M320" i="18"/>
  <c r="M327" i="18"/>
  <c r="M347" i="18"/>
  <c r="M350" i="18"/>
  <c r="M357" i="18"/>
  <c r="M358" i="18"/>
  <c r="M364" i="18"/>
  <c r="M379" i="18"/>
  <c r="M384" i="18"/>
  <c r="M423" i="18"/>
  <c r="M429" i="18"/>
  <c r="M436" i="18"/>
  <c r="M455" i="18"/>
  <c r="M479" i="18"/>
  <c r="M480" i="18"/>
  <c r="M492" i="18"/>
  <c r="M500" i="18"/>
  <c r="M518" i="18"/>
  <c r="M529" i="18"/>
  <c r="M540" i="18"/>
  <c r="M557" i="18"/>
  <c r="M560" i="18"/>
  <c r="M565" i="18"/>
  <c r="M582" i="18"/>
  <c r="M598" i="18"/>
  <c r="M619" i="18"/>
  <c r="M626" i="18"/>
  <c r="M661" i="18"/>
  <c r="M675" i="18"/>
  <c r="M676" i="18"/>
  <c r="M677" i="18"/>
  <c r="M709" i="18"/>
  <c r="M731" i="18"/>
  <c r="M737" i="18"/>
  <c r="M748" i="18"/>
  <c r="M750" i="18"/>
  <c r="M753" i="18"/>
  <c r="M811" i="18"/>
  <c r="M835" i="18"/>
  <c r="M846" i="18"/>
  <c r="M863" i="18"/>
  <c r="M872" i="18"/>
  <c r="M884" i="18"/>
  <c r="M885" i="18"/>
  <c r="M909" i="18"/>
  <c r="M913" i="18"/>
  <c r="M937" i="18"/>
  <c r="M947" i="18"/>
  <c r="M950" i="18"/>
  <c r="M963" i="18"/>
  <c r="M970" i="18"/>
  <c r="M982" i="18"/>
  <c r="M998" i="18"/>
  <c r="M1010" i="18"/>
  <c r="M1015" i="18"/>
  <c r="M1027" i="18"/>
  <c r="M1028" i="18"/>
  <c r="M1034" i="18"/>
  <c r="M1039" i="18"/>
  <c r="M1054" i="18"/>
  <c r="M1062" i="18"/>
  <c r="M1082" i="18"/>
  <c r="M1083" i="18"/>
  <c r="M1084" i="18"/>
  <c r="M1092" i="18"/>
  <c r="M1094" i="18"/>
  <c r="M1108" i="18"/>
  <c r="M1118" i="18"/>
  <c r="M1122" i="18"/>
  <c r="M1148" i="18"/>
  <c r="M1175" i="18"/>
  <c r="M1200" i="18"/>
  <c r="M1201" i="18"/>
  <c r="M1212" i="18"/>
  <c r="M1213" i="18"/>
  <c r="M1214" i="18"/>
  <c r="M1216" i="18"/>
  <c r="M1224" i="18"/>
  <c r="M1244" i="18"/>
  <c r="M1245" i="18"/>
  <c r="M1246" i="18"/>
  <c r="M1257" i="18"/>
  <c r="M1280" i="18"/>
  <c r="M1282" i="18"/>
  <c r="M1305" i="18"/>
  <c r="M1332" i="18"/>
  <c r="M1348" i="18"/>
  <c r="M1358" i="18"/>
  <c r="M1367" i="18"/>
  <c r="M1369" i="18"/>
  <c r="M1377" i="18"/>
  <c r="M1383" i="18"/>
  <c r="M1400" i="18"/>
  <c r="M1401" i="18"/>
  <c r="M1408" i="18"/>
  <c r="M1410" i="18"/>
  <c r="M1412" i="18"/>
  <c r="M1419" i="18"/>
  <c r="M1435" i="18"/>
  <c r="M1453" i="18"/>
  <c r="M1463" i="18"/>
  <c r="M1509" i="18"/>
  <c r="M1513" i="18"/>
  <c r="M1531" i="18"/>
  <c r="M1541" i="18"/>
  <c r="M1543" i="18"/>
  <c r="M1547" i="18"/>
  <c r="M1548" i="18"/>
  <c r="M1551" i="18"/>
  <c r="M1559" i="18"/>
  <c r="M1568" i="18"/>
  <c r="M1592" i="18"/>
  <c r="M1602" i="18"/>
  <c r="M1609" i="18"/>
  <c r="M1616" i="18"/>
  <c r="M1620" i="18"/>
  <c r="M1621" i="18"/>
  <c r="M1622" i="18"/>
  <c r="M1641" i="18"/>
  <c r="M1650" i="18"/>
  <c r="M1684" i="18"/>
  <c r="M1699" i="18"/>
  <c r="M1708" i="18"/>
  <c r="M1715" i="18"/>
  <c r="M1723" i="18"/>
  <c r="M1732" i="18"/>
  <c r="M1741" i="18"/>
  <c r="M1748" i="18"/>
  <c r="M1765" i="18"/>
  <c r="M1773" i="18"/>
  <c r="M1779" i="18"/>
  <c r="M1781" i="18"/>
  <c r="M1785" i="18"/>
  <c r="M1788" i="18"/>
  <c r="M10" i="18"/>
  <c r="M36" i="18"/>
  <c r="M75" i="18"/>
  <c r="M95" i="18"/>
  <c r="M106" i="18"/>
  <c r="M120" i="18"/>
  <c r="M137" i="18"/>
  <c r="M165" i="18"/>
  <c r="M205" i="18"/>
  <c r="M214" i="18"/>
  <c r="M238" i="18"/>
  <c r="M258" i="18"/>
  <c r="M280" i="18"/>
  <c r="M376" i="18"/>
  <c r="M405" i="18"/>
  <c r="M412" i="18"/>
  <c r="M413" i="18"/>
  <c r="M424" i="18"/>
  <c r="M437" i="18"/>
  <c r="M443" i="18"/>
  <c r="M453" i="18"/>
  <c r="M467" i="18"/>
  <c r="M478" i="18"/>
  <c r="M477" i="18"/>
  <c r="M490" i="18"/>
  <c r="M495" i="18"/>
  <c r="M497" i="18"/>
  <c r="M505" i="18"/>
  <c r="M507" i="18"/>
  <c r="M513" i="18"/>
  <c r="M525" i="18"/>
  <c r="M526" i="18"/>
  <c r="M532" i="18"/>
  <c r="M541" i="18"/>
  <c r="M577" i="18"/>
  <c r="M586" i="18"/>
  <c r="M593" i="18"/>
  <c r="M614" i="18"/>
  <c r="M620" i="18"/>
  <c r="M633" i="18"/>
  <c r="M672" i="18"/>
  <c r="M685" i="18"/>
  <c r="M686" i="18"/>
  <c r="M690" i="18"/>
  <c r="M710" i="18"/>
  <c r="M711" i="18"/>
  <c r="M714" i="18"/>
  <c r="M716" i="18"/>
  <c r="M728" i="18"/>
  <c r="M732" i="18"/>
  <c r="M736" i="18"/>
  <c r="M739" i="18"/>
  <c r="M742" i="18"/>
  <c r="M772" i="18"/>
  <c r="M774" i="18"/>
  <c r="M780" i="18"/>
  <c r="M783" i="18"/>
  <c r="M788" i="18"/>
  <c r="M799" i="18"/>
  <c r="M812" i="18"/>
  <c r="M849" i="18"/>
  <c r="M857" i="18"/>
  <c r="M862" i="18"/>
  <c r="M865" i="18"/>
  <c r="M879" i="18"/>
  <c r="M898" i="18"/>
  <c r="M910" i="18"/>
  <c r="M915" i="18"/>
  <c r="M922" i="18"/>
  <c r="M926" i="18"/>
  <c r="M930" i="18"/>
  <c r="M932" i="18"/>
  <c r="M934" i="18"/>
  <c r="M943" i="18"/>
  <c r="M952" i="18"/>
  <c r="M961" i="18"/>
  <c r="M996" i="18"/>
  <c r="M999" i="18"/>
  <c r="M1000" i="18"/>
  <c r="M1002" i="18"/>
  <c r="M1001" i="18"/>
  <c r="M1005" i="18"/>
  <c r="M1013" i="18"/>
  <c r="M1040" i="18"/>
  <c r="M1061" i="18"/>
  <c r="M1087" i="18"/>
  <c r="M1088" i="18"/>
  <c r="M1151" i="18"/>
  <c r="M1180" i="18"/>
  <c r="M1182" i="18"/>
  <c r="M1183" i="18"/>
  <c r="M1191" i="18"/>
  <c r="M1196" i="18"/>
  <c r="M1204" i="18"/>
  <c r="M1217" i="18"/>
  <c r="M1222" i="18"/>
  <c r="M1225" i="18"/>
  <c r="M1228" i="18"/>
  <c r="M1260" i="18"/>
  <c r="M1269" i="18"/>
  <c r="M1274" i="18"/>
  <c r="M1275" i="18"/>
  <c r="M1302" i="18"/>
  <c r="M1326" i="18"/>
  <c r="M1354" i="18"/>
  <c r="M1356" i="18"/>
  <c r="M1357" i="18"/>
  <c r="M1361" i="18"/>
  <c r="M1362" i="18"/>
  <c r="M1366" i="18"/>
  <c r="M1371" i="18"/>
  <c r="M1394" i="18"/>
  <c r="M1402" i="18"/>
  <c r="M1405" i="18"/>
  <c r="M1430" i="18"/>
  <c r="M1445" i="18"/>
  <c r="M1446" i="18"/>
  <c r="M1455" i="18"/>
  <c r="M1456" i="18"/>
  <c r="M1460" i="18"/>
  <c r="M1462" i="18"/>
  <c r="M1469" i="18"/>
  <c r="M1506" i="18"/>
  <c r="M1515" i="18"/>
  <c r="M1517" i="18"/>
  <c r="M1536" i="18"/>
  <c r="M1538" i="18"/>
  <c r="M1546" i="18"/>
  <c r="M1554" i="18"/>
  <c r="M1572" i="18"/>
  <c r="M1579" i="18"/>
  <c r="M1585" i="18"/>
  <c r="M1594" i="18"/>
  <c r="M1598" i="18"/>
  <c r="M1601" i="18"/>
  <c r="M1607" i="18"/>
  <c r="M1619" i="18"/>
  <c r="M1649" i="18"/>
  <c r="M1653" i="18"/>
  <c r="M1654" i="18"/>
  <c r="M1673" i="18"/>
  <c r="M1674" i="18"/>
  <c r="M1678" i="18"/>
  <c r="M1700" i="18"/>
  <c r="M1703" i="18"/>
  <c r="M1727" i="18"/>
  <c r="M1733" i="18"/>
  <c r="M1746" i="18"/>
  <c r="M1751" i="18"/>
  <c r="M1753" i="18"/>
  <c r="M1756" i="18"/>
  <c r="M1759" i="18"/>
  <c r="M1776" i="18"/>
  <c r="M1783" i="18"/>
  <c r="M1787" i="18"/>
  <c r="M1792" i="18"/>
  <c r="M1794" i="18"/>
  <c r="M2" i="18"/>
  <c r="M11" i="18"/>
  <c r="M18" i="18"/>
  <c r="M61" i="18"/>
  <c r="M66" i="18"/>
  <c r="M99" i="18"/>
  <c r="M101" i="18"/>
  <c r="M112" i="18"/>
  <c r="M149" i="18"/>
  <c r="M189" i="18"/>
  <c r="M200" i="18"/>
  <c r="M215" i="18"/>
  <c r="M229" i="18"/>
  <c r="M248" i="18"/>
  <c r="M254" i="18"/>
  <c r="M265" i="18"/>
  <c r="M273" i="18"/>
  <c r="M279" i="18"/>
  <c r="M293" i="18"/>
  <c r="M304" i="18"/>
  <c r="M306" i="18"/>
  <c r="M313" i="18"/>
  <c r="M317" i="18"/>
  <c r="M324" i="18"/>
  <c r="M333" i="18"/>
  <c r="M348" i="18"/>
  <c r="M355" i="18"/>
  <c r="M382" i="18"/>
  <c r="M387" i="18"/>
  <c r="M389" i="18"/>
  <c r="M426" i="18"/>
  <c r="M438" i="18"/>
  <c r="M447" i="18"/>
  <c r="M463" i="18"/>
  <c r="M469" i="18"/>
  <c r="M484" i="18"/>
  <c r="M487" i="18"/>
  <c r="M489" i="18"/>
  <c r="M496" i="18"/>
  <c r="M501" i="18"/>
  <c r="M517" i="18"/>
  <c r="M528" i="18"/>
  <c r="M531" i="18"/>
  <c r="M536" i="18"/>
  <c r="M562" i="18"/>
  <c r="M576" i="18"/>
  <c r="M630" i="18"/>
  <c r="M641" i="18"/>
  <c r="M643" i="18"/>
  <c r="M647" i="18"/>
  <c r="M649" i="18"/>
  <c r="M653" i="18"/>
  <c r="M674" i="18"/>
  <c r="M645" i="18"/>
  <c r="M692" i="18"/>
  <c r="M699" i="18"/>
  <c r="M740" i="18"/>
  <c r="M766" i="18"/>
  <c r="M775" i="18"/>
  <c r="M778" i="18"/>
  <c r="M784" i="18"/>
  <c r="M789" i="18"/>
  <c r="M790" i="18"/>
  <c r="M832" i="18"/>
  <c r="M837" i="18"/>
  <c r="M842" i="18"/>
  <c r="M845" i="18"/>
  <c r="M847" i="18"/>
  <c r="M860" i="18"/>
  <c r="M951" i="18"/>
  <c r="M1014" i="18"/>
  <c r="M1022" i="18"/>
  <c r="M1044" i="18"/>
  <c r="M1050" i="18"/>
  <c r="M1063" i="18"/>
  <c r="M1065" i="18"/>
  <c r="M1066" i="18"/>
  <c r="M1068" i="18"/>
  <c r="M1095" i="18"/>
  <c r="M1104" i="18"/>
  <c r="M1112" i="18"/>
  <c r="M1124" i="18"/>
  <c r="M1144" i="18"/>
  <c r="M1159" i="18"/>
  <c r="M1164" i="18"/>
  <c r="M1186" i="18"/>
  <c r="M1192" i="18"/>
  <c r="M1194" i="18"/>
  <c r="M1195" i="18"/>
  <c r="M1233" i="18"/>
  <c r="M1283" i="18"/>
  <c r="M1284" i="18"/>
  <c r="M1320" i="18"/>
  <c r="M1340" i="18"/>
  <c r="M1364" i="18"/>
  <c r="M1365" i="18"/>
  <c r="M1373" i="18"/>
  <c r="M1375" i="18"/>
  <c r="M1379" i="18"/>
  <c r="M1429" i="18"/>
  <c r="M1437" i="18"/>
  <c r="M1451" i="18"/>
  <c r="M1478" i="18"/>
  <c r="M1484" i="18"/>
  <c r="M1492" i="18"/>
  <c r="M1500" i="18"/>
  <c r="M1525" i="18"/>
  <c r="M1526" i="18"/>
  <c r="M1529" i="18"/>
  <c r="M1532" i="18"/>
  <c r="M1542" i="18"/>
  <c r="M1569" i="18"/>
  <c r="M1573" i="18"/>
  <c r="M1580" i="18"/>
  <c r="M1581" i="18"/>
  <c r="M1586" i="18"/>
  <c r="M1600" i="18"/>
  <c r="M1608" i="18"/>
  <c r="M1611" i="18"/>
  <c r="M1612" i="18"/>
  <c r="M1618" i="18"/>
  <c r="M1623" i="18"/>
  <c r="M1642" i="18"/>
  <c r="M1643" i="18"/>
  <c r="M1686" i="18"/>
  <c r="M1698" i="18"/>
  <c r="M1701" i="18"/>
  <c r="M1735" i="18"/>
  <c r="M1734" i="18"/>
  <c r="M1737" i="18"/>
  <c r="M1744" i="18"/>
  <c r="M1758" i="18"/>
  <c r="M1763" i="18"/>
  <c r="M1772" i="18"/>
  <c r="M1817" i="18"/>
  <c r="M1833" i="18"/>
  <c r="M7" i="18"/>
  <c r="M23" i="18"/>
  <c r="M26" i="18"/>
  <c r="M29" i="18"/>
  <c r="M32" i="18"/>
  <c r="M38" i="18"/>
  <c r="M41" i="18"/>
  <c r="M44" i="18"/>
  <c r="M53" i="18"/>
  <c r="M84" i="18"/>
  <c r="M86" i="18"/>
  <c r="M116" i="18"/>
  <c r="M130" i="18"/>
  <c r="M131" i="18"/>
  <c r="M136" i="18"/>
  <c r="M145" i="18"/>
  <c r="M195" i="18"/>
  <c r="M199" i="18"/>
  <c r="M202" i="18"/>
  <c r="M208" i="18"/>
  <c r="M219" i="18"/>
  <c r="M226" i="18"/>
  <c r="M247" i="18"/>
  <c r="M251" i="18"/>
  <c r="M261" i="18"/>
  <c r="M272" i="18"/>
  <c r="M282" i="18"/>
  <c r="M283" i="18"/>
  <c r="M291" i="18"/>
  <c r="M299" i="18"/>
  <c r="M334" i="18"/>
  <c r="M359" i="18"/>
  <c r="M373" i="18"/>
  <c r="M375" i="18"/>
  <c r="M383" i="18"/>
  <c r="M394" i="18"/>
  <c r="M401" i="18"/>
  <c r="M407" i="18"/>
  <c r="M421" i="18"/>
  <c r="M425" i="18"/>
  <c r="M432" i="18"/>
  <c r="M433" i="18"/>
  <c r="M434" i="18"/>
  <c r="M448" i="18"/>
  <c r="M457" i="18"/>
  <c r="M491" i="18"/>
  <c r="M564" i="18"/>
  <c r="M612" i="18"/>
  <c r="M610" i="18"/>
  <c r="M622" i="18"/>
  <c r="M639" i="18"/>
  <c r="M644" i="18"/>
  <c r="M665" i="18"/>
  <c r="M679" i="18"/>
  <c r="M707" i="18"/>
  <c r="M724" i="18"/>
  <c r="M729" i="18"/>
  <c r="M751" i="18"/>
  <c r="M763" i="18"/>
  <c r="M764" i="18"/>
  <c r="M771" i="18"/>
  <c r="M779" i="18"/>
  <c r="M787" i="18"/>
  <c r="M801" i="18"/>
  <c r="M815" i="18"/>
  <c r="M822" i="18"/>
  <c r="M827" i="18"/>
  <c r="M852" i="18"/>
  <c r="M859" i="18"/>
  <c r="M870" i="18"/>
  <c r="M876" i="18"/>
  <c r="M899" i="18"/>
  <c r="M911" i="18"/>
  <c r="M914" i="18"/>
  <c r="M920" i="18"/>
  <c r="M921" i="18"/>
  <c r="M931" i="18"/>
  <c r="M942" i="18"/>
  <c r="M944" i="18"/>
  <c r="M946" i="18"/>
  <c r="M949" i="18"/>
  <c r="M956" i="18"/>
  <c r="M964" i="18"/>
  <c r="M973" i="18"/>
  <c r="M992" i="18"/>
  <c r="M1031" i="18"/>
  <c r="M1032" i="18"/>
  <c r="M1037" i="18"/>
  <c r="M1070" i="18"/>
  <c r="M1075" i="18"/>
  <c r="M1086" i="18"/>
  <c r="M1090" i="18"/>
  <c r="M1091" i="18"/>
  <c r="M1115" i="18"/>
  <c r="M1132" i="18"/>
  <c r="M1133" i="18"/>
  <c r="M1150" i="18"/>
  <c r="M1154" i="18"/>
  <c r="M1156" i="18"/>
  <c r="M1169" i="18"/>
  <c r="M1174" i="18"/>
  <c r="M1179" i="18"/>
  <c r="M1193" i="18"/>
  <c r="M1197" i="18"/>
  <c r="M1226" i="18"/>
  <c r="M1238" i="18"/>
  <c r="M1252" i="18"/>
  <c r="M1258" i="18"/>
  <c r="M1266" i="18"/>
  <c r="M1267" i="18"/>
  <c r="M1272" i="18"/>
  <c r="M1279" i="18"/>
  <c r="M1286" i="18"/>
  <c r="M1291" i="18"/>
  <c r="M1323" i="18"/>
  <c r="M1325" i="18"/>
  <c r="M1327" i="18"/>
  <c r="M1346" i="18"/>
  <c r="M1396" i="18"/>
  <c r="M1398" i="18"/>
  <c r="M1417" i="18"/>
  <c r="M1421" i="18"/>
  <c r="M1431" i="18"/>
  <c r="M1434" i="18"/>
  <c r="M1436" i="18"/>
  <c r="M1467" i="18"/>
  <c r="M1527" i="18"/>
  <c r="M1534" i="18"/>
  <c r="M1544" i="18"/>
  <c r="M1560" i="18"/>
  <c r="M1564" i="18"/>
  <c r="M1577" i="18"/>
  <c r="M1589" i="18"/>
  <c r="M1603" i="18"/>
  <c r="M1628" i="18"/>
  <c r="M1630" i="18"/>
  <c r="M1647" i="18"/>
  <c r="M1656" i="18"/>
  <c r="M1655" i="18"/>
  <c r="M1657" i="18"/>
  <c r="M1667" i="18"/>
  <c r="M1702" i="18"/>
  <c r="M1709" i="18"/>
  <c r="M1747" i="18"/>
  <c r="M1757" i="18"/>
  <c r="M1761" i="18"/>
  <c r="M1766" i="18"/>
  <c r="M1767" i="18"/>
  <c r="M1780" i="18"/>
  <c r="M1784" i="18"/>
  <c r="M1804" i="18"/>
  <c r="M1805" i="18"/>
  <c r="M1806" i="18"/>
  <c r="M1810" i="18"/>
  <c r="M1812" i="18"/>
  <c r="M1820" i="18"/>
  <c r="M1824" i="18"/>
  <c r="M17" i="18"/>
  <c r="M19" i="18"/>
  <c r="M20" i="18"/>
  <c r="M21" i="18"/>
  <c r="M33" i="18"/>
  <c r="M52" i="18"/>
  <c r="M56" i="18"/>
  <c r="M64" i="18"/>
  <c r="M80" i="18"/>
  <c r="M90" i="18"/>
  <c r="M94" i="18"/>
  <c r="M100" i="18"/>
  <c r="M115" i="18"/>
  <c r="M142" i="18"/>
  <c r="M150" i="18"/>
  <c r="M185" i="18"/>
  <c r="M207" i="18"/>
  <c r="M217" i="18"/>
  <c r="M218" i="18"/>
  <c r="M220" i="18"/>
  <c r="M270" i="18"/>
  <c r="M278" i="18"/>
  <c r="M285" i="18"/>
  <c r="M288" i="18"/>
  <c r="M294" i="18"/>
  <c r="M319" i="18"/>
  <c r="M349" i="18"/>
  <c r="M356" i="18"/>
  <c r="M402" i="18"/>
  <c r="M417" i="18"/>
  <c r="M414" i="18"/>
  <c r="M419" i="18"/>
  <c r="M473" i="18"/>
  <c r="M488" i="18"/>
  <c r="M515" i="18"/>
  <c r="M521" i="18"/>
  <c r="M522" i="18"/>
  <c r="M538" i="18"/>
  <c r="M553" i="18"/>
  <c r="M555" i="18"/>
  <c r="M556" i="18"/>
  <c r="M559" i="18"/>
  <c r="M568" i="18"/>
  <c r="M569" i="18"/>
  <c r="M590" i="18"/>
  <c r="M618" i="18"/>
  <c r="M637" i="18"/>
  <c r="M654" i="18"/>
  <c r="M655" i="18"/>
  <c r="M662" i="18"/>
  <c r="M663" i="18"/>
  <c r="M664" i="18"/>
  <c r="M669" i="18"/>
  <c r="M687" i="18"/>
  <c r="M688" i="18"/>
  <c r="M700" i="18"/>
  <c r="M702" i="18"/>
  <c r="M701" i="18"/>
  <c r="M705" i="18"/>
  <c r="M720" i="18"/>
  <c r="M722" i="18"/>
  <c r="M726" i="18"/>
  <c r="M760" i="18"/>
  <c r="M762" i="18"/>
  <c r="M792" i="18"/>
  <c r="M793" i="18"/>
  <c r="M794" i="18"/>
  <c r="M795" i="18"/>
  <c r="M796" i="18"/>
  <c r="M800" i="18"/>
  <c r="M816" i="18"/>
  <c r="M817" i="18"/>
  <c r="M819" i="18"/>
  <c r="M854" i="18"/>
  <c r="M856" i="18"/>
  <c r="M867" i="18"/>
  <c r="M880" i="18"/>
  <c r="M886" i="18"/>
  <c r="M891" i="18"/>
  <c r="M897" i="18"/>
  <c r="M912" i="18"/>
  <c r="M928" i="18"/>
  <c r="M948" i="18"/>
  <c r="M967" i="18"/>
  <c r="M983" i="18"/>
  <c r="M994" i="18"/>
  <c r="M1012" i="18"/>
  <c r="M1029" i="18"/>
  <c r="M1035" i="18"/>
  <c r="M1098" i="18"/>
  <c r="M1100" i="18"/>
  <c r="M1110" i="18"/>
  <c r="M1130" i="18"/>
  <c r="M1145" i="18"/>
  <c r="M1207" i="18"/>
  <c r="M1209" i="18"/>
  <c r="M1221" i="18"/>
  <c r="M1255" i="18"/>
  <c r="M1264" i="18"/>
  <c r="M1301" i="18"/>
  <c r="M1313" i="18"/>
  <c r="M1314" i="18"/>
  <c r="M1321" i="18"/>
  <c r="M1322" i="18"/>
  <c r="M1336" i="18"/>
  <c r="M1344" i="18"/>
  <c r="M1359" i="18"/>
  <c r="M1391" i="18"/>
  <c r="M1426" i="18"/>
  <c r="M1432" i="18"/>
  <c r="M1433" i="18"/>
  <c r="M1438" i="18"/>
  <c r="M1470" i="18"/>
  <c r="M1480" i="18"/>
  <c r="M1488" i="18"/>
  <c r="M1504" i="18"/>
  <c r="M1511" i="18"/>
  <c r="M1516" i="18"/>
  <c r="M1520" i="18"/>
  <c r="M1558" i="18"/>
  <c r="M1575" i="18"/>
  <c r="M1587" i="18"/>
  <c r="M1634" i="18"/>
  <c r="M1637" i="18"/>
  <c r="M1651" i="18"/>
  <c r="M1666" i="18"/>
  <c r="M1671" i="18"/>
  <c r="M1694" i="18"/>
  <c r="M1695" i="18"/>
  <c r="M1696" i="18"/>
  <c r="M1706" i="18"/>
  <c r="M1730" i="18"/>
  <c r="M1749" i="18"/>
  <c r="M1770" i="18"/>
  <c r="M1771" i="18"/>
  <c r="M1789" i="18"/>
  <c r="M1793" i="18"/>
  <c r="M1797" i="18"/>
  <c r="M1813" i="18"/>
  <c r="M1814" i="18"/>
  <c r="M1822" i="18"/>
  <c r="M8" i="18"/>
  <c r="M16" i="18"/>
  <c r="M69" i="18"/>
  <c r="M71" i="18"/>
  <c r="M144" i="18"/>
  <c r="M151" i="18"/>
  <c r="M186" i="18"/>
  <c r="M191" i="18"/>
  <c r="M296" i="18"/>
  <c r="M322" i="18"/>
  <c r="M410" i="18"/>
  <c r="M452" i="18"/>
  <c r="M454" i="18"/>
  <c r="M509" i="18"/>
  <c r="M551" i="18"/>
  <c r="M566" i="18"/>
  <c r="M572" i="18"/>
  <c r="M592" i="18"/>
  <c r="M624" i="18"/>
  <c r="M635" i="18"/>
  <c r="M668" i="18"/>
  <c r="M684" i="18"/>
  <c r="M734" i="18"/>
  <c r="M749" i="18"/>
  <c r="M755" i="18"/>
  <c r="M757" i="18"/>
  <c r="M765" i="18"/>
  <c r="M782" i="18"/>
  <c r="M818" i="18"/>
  <c r="M839" i="18"/>
  <c r="M888" i="18"/>
  <c r="M908" i="18"/>
  <c r="M986" i="18"/>
  <c r="M1041" i="18"/>
  <c r="M1077" i="18"/>
  <c r="M1079" i="18"/>
  <c r="M1099" i="18"/>
  <c r="M1107" i="18"/>
  <c r="M1114" i="18"/>
  <c r="M1161" i="18"/>
  <c r="M1170" i="18"/>
  <c r="M1229" i="18"/>
  <c r="M1289" i="18"/>
  <c r="M1350" i="18"/>
  <c r="M1448" i="18"/>
  <c r="M1471" i="18"/>
  <c r="M1485" i="18"/>
  <c r="M1566" i="18"/>
  <c r="M1617" i="18"/>
  <c r="M1687" i="18"/>
  <c r="M1717" i="18"/>
  <c r="M1755" i="18"/>
  <c r="M1791" i="18"/>
  <c r="M1798" i="18"/>
  <c r="M9" i="18"/>
  <c r="M12" i="18"/>
  <c r="M43" i="18"/>
  <c r="M55" i="18"/>
  <c r="M70" i="18"/>
  <c r="M85" i="18"/>
  <c r="M113" i="18"/>
  <c r="M152" i="18"/>
  <c r="M206" i="18"/>
  <c r="M212" i="18"/>
  <c r="M227" i="18"/>
  <c r="M228" i="18"/>
  <c r="M234" i="18"/>
  <c r="M249" i="18"/>
  <c r="M267" i="18"/>
  <c r="M274" i="18"/>
  <c r="M316" i="18"/>
  <c r="M336" i="18"/>
  <c r="M340" i="18"/>
  <c r="M346" i="18"/>
  <c r="M372" i="18"/>
  <c r="M374" i="18"/>
  <c r="M369" i="18"/>
  <c r="M415" i="18"/>
  <c r="M422" i="18"/>
  <c r="M459" i="18"/>
  <c r="M461" i="18"/>
  <c r="M493" i="18"/>
  <c r="M502" i="18"/>
  <c r="M552" i="18"/>
  <c r="M579" i="18"/>
  <c r="M585" i="18"/>
  <c r="M607" i="18"/>
  <c r="M642" i="18"/>
  <c r="M650" i="18"/>
  <c r="M670" i="18"/>
  <c r="M681" i="18"/>
  <c r="M727" i="18"/>
  <c r="M767" i="18"/>
  <c r="M770" i="18"/>
  <c r="M791" i="18"/>
  <c r="M836" i="18"/>
  <c r="M892" i="18"/>
  <c r="M896" i="18"/>
  <c r="M933" i="18"/>
  <c r="M945" i="18"/>
  <c r="M1023" i="18"/>
  <c r="M1073" i="18"/>
  <c r="M1081" i="18"/>
  <c r="M1085" i="18"/>
  <c r="M1120" i="18"/>
  <c r="M1126" i="18"/>
  <c r="M1129" i="18"/>
  <c r="M1135" i="18"/>
  <c r="M1155" i="18"/>
  <c r="M1165" i="18"/>
  <c r="M1172" i="18"/>
  <c r="M1220" i="18"/>
  <c r="M1243" i="18"/>
  <c r="M1261" i="18"/>
  <c r="M1294" i="18"/>
  <c r="M1298" i="18"/>
  <c r="M1304" i="18"/>
  <c r="M1316" i="18"/>
  <c r="M1347" i="18"/>
  <c r="M1363" i="18"/>
  <c r="M1389" i="18"/>
  <c r="M1390" i="18"/>
  <c r="M1399" i="18"/>
  <c r="M1425" i="18"/>
  <c r="M1441" i="18"/>
  <c r="M1459" i="18"/>
  <c r="M1468" i="18"/>
  <c r="M1493" i="18"/>
  <c r="M1522" i="18"/>
  <c r="M1533" i="18"/>
  <c r="M1553" i="18"/>
  <c r="M1565" i="18"/>
  <c r="M1593" i="18"/>
  <c r="M1648" i="18"/>
  <c r="M1658" i="18"/>
  <c r="M1676" i="18"/>
  <c r="M1679" i="18"/>
  <c r="M1713" i="18"/>
  <c r="M1800" i="18"/>
  <c r="M1801" i="18"/>
  <c r="M1827" i="18"/>
  <c r="M24" i="18"/>
  <c r="M25" i="18"/>
  <c r="M46" i="18"/>
  <c r="M48" i="18"/>
  <c r="M65" i="18"/>
  <c r="M73" i="18"/>
  <c r="M79" i="18"/>
  <c r="M109" i="18"/>
  <c r="M132" i="18"/>
  <c r="M135" i="18"/>
  <c r="M160" i="18"/>
  <c r="M161" i="18"/>
  <c r="M164" i="18"/>
  <c r="M231" i="18"/>
  <c r="M241" i="18"/>
  <c r="M250" i="18"/>
  <c r="M257" i="18"/>
  <c r="M277" i="18"/>
  <c r="M314" i="18"/>
  <c r="M321" i="18"/>
  <c r="M342" i="18"/>
  <c r="M351" i="18"/>
  <c r="M370" i="18"/>
  <c r="M371" i="18"/>
  <c r="M390" i="18"/>
  <c r="M440" i="18"/>
  <c r="M442" i="18"/>
  <c r="M444" i="18"/>
  <c r="M445" i="18"/>
  <c r="M446" i="18"/>
  <c r="M471" i="18"/>
  <c r="M481" i="18"/>
  <c r="M482" i="18"/>
  <c r="M486" i="18"/>
  <c r="M530" i="18"/>
  <c r="M539" i="18"/>
  <c r="M563" i="18"/>
  <c r="M571" i="18"/>
  <c r="M583" i="18"/>
  <c r="M602" i="18"/>
  <c r="M605" i="18"/>
  <c r="M608" i="18"/>
  <c r="M628" i="18"/>
  <c r="M658" i="18"/>
  <c r="M659" i="18"/>
  <c r="M673" i="18"/>
  <c r="M693" i="18"/>
  <c r="M697" i="18"/>
  <c r="M713" i="18"/>
  <c r="M718" i="18"/>
  <c r="M723" i="18"/>
  <c r="M725" i="18"/>
  <c r="M738" i="18"/>
  <c r="M741" i="18"/>
  <c r="M754" i="18"/>
  <c r="M813" i="18"/>
  <c r="M821" i="18"/>
  <c r="M853" i="18"/>
  <c r="M855" i="18"/>
  <c r="M866" i="18"/>
  <c r="M871" i="18"/>
  <c r="M873" i="18"/>
  <c r="M905" i="18"/>
  <c r="M965" i="18"/>
  <c r="M966" i="18"/>
  <c r="M972" i="18"/>
  <c r="M985" i="18"/>
  <c r="M1004" i="18"/>
  <c r="M1043" i="18"/>
  <c r="M1056" i="18"/>
  <c r="M1128" i="18"/>
  <c r="M1139" i="18"/>
  <c r="M1141" i="18"/>
  <c r="M1147" i="18"/>
  <c r="M1160" i="18"/>
  <c r="M1163" i="18"/>
  <c r="M1185" i="18"/>
  <c r="M1215" i="18"/>
  <c r="M1227" i="18"/>
  <c r="M1247" i="18"/>
  <c r="M1254" i="18"/>
  <c r="M1262" i="18"/>
  <c r="M1268" i="18"/>
  <c r="M1281" i="18"/>
  <c r="M1288" i="18"/>
  <c r="M1303" i="18"/>
  <c r="M1339" i="18"/>
  <c r="M1342" i="18"/>
  <c r="M1351" i="18"/>
  <c r="M1353" i="18"/>
  <c r="M1374" i="18"/>
  <c r="M1376" i="18"/>
  <c r="M1388" i="18"/>
  <c r="M1411" i="18"/>
  <c r="M1415" i="18"/>
  <c r="M1418" i="18"/>
  <c r="M1443" i="18"/>
  <c r="M1466" i="18"/>
  <c r="M1472" i="18"/>
  <c r="M1482" i="18"/>
  <c r="M1489" i="18"/>
  <c r="M1494" i="18"/>
  <c r="M1501" i="18"/>
  <c r="M1535" i="18"/>
  <c r="M1539" i="18"/>
  <c r="M1591" i="18"/>
  <c r="M1606" i="18"/>
  <c r="M1629" i="18"/>
  <c r="M1632" i="18"/>
  <c r="M1639" i="18"/>
  <c r="M1640" i="18"/>
  <c r="M1645" i="18"/>
  <c r="M1681" i="18"/>
  <c r="M1693" i="18"/>
  <c r="M1774" i="18"/>
  <c r="M1778" i="18"/>
  <c r="M1818" i="18"/>
  <c r="M1819" i="18"/>
  <c r="M34" i="18"/>
  <c r="M104" i="18"/>
  <c r="M107" i="18"/>
  <c r="M108" i="18"/>
  <c r="M121" i="18"/>
  <c r="M166" i="18"/>
  <c r="M167" i="18"/>
  <c r="M182" i="18"/>
  <c r="M197" i="18"/>
  <c r="M201" i="18"/>
  <c r="M223" i="18"/>
  <c r="M259" i="18"/>
  <c r="M262" i="18"/>
  <c r="M338" i="18"/>
  <c r="M397" i="18"/>
  <c r="M398" i="18"/>
  <c r="M427" i="18"/>
  <c r="M428" i="18"/>
  <c r="M431" i="18"/>
  <c r="M458" i="18"/>
  <c r="M511" i="18"/>
  <c r="M523" i="18"/>
  <c r="M574" i="18"/>
  <c r="M587" i="18"/>
  <c r="M596" i="18"/>
  <c r="M617" i="18"/>
  <c r="M636" i="18"/>
  <c r="M682" i="18"/>
  <c r="M696" i="18"/>
  <c r="M773" i="18"/>
  <c r="M798" i="18"/>
  <c r="M889" i="18"/>
  <c r="M971" i="18"/>
  <c r="M987" i="18"/>
  <c r="M1011" i="18"/>
  <c r="M1045" i="18"/>
  <c r="M1067" i="18"/>
  <c r="M1096" i="18"/>
  <c r="M1101" i="18"/>
  <c r="M1102" i="18"/>
  <c r="M1134" i="18"/>
  <c r="M1230" i="18"/>
  <c r="M1248" i="18"/>
  <c r="M1293" i="18"/>
  <c r="M1297" i="18"/>
  <c r="M1299" i="18"/>
  <c r="M1300" i="18"/>
  <c r="M1352" i="18"/>
  <c r="M1360" i="18"/>
  <c r="M1380" i="18"/>
  <c r="M1381" i="18"/>
  <c r="M1393" i="18"/>
  <c r="M1409" i="18"/>
  <c r="M1420" i="18"/>
  <c r="M1422" i="18"/>
  <c r="M1449" i="18"/>
  <c r="M1473" i="18"/>
  <c r="M1552" i="18"/>
  <c r="M1562" i="18"/>
  <c r="M1567" i="18"/>
  <c r="M1599" i="18"/>
  <c r="M1625" i="18"/>
  <c r="M1626" i="18"/>
  <c r="M1627" i="18"/>
  <c r="M1652" i="18"/>
  <c r="M1659" i="18"/>
  <c r="M1688" i="18"/>
  <c r="M1710" i="18"/>
  <c r="M1711" i="18"/>
  <c r="M1720" i="18"/>
  <c r="M1729" i="18"/>
  <c r="M1811" i="18"/>
  <c r="M1825" i="18"/>
  <c r="M27" i="18"/>
  <c r="M35" i="18"/>
  <c r="M40" i="18"/>
  <c r="M57" i="18"/>
  <c r="M63" i="18"/>
  <c r="M67" i="18"/>
  <c r="M72" i="18"/>
  <c r="M88" i="18"/>
  <c r="M92" i="18"/>
  <c r="M117" i="18"/>
  <c r="M153" i="18"/>
  <c r="M158" i="18"/>
  <c r="M162" i="18"/>
  <c r="M184" i="18"/>
  <c r="M203" i="18"/>
  <c r="M210" i="18"/>
  <c r="M213" i="18"/>
  <c r="M233" i="18"/>
  <c r="M235" i="18"/>
  <c r="M237" i="18"/>
  <c r="M255" i="18"/>
  <c r="M256" i="18"/>
  <c r="M271" i="18"/>
  <c r="M275" i="18"/>
  <c r="M284" i="18"/>
  <c r="M315" i="18"/>
  <c r="M328" i="18"/>
  <c r="M330" i="18"/>
  <c r="M339" i="18"/>
  <c r="M341" i="18"/>
  <c r="M365" i="18"/>
  <c r="M368" i="18"/>
  <c r="M380" i="18"/>
  <c r="M385" i="18"/>
  <c r="M386" i="18"/>
  <c r="M395" i="18"/>
  <c r="M411" i="18"/>
  <c r="M416" i="18"/>
  <c r="M418" i="18"/>
  <c r="M435" i="18"/>
  <c r="M441" i="18"/>
  <c r="M449" i="18"/>
  <c r="M464" i="18"/>
  <c r="M474" i="18"/>
  <c r="M476" i="18"/>
  <c r="M494" i="18"/>
  <c r="M498" i="18"/>
  <c r="M504" i="18"/>
  <c r="M514" i="18"/>
  <c r="M543" i="18"/>
  <c r="M548" i="18"/>
  <c r="M597" i="18"/>
  <c r="M611" i="18"/>
  <c r="M615" i="18"/>
  <c r="M627" i="18"/>
  <c r="M640" i="18"/>
  <c r="M648" i="18"/>
  <c r="M656" i="18"/>
  <c r="M680" i="18"/>
  <c r="M691" i="18"/>
  <c r="M703" i="18"/>
  <c r="M735" i="18"/>
  <c r="M759" i="18"/>
  <c r="M761" i="18"/>
  <c r="M814" i="18"/>
  <c r="M838" i="18"/>
  <c r="M843" i="18"/>
  <c r="M874" i="18"/>
  <c r="M882" i="18"/>
  <c r="M887" i="18"/>
  <c r="M894" i="18"/>
  <c r="M901" i="18"/>
  <c r="M907" i="18"/>
  <c r="M918" i="18"/>
  <c r="M936" i="18"/>
  <c r="M957" i="18"/>
  <c r="M959" i="18"/>
  <c r="M962" i="18"/>
  <c r="M977" i="18"/>
  <c r="M978" i="18"/>
  <c r="M988" i="18"/>
  <c r="M995" i="18"/>
  <c r="M1009" i="18"/>
  <c r="M1021" i="18"/>
  <c r="M1024" i="18"/>
  <c r="M1030" i="18"/>
  <c r="M1051" i="18"/>
  <c r="M1071" i="18"/>
  <c r="M1078" i="18"/>
  <c r="M1080" i="18"/>
  <c r="M1089" i="18"/>
  <c r="M1111" i="18"/>
  <c r="M1119" i="18"/>
  <c r="M1137" i="18"/>
  <c r="M1158" i="18"/>
  <c r="M1166" i="18"/>
  <c r="M1173" i="18"/>
  <c r="M1205" i="18"/>
  <c r="M1223" i="18"/>
  <c r="M1236" i="18"/>
  <c r="M1241" i="18"/>
  <c r="M1270" i="18"/>
  <c r="M1273" i="18"/>
  <c r="M1287" i="18"/>
  <c r="M1317" i="18"/>
  <c r="M1324" i="18"/>
  <c r="M1328" i="18"/>
  <c r="M1329" i="18"/>
  <c r="M1330" i="18"/>
  <c r="M1331" i="18"/>
  <c r="M1333" i="18"/>
  <c r="M1345" i="18"/>
  <c r="M1378" i="18"/>
  <c r="M1384" i="18"/>
  <c r="M1385" i="18"/>
  <c r="M1392" i="18"/>
  <c r="M1414" i="18"/>
  <c r="M1423" i="18"/>
  <c r="M1424" i="18"/>
  <c r="M1440" i="18"/>
  <c r="M1450" i="18"/>
  <c r="M1457" i="18"/>
  <c r="M1458" i="18"/>
  <c r="M1464" i="18"/>
  <c r="M1475" i="18"/>
  <c r="M1490" i="18"/>
  <c r="M1502" i="18"/>
  <c r="M1505" i="18"/>
  <c r="M1508" i="18"/>
  <c r="M1528" i="18"/>
  <c r="M1545" i="18"/>
  <c r="M1556" i="18"/>
  <c r="M1561" i="18"/>
  <c r="M1563" i="18"/>
  <c r="M1584" i="18"/>
  <c r="M1590" i="18"/>
  <c r="M1597" i="18"/>
  <c r="M1631" i="18"/>
  <c r="M1663" i="18"/>
  <c r="M1668" i="18"/>
  <c r="M1682" i="18"/>
  <c r="M1689" i="18"/>
  <c r="M1705" i="18"/>
  <c r="M1712" i="18"/>
  <c r="M1725" i="18"/>
  <c r="M1742" i="18"/>
  <c r="M1754" i="18"/>
  <c r="M1775" i="18"/>
  <c r="M1777" i="18"/>
  <c r="M1807" i="18"/>
  <c r="M1821" i="18"/>
  <c r="M1826" i="18"/>
  <c r="M1828" i="18"/>
  <c r="M1831" i="18"/>
  <c r="M49" i="18"/>
  <c r="M77" i="18"/>
  <c r="M82" i="18"/>
  <c r="M96" i="18"/>
  <c r="M134" i="18"/>
  <c r="M148" i="18"/>
  <c r="M168" i="18"/>
  <c r="M268" i="18"/>
  <c r="M295" i="18"/>
  <c r="M301" i="18"/>
  <c r="M325" i="18"/>
  <c r="M337" i="18"/>
  <c r="M367" i="18"/>
  <c r="M399" i="18"/>
  <c r="M403" i="18"/>
  <c r="M460" i="18"/>
  <c r="M468" i="18"/>
  <c r="M475" i="18"/>
  <c r="M512" i="18"/>
  <c r="M570" i="18"/>
  <c r="M657" i="18"/>
  <c r="M660" i="18"/>
  <c r="M678" i="18"/>
  <c r="M694" i="18"/>
  <c r="M717" i="18"/>
  <c r="M752" i="18"/>
  <c r="M809" i="18"/>
  <c r="M861" i="18"/>
  <c r="M881" i="18"/>
  <c r="M890" i="18"/>
  <c r="M895" i="18"/>
  <c r="M927" i="18"/>
  <c r="M958" i="18"/>
  <c r="M976" i="18"/>
  <c r="M993" i="18"/>
  <c r="M1006" i="18"/>
  <c r="M1033" i="18"/>
  <c r="M1047" i="18"/>
  <c r="M1105" i="18"/>
  <c r="M1116" i="18"/>
  <c r="M1121" i="18"/>
  <c r="M1136" i="18"/>
  <c r="M1206" i="18"/>
  <c r="M1210" i="18"/>
  <c r="M1285" i="18"/>
  <c r="M1296" i="18"/>
  <c r="M1386" i="18"/>
  <c r="M1413" i="18"/>
  <c r="M1481" i="18"/>
  <c r="M1486" i="18"/>
  <c r="M1503" i="18"/>
  <c r="M1518" i="18"/>
  <c r="M1549" i="18"/>
  <c r="M1574" i="18"/>
  <c r="M1604" i="18"/>
  <c r="M1646" i="18"/>
  <c r="M1662" i="18"/>
  <c r="M1691" i="18"/>
  <c r="M1722" i="18"/>
  <c r="M1738" i="18"/>
  <c r="M1740" i="18"/>
  <c r="M1796" i="18"/>
  <c r="M1802" i="18"/>
  <c r="M1832" i="18"/>
  <c r="M22" i="18"/>
  <c r="M37" i="18"/>
  <c r="M45" i="18"/>
  <c r="M68" i="18"/>
  <c r="M102" i="18"/>
  <c r="M141" i="18"/>
  <c r="M155" i="18"/>
  <c r="M157" i="18"/>
  <c r="M183" i="18"/>
  <c r="M196" i="18"/>
  <c r="M198" i="18"/>
  <c r="M232" i="18"/>
  <c r="M281" i="18"/>
  <c r="M332" i="18"/>
  <c r="M381" i="18"/>
  <c r="M392" i="18"/>
  <c r="M400" i="18"/>
  <c r="M409" i="18"/>
  <c r="M430" i="18"/>
  <c r="M462" i="18"/>
  <c r="M506" i="18"/>
  <c r="M542" i="18"/>
  <c r="M550" i="18"/>
  <c r="M567" i="18"/>
  <c r="M580" i="18"/>
  <c r="M589" i="18"/>
  <c r="M638" i="18"/>
  <c r="M651" i="18"/>
  <c r="M695" i="18"/>
  <c r="M698" i="18"/>
  <c r="M704" i="18"/>
  <c r="M708" i="18"/>
  <c r="M730" i="18"/>
  <c r="M746" i="18"/>
  <c r="M756" i="18"/>
  <c r="M820" i="18"/>
  <c r="M831" i="18"/>
  <c r="M883" i="18"/>
  <c r="M900" i="18"/>
  <c r="M902" i="18"/>
  <c r="M906" i="18"/>
  <c r="M935" i="18"/>
  <c r="M938" i="18"/>
  <c r="M954" i="18"/>
  <c r="M975" i="18"/>
  <c r="M984" i="18"/>
  <c r="M989" i="18"/>
  <c r="M990" i="18"/>
  <c r="M991" i="18"/>
  <c r="M1048" i="18"/>
  <c r="M1049" i="18"/>
  <c r="M1053" i="18"/>
  <c r="M1055" i="18"/>
  <c r="M1064" i="18"/>
  <c r="M1127" i="18"/>
  <c r="M1138" i="18"/>
  <c r="M1140" i="18"/>
  <c r="M1178" i="18"/>
  <c r="M1184" i="18"/>
  <c r="M1202" i="18"/>
  <c r="M1218" i="18"/>
  <c r="M1219" i="18"/>
  <c r="M1234" i="18"/>
  <c r="M1253" i="18"/>
  <c r="M1256" i="18"/>
  <c r="M1271" i="18"/>
  <c r="M1277" i="18"/>
  <c r="M1308" i="18"/>
  <c r="M1312" i="18"/>
  <c r="M1319" i="18"/>
  <c r="M1337" i="18"/>
  <c r="M1395" i="18"/>
  <c r="M1428" i="18"/>
  <c r="M1483" i="18"/>
  <c r="M1487" i="18"/>
  <c r="M1495" i="18"/>
  <c r="M1497" i="18"/>
  <c r="M1519" i="18"/>
  <c r="M1557" i="18"/>
  <c r="M1615" i="18"/>
  <c r="M1660" i="18"/>
  <c r="M1670" i="18"/>
  <c r="M1675" i="18"/>
  <c r="M1680" i="18"/>
  <c r="M1716" i="18"/>
  <c r="M1731" i="18"/>
  <c r="M1782" i="18"/>
  <c r="M1790" i="18"/>
  <c r="M1799" i="18"/>
  <c r="M1823" i="18"/>
  <c r="D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B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F81" i="18"/>
  <c r="F89" i="18"/>
  <c r="F91" i="18"/>
  <c r="F97" i="18"/>
  <c r="F103" i="18"/>
  <c r="F122" i="18"/>
  <c r="F146" i="18"/>
  <c r="F156" i="18"/>
  <c r="F163" i="18"/>
  <c r="F187" i="18"/>
  <c r="F194" i="18"/>
  <c r="F204" i="18"/>
  <c r="F221" i="18"/>
  <c r="F230" i="18"/>
  <c r="F244" i="18"/>
  <c r="F292" i="18"/>
  <c r="F300" i="18"/>
  <c r="F352" i="18"/>
  <c r="F396" i="18"/>
  <c r="F408" i="18"/>
  <c r="F420" i="18"/>
  <c r="F451" i="18"/>
  <c r="F483" i="18"/>
  <c r="F519" i="18"/>
  <c r="F520" i="18"/>
  <c r="F524" i="18"/>
  <c r="F534" i="18"/>
  <c r="F537" i="18"/>
  <c r="F546" i="18"/>
  <c r="F609" i="18"/>
  <c r="F613" i="18"/>
  <c r="F623" i="18"/>
  <c r="F631" i="18"/>
  <c r="F652" i="18"/>
  <c r="F667" i="18"/>
  <c r="F683" i="18"/>
  <c r="F706" i="18"/>
  <c r="F712" i="18"/>
  <c r="F721" i="18"/>
  <c r="F769" i="18"/>
  <c r="F781" i="18"/>
  <c r="F802" i="18"/>
  <c r="F810" i="18"/>
  <c r="F834" i="18"/>
  <c r="F850" i="18"/>
  <c r="F868" i="18"/>
  <c r="F869" i="18"/>
  <c r="F919" i="18"/>
  <c r="F923" i="18"/>
  <c r="F939" i="18"/>
  <c r="F940" i="18"/>
  <c r="F969" i="18"/>
  <c r="F1019" i="18"/>
  <c r="F1025" i="18"/>
  <c r="F1046" i="18"/>
  <c r="F1060" i="18"/>
  <c r="F1069" i="18"/>
  <c r="F1072" i="18"/>
  <c r="F1076" i="18"/>
  <c r="F1106" i="18"/>
  <c r="F1109" i="18"/>
  <c r="F1117" i="18"/>
  <c r="F1125" i="18"/>
  <c r="F1146" i="18"/>
  <c r="F1162" i="18"/>
  <c r="F1181" i="18"/>
  <c r="F1187" i="18"/>
  <c r="F1188" i="18"/>
  <c r="F1208" i="18"/>
  <c r="F1211" i="18"/>
  <c r="F1250" i="18"/>
  <c r="F1251" i="18"/>
  <c r="F1265" i="18"/>
  <c r="F1368" i="18"/>
  <c r="F1370" i="18"/>
  <c r="F1382" i="18"/>
  <c r="F1407" i="18"/>
  <c r="F1427" i="18"/>
  <c r="F1447" i="18"/>
  <c r="F1461" i="18"/>
  <c r="F1465" i="18"/>
  <c r="F1476" i="18"/>
  <c r="F1491" i="18"/>
  <c r="F1498" i="18"/>
  <c r="F1510" i="18"/>
  <c r="F1537" i="18"/>
  <c r="F1550" i="18"/>
  <c r="F1588" i="18"/>
  <c r="F1595" i="18"/>
  <c r="F1707" i="18"/>
  <c r="F1719" i="18"/>
  <c r="F1830" i="18"/>
  <c r="F6" i="18"/>
  <c r="F13" i="18"/>
  <c r="F14" i="18"/>
  <c r="F28" i="18"/>
  <c r="F47" i="18"/>
  <c r="F58" i="18"/>
  <c r="F83" i="18"/>
  <c r="F87" i="18"/>
  <c r="F98" i="18"/>
  <c r="F133" i="18"/>
  <c r="F138" i="18"/>
  <c r="F139" i="18"/>
  <c r="F140" i="18"/>
  <c r="F209" i="18"/>
  <c r="F216" i="18"/>
  <c r="F224" i="18"/>
  <c r="F236" i="18"/>
  <c r="F260" i="18"/>
  <c r="F286" i="18"/>
  <c r="F287" i="18"/>
  <c r="F305" i="18"/>
  <c r="F308" i="18"/>
  <c r="F331" i="18"/>
  <c r="F343" i="18"/>
  <c r="F353" i="18"/>
  <c r="F354" i="18"/>
  <c r="F363" i="18"/>
  <c r="F366" i="18"/>
  <c r="F378" i="18"/>
  <c r="F466" i="18"/>
  <c r="F472" i="18"/>
  <c r="F503" i="18"/>
  <c r="F535" i="18"/>
  <c r="F549" i="18"/>
  <c r="F578" i="18"/>
  <c r="F584" i="18"/>
  <c r="F601" i="18"/>
  <c r="F604" i="18"/>
  <c r="F621" i="18"/>
  <c r="F625" i="18"/>
  <c r="F629" i="18"/>
  <c r="F634" i="18"/>
  <c r="F646" i="18"/>
  <c r="F666" i="18"/>
  <c r="F689" i="18"/>
  <c r="F733" i="18"/>
  <c r="F747" i="18"/>
  <c r="F768" i="18"/>
  <c r="F777" i="18"/>
  <c r="F786" i="18"/>
  <c r="F803" i="18"/>
  <c r="F805" i="18"/>
  <c r="F823" i="18"/>
  <c r="F824" i="18"/>
  <c r="F826" i="18"/>
  <c r="F828" i="18"/>
  <c r="F829" i="18"/>
  <c r="F851" i="18"/>
  <c r="F858" i="18"/>
  <c r="F878" i="18"/>
  <c r="F904" i="18"/>
  <c r="F917" i="18"/>
  <c r="F924" i="18"/>
  <c r="F955" i="18"/>
  <c r="F960" i="18"/>
  <c r="F981" i="18"/>
  <c r="F1008" i="18"/>
  <c r="F1017" i="18"/>
  <c r="F1038" i="18"/>
  <c r="F1042" i="18"/>
  <c r="F1074" i="18"/>
  <c r="F1097" i="18"/>
  <c r="F1113" i="18"/>
  <c r="F1131" i="18"/>
  <c r="F1157" i="18"/>
  <c r="F1167" i="18"/>
  <c r="F1176" i="18"/>
  <c r="F1189" i="18"/>
  <c r="F1190" i="18"/>
  <c r="F1198" i="18"/>
  <c r="F1231" i="18"/>
  <c r="F1232" i="18"/>
  <c r="F1235" i="18"/>
  <c r="F1237" i="18"/>
  <c r="F1242" i="18"/>
  <c r="F1263" i="18"/>
  <c r="F1292" i="18"/>
  <c r="F1307" i="18"/>
  <c r="F1310" i="18"/>
  <c r="F1315" i="18"/>
  <c r="F1338" i="18"/>
  <c r="F1341" i="18"/>
  <c r="F1343" i="18"/>
  <c r="F1355" i="18"/>
  <c r="F1404" i="18"/>
  <c r="F1439" i="18"/>
  <c r="F1442" i="18"/>
  <c r="F1477" i="18"/>
  <c r="F1499" i="18"/>
  <c r="F1507" i="18"/>
  <c r="F1514" i="18"/>
  <c r="F1524" i="18"/>
  <c r="F1521" i="18"/>
  <c r="F1530" i="18"/>
  <c r="F1540" i="18"/>
  <c r="F1555" i="18"/>
  <c r="F1570" i="18"/>
  <c r="F1576" i="18"/>
  <c r="F1578" i="18"/>
  <c r="F1583" i="18"/>
  <c r="F1614" i="18"/>
  <c r="F1624" i="18"/>
  <c r="F1633" i="18"/>
  <c r="F1636" i="18"/>
  <c r="F1669" i="18"/>
  <c r="F1685" i="18"/>
  <c r="F1690" i="18"/>
  <c r="F1692" i="18"/>
  <c r="F1714" i="18"/>
  <c r="F1718" i="18"/>
  <c r="F1721" i="18"/>
  <c r="F1726" i="18"/>
  <c r="F1745" i="18"/>
  <c r="F1750" i="18"/>
  <c r="F1752" i="18"/>
  <c r="F1760" i="18"/>
  <c r="F1762" i="18"/>
  <c r="F1764" i="18"/>
  <c r="F1786" i="18"/>
  <c r="F1803" i="18"/>
  <c r="F1815" i="18"/>
  <c r="F1829" i="18"/>
  <c r="F74" i="18"/>
  <c r="F170" i="18"/>
  <c r="F193" i="18"/>
  <c r="F239" i="18"/>
  <c r="F252" i="18"/>
  <c r="F264" i="18"/>
  <c r="F298" i="18"/>
  <c r="F307" i="18"/>
  <c r="F310" i="18"/>
  <c r="F326" i="18"/>
  <c r="F345" i="18"/>
  <c r="F344" i="18"/>
  <c r="F393" i="18"/>
  <c r="F465" i="18"/>
  <c r="F470" i="18"/>
  <c r="F485" i="18"/>
  <c r="F533" i="18"/>
  <c r="F544" i="18"/>
  <c r="F545" i="18"/>
  <c r="F561" i="18"/>
  <c r="F581" i="18"/>
  <c r="F599" i="18"/>
  <c r="F600" i="18"/>
  <c r="F743" i="18"/>
  <c r="F744" i="18"/>
  <c r="F745" i="18"/>
  <c r="F776" i="18"/>
  <c r="F806" i="18"/>
  <c r="F807" i="18"/>
  <c r="F830" i="18"/>
  <c r="F840" i="18"/>
  <c r="F841" i="18"/>
  <c r="F877" i="18"/>
  <c r="F968" i="18"/>
  <c r="F1016" i="18"/>
  <c r="F1123" i="18"/>
  <c r="F1149" i="18"/>
  <c r="F1152" i="18"/>
  <c r="F1153" i="18"/>
  <c r="F1171" i="18"/>
  <c r="F1318" i="18"/>
  <c r="F1387" i="18"/>
  <c r="F1444" i="18"/>
  <c r="F1496" i="18"/>
  <c r="F1512" i="18"/>
  <c r="F1523" i="18"/>
  <c r="F1613" i="18"/>
  <c r="F1635" i="18"/>
  <c r="F1661" i="18"/>
  <c r="F4" i="18"/>
  <c r="F15" i="18"/>
  <c r="F42" i="18"/>
  <c r="F59" i="18"/>
  <c r="F60" i="18"/>
  <c r="F93" i="18"/>
  <c r="F111" i="18"/>
  <c r="F114" i="18"/>
  <c r="F118" i="18"/>
  <c r="F123" i="18"/>
  <c r="F124" i="18"/>
  <c r="F125" i="18"/>
  <c r="F126" i="18"/>
  <c r="F127" i="18"/>
  <c r="F128" i="18"/>
  <c r="F129" i="18"/>
  <c r="F143" i="18"/>
  <c r="F147" i="18"/>
  <c r="F159" i="18"/>
  <c r="F169" i="18"/>
  <c r="F171" i="18"/>
  <c r="F172" i="18"/>
  <c r="F173" i="18"/>
  <c r="F174" i="18"/>
  <c r="F175" i="18"/>
  <c r="F176" i="18"/>
  <c r="F177" i="18"/>
  <c r="F178" i="18"/>
  <c r="F179" i="18"/>
  <c r="F180" i="18"/>
  <c r="F181" i="18"/>
  <c r="F188" i="18"/>
  <c r="F190" i="18"/>
  <c r="F192" i="18"/>
  <c r="F225" i="18"/>
  <c r="F243" i="18"/>
  <c r="F245" i="18"/>
  <c r="F263" i="18"/>
  <c r="F269" i="18"/>
  <c r="F276" i="18"/>
  <c r="F289" i="18"/>
  <c r="F303" i="18"/>
  <c r="F311" i="18"/>
  <c r="F312" i="18"/>
  <c r="F323" i="18"/>
  <c r="F329" i="18"/>
  <c r="F335" i="18"/>
  <c r="F360" i="18"/>
  <c r="F361" i="18"/>
  <c r="F362" i="18"/>
  <c r="F377" i="18"/>
  <c r="F388" i="18"/>
  <c r="F391" i="18"/>
  <c r="F404" i="18"/>
  <c r="F406" i="18"/>
  <c r="F439" i="18"/>
  <c r="F450" i="18"/>
  <c r="F456" i="18"/>
  <c r="F499" i="18"/>
  <c r="F508" i="18"/>
  <c r="F510" i="18"/>
  <c r="F516" i="18"/>
  <c r="F527" i="18"/>
  <c r="F547" i="18"/>
  <c r="F554" i="18"/>
  <c r="F558" i="18"/>
  <c r="F573" i="18"/>
  <c r="F575" i="18"/>
  <c r="F588" i="18"/>
  <c r="F591" i="18"/>
  <c r="F595" i="18"/>
  <c r="F594" i="18"/>
  <c r="F603" i="18"/>
  <c r="F606" i="18"/>
  <c r="F616" i="18"/>
  <c r="F632" i="18"/>
  <c r="F671" i="18"/>
  <c r="F715" i="18"/>
  <c r="F719" i="18"/>
  <c r="F758" i="18"/>
  <c r="F785" i="18"/>
  <c r="F797" i="18"/>
  <c r="F808" i="18"/>
  <c r="F804" i="18"/>
  <c r="F825" i="18"/>
  <c r="F833" i="18"/>
  <c r="F844" i="18"/>
  <c r="F848" i="18"/>
  <c r="F864" i="18"/>
  <c r="F875" i="18"/>
  <c r="F893" i="18"/>
  <c r="F903" i="18"/>
  <c r="F916" i="18"/>
  <c r="F925" i="18"/>
  <c r="F929" i="18"/>
  <c r="F941" i="18"/>
  <c r="F953" i="18"/>
  <c r="F974" i="18"/>
  <c r="F979" i="18"/>
  <c r="F980" i="18"/>
  <c r="F997" i="18"/>
  <c r="F1003" i="18"/>
  <c r="F1007" i="18"/>
  <c r="F1018" i="18"/>
  <c r="F1020" i="18"/>
  <c r="F1026" i="18"/>
  <c r="F1036" i="18"/>
  <c r="F1052" i="18"/>
  <c r="F1057" i="18"/>
  <c r="F1058" i="18"/>
  <c r="F1059" i="18"/>
  <c r="F1093" i="18"/>
  <c r="F1103" i="18"/>
  <c r="F1142" i="18"/>
  <c r="F1143" i="18"/>
  <c r="F1168" i="18"/>
  <c r="F1177" i="18"/>
  <c r="F1199" i="18"/>
  <c r="F1203" i="18"/>
  <c r="F1239" i="18"/>
  <c r="F1240" i="18"/>
  <c r="F1249" i="18"/>
  <c r="F1259" i="18"/>
  <c r="F1276" i="18"/>
  <c r="F1278" i="18"/>
  <c r="F1290" i="18"/>
  <c r="F1295" i="18"/>
  <c r="F1306" i="18"/>
  <c r="F1309" i="18"/>
  <c r="F1311" i="18"/>
  <c r="F1334" i="18"/>
  <c r="F1335" i="18"/>
  <c r="F1349" i="18"/>
  <c r="F1372" i="18"/>
  <c r="F1397" i="18"/>
  <c r="F1403" i="18"/>
  <c r="F1406" i="18"/>
  <c r="F1416" i="18"/>
  <c r="F1452" i="18"/>
  <c r="F1454" i="18"/>
  <c r="F1474" i="18"/>
  <c r="F1479" i="18"/>
  <c r="F1571" i="18"/>
  <c r="F1582" i="18"/>
  <c r="F1596" i="18"/>
  <c r="F1605" i="18"/>
  <c r="F1610" i="18"/>
  <c r="F1638" i="18"/>
  <c r="F1644" i="18"/>
  <c r="F1664" i="18"/>
  <c r="F1665" i="18"/>
  <c r="F1672" i="18"/>
  <c r="F1677" i="18"/>
  <c r="F1683" i="18"/>
  <c r="F1697" i="18"/>
  <c r="F1704" i="18"/>
  <c r="F1724" i="18"/>
  <c r="F1728" i="18"/>
  <c r="F1736" i="18"/>
  <c r="F1739" i="18"/>
  <c r="F1743" i="18"/>
  <c r="F1768" i="18"/>
  <c r="F1769" i="18"/>
  <c r="F1795" i="18"/>
  <c r="F1808" i="18"/>
  <c r="F1809" i="18"/>
  <c r="F1816" i="18"/>
  <c r="F1834" i="18"/>
  <c r="F3" i="18"/>
  <c r="F5" i="18"/>
  <c r="F30" i="18"/>
  <c r="F31" i="18"/>
  <c r="F39" i="18"/>
  <c r="F50" i="18"/>
  <c r="F51" i="18"/>
  <c r="F54" i="18"/>
  <c r="F62" i="18"/>
  <c r="F76" i="18"/>
  <c r="F78" i="18"/>
  <c r="F105" i="18"/>
  <c r="F110" i="18"/>
  <c r="F119" i="18"/>
  <c r="F154" i="18"/>
  <c r="F211" i="18"/>
  <c r="F222" i="18"/>
  <c r="F240" i="18"/>
  <c r="F242" i="18"/>
  <c r="F246" i="18"/>
  <c r="F253" i="18"/>
  <c r="F266" i="18"/>
  <c r="F290" i="18"/>
  <c r="F297" i="18"/>
  <c r="F302" i="18"/>
  <c r="F309" i="18"/>
  <c r="F318" i="18"/>
  <c r="F320" i="18"/>
  <c r="F327" i="18"/>
  <c r="F347" i="18"/>
  <c r="F350" i="18"/>
  <c r="F357" i="18"/>
  <c r="F358" i="18"/>
  <c r="F364" i="18"/>
  <c r="F379" i="18"/>
  <c r="F384" i="18"/>
  <c r="F423" i="18"/>
  <c r="F429" i="18"/>
  <c r="F436" i="18"/>
  <c r="F455" i="18"/>
  <c r="F479" i="18"/>
  <c r="F480" i="18"/>
  <c r="F492" i="18"/>
  <c r="F500" i="18"/>
  <c r="F518" i="18"/>
  <c r="F529" i="18"/>
  <c r="F540" i="18"/>
  <c r="F557" i="18"/>
  <c r="F560" i="18"/>
  <c r="F565" i="18"/>
  <c r="F582" i="18"/>
  <c r="F598" i="18"/>
  <c r="F619" i="18"/>
  <c r="F626" i="18"/>
  <c r="F661" i="18"/>
  <c r="F675" i="18"/>
  <c r="F676" i="18"/>
  <c r="F677" i="18"/>
  <c r="F709" i="18"/>
  <c r="F731" i="18"/>
  <c r="F737" i="18"/>
  <c r="F748" i="18"/>
  <c r="F750" i="18"/>
  <c r="F753" i="18"/>
  <c r="F811" i="18"/>
  <c r="F835" i="18"/>
  <c r="F846" i="18"/>
  <c r="F863" i="18"/>
  <c r="F872" i="18"/>
  <c r="F884" i="18"/>
  <c r="F885" i="18"/>
  <c r="F909" i="18"/>
  <c r="F913" i="18"/>
  <c r="F937" i="18"/>
  <c r="F947" i="18"/>
  <c r="F950" i="18"/>
  <c r="F963" i="18"/>
  <c r="F970" i="18"/>
  <c r="F982" i="18"/>
  <c r="F998" i="18"/>
  <c r="F1010" i="18"/>
  <c r="F1015" i="18"/>
  <c r="F1027" i="18"/>
  <c r="F1028" i="18"/>
  <c r="F1034" i="18"/>
  <c r="F1039" i="18"/>
  <c r="F1054" i="18"/>
  <c r="F1062" i="18"/>
  <c r="F1082" i="18"/>
  <c r="F1083" i="18"/>
  <c r="F1084" i="18"/>
  <c r="F1092" i="18"/>
  <c r="F1094" i="18"/>
  <c r="F1108" i="18"/>
  <c r="F1118" i="18"/>
  <c r="F1122" i="18"/>
  <c r="F1148" i="18"/>
  <c r="F1175" i="18"/>
  <c r="F1200" i="18"/>
  <c r="F1201" i="18"/>
  <c r="F1212" i="18"/>
  <c r="F1213" i="18"/>
  <c r="F1214" i="18"/>
  <c r="F1216" i="18"/>
  <c r="F1224" i="18"/>
  <c r="F1244" i="18"/>
  <c r="F1245" i="18"/>
  <c r="F1246" i="18"/>
  <c r="F1257" i="18"/>
  <c r="F1280" i="18"/>
  <c r="F1282" i="18"/>
  <c r="F1305" i="18"/>
  <c r="F1332" i="18"/>
  <c r="F1348" i="18"/>
  <c r="F1358" i="18"/>
  <c r="F1367" i="18"/>
  <c r="F1369" i="18"/>
  <c r="F1377" i="18"/>
  <c r="F1383" i="18"/>
  <c r="F1400" i="18"/>
  <c r="F1401" i="18"/>
  <c r="F1408" i="18"/>
  <c r="F1410" i="18"/>
  <c r="F1412" i="18"/>
  <c r="F1419" i="18"/>
  <c r="F1435" i="18"/>
  <c r="F1453" i="18"/>
  <c r="F1463" i="18"/>
  <c r="F1509" i="18"/>
  <c r="F1513" i="18"/>
  <c r="F1531" i="18"/>
  <c r="F1541" i="18"/>
  <c r="F1543" i="18"/>
  <c r="F1547" i="18"/>
  <c r="F1548" i="18"/>
  <c r="F1551" i="18"/>
  <c r="F1559" i="18"/>
  <c r="F1568" i="18"/>
  <c r="F1592" i="18"/>
  <c r="F1602" i="18"/>
  <c r="F1609" i="18"/>
  <c r="F1616" i="18"/>
  <c r="F1620" i="18"/>
  <c r="F1621" i="18"/>
  <c r="F1622" i="18"/>
  <c r="F1641" i="18"/>
  <c r="F1650" i="18"/>
  <c r="F1684" i="18"/>
  <c r="F1699" i="18"/>
  <c r="F1708" i="18"/>
  <c r="F1715" i="18"/>
  <c r="F1723" i="18"/>
  <c r="F1732" i="18"/>
  <c r="F1741" i="18"/>
  <c r="F1748" i="18"/>
  <c r="F1765" i="18"/>
  <c r="F1773" i="18"/>
  <c r="F1779" i="18"/>
  <c r="F1781" i="18"/>
  <c r="F1785" i="18"/>
  <c r="F1788" i="18"/>
  <c r="F10" i="18"/>
  <c r="F36" i="18"/>
  <c r="F75" i="18"/>
  <c r="F95" i="18"/>
  <c r="F106" i="18"/>
  <c r="F120" i="18"/>
  <c r="F137" i="18"/>
  <c r="F165" i="18"/>
  <c r="F205" i="18"/>
  <c r="F214" i="18"/>
  <c r="F238" i="18"/>
  <c r="F258" i="18"/>
  <c r="F280" i="18"/>
  <c r="F376" i="18"/>
  <c r="F405" i="18"/>
  <c r="F412" i="18"/>
  <c r="F413" i="18"/>
  <c r="F424" i="18"/>
  <c r="F437" i="18"/>
  <c r="F443" i="18"/>
  <c r="F453" i="18"/>
  <c r="F467" i="18"/>
  <c r="F478" i="18"/>
  <c r="F477" i="18"/>
  <c r="F490" i="18"/>
  <c r="F495" i="18"/>
  <c r="F497" i="18"/>
  <c r="F505" i="18"/>
  <c r="F507" i="18"/>
  <c r="F513" i="18"/>
  <c r="F525" i="18"/>
  <c r="F526" i="18"/>
  <c r="F532" i="18"/>
  <c r="F541" i="18"/>
  <c r="F577" i="18"/>
  <c r="F586" i="18"/>
  <c r="F593" i="18"/>
  <c r="F614" i="18"/>
  <c r="F620" i="18"/>
  <c r="F633" i="18"/>
  <c r="F672" i="18"/>
  <c r="F685" i="18"/>
  <c r="F686" i="18"/>
  <c r="F690" i="18"/>
  <c r="F710" i="18"/>
  <c r="F711" i="18"/>
  <c r="F714" i="18"/>
  <c r="F716" i="18"/>
  <c r="F728" i="18"/>
  <c r="F732" i="18"/>
  <c r="F736" i="18"/>
  <c r="F739" i="18"/>
  <c r="F742" i="18"/>
  <c r="F772" i="18"/>
  <c r="F774" i="18"/>
  <c r="F780" i="18"/>
  <c r="F783" i="18"/>
  <c r="F788" i="18"/>
  <c r="F799" i="18"/>
  <c r="F812" i="18"/>
  <c r="F849" i="18"/>
  <c r="F857" i="18"/>
  <c r="F862" i="18"/>
  <c r="F865" i="18"/>
  <c r="F879" i="18"/>
  <c r="F898" i="18"/>
  <c r="F910" i="18"/>
  <c r="F915" i="18"/>
  <c r="F922" i="18"/>
  <c r="F926" i="18"/>
  <c r="F930" i="18"/>
  <c r="F932" i="18"/>
  <c r="F934" i="18"/>
  <c r="F943" i="18"/>
  <c r="F952" i="18"/>
  <c r="F961" i="18"/>
  <c r="F996" i="18"/>
  <c r="F999" i="18"/>
  <c r="F1000" i="18"/>
  <c r="F1002" i="18"/>
  <c r="F1001" i="18"/>
  <c r="F1005" i="18"/>
  <c r="F1013" i="18"/>
  <c r="F1040" i="18"/>
  <c r="F1061" i="18"/>
  <c r="F1087" i="18"/>
  <c r="F1088" i="18"/>
  <c r="F1151" i="18"/>
  <c r="F1180" i="18"/>
  <c r="F1182" i="18"/>
  <c r="F1183" i="18"/>
  <c r="F1191" i="18"/>
  <c r="F1196" i="18"/>
  <c r="F1204" i="18"/>
  <c r="F1217" i="18"/>
  <c r="F1222" i="18"/>
  <c r="F1225" i="18"/>
  <c r="F1228" i="18"/>
  <c r="F1260" i="18"/>
  <c r="F1269" i="18"/>
  <c r="F1274" i="18"/>
  <c r="F1275" i="18"/>
  <c r="F1302" i="18"/>
  <c r="F1326" i="18"/>
  <c r="F1354" i="18"/>
  <c r="F1356" i="18"/>
  <c r="F1357" i="18"/>
  <c r="F1361" i="18"/>
  <c r="F1362" i="18"/>
  <c r="F1366" i="18"/>
  <c r="F1371" i="18"/>
  <c r="F1394" i="18"/>
  <c r="F1402" i="18"/>
  <c r="F1405" i="18"/>
  <c r="F1430" i="18"/>
  <c r="F1445" i="18"/>
  <c r="F1446" i="18"/>
  <c r="F1455" i="18"/>
  <c r="F1456" i="18"/>
  <c r="F1460" i="18"/>
  <c r="F1462" i="18"/>
  <c r="F1469" i="18"/>
  <c r="F1506" i="18"/>
  <c r="F1515" i="18"/>
  <c r="F1517" i="18"/>
  <c r="F1536" i="18"/>
  <c r="F1538" i="18"/>
  <c r="F1546" i="18"/>
  <c r="F1554" i="18"/>
  <c r="F1572" i="18"/>
  <c r="F1579" i="18"/>
  <c r="F1585" i="18"/>
  <c r="F1594" i="18"/>
  <c r="F1598" i="18"/>
  <c r="F1601" i="18"/>
  <c r="F1607" i="18"/>
  <c r="F1619" i="18"/>
  <c r="F1649" i="18"/>
  <c r="F1653" i="18"/>
  <c r="F1654" i="18"/>
  <c r="F1673" i="18"/>
  <c r="F1674" i="18"/>
  <c r="F1678" i="18"/>
  <c r="F1700" i="18"/>
  <c r="F1703" i="18"/>
  <c r="F1727" i="18"/>
  <c r="F1733" i="18"/>
  <c r="F1746" i="18"/>
  <c r="F1751" i="18"/>
  <c r="F1753" i="18"/>
  <c r="F1756" i="18"/>
  <c r="F1759" i="18"/>
  <c r="F1776" i="18"/>
  <c r="F1783" i="18"/>
  <c r="F1787" i="18"/>
  <c r="F1792" i="18"/>
  <c r="F1794" i="18"/>
  <c r="F2" i="18"/>
  <c r="F11" i="18"/>
  <c r="F18" i="18"/>
  <c r="F61" i="18"/>
  <c r="F66" i="18"/>
  <c r="F99" i="18"/>
  <c r="F101" i="18"/>
  <c r="F112" i="18"/>
  <c r="F149" i="18"/>
  <c r="F189" i="18"/>
  <c r="F200" i="18"/>
  <c r="F215" i="18"/>
  <c r="F229" i="18"/>
  <c r="F248" i="18"/>
  <c r="F254" i="18"/>
  <c r="F265" i="18"/>
  <c r="F273" i="18"/>
  <c r="F279" i="18"/>
  <c r="F293" i="18"/>
  <c r="F304" i="18"/>
  <c r="F306" i="18"/>
  <c r="F313" i="18"/>
  <c r="F317" i="18"/>
  <c r="F324" i="18"/>
  <c r="F333" i="18"/>
  <c r="F348" i="18"/>
  <c r="F355" i="18"/>
  <c r="F382" i="18"/>
  <c r="F387" i="18"/>
  <c r="F389" i="18"/>
  <c r="F426" i="18"/>
  <c r="F438" i="18"/>
  <c r="F447" i="18"/>
  <c r="F463" i="18"/>
  <c r="F469" i="18"/>
  <c r="F484" i="18"/>
  <c r="F487" i="18"/>
  <c r="F489" i="18"/>
  <c r="F496" i="18"/>
  <c r="F501" i="18"/>
  <c r="F517" i="18"/>
  <c r="F528" i="18"/>
  <c r="F531" i="18"/>
  <c r="F536" i="18"/>
  <c r="F562" i="18"/>
  <c r="F576" i="18"/>
  <c r="F630" i="18"/>
  <c r="F641" i="18"/>
  <c r="F643" i="18"/>
  <c r="F647" i="18"/>
  <c r="F649" i="18"/>
  <c r="F653" i="18"/>
  <c r="F674" i="18"/>
  <c r="F645" i="18"/>
  <c r="F692" i="18"/>
  <c r="F699" i="18"/>
  <c r="F740" i="18"/>
  <c r="F766" i="18"/>
  <c r="F775" i="18"/>
  <c r="F778" i="18"/>
  <c r="F784" i="18"/>
  <c r="F789" i="18"/>
  <c r="F790" i="18"/>
  <c r="F832" i="18"/>
  <c r="F837" i="18"/>
  <c r="F842" i="18"/>
  <c r="F845" i="18"/>
  <c r="F847" i="18"/>
  <c r="F860" i="18"/>
  <c r="F951" i="18"/>
  <c r="F1014" i="18"/>
  <c r="F1022" i="18"/>
  <c r="F1044" i="18"/>
  <c r="F1050" i="18"/>
  <c r="F1063" i="18"/>
  <c r="F1065" i="18"/>
  <c r="F1066" i="18"/>
  <c r="F1068" i="18"/>
  <c r="F1095" i="18"/>
  <c r="F1104" i="18"/>
  <c r="F1112" i="18"/>
  <c r="F1124" i="18"/>
  <c r="F1144" i="18"/>
  <c r="F1159" i="18"/>
  <c r="F1164" i="18"/>
  <c r="F1186" i="18"/>
  <c r="F1192" i="18"/>
  <c r="F1194" i="18"/>
  <c r="F1195" i="18"/>
  <c r="F1233" i="18"/>
  <c r="F1283" i="18"/>
  <c r="F1284" i="18"/>
  <c r="F1320" i="18"/>
  <c r="F1340" i="18"/>
  <c r="F1364" i="18"/>
  <c r="F1365" i="18"/>
  <c r="F1373" i="18"/>
  <c r="F1375" i="18"/>
  <c r="F1379" i="18"/>
  <c r="F1429" i="18"/>
  <c r="F1437" i="18"/>
  <c r="F1451" i="18"/>
  <c r="F1478" i="18"/>
  <c r="F1484" i="18"/>
  <c r="F1492" i="18"/>
  <c r="F1500" i="18"/>
  <c r="F1525" i="18"/>
  <c r="F1526" i="18"/>
  <c r="F1529" i="18"/>
  <c r="F1532" i="18"/>
  <c r="F1542" i="18"/>
  <c r="F1569" i="18"/>
  <c r="F1573" i="18"/>
  <c r="F1580" i="18"/>
  <c r="F1581" i="18"/>
  <c r="F1586" i="18"/>
  <c r="F1600" i="18"/>
  <c r="F1608" i="18"/>
  <c r="F1611" i="18"/>
  <c r="F1612" i="18"/>
  <c r="F1618" i="18"/>
  <c r="F1623" i="18"/>
  <c r="F1642" i="18"/>
  <c r="F1643" i="18"/>
  <c r="F1686" i="18"/>
  <c r="F1698" i="18"/>
  <c r="F1701" i="18"/>
  <c r="F1735" i="18"/>
  <c r="F1734" i="18"/>
  <c r="F1737" i="18"/>
  <c r="F1744" i="18"/>
  <c r="F1758" i="18"/>
  <c r="F1763" i="18"/>
  <c r="F1772" i="18"/>
  <c r="F1817" i="18"/>
  <c r="F1833" i="18"/>
  <c r="F7" i="18"/>
  <c r="F23" i="18"/>
  <c r="F26" i="18"/>
  <c r="F29" i="18"/>
  <c r="F32" i="18"/>
  <c r="F38" i="18"/>
  <c r="F41" i="18"/>
  <c r="F44" i="18"/>
  <c r="F53" i="18"/>
  <c r="F84" i="18"/>
  <c r="F86" i="18"/>
  <c r="F116" i="18"/>
  <c r="F130" i="18"/>
  <c r="F131" i="18"/>
  <c r="F136" i="18"/>
  <c r="F145" i="18"/>
  <c r="F195" i="18"/>
  <c r="F199" i="18"/>
  <c r="F202" i="18"/>
  <c r="F208" i="18"/>
  <c r="F219" i="18"/>
  <c r="F226" i="18"/>
  <c r="F247" i="18"/>
  <c r="F251" i="18"/>
  <c r="F261" i="18"/>
  <c r="F272" i="18"/>
  <c r="F282" i="18"/>
  <c r="F283" i="18"/>
  <c r="F291" i="18"/>
  <c r="F299" i="18"/>
  <c r="F334" i="18"/>
  <c r="F359" i="18"/>
  <c r="F373" i="18"/>
  <c r="F375" i="18"/>
  <c r="F383" i="18"/>
  <c r="F394" i="18"/>
  <c r="F401" i="18"/>
  <c r="F407" i="18"/>
  <c r="F421" i="18"/>
  <c r="F425" i="18"/>
  <c r="F432" i="18"/>
  <c r="F433" i="18"/>
  <c r="F434" i="18"/>
  <c r="F448" i="18"/>
  <c r="F457" i="18"/>
  <c r="F491" i="18"/>
  <c r="F564" i="18"/>
  <c r="F612" i="18"/>
  <c r="F610" i="18"/>
  <c r="F622" i="18"/>
  <c r="F639" i="18"/>
  <c r="F644" i="18"/>
  <c r="F665" i="18"/>
  <c r="F679" i="18"/>
  <c r="F707" i="18"/>
  <c r="F724" i="18"/>
  <c r="F729" i="18"/>
  <c r="F751" i="18"/>
  <c r="F763" i="18"/>
  <c r="F764" i="18"/>
  <c r="F771" i="18"/>
  <c r="F779" i="18"/>
  <c r="F787" i="18"/>
  <c r="F801" i="18"/>
  <c r="F815" i="18"/>
  <c r="F822" i="18"/>
  <c r="F827" i="18"/>
  <c r="F852" i="18"/>
  <c r="F859" i="18"/>
  <c r="F870" i="18"/>
  <c r="F876" i="18"/>
  <c r="F899" i="18"/>
  <c r="F911" i="18"/>
  <c r="F914" i="18"/>
  <c r="F920" i="18"/>
  <c r="F921" i="18"/>
  <c r="F931" i="18"/>
  <c r="F942" i="18"/>
  <c r="F944" i="18"/>
  <c r="F946" i="18"/>
  <c r="F949" i="18"/>
  <c r="F956" i="18"/>
  <c r="F964" i="18"/>
  <c r="F973" i="18"/>
  <c r="F992" i="18"/>
  <c r="F1031" i="18"/>
  <c r="F1032" i="18"/>
  <c r="F1037" i="18"/>
  <c r="F1070" i="18"/>
  <c r="F1075" i="18"/>
  <c r="F1086" i="18"/>
  <c r="F1090" i="18"/>
  <c r="F1091" i="18"/>
  <c r="F1115" i="18"/>
  <c r="F1132" i="18"/>
  <c r="F1133" i="18"/>
  <c r="F1150" i="18"/>
  <c r="F1154" i="18"/>
  <c r="F1156" i="18"/>
  <c r="F1169" i="18"/>
  <c r="F1174" i="18"/>
  <c r="F1179" i="18"/>
  <c r="F1193" i="18"/>
  <c r="F1197" i="18"/>
  <c r="F1226" i="18"/>
  <c r="F1238" i="18"/>
  <c r="F1252" i="18"/>
  <c r="F1258" i="18"/>
  <c r="F1266" i="18"/>
  <c r="F1267" i="18"/>
  <c r="F1272" i="18"/>
  <c r="F1279" i="18"/>
  <c r="F1286" i="18"/>
  <c r="F1291" i="18"/>
  <c r="F1323" i="18"/>
  <c r="F1325" i="18"/>
  <c r="F1327" i="18"/>
  <c r="F1346" i="18"/>
  <c r="F1396" i="18"/>
  <c r="F1398" i="18"/>
  <c r="F1417" i="18"/>
  <c r="F1421" i="18"/>
  <c r="F1431" i="18"/>
  <c r="F1434" i="18"/>
  <c r="F1436" i="18"/>
  <c r="F1467" i="18"/>
  <c r="F1527" i="18"/>
  <c r="F1534" i="18"/>
  <c r="F1544" i="18"/>
  <c r="F1560" i="18"/>
  <c r="F1564" i="18"/>
  <c r="F1577" i="18"/>
  <c r="F1589" i="18"/>
  <c r="F1603" i="18"/>
  <c r="F1628" i="18"/>
  <c r="F1630" i="18"/>
  <c r="F1647" i="18"/>
  <c r="F1656" i="18"/>
  <c r="F1655" i="18"/>
  <c r="F1657" i="18"/>
  <c r="F1667" i="18"/>
  <c r="F1702" i="18"/>
  <c r="F1709" i="18"/>
  <c r="F1747" i="18"/>
  <c r="F1757" i="18"/>
  <c r="F1761" i="18"/>
  <c r="F1766" i="18"/>
  <c r="F1767" i="18"/>
  <c r="F1780" i="18"/>
  <c r="F1784" i="18"/>
  <c r="F1804" i="18"/>
  <c r="F1805" i="18"/>
  <c r="F1806" i="18"/>
  <c r="F1810" i="18"/>
  <c r="F1812" i="18"/>
  <c r="F1820" i="18"/>
  <c r="F1824" i="18"/>
  <c r="F17" i="18"/>
  <c r="F19" i="18"/>
  <c r="F20" i="18"/>
  <c r="F21" i="18"/>
  <c r="F33" i="18"/>
  <c r="F52" i="18"/>
  <c r="F56" i="18"/>
  <c r="F64" i="18"/>
  <c r="F80" i="18"/>
  <c r="F90" i="18"/>
  <c r="F94" i="18"/>
  <c r="F100" i="18"/>
  <c r="F115" i="18"/>
  <c r="F142" i="18"/>
  <c r="F150" i="18"/>
  <c r="F185" i="18"/>
  <c r="F207" i="18"/>
  <c r="F217" i="18"/>
  <c r="F218" i="18"/>
  <c r="F220" i="18"/>
  <c r="F270" i="18"/>
  <c r="F278" i="18"/>
  <c r="F285" i="18"/>
  <c r="F288" i="18"/>
  <c r="F294" i="18"/>
  <c r="F319" i="18"/>
  <c r="F349" i="18"/>
  <c r="F356" i="18"/>
  <c r="F402" i="18"/>
  <c r="F417" i="18"/>
  <c r="F414" i="18"/>
  <c r="F419" i="18"/>
  <c r="F473" i="18"/>
  <c r="F488" i="18"/>
  <c r="F515" i="18"/>
  <c r="F521" i="18"/>
  <c r="F522" i="18"/>
  <c r="F538" i="18"/>
  <c r="F553" i="18"/>
  <c r="F555" i="18"/>
  <c r="F556" i="18"/>
  <c r="F559" i="18"/>
  <c r="F568" i="18"/>
  <c r="F569" i="18"/>
  <c r="F590" i="18"/>
  <c r="F618" i="18"/>
  <c r="F637" i="18"/>
  <c r="F654" i="18"/>
  <c r="F655" i="18"/>
  <c r="F662" i="18"/>
  <c r="F663" i="18"/>
  <c r="F664" i="18"/>
  <c r="F669" i="18"/>
  <c r="F687" i="18"/>
  <c r="F688" i="18"/>
  <c r="F700" i="18"/>
  <c r="F702" i="18"/>
  <c r="F701" i="18"/>
  <c r="F705" i="18"/>
  <c r="F720" i="18"/>
  <c r="F722" i="18"/>
  <c r="F726" i="18"/>
  <c r="F760" i="18"/>
  <c r="F762" i="18"/>
  <c r="F792" i="18"/>
  <c r="F793" i="18"/>
  <c r="F794" i="18"/>
  <c r="F795" i="18"/>
  <c r="F796" i="18"/>
  <c r="F800" i="18"/>
  <c r="F816" i="18"/>
  <c r="F817" i="18"/>
  <c r="F819" i="18"/>
  <c r="F854" i="18"/>
  <c r="F856" i="18"/>
  <c r="F867" i="18"/>
  <c r="F880" i="18"/>
  <c r="F886" i="18"/>
  <c r="F891" i="18"/>
  <c r="F897" i="18"/>
  <c r="F912" i="18"/>
  <c r="F928" i="18"/>
  <c r="F948" i="18"/>
  <c r="F967" i="18"/>
  <c r="F983" i="18"/>
  <c r="F994" i="18"/>
  <c r="F1012" i="18"/>
  <c r="F1029" i="18"/>
  <c r="F1035" i="18"/>
  <c r="F1098" i="18"/>
  <c r="F1100" i="18"/>
  <c r="F1110" i="18"/>
  <c r="F1130" i="18"/>
  <c r="F1145" i="18"/>
  <c r="F1207" i="18"/>
  <c r="F1209" i="18"/>
  <c r="F1221" i="18"/>
  <c r="F1255" i="18"/>
  <c r="F1264" i="18"/>
  <c r="F1301" i="18"/>
  <c r="F1313" i="18"/>
  <c r="F1314" i="18"/>
  <c r="F1321" i="18"/>
  <c r="F1322" i="18"/>
  <c r="F1336" i="18"/>
  <c r="F1344" i="18"/>
  <c r="F1359" i="18"/>
  <c r="F1391" i="18"/>
  <c r="F1426" i="18"/>
  <c r="F1432" i="18"/>
  <c r="F1433" i="18"/>
  <c r="F1438" i="18"/>
  <c r="F1470" i="18"/>
  <c r="F1480" i="18"/>
  <c r="F1488" i="18"/>
  <c r="F1504" i="18"/>
  <c r="F1511" i="18"/>
  <c r="F1516" i="18"/>
  <c r="F1520" i="18"/>
  <c r="F1558" i="18"/>
  <c r="F1575" i="18"/>
  <c r="F1587" i="18"/>
  <c r="F1634" i="18"/>
  <c r="F1637" i="18"/>
  <c r="F1651" i="18"/>
  <c r="F1666" i="18"/>
  <c r="F1671" i="18"/>
  <c r="F1694" i="18"/>
  <c r="F1695" i="18"/>
  <c r="F1696" i="18"/>
  <c r="F1706" i="18"/>
  <c r="F1730" i="18"/>
  <c r="F1749" i="18"/>
  <c r="F1770" i="18"/>
  <c r="F1771" i="18"/>
  <c r="F1789" i="18"/>
  <c r="F1793" i="18"/>
  <c r="F1797" i="18"/>
  <c r="F1813" i="18"/>
  <c r="F1814" i="18"/>
  <c r="F1822" i="18"/>
  <c r="F8" i="18"/>
  <c r="F16" i="18"/>
  <c r="F69" i="18"/>
  <c r="F71" i="18"/>
  <c r="F144" i="18"/>
  <c r="F151" i="18"/>
  <c r="F186" i="18"/>
  <c r="F191" i="18"/>
  <c r="F296" i="18"/>
  <c r="F322" i="18"/>
  <c r="F410" i="18"/>
  <c r="F452" i="18"/>
  <c r="F454" i="18"/>
  <c r="F509" i="18"/>
  <c r="F551" i="18"/>
  <c r="F566" i="18"/>
  <c r="F572" i="18"/>
  <c r="F592" i="18"/>
  <c r="F624" i="18"/>
  <c r="F635" i="18"/>
  <c r="F668" i="18"/>
  <c r="F684" i="18"/>
  <c r="F734" i="18"/>
  <c r="F749" i="18"/>
  <c r="F755" i="18"/>
  <c r="F757" i="18"/>
  <c r="F765" i="18"/>
  <c r="F782" i="18"/>
  <c r="F818" i="18"/>
  <c r="F839" i="18"/>
  <c r="F888" i="18"/>
  <c r="F908" i="18"/>
  <c r="F986" i="18"/>
  <c r="F1041" i="18"/>
  <c r="F1077" i="18"/>
  <c r="F1079" i="18"/>
  <c r="F1099" i="18"/>
  <c r="F1107" i="18"/>
  <c r="F1114" i="18"/>
  <c r="F1161" i="18"/>
  <c r="F1170" i="18"/>
  <c r="F1229" i="18"/>
  <c r="F1289" i="18"/>
  <c r="F1350" i="18"/>
  <c r="F1448" i="18"/>
  <c r="F1471" i="18"/>
  <c r="F1485" i="18"/>
  <c r="F1566" i="18"/>
  <c r="F1617" i="18"/>
  <c r="F1687" i="18"/>
  <c r="F1717" i="18"/>
  <c r="F1755" i="18"/>
  <c r="F1791" i="18"/>
  <c r="F1798" i="18"/>
  <c r="F9" i="18"/>
  <c r="F12" i="18"/>
  <c r="F43" i="18"/>
  <c r="F55" i="18"/>
  <c r="F70" i="18"/>
  <c r="F85" i="18"/>
  <c r="F113" i="18"/>
  <c r="F152" i="18"/>
  <c r="F206" i="18"/>
  <c r="F212" i="18"/>
  <c r="F227" i="18"/>
  <c r="F228" i="18"/>
  <c r="F234" i="18"/>
  <c r="F249" i="18"/>
  <c r="F267" i="18"/>
  <c r="F274" i="18"/>
  <c r="F316" i="18"/>
  <c r="F336" i="18"/>
  <c r="F340" i="18"/>
  <c r="F346" i="18"/>
  <c r="F372" i="18"/>
  <c r="F374" i="18"/>
  <c r="F369" i="18"/>
  <c r="F415" i="18"/>
  <c r="F422" i="18"/>
  <c r="F459" i="18"/>
  <c r="F461" i="18"/>
  <c r="F493" i="18"/>
  <c r="F502" i="18"/>
  <c r="F552" i="18"/>
  <c r="F579" i="18"/>
  <c r="F585" i="18"/>
  <c r="F607" i="18"/>
  <c r="F642" i="18"/>
  <c r="F650" i="18"/>
  <c r="F670" i="18"/>
  <c r="F681" i="18"/>
  <c r="F727" i="18"/>
  <c r="F767" i="18"/>
  <c r="F770" i="18"/>
  <c r="F791" i="18"/>
  <c r="F836" i="18"/>
  <c r="F892" i="18"/>
  <c r="F896" i="18"/>
  <c r="F933" i="18"/>
  <c r="F945" i="18"/>
  <c r="F1023" i="18"/>
  <c r="F1073" i="18"/>
  <c r="F1081" i="18"/>
  <c r="F1085" i="18"/>
  <c r="F1120" i="18"/>
  <c r="F1126" i="18"/>
  <c r="F1129" i="18"/>
  <c r="F1135" i="18"/>
  <c r="F1155" i="18"/>
  <c r="F1165" i="18"/>
  <c r="F1172" i="18"/>
  <c r="F1220" i="18"/>
  <c r="F1243" i="18"/>
  <c r="F1261" i="18"/>
  <c r="F1294" i="18"/>
  <c r="F1298" i="18"/>
  <c r="F1304" i="18"/>
  <c r="F1316" i="18"/>
  <c r="F1347" i="18"/>
  <c r="F1363" i="18"/>
  <c r="F1389" i="18"/>
  <c r="F1390" i="18"/>
  <c r="F1399" i="18"/>
  <c r="F1425" i="18"/>
  <c r="F1441" i="18"/>
  <c r="F1459" i="18"/>
  <c r="F1468" i="18"/>
  <c r="F1493" i="18"/>
  <c r="F1522" i="18"/>
  <c r="F1533" i="18"/>
  <c r="F1553" i="18"/>
  <c r="F1565" i="18"/>
  <c r="F1593" i="18"/>
  <c r="F1648" i="18"/>
  <c r="F1658" i="18"/>
  <c r="F1676" i="18"/>
  <c r="F1679" i="18"/>
  <c r="F1713" i="18"/>
  <c r="F1800" i="18"/>
  <c r="F1801" i="18"/>
  <c r="F1827" i="18"/>
  <c r="F24" i="18"/>
  <c r="F25" i="18"/>
  <c r="F46" i="18"/>
  <c r="F48" i="18"/>
  <c r="F65" i="18"/>
  <c r="F73" i="18"/>
  <c r="F79" i="18"/>
  <c r="F109" i="18"/>
  <c r="F132" i="18"/>
  <c r="F135" i="18"/>
  <c r="F160" i="18"/>
  <c r="F161" i="18"/>
  <c r="F164" i="18"/>
  <c r="F231" i="18"/>
  <c r="F241" i="18"/>
  <c r="F250" i="18"/>
  <c r="F257" i="18"/>
  <c r="F277" i="18"/>
  <c r="F314" i="18"/>
  <c r="F321" i="18"/>
  <c r="F342" i="18"/>
  <c r="F351" i="18"/>
  <c r="F370" i="18"/>
  <c r="F371" i="18"/>
  <c r="F390" i="18"/>
  <c r="F440" i="18"/>
  <c r="F442" i="18"/>
  <c r="F444" i="18"/>
  <c r="F445" i="18"/>
  <c r="F446" i="18"/>
  <c r="F471" i="18"/>
  <c r="F481" i="18"/>
  <c r="F482" i="18"/>
  <c r="F486" i="18"/>
  <c r="F530" i="18"/>
  <c r="F539" i="18"/>
  <c r="F563" i="18"/>
  <c r="F571" i="18"/>
  <c r="F583" i="18"/>
  <c r="F602" i="18"/>
  <c r="F605" i="18"/>
  <c r="F608" i="18"/>
  <c r="F628" i="18"/>
  <c r="F658" i="18"/>
  <c r="F659" i="18"/>
  <c r="F673" i="18"/>
  <c r="F693" i="18"/>
  <c r="F697" i="18"/>
  <c r="F713" i="18"/>
  <c r="F718" i="18"/>
  <c r="F723" i="18"/>
  <c r="F725" i="18"/>
  <c r="F738" i="18"/>
  <c r="F741" i="18"/>
  <c r="F754" i="18"/>
  <c r="F813" i="18"/>
  <c r="F821" i="18"/>
  <c r="F853" i="18"/>
  <c r="F855" i="18"/>
  <c r="F866" i="18"/>
  <c r="F871" i="18"/>
  <c r="F873" i="18"/>
  <c r="F905" i="18"/>
  <c r="F965" i="18"/>
  <c r="F966" i="18"/>
  <c r="F972" i="18"/>
  <c r="F985" i="18"/>
  <c r="F1004" i="18"/>
  <c r="F1043" i="18"/>
  <c r="F1056" i="18"/>
  <c r="F1128" i="18"/>
  <c r="F1139" i="18"/>
  <c r="F1141" i="18"/>
  <c r="F1147" i="18"/>
  <c r="F1160" i="18"/>
  <c r="F1163" i="18"/>
  <c r="F1185" i="18"/>
  <c r="F1215" i="18"/>
  <c r="F1227" i="18"/>
  <c r="F1247" i="18"/>
  <c r="F1254" i="18"/>
  <c r="F1262" i="18"/>
  <c r="F1268" i="18"/>
  <c r="F1281" i="18"/>
  <c r="F1288" i="18"/>
  <c r="F1303" i="18"/>
  <c r="F1339" i="18"/>
  <c r="F1342" i="18"/>
  <c r="F1351" i="18"/>
  <c r="F1353" i="18"/>
  <c r="F1374" i="18"/>
  <c r="F1376" i="18"/>
  <c r="F1388" i="18"/>
  <c r="F1411" i="18"/>
  <c r="F1415" i="18"/>
  <c r="F1418" i="18"/>
  <c r="F1443" i="18"/>
  <c r="F1466" i="18"/>
  <c r="F1472" i="18"/>
  <c r="F1482" i="18"/>
  <c r="F1489" i="18"/>
  <c r="F1494" i="18"/>
  <c r="F1501" i="18"/>
  <c r="F1535" i="18"/>
  <c r="F1539" i="18"/>
  <c r="F1591" i="18"/>
  <c r="F1606" i="18"/>
  <c r="F1629" i="18"/>
  <c r="F1632" i="18"/>
  <c r="F1639" i="18"/>
  <c r="F1640" i="18"/>
  <c r="F1645" i="18"/>
  <c r="F1681" i="18"/>
  <c r="F1693" i="18"/>
  <c r="F1774" i="18"/>
  <c r="F1778" i="18"/>
  <c r="F1818" i="18"/>
  <c r="F1819" i="18"/>
  <c r="F34" i="18"/>
  <c r="F104" i="18"/>
  <c r="F107" i="18"/>
  <c r="F108" i="18"/>
  <c r="F121" i="18"/>
  <c r="F166" i="18"/>
  <c r="F167" i="18"/>
  <c r="F182" i="18"/>
  <c r="F197" i="18"/>
  <c r="F201" i="18"/>
  <c r="F223" i="18"/>
  <c r="F259" i="18"/>
  <c r="F262" i="18"/>
  <c r="F338" i="18"/>
  <c r="F397" i="18"/>
  <c r="F398" i="18"/>
  <c r="F427" i="18"/>
  <c r="F428" i="18"/>
  <c r="F431" i="18"/>
  <c r="F458" i="18"/>
  <c r="F511" i="18"/>
  <c r="F523" i="18"/>
  <c r="F574" i="18"/>
  <c r="F587" i="18"/>
  <c r="F596" i="18"/>
  <c r="F617" i="18"/>
  <c r="F636" i="18"/>
  <c r="F682" i="18"/>
  <c r="F696" i="18"/>
  <c r="F773" i="18"/>
  <c r="F798" i="18"/>
  <c r="F889" i="18"/>
  <c r="F971" i="18"/>
  <c r="F987" i="18"/>
  <c r="F1011" i="18"/>
  <c r="F1045" i="18"/>
  <c r="F1067" i="18"/>
  <c r="F1096" i="18"/>
  <c r="F1101" i="18"/>
  <c r="F1102" i="18"/>
  <c r="F1134" i="18"/>
  <c r="F1230" i="18"/>
  <c r="F1248" i="18"/>
  <c r="F1293" i="18"/>
  <c r="F1297" i="18"/>
  <c r="F1299" i="18"/>
  <c r="F1300" i="18"/>
  <c r="F1352" i="18"/>
  <c r="F1360" i="18"/>
  <c r="F1380" i="18"/>
  <c r="F1381" i="18"/>
  <c r="F1393" i="18"/>
  <c r="F1409" i="18"/>
  <c r="F1420" i="18"/>
  <c r="F1422" i="18"/>
  <c r="F1449" i="18"/>
  <c r="F1473" i="18"/>
  <c r="F1552" i="18"/>
  <c r="F1562" i="18"/>
  <c r="F1567" i="18"/>
  <c r="F1599" i="18"/>
  <c r="F1625" i="18"/>
  <c r="F1626" i="18"/>
  <c r="F1627" i="18"/>
  <c r="F1652" i="18"/>
  <c r="F1659" i="18"/>
  <c r="F1688" i="18"/>
  <c r="F1710" i="18"/>
  <c r="F1711" i="18"/>
  <c r="F1720" i="18"/>
  <c r="F1729" i="18"/>
  <c r="F1811" i="18"/>
  <c r="F1825" i="18"/>
  <c r="F27" i="18"/>
  <c r="F35" i="18"/>
  <c r="F40" i="18"/>
  <c r="F57" i="18"/>
  <c r="F63" i="18"/>
  <c r="F67" i="18"/>
  <c r="F72" i="18"/>
  <c r="F88" i="18"/>
  <c r="F92" i="18"/>
  <c r="F117" i="18"/>
  <c r="F153" i="18"/>
  <c r="F158" i="18"/>
  <c r="F162" i="18"/>
  <c r="F184" i="18"/>
  <c r="F203" i="18"/>
  <c r="F210" i="18"/>
  <c r="F213" i="18"/>
  <c r="F233" i="18"/>
  <c r="F235" i="18"/>
  <c r="F237" i="18"/>
  <c r="F255" i="18"/>
  <c r="F256" i="18"/>
  <c r="F271" i="18"/>
  <c r="F275" i="18"/>
  <c r="F284" i="18"/>
  <c r="F315" i="18"/>
  <c r="F328" i="18"/>
  <c r="F330" i="18"/>
  <c r="F339" i="18"/>
  <c r="F341" i="18"/>
  <c r="F365" i="18"/>
  <c r="F368" i="18"/>
  <c r="F380" i="18"/>
  <c r="F385" i="18"/>
  <c r="F386" i="18"/>
  <c r="F395" i="18"/>
  <c r="F411" i="18"/>
  <c r="F416" i="18"/>
  <c r="F418" i="18"/>
  <c r="F435" i="18"/>
  <c r="F441" i="18"/>
  <c r="F449" i="18"/>
  <c r="F464" i="18"/>
  <c r="F474" i="18"/>
  <c r="F476" i="18"/>
  <c r="F494" i="18"/>
  <c r="F498" i="18"/>
  <c r="F504" i="18"/>
  <c r="F514" i="18"/>
  <c r="F543" i="18"/>
  <c r="F548" i="18"/>
  <c r="F597" i="18"/>
  <c r="F611" i="18"/>
  <c r="F615" i="18"/>
  <c r="F627" i="18"/>
  <c r="F640" i="18"/>
  <c r="F648" i="18"/>
  <c r="F656" i="18"/>
  <c r="F680" i="18"/>
  <c r="F691" i="18"/>
  <c r="F703" i="18"/>
  <c r="F735" i="18"/>
  <c r="F759" i="18"/>
  <c r="F761" i="18"/>
  <c r="F814" i="18"/>
  <c r="F838" i="18"/>
  <c r="F843" i="18"/>
  <c r="F874" i="18"/>
  <c r="F882" i="18"/>
  <c r="F887" i="18"/>
  <c r="F894" i="18"/>
  <c r="F901" i="18"/>
  <c r="F907" i="18"/>
  <c r="F918" i="18"/>
  <c r="F936" i="18"/>
  <c r="F957" i="18"/>
  <c r="F959" i="18"/>
  <c r="F962" i="18"/>
  <c r="F977" i="18"/>
  <c r="F978" i="18"/>
  <c r="F988" i="18"/>
  <c r="F995" i="18"/>
  <c r="F1009" i="18"/>
  <c r="F1021" i="18"/>
  <c r="F1024" i="18"/>
  <c r="F1030" i="18"/>
  <c r="F1051" i="18"/>
  <c r="F1071" i="18"/>
  <c r="F1078" i="18"/>
  <c r="F1080" i="18"/>
  <c r="F1089" i="18"/>
  <c r="F1111" i="18"/>
  <c r="F1119" i="18"/>
  <c r="F1137" i="18"/>
  <c r="F1158" i="18"/>
  <c r="F1166" i="18"/>
  <c r="F1173" i="18"/>
  <c r="F1205" i="18"/>
  <c r="F1223" i="18"/>
  <c r="F1236" i="18"/>
  <c r="F1241" i="18"/>
  <c r="F1270" i="18"/>
  <c r="F1273" i="18"/>
  <c r="F1287" i="18"/>
  <c r="F1317" i="18"/>
  <c r="F1324" i="18"/>
  <c r="F1328" i="18"/>
  <c r="F1329" i="18"/>
  <c r="F1330" i="18"/>
  <c r="F1331" i="18"/>
  <c r="F1333" i="18"/>
  <c r="F1345" i="18"/>
  <c r="F1378" i="18"/>
  <c r="F1384" i="18"/>
  <c r="F1385" i="18"/>
  <c r="F1392" i="18"/>
  <c r="F1414" i="18"/>
  <c r="F1423" i="18"/>
  <c r="F1424" i="18"/>
  <c r="F1440" i="18"/>
  <c r="F1450" i="18"/>
  <c r="F1457" i="18"/>
  <c r="F1458" i="18"/>
  <c r="F1464" i="18"/>
  <c r="F1475" i="18"/>
  <c r="F1490" i="18"/>
  <c r="F1502" i="18"/>
  <c r="F1505" i="18"/>
  <c r="F1508" i="18"/>
  <c r="F1528" i="18"/>
  <c r="F1545" i="18"/>
  <c r="F1556" i="18"/>
  <c r="F1561" i="18"/>
  <c r="F1563" i="18"/>
  <c r="F1584" i="18"/>
  <c r="F1590" i="18"/>
  <c r="F1597" i="18"/>
  <c r="F1631" i="18"/>
  <c r="F1663" i="18"/>
  <c r="F1668" i="18"/>
  <c r="F1682" i="18"/>
  <c r="F1689" i="18"/>
  <c r="F1705" i="18"/>
  <c r="F1712" i="18"/>
  <c r="F1725" i="18"/>
  <c r="F1742" i="18"/>
  <c r="F1754" i="18"/>
  <c r="F1775" i="18"/>
  <c r="F1777" i="18"/>
  <c r="F1807" i="18"/>
  <c r="F1821" i="18"/>
  <c r="F1826" i="18"/>
  <c r="F1828" i="18"/>
  <c r="F1831" i="18"/>
  <c r="F49" i="18"/>
  <c r="F77" i="18"/>
  <c r="F82" i="18"/>
  <c r="F96" i="18"/>
  <c r="F134" i="18"/>
  <c r="F148" i="18"/>
  <c r="F168" i="18"/>
  <c r="F268" i="18"/>
  <c r="F295" i="18"/>
  <c r="F301" i="18"/>
  <c r="F325" i="18"/>
  <c r="F337" i="18"/>
  <c r="F367" i="18"/>
  <c r="F399" i="18"/>
  <c r="F403" i="18"/>
  <c r="F460" i="18"/>
  <c r="F468" i="18"/>
  <c r="F475" i="18"/>
  <c r="F512" i="18"/>
  <c r="F570" i="18"/>
  <c r="F657" i="18"/>
  <c r="F660" i="18"/>
  <c r="F678" i="18"/>
  <c r="F694" i="18"/>
  <c r="F717" i="18"/>
  <c r="F752" i="18"/>
  <c r="F809" i="18"/>
  <c r="F861" i="18"/>
  <c r="F881" i="18"/>
  <c r="F890" i="18"/>
  <c r="F895" i="18"/>
  <c r="F927" i="18"/>
  <c r="F958" i="18"/>
  <c r="F976" i="18"/>
  <c r="F993" i="18"/>
  <c r="F1006" i="18"/>
  <c r="F1033" i="18"/>
  <c r="F1047" i="18"/>
  <c r="F1105" i="18"/>
  <c r="F1116" i="18"/>
  <c r="F1121" i="18"/>
  <c r="F1136" i="18"/>
  <c r="F1206" i="18"/>
  <c r="F1210" i="18"/>
  <c r="F1285" i="18"/>
  <c r="F1296" i="18"/>
  <c r="F1386" i="18"/>
  <c r="F1413" i="18"/>
  <c r="F1481" i="18"/>
  <c r="F1486" i="18"/>
  <c r="F1503" i="18"/>
  <c r="F1518" i="18"/>
  <c r="F1549" i="18"/>
  <c r="F1574" i="18"/>
  <c r="F1604" i="18"/>
  <c r="F1646" i="18"/>
  <c r="F1662" i="18"/>
  <c r="F1691" i="18"/>
  <c r="F1722" i="18"/>
  <c r="F1738" i="18"/>
  <c r="F1740" i="18"/>
  <c r="F1796" i="18"/>
  <c r="F1802" i="18"/>
  <c r="F1832" i="18"/>
  <c r="F22" i="18"/>
  <c r="F37" i="18"/>
  <c r="F45" i="18"/>
  <c r="F68" i="18"/>
  <c r="F102" i="18"/>
  <c r="F141" i="18"/>
  <c r="F155" i="18"/>
  <c r="F157" i="18"/>
  <c r="F183" i="18"/>
  <c r="F196" i="18"/>
  <c r="F198" i="18"/>
  <c r="F232" i="18"/>
  <c r="F281" i="18"/>
  <c r="F332" i="18"/>
  <c r="F381" i="18"/>
  <c r="F392" i="18"/>
  <c r="F400" i="18"/>
  <c r="F409" i="18"/>
  <c r="F430" i="18"/>
  <c r="F462" i="18"/>
  <c r="F506" i="18"/>
  <c r="F542" i="18"/>
  <c r="F550" i="18"/>
  <c r="F567" i="18"/>
  <c r="F580" i="18"/>
  <c r="F589" i="18"/>
  <c r="F638" i="18"/>
  <c r="F651" i="18"/>
  <c r="F695" i="18"/>
  <c r="F698" i="18"/>
  <c r="F704" i="18"/>
  <c r="F708" i="18"/>
  <c r="F730" i="18"/>
  <c r="F746" i="18"/>
  <c r="F756" i="18"/>
  <c r="F820" i="18"/>
  <c r="F831" i="18"/>
  <c r="F883" i="18"/>
  <c r="F900" i="18"/>
  <c r="F902" i="18"/>
  <c r="F906" i="18"/>
  <c r="F935" i="18"/>
  <c r="F938" i="18"/>
  <c r="F954" i="18"/>
  <c r="F975" i="18"/>
  <c r="F984" i="18"/>
  <c r="F989" i="18"/>
  <c r="F990" i="18"/>
  <c r="F991" i="18"/>
  <c r="F1048" i="18"/>
  <c r="F1049" i="18"/>
  <c r="F1053" i="18"/>
  <c r="F1055" i="18"/>
  <c r="F1064" i="18"/>
  <c r="F1127" i="18"/>
  <c r="F1138" i="18"/>
  <c r="F1140" i="18"/>
  <c r="F1178" i="18"/>
  <c r="F1184" i="18"/>
  <c r="F1202" i="18"/>
  <c r="F1218" i="18"/>
  <c r="F1219" i="18"/>
  <c r="F1234" i="18"/>
  <c r="F1253" i="18"/>
  <c r="F1256" i="18"/>
  <c r="F1271" i="18"/>
  <c r="F1277" i="18"/>
  <c r="F1308" i="18"/>
  <c r="F1312" i="18"/>
  <c r="F1319" i="18"/>
  <c r="F1337" i="18"/>
  <c r="F1395" i="18"/>
  <c r="F1428" i="18"/>
  <c r="F1483" i="18"/>
  <c r="F1487" i="18"/>
  <c r="F1495" i="18"/>
  <c r="F1497" i="18"/>
  <c r="F1519" i="18"/>
  <c r="F1557" i="18"/>
  <c r="F1615" i="18"/>
  <c r="F1660" i="18"/>
  <c r="F1670" i="18"/>
  <c r="F1675" i="18"/>
  <c r="F1680" i="18"/>
  <c r="F1716" i="18"/>
  <c r="F1731" i="18"/>
  <c r="F1782" i="18"/>
  <c r="F1790" i="18"/>
  <c r="F1799" i="18"/>
  <c r="F1823" i="18"/>
  <c r="F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2" i="13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G138" i="17" a="1"/>
  <c r="G2" i="17" a="1"/>
  <c r="G28" i="17" a="1"/>
  <c r="G126" i="17" a="1"/>
  <c r="G145" i="17" a="1"/>
  <c r="G38" i="17" a="1"/>
  <c r="G96" i="17" a="1"/>
  <c r="G63" i="17" a="1"/>
  <c r="G22" i="17" a="1"/>
  <c r="G51" i="17" a="1"/>
  <c r="G101" i="17" a="1"/>
  <c r="G121" i="17" a="1"/>
  <c r="G10" i="17" a="1"/>
  <c r="G72" i="17" a="1"/>
  <c r="G108" i="17" a="1"/>
  <c r="G85" i="17" a="1"/>
  <c r="B1064" i="18" l="1"/>
  <c r="O1064" i="18"/>
  <c r="B883" i="18"/>
  <c r="O883" i="18"/>
  <c r="B141" i="18"/>
  <c r="O141" i="18"/>
  <c r="B1691" i="18"/>
  <c r="O1691" i="18"/>
  <c r="B890" i="18"/>
  <c r="O890" i="18"/>
  <c r="B1392" i="18"/>
  <c r="O1392" i="18"/>
  <c r="B1473" i="18"/>
  <c r="O1473" i="18"/>
  <c r="B1472" i="18"/>
  <c r="O1472" i="18"/>
  <c r="B723" i="18"/>
  <c r="O723" i="18"/>
  <c r="B314" i="18"/>
  <c r="O314" i="18"/>
  <c r="B160" i="18"/>
  <c r="O160" i="18"/>
  <c r="B1493" i="18"/>
  <c r="O1493" i="18"/>
  <c r="B1363" i="18"/>
  <c r="O1363" i="18"/>
  <c r="B642" i="18"/>
  <c r="O642" i="18"/>
  <c r="B1079" i="18"/>
  <c r="O1079" i="18"/>
  <c r="B635" i="18"/>
  <c r="O635" i="18"/>
  <c r="B880" i="18"/>
  <c r="O880" i="18"/>
  <c r="B722" i="18"/>
  <c r="O722" i="18"/>
  <c r="B294" i="18"/>
  <c r="O294" i="18"/>
  <c r="B1603" i="18"/>
  <c r="O1603" i="18"/>
  <c r="B1115" i="18"/>
  <c r="O1115" i="18"/>
  <c r="B942" i="18"/>
  <c r="O942" i="18"/>
  <c r="B622" i="18"/>
  <c r="O622" i="18"/>
  <c r="B528" i="18"/>
  <c r="O528" i="18"/>
  <c r="B389" i="18"/>
  <c r="O389" i="18"/>
  <c r="B313" i="18"/>
  <c r="O313" i="18"/>
  <c r="B189" i="18"/>
  <c r="O189" i="18"/>
  <c r="B1260" i="18"/>
  <c r="O1260" i="18"/>
  <c r="B1183" i="18"/>
  <c r="O1183" i="18"/>
  <c r="B1684" i="18"/>
  <c r="O1684" i="18"/>
  <c r="B1541" i="18"/>
  <c r="O1541" i="18"/>
  <c r="B731" i="18"/>
  <c r="O731" i="18"/>
  <c r="B384" i="18"/>
  <c r="O384" i="18"/>
  <c r="B320" i="18"/>
  <c r="O320" i="18"/>
  <c r="B1168" i="18"/>
  <c r="O1168" i="18"/>
  <c r="B980" i="18"/>
  <c r="O980" i="18"/>
  <c r="B941" i="18"/>
  <c r="O941" i="18"/>
  <c r="B848" i="18"/>
  <c r="O848" i="18"/>
  <c r="B632" i="18"/>
  <c r="O632" i="18"/>
  <c r="B388" i="18"/>
  <c r="O388" i="18"/>
  <c r="B312" i="18"/>
  <c r="O312" i="18"/>
  <c r="B188" i="18"/>
  <c r="O188" i="18"/>
  <c r="B59" i="18"/>
  <c r="O59" i="18"/>
  <c r="B1661" i="18"/>
  <c r="O1661" i="18"/>
  <c r="B1512" i="18"/>
  <c r="O1512" i="18"/>
  <c r="B310" i="18"/>
  <c r="O310" i="18"/>
  <c r="B1540" i="18"/>
  <c r="O1540" i="18"/>
  <c r="B689" i="18"/>
  <c r="O689" i="18"/>
  <c r="B140" i="18"/>
  <c r="O140" i="18"/>
  <c r="B631" i="18"/>
  <c r="O631" i="18"/>
  <c r="O1638" i="18"/>
  <c r="O1574" i="18"/>
  <c r="O1526" i="18"/>
  <c r="O1494" i="18"/>
  <c r="B1497" i="18"/>
  <c r="O1497" i="18"/>
  <c r="B1312" i="18"/>
  <c r="O1312" i="18"/>
  <c r="B183" i="18"/>
  <c r="O183" i="18"/>
  <c r="B881" i="18"/>
  <c r="O881" i="18"/>
  <c r="B295" i="18"/>
  <c r="O295" i="18"/>
  <c r="B134" i="18"/>
  <c r="O134" i="18"/>
  <c r="B1545" i="18"/>
  <c r="O1545" i="18"/>
  <c r="B1293" i="18"/>
  <c r="O1293" i="18"/>
  <c r="B889" i="18"/>
  <c r="O889" i="18"/>
  <c r="B182" i="18"/>
  <c r="O182" i="18"/>
  <c r="B1639" i="18"/>
  <c r="O1639" i="18"/>
  <c r="B1485" i="18"/>
  <c r="O1485" i="18"/>
  <c r="B186" i="18"/>
  <c r="O186" i="18"/>
  <c r="B1391" i="18"/>
  <c r="O1391" i="18"/>
  <c r="B185" i="18"/>
  <c r="O185" i="18"/>
  <c r="B64" i="18"/>
  <c r="C1314" i="18" s="1"/>
  <c r="O64" i="18"/>
  <c r="B1544" i="18"/>
  <c r="O1544" i="18"/>
  <c r="B457" i="18"/>
  <c r="O457" i="18"/>
  <c r="B1573" i="18"/>
  <c r="O1573" i="18"/>
  <c r="B1492" i="18"/>
  <c r="O1492" i="18"/>
  <c r="B1373" i="18"/>
  <c r="O1373" i="18"/>
  <c r="B1356" i="18"/>
  <c r="O1356" i="18"/>
  <c r="B926" i="18"/>
  <c r="O926" i="18"/>
  <c r="B732" i="18"/>
  <c r="O732" i="18"/>
  <c r="B495" i="18"/>
  <c r="O495" i="18"/>
  <c r="B1118" i="18"/>
  <c r="O1118" i="18"/>
  <c r="B885" i="18"/>
  <c r="O885" i="18"/>
  <c r="B1816" i="18"/>
  <c r="O1816" i="18"/>
  <c r="B1259" i="18"/>
  <c r="O1259" i="18"/>
  <c r="B979" i="18"/>
  <c r="O979" i="18"/>
  <c r="B844" i="18"/>
  <c r="O844" i="18"/>
  <c r="B527" i="18"/>
  <c r="O527" i="18"/>
  <c r="B311" i="18"/>
  <c r="O311" i="18"/>
  <c r="B159" i="18"/>
  <c r="O159" i="18"/>
  <c r="B1496" i="18"/>
  <c r="O1496" i="18"/>
  <c r="B1167" i="18"/>
  <c r="O1167" i="18"/>
  <c r="B1188" i="18"/>
  <c r="O1188" i="18"/>
  <c r="B1060" i="18"/>
  <c r="O1060" i="18"/>
  <c r="B292" i="18"/>
  <c r="O292" i="18"/>
  <c r="B156" i="18"/>
  <c r="C1020" i="18" s="1"/>
  <c r="O156" i="18"/>
  <c r="O1746" i="18"/>
  <c r="O1602" i="18"/>
  <c r="O1362" i="18"/>
  <c r="B157" i="18"/>
  <c r="O157" i="18"/>
  <c r="B1116" i="18"/>
  <c r="O1116" i="18"/>
  <c r="B1080" i="18"/>
  <c r="O1080" i="18"/>
  <c r="B385" i="18"/>
  <c r="O385" i="18"/>
  <c r="B636" i="18"/>
  <c r="O636" i="18"/>
  <c r="B397" i="18"/>
  <c r="O397" i="18"/>
  <c r="B1489" i="18"/>
  <c r="O1489" i="18"/>
  <c r="B390" i="18"/>
  <c r="O390" i="18"/>
  <c r="B65" i="18"/>
  <c r="O65" i="18"/>
  <c r="B1471" i="18"/>
  <c r="O1471" i="18"/>
  <c r="B1488" i="18"/>
  <c r="O1488" i="18"/>
  <c r="B1747" i="18"/>
  <c r="O1747" i="18"/>
  <c r="B1258" i="18"/>
  <c r="O1258" i="18"/>
  <c r="B1484" i="18"/>
  <c r="O1484" i="18"/>
  <c r="B653" i="18"/>
  <c r="O653" i="18"/>
  <c r="B641" i="18"/>
  <c r="O641" i="18"/>
  <c r="B484" i="18"/>
  <c r="O484" i="18"/>
  <c r="B61" i="18"/>
  <c r="O61" i="18"/>
  <c r="B1061" i="18"/>
  <c r="O1061" i="18"/>
  <c r="B849" i="18"/>
  <c r="O849" i="18"/>
  <c r="B1616" i="18"/>
  <c r="O1616" i="18"/>
  <c r="B1513" i="18"/>
  <c r="O1513" i="18"/>
  <c r="B1683" i="18"/>
  <c r="O1683" i="18"/>
  <c r="B1372" i="18"/>
  <c r="O1372" i="18"/>
  <c r="B1311" i="18"/>
  <c r="O1311" i="18"/>
  <c r="B925" i="18"/>
  <c r="O925" i="18"/>
  <c r="B456" i="18"/>
  <c r="O456" i="18"/>
  <c r="B1815" i="18"/>
  <c r="O1815" i="18"/>
  <c r="B1745" i="18"/>
  <c r="O1745" i="18"/>
  <c r="B1499" i="18"/>
  <c r="O1499" i="18"/>
  <c r="B1292" i="18"/>
  <c r="O1292" i="18"/>
  <c r="B924" i="18"/>
  <c r="O924" i="18"/>
  <c r="B621" i="18"/>
  <c r="O621" i="18"/>
  <c r="B940" i="18"/>
  <c r="O940" i="18"/>
  <c r="B483" i="18"/>
  <c r="O483" i="18"/>
  <c r="B396" i="18"/>
  <c r="O396" i="18"/>
  <c r="O1662" i="18"/>
  <c r="O1534" i="18"/>
  <c r="B1184" i="18"/>
  <c r="O1184" i="18"/>
  <c r="B704" i="18"/>
  <c r="O704" i="18"/>
  <c r="B1604" i="18"/>
  <c r="O1604" i="18"/>
  <c r="B1119" i="18"/>
  <c r="O1119" i="18"/>
  <c r="B882" i="18"/>
  <c r="O882" i="18"/>
  <c r="B703" i="18"/>
  <c r="O703" i="18"/>
  <c r="B339" i="18"/>
  <c r="O339" i="18"/>
  <c r="B338" i="18"/>
  <c r="O338" i="18"/>
  <c r="B1645" i="18"/>
  <c r="O1645" i="18"/>
  <c r="B1535" i="18"/>
  <c r="O1535" i="18"/>
  <c r="B321" i="18"/>
  <c r="O321" i="18"/>
  <c r="B161" i="18"/>
  <c r="O161" i="18"/>
  <c r="B1617" i="18"/>
  <c r="O1617" i="18"/>
  <c r="B886" i="18"/>
  <c r="O886" i="18"/>
  <c r="B1527" i="18"/>
  <c r="O1527" i="18"/>
  <c r="B1063" i="18"/>
  <c r="O1063" i="18"/>
  <c r="B845" i="18"/>
  <c r="O845" i="18"/>
  <c r="B496" i="18"/>
  <c r="O496" i="18"/>
  <c r="B293" i="18"/>
  <c r="O293" i="18"/>
  <c r="B1700" i="18"/>
  <c r="O1700" i="18"/>
  <c r="B1515" i="18"/>
  <c r="O1515" i="18"/>
  <c r="B690" i="18"/>
  <c r="O690" i="18"/>
  <c r="B633" i="18"/>
  <c r="O633" i="18"/>
  <c r="B1699" i="18"/>
  <c r="O1699" i="18"/>
  <c r="B1257" i="18"/>
  <c r="O1257" i="18"/>
  <c r="B1644" i="18"/>
  <c r="O1644" i="18"/>
  <c r="B60" i="18"/>
  <c r="O60" i="18"/>
  <c r="B1355" i="18"/>
  <c r="O1355" i="18"/>
  <c r="B1189" i="18"/>
  <c r="O1189" i="18"/>
  <c r="B133" i="18"/>
  <c r="O133" i="18"/>
  <c r="B58" i="18"/>
  <c r="O58" i="18"/>
  <c r="B652" i="18"/>
  <c r="O652" i="18"/>
  <c r="O1690" i="18"/>
  <c r="O1514" i="18"/>
  <c r="O1498" i="18"/>
  <c r="C1773" i="18"/>
  <c r="C1636" i="18"/>
  <c r="C270" i="18"/>
  <c r="C1698" i="18"/>
  <c r="C1088" i="18"/>
  <c r="C1092" i="18"/>
  <c r="C1093" i="18"/>
  <c r="C1721" i="18"/>
  <c r="C1162" i="18"/>
  <c r="C1694" i="18"/>
  <c r="C555" i="18"/>
  <c r="C1150" i="18"/>
  <c r="C53" i="18"/>
  <c r="C1195" i="18"/>
  <c r="C643" i="18"/>
  <c r="C149" i="18"/>
  <c r="C1598" i="18"/>
  <c r="C1455" i="18"/>
  <c r="C1228" i="18"/>
  <c r="C857" i="18"/>
  <c r="C685" i="18"/>
  <c r="C467" i="18"/>
  <c r="C1715" i="18"/>
  <c r="C1548" i="18"/>
  <c r="C1383" i="18"/>
  <c r="C1027" i="18"/>
  <c r="C750" i="18"/>
  <c r="C540" i="18"/>
  <c r="C154" i="18"/>
  <c r="C1769" i="18"/>
  <c r="C1610" i="18"/>
  <c r="C1059" i="18"/>
  <c r="C893" i="18"/>
  <c r="C595" i="18"/>
  <c r="C181" i="18"/>
  <c r="C124" i="18"/>
  <c r="C1171" i="18"/>
  <c r="C307" i="18"/>
  <c r="C1750" i="18"/>
  <c r="C1576" i="18"/>
  <c r="C1341" i="18"/>
  <c r="C1097" i="18"/>
  <c r="C828" i="18"/>
  <c r="C625" i="18"/>
  <c r="C343" i="18"/>
  <c r="C87" i="18"/>
  <c r="C1461" i="18"/>
  <c r="C1106" i="18"/>
  <c r="C769" i="18"/>
  <c r="C519" i="18"/>
  <c r="G145" i="17"/>
  <c r="G121" i="17"/>
  <c r="G101" i="17"/>
  <c r="G85" i="17"/>
  <c r="G63" i="17"/>
  <c r="G51" i="17"/>
  <c r="G138" i="17"/>
  <c r="G126" i="17"/>
  <c r="G108" i="17"/>
  <c r="G96" i="17"/>
  <c r="G72" i="17"/>
  <c r="G38" i="17"/>
  <c r="G28" i="17"/>
  <c r="G22" i="17"/>
  <c r="G10" i="17"/>
  <c r="G2" i="17"/>
  <c r="G127" i="17" a="1"/>
  <c r="G97" i="17" a="1"/>
  <c r="G3" i="17" a="1"/>
  <c r="G23" i="17" a="1"/>
  <c r="G122" i="17" a="1"/>
  <c r="G139" i="17" a="1"/>
  <c r="G86" i="17" a="1"/>
  <c r="G29" i="17" a="1"/>
  <c r="G64" i="17" a="1"/>
  <c r="G11" i="17" a="1"/>
  <c r="G102" i="17" a="1"/>
  <c r="G109" i="17" a="1"/>
  <c r="G39" i="17" a="1"/>
  <c r="G52" i="17" a="1"/>
  <c r="G146" i="17" a="1"/>
  <c r="G73" i="17" a="1"/>
  <c r="C333" i="18" l="1"/>
  <c r="C1686" i="18"/>
  <c r="C931" i="18"/>
  <c r="C100" i="18"/>
  <c r="C1322" i="18"/>
  <c r="C546" i="18"/>
  <c r="C1176" i="18"/>
  <c r="C547" i="18"/>
  <c r="C675" i="18"/>
  <c r="C714" i="18"/>
  <c r="C1124" i="18"/>
  <c r="C1560" i="18"/>
  <c r="C549" i="18"/>
  <c r="C327" i="18"/>
  <c r="P1498" i="18"/>
  <c r="C690" i="18"/>
  <c r="C871" i="18"/>
  <c r="C1295" i="18"/>
  <c r="C743" i="18"/>
  <c r="C377" i="18"/>
  <c r="C1334" i="18"/>
  <c r="C350" i="18"/>
  <c r="C1214" i="18"/>
  <c r="C120" i="18"/>
  <c r="C1005" i="18"/>
  <c r="C1753" i="18"/>
  <c r="C860" i="18"/>
  <c r="C291" i="18"/>
  <c r="C1417" i="18"/>
  <c r="C720" i="18"/>
  <c r="C410" i="18"/>
  <c r="C47" i="18"/>
  <c r="C744" i="18"/>
  <c r="C1672" i="18"/>
  <c r="C1412" i="18"/>
  <c r="C1653" i="18"/>
  <c r="C375" i="18"/>
  <c r="C524" i="18"/>
  <c r="C171" i="18"/>
  <c r="C1744" i="18"/>
  <c r="C729" i="18"/>
  <c r="C1757" i="18"/>
  <c r="C897" i="18"/>
  <c r="C1114" i="18"/>
  <c r="C629" i="18"/>
  <c r="C169" i="18"/>
  <c r="C211" i="18"/>
  <c r="C137" i="18"/>
  <c r="C489" i="18"/>
  <c r="C956" i="18"/>
  <c r="C1368" i="18"/>
  <c r="C834" i="18"/>
  <c r="C139" i="18"/>
  <c r="C666" i="18"/>
  <c r="C379" i="18"/>
  <c r="C846" i="18"/>
  <c r="C1245" i="18"/>
  <c r="C1592" i="18"/>
  <c r="C711" i="18"/>
  <c r="C1044" i="18"/>
  <c r="C771" i="18"/>
  <c r="C762" i="18"/>
  <c r="C1438" i="18"/>
  <c r="C81" i="18"/>
  <c r="C1208" i="18"/>
  <c r="C1239" i="18"/>
  <c r="C1463" i="18"/>
  <c r="C1302" i="18"/>
  <c r="C1737" i="18"/>
  <c r="C1075" i="18"/>
  <c r="C402" i="18"/>
  <c r="C712" i="18"/>
  <c r="C175" i="18"/>
  <c r="C358" i="18"/>
  <c r="C258" i="18"/>
  <c r="C86" i="18"/>
  <c r="C263" i="18"/>
  <c r="C1651" i="18"/>
  <c r="C147" i="18"/>
  <c r="C783" i="18"/>
  <c r="C1264" i="18"/>
  <c r="C849" i="18"/>
  <c r="C652" i="18"/>
  <c r="C484" i="18"/>
  <c r="C1588" i="18"/>
  <c r="C1198" i="18"/>
  <c r="C1624" i="18"/>
  <c r="C344" i="18"/>
  <c r="C1635" i="18"/>
  <c r="C225" i="18"/>
  <c r="C616" i="18"/>
  <c r="C1143" i="18"/>
  <c r="C1665" i="18"/>
  <c r="C242" i="18"/>
  <c r="C582" i="18"/>
  <c r="C1054" i="18"/>
  <c r="C513" i="18"/>
  <c r="C898" i="18"/>
  <c r="C1087" i="18"/>
  <c r="C1275" i="18"/>
  <c r="C1783" i="18"/>
  <c r="C229" i="18"/>
  <c r="C447" i="18"/>
  <c r="C674" i="18"/>
  <c r="C1437" i="18"/>
  <c r="C1734" i="18"/>
  <c r="C130" i="18"/>
  <c r="C401" i="18"/>
  <c r="C949" i="18"/>
  <c r="C1436" i="18"/>
  <c r="C1780" i="18"/>
  <c r="C288" i="18"/>
  <c r="C624" i="18"/>
  <c r="C706" i="18"/>
  <c r="C98" i="18"/>
  <c r="C1231" i="18"/>
  <c r="C807" i="18"/>
  <c r="C575" i="18"/>
  <c r="C1704" i="18"/>
  <c r="C246" i="18"/>
  <c r="C1122" i="18"/>
  <c r="C238" i="18"/>
  <c r="C736" i="18"/>
  <c r="C1678" i="18"/>
  <c r="C576" i="18"/>
  <c r="C1233" i="18"/>
  <c r="C407" i="18"/>
  <c r="C1656" i="18"/>
  <c r="C1427" i="18"/>
  <c r="C634" i="18"/>
  <c r="C1692" i="18"/>
  <c r="C1103" i="18"/>
  <c r="C91" i="18"/>
  <c r="C1001" i="18"/>
  <c r="C908" i="18"/>
  <c r="C223" i="18"/>
  <c r="C527" i="18"/>
  <c r="C1658" i="18"/>
  <c r="C59" i="18"/>
  <c r="C962" i="18"/>
  <c r="C1533" i="18"/>
  <c r="C907" i="18"/>
  <c r="C1304" i="18"/>
  <c r="C396" i="18"/>
  <c r="C640" i="18"/>
  <c r="C1774" i="18"/>
  <c r="C1085" i="18"/>
  <c r="C794" i="18"/>
  <c r="C973" i="18"/>
  <c r="C1159" i="18"/>
  <c r="C1594" i="18"/>
  <c r="C593" i="18"/>
  <c r="C1213" i="18"/>
  <c r="C240" i="18"/>
  <c r="C833" i="18"/>
  <c r="C1444" i="18"/>
  <c r="C1404" i="18"/>
  <c r="C286" i="18"/>
  <c r="C810" i="18"/>
  <c r="C994" i="18"/>
  <c r="C217" i="18"/>
  <c r="C1252" i="18"/>
  <c r="C434" i="18"/>
  <c r="C1581" i="18"/>
  <c r="C531" i="18"/>
  <c r="C1445" i="18"/>
  <c r="C739" i="18"/>
  <c r="C1559" i="18"/>
  <c r="C1212" i="18"/>
  <c r="C872" i="18"/>
  <c r="C518" i="18"/>
  <c r="C253" i="18"/>
  <c r="C3" i="18"/>
  <c r="C1596" i="18"/>
  <c r="C1240" i="18"/>
  <c r="C997" i="18"/>
  <c r="C785" i="18"/>
  <c r="C450" i="18"/>
  <c r="C245" i="18"/>
  <c r="C143" i="18"/>
  <c r="C1152" i="18"/>
  <c r="C544" i="18"/>
  <c r="C1803" i="18"/>
  <c r="C1555" i="18"/>
  <c r="C1232" i="18"/>
  <c r="C1009" i="18"/>
  <c r="C206" i="18"/>
  <c r="C1253" i="18"/>
  <c r="C117" i="18"/>
  <c r="C228" i="18"/>
  <c r="C1234" i="18"/>
  <c r="C1720" i="18"/>
  <c r="C1791" i="18"/>
  <c r="C542" i="18"/>
  <c r="C275" i="18"/>
  <c r="C1227" i="18"/>
  <c r="C249" i="18"/>
  <c r="C515" i="18"/>
  <c r="C644" i="18"/>
  <c r="C699" i="18"/>
  <c r="C1402" i="18"/>
  <c r="C280" i="18"/>
  <c r="C1015" i="18"/>
  <c r="C1809" i="18"/>
  <c r="C516" i="18"/>
  <c r="C600" i="18"/>
  <c r="C1157" i="18"/>
  <c r="C14" i="18"/>
  <c r="C534" i="18"/>
  <c r="C793" i="18"/>
  <c r="C19" i="18"/>
  <c r="C1086" i="18"/>
  <c r="C282" i="18"/>
  <c r="C1379" i="18"/>
  <c r="C317" i="18"/>
  <c r="C1269" i="18"/>
  <c r="C505" i="18"/>
  <c r="C1543" i="18"/>
  <c r="C1148" i="18"/>
  <c r="C811" i="18"/>
  <c r="C423" i="18"/>
  <c r="C222" i="18"/>
  <c r="C1808" i="18"/>
  <c r="C1406" i="18"/>
  <c r="C1177" i="18"/>
  <c r="C953" i="18"/>
  <c r="C603" i="18"/>
  <c r="C391" i="18"/>
  <c r="C190" i="18"/>
  <c r="C118" i="18"/>
  <c r="C968" i="18"/>
  <c r="C465" i="18"/>
  <c r="C1726" i="18"/>
  <c r="C1524" i="18"/>
  <c r="C1131" i="18"/>
  <c r="C786" i="18"/>
  <c r="C466" i="18"/>
  <c r="C209" i="18"/>
  <c r="C1476" i="18"/>
  <c r="C1181" i="18"/>
  <c r="C939" i="18"/>
  <c r="C609" i="18"/>
  <c r="C230" i="18"/>
  <c r="C522" i="18"/>
  <c r="C207" i="18"/>
  <c r="C17" i="18"/>
  <c r="C1702" i="18"/>
  <c r="C1421" i="18"/>
  <c r="C1238" i="18"/>
  <c r="C1031" i="18"/>
  <c r="C822" i="18"/>
  <c r="C491" i="18"/>
  <c r="C299" i="18"/>
  <c r="C131" i="18"/>
  <c r="C1772" i="18"/>
  <c r="C1608" i="18"/>
  <c r="C1451" i="18"/>
  <c r="C1186" i="18"/>
  <c r="C951" i="18"/>
  <c r="C645" i="18"/>
  <c r="C463" i="18"/>
  <c r="C99" i="18"/>
  <c r="C1733" i="18"/>
  <c r="C1579" i="18"/>
  <c r="C1430" i="18"/>
  <c r="C1217" i="18"/>
  <c r="C952" i="18"/>
  <c r="C799" i="18"/>
  <c r="C686" i="18"/>
  <c r="C497" i="18"/>
  <c r="C1710" i="18"/>
  <c r="C1738" i="18"/>
  <c r="C1797" i="18"/>
  <c r="C104" i="18"/>
  <c r="C148" i="18"/>
  <c r="C628" i="18"/>
  <c r="C20" i="18"/>
  <c r="C324" i="18"/>
  <c r="C1741" i="18"/>
  <c r="C1416" i="18"/>
  <c r="C298" i="18"/>
  <c r="C1447" i="18"/>
  <c r="C662" i="18"/>
  <c r="C920" i="18"/>
  <c r="C1144" i="18"/>
  <c r="C1040" i="18"/>
  <c r="C1401" i="18"/>
  <c r="C619" i="18"/>
  <c r="C110" i="18"/>
  <c r="C1349" i="18"/>
  <c r="C864" i="18"/>
  <c r="C361" i="18"/>
  <c r="C4" i="18"/>
  <c r="C264" i="18"/>
  <c r="C1477" i="18"/>
  <c r="C851" i="18"/>
  <c r="C354" i="18"/>
  <c r="C1707" i="18"/>
  <c r="C1211" i="18"/>
  <c r="C868" i="18"/>
  <c r="C451" i="18"/>
  <c r="C89" i="18"/>
  <c r="C115" i="18"/>
  <c r="C1784" i="18"/>
  <c r="C1467" i="18"/>
  <c r="C1179" i="18"/>
  <c r="C914" i="18"/>
  <c r="C679" i="18"/>
  <c r="C272" i="18"/>
  <c r="C38" i="18"/>
  <c r="C1623" i="18"/>
  <c r="C1375" i="18"/>
  <c r="C1068" i="18"/>
  <c r="C766" i="18"/>
  <c r="C348" i="18"/>
  <c r="C1787" i="18"/>
  <c r="C1601" i="18"/>
  <c r="C1371" i="18"/>
  <c r="C1013" i="18"/>
  <c r="C862" i="18"/>
  <c r="C620" i="18"/>
  <c r="C437" i="18"/>
  <c r="C75" i="18"/>
  <c r="C1621" i="18"/>
  <c r="C1400" i="18"/>
  <c r="C1216" i="18"/>
  <c r="C1062" i="18"/>
  <c r="C909" i="18"/>
  <c r="C598" i="18"/>
  <c r="C357" i="18"/>
  <c r="C105" i="18"/>
  <c r="C1795" i="18"/>
  <c r="C1582" i="18"/>
  <c r="C1306" i="18"/>
  <c r="C1052" i="18"/>
  <c r="C758" i="18"/>
  <c r="C508" i="18"/>
  <c r="C243" i="18"/>
  <c r="C129" i="18"/>
  <c r="C1149" i="18"/>
  <c r="C581" i="18"/>
  <c r="C74" i="18"/>
  <c r="C1633" i="18"/>
  <c r="C1310" i="18"/>
  <c r="C1113" i="18"/>
  <c r="C829" i="18"/>
  <c r="C601" i="18"/>
  <c r="C305" i="18"/>
  <c r="C6" i="18"/>
  <c r="C1407" i="18"/>
  <c r="C1109" i="18"/>
  <c r="C850" i="18"/>
  <c r="C520" i="18"/>
  <c r="C163" i="18"/>
  <c r="C1077" i="18"/>
  <c r="C1215" i="18"/>
  <c r="C1742" i="18"/>
  <c r="C64" i="18"/>
  <c r="C697" i="18"/>
  <c r="C1111" i="18"/>
  <c r="C46" i="18"/>
  <c r="C1398" i="18"/>
  <c r="C1776" i="18"/>
  <c r="C1435" i="18"/>
  <c r="C1058" i="18"/>
  <c r="C1669" i="18"/>
  <c r="C1125" i="18"/>
  <c r="C488" i="18"/>
  <c r="C763" i="18"/>
  <c r="C775" i="18"/>
  <c r="C915" i="18"/>
  <c r="C1369" i="18"/>
  <c r="C560" i="18"/>
  <c r="C39" i="18"/>
  <c r="C1309" i="18"/>
  <c r="C825" i="18"/>
  <c r="C289" i="18"/>
  <c r="C1523" i="18"/>
  <c r="C170" i="18"/>
  <c r="C1263" i="18"/>
  <c r="C733" i="18"/>
  <c r="C308" i="18"/>
  <c r="C1537" i="18"/>
  <c r="C1117" i="18"/>
  <c r="C802" i="18"/>
  <c r="C352" i="18"/>
  <c r="C473" i="18"/>
  <c r="C80" i="18"/>
  <c r="C1761" i="18"/>
  <c r="C1346" i="18"/>
  <c r="C1154" i="18"/>
  <c r="C870" i="18"/>
  <c r="C433" i="18"/>
  <c r="C226" i="18"/>
  <c r="C23" i="18"/>
  <c r="C1580" i="18"/>
  <c r="C1340" i="18"/>
  <c r="C1050" i="18"/>
  <c r="C647" i="18"/>
  <c r="C279" i="18"/>
  <c r="C1756" i="18"/>
  <c r="C1538" i="18"/>
  <c r="C1357" i="18"/>
  <c r="C1000" i="18"/>
  <c r="C774" i="18"/>
  <c r="C577" i="18"/>
  <c r="C405" i="18"/>
  <c r="C1785" i="18"/>
  <c r="C1551" i="18"/>
  <c r="C1367" i="18"/>
  <c r="C1201" i="18"/>
  <c r="C1028" i="18"/>
  <c r="C863" i="18"/>
  <c r="C557" i="18"/>
  <c r="C297" i="18"/>
  <c r="C54" i="18"/>
  <c r="C1739" i="18"/>
  <c r="C1454" i="18"/>
  <c r="C1276" i="18"/>
  <c r="C1018" i="18"/>
  <c r="C594" i="18"/>
  <c r="C439" i="18"/>
  <c r="C178" i="18"/>
  <c r="C125" i="18"/>
  <c r="C877" i="18"/>
  <c r="C533" i="18"/>
  <c r="C1786" i="18"/>
  <c r="C1578" i="18"/>
  <c r="C1242" i="18"/>
  <c r="C1038" i="18"/>
  <c r="C823" i="18"/>
  <c r="C535" i="18"/>
  <c r="C236" i="18"/>
  <c r="C1595" i="18"/>
  <c r="C1265" i="18"/>
  <c r="C1069" i="18"/>
  <c r="C781" i="18"/>
  <c r="C420" i="18"/>
  <c r="C103" i="18"/>
  <c r="C888" i="18"/>
  <c r="C551" i="18"/>
  <c r="C1789" i="18"/>
  <c r="C1558" i="18"/>
  <c r="C1301" i="18"/>
  <c r="C967" i="18"/>
  <c r="C795" i="18"/>
  <c r="C664" i="18"/>
  <c r="C521" i="18"/>
  <c r="C220" i="18"/>
  <c r="C1806" i="18"/>
  <c r="C1647" i="18"/>
  <c r="C1327" i="18"/>
  <c r="C1174" i="18"/>
  <c r="C992" i="18"/>
  <c r="C859" i="18"/>
  <c r="C665" i="18"/>
  <c r="C373" i="18"/>
  <c r="C195" i="18"/>
  <c r="C7" i="18"/>
  <c r="C1618" i="18"/>
  <c r="C1320" i="18"/>
  <c r="C1066" i="18"/>
  <c r="C784" i="18"/>
  <c r="C562" i="18"/>
  <c r="C387" i="18"/>
  <c r="C204" i="18"/>
  <c r="C623" i="18"/>
  <c r="C919" i="18"/>
  <c r="C1251" i="18"/>
  <c r="C1830" i="18"/>
  <c r="C224" i="18"/>
  <c r="C503" i="18"/>
  <c r="C768" i="18"/>
  <c r="C955" i="18"/>
  <c r="C1237" i="18"/>
  <c r="C1507" i="18"/>
  <c r="C1685" i="18"/>
  <c r="C1829" i="18"/>
  <c r="C485" i="18"/>
  <c r="C841" i="18"/>
  <c r="C42" i="18"/>
  <c r="C173" i="18"/>
  <c r="C269" i="18"/>
  <c r="C499" i="18"/>
  <c r="C719" i="18"/>
  <c r="C1007" i="18"/>
  <c r="C1203" i="18"/>
  <c r="C1452" i="18"/>
  <c r="C1697" i="18"/>
  <c r="C51" i="18"/>
  <c r="C290" i="18"/>
  <c r="C436" i="18"/>
  <c r="C661" i="18"/>
  <c r="C947" i="18"/>
  <c r="C1084" i="18"/>
  <c r="C1282" i="18"/>
  <c r="C1453" i="18"/>
  <c r="C1620" i="18"/>
  <c r="C1781" i="18"/>
  <c r="C376" i="18"/>
  <c r="C541" i="18"/>
  <c r="C772" i="18"/>
  <c r="C943" i="18"/>
  <c r="C1182" i="18"/>
  <c r="C1366" i="18"/>
  <c r="C1536" i="18"/>
  <c r="C1674" i="18"/>
  <c r="C2" i="18"/>
  <c r="C273" i="18"/>
  <c r="C487" i="18"/>
  <c r="C740" i="18"/>
  <c r="C1112" i="18"/>
  <c r="C1529" i="18"/>
  <c r="C1763" i="18"/>
  <c r="C219" i="18"/>
  <c r="C432" i="18"/>
  <c r="C815" i="18"/>
  <c r="C1070" i="18"/>
  <c r="C1266" i="18"/>
  <c r="C1589" i="18"/>
  <c r="C1824" i="18"/>
  <c r="C356" i="18"/>
  <c r="C654" i="18"/>
  <c r="C817" i="18"/>
  <c r="C1110" i="18"/>
  <c r="C1504" i="18"/>
  <c r="C1814" i="18"/>
  <c r="C734" i="18"/>
  <c r="C221" i="18"/>
  <c r="C923" i="18"/>
  <c r="C1465" i="18"/>
  <c r="C353" i="18"/>
  <c r="C904" i="18"/>
  <c r="C1343" i="18"/>
  <c r="C252" i="18"/>
  <c r="C1318" i="18"/>
  <c r="C276" i="18"/>
  <c r="C804" i="18"/>
  <c r="C1335" i="18"/>
  <c r="C1834" i="18"/>
  <c r="C455" i="18"/>
  <c r="C950" i="18"/>
  <c r="C1246" i="18"/>
  <c r="C1723" i="18"/>
  <c r="C478" i="18"/>
  <c r="C910" i="18"/>
  <c r="C1456" i="18"/>
  <c r="C11" i="18"/>
  <c r="C789" i="18"/>
  <c r="C1500" i="18"/>
  <c r="C84" i="18"/>
  <c r="C751" i="18"/>
  <c r="C1267" i="18"/>
  <c r="C1810" i="18"/>
  <c r="C122" i="18"/>
  <c r="C1025" i="18"/>
  <c r="C13" i="18"/>
  <c r="C917" i="18"/>
  <c r="C599" i="18"/>
  <c r="C554" i="18"/>
  <c r="C1677" i="18"/>
  <c r="C1010" i="18"/>
  <c r="C1607" i="18"/>
  <c r="C1431" i="18"/>
  <c r="C578" i="18"/>
  <c r="C429" i="18"/>
  <c r="C1643" i="18"/>
  <c r="C696" i="18"/>
  <c r="C1682" i="18"/>
  <c r="C1183" i="18"/>
  <c r="C97" i="18"/>
  <c r="C537" i="18"/>
  <c r="C1146" i="18"/>
  <c r="C366" i="18"/>
  <c r="C878" i="18"/>
  <c r="C1439" i="18"/>
  <c r="C1764" i="18"/>
  <c r="C806" i="18"/>
  <c r="C128" i="18"/>
  <c r="C406" i="18"/>
  <c r="C929" i="18"/>
  <c r="C1397" i="18"/>
  <c r="C30" i="18"/>
  <c r="C1410" i="18"/>
  <c r="C1748" i="18"/>
  <c r="C214" i="18"/>
  <c r="C1469" i="18"/>
  <c r="C1649" i="18"/>
  <c r="C1226" i="18"/>
  <c r="C569" i="18"/>
  <c r="C1029" i="18"/>
  <c r="C1730" i="18"/>
  <c r="C777" i="18"/>
  <c r="C1752" i="18"/>
  <c r="C174" i="18"/>
  <c r="C753" i="18"/>
  <c r="C408" i="18"/>
  <c r="C683" i="18"/>
  <c r="C969" i="18"/>
  <c r="C1382" i="18"/>
  <c r="C28" i="18"/>
  <c r="C287" i="18"/>
  <c r="C584" i="18"/>
  <c r="C805" i="18"/>
  <c r="C1017" i="18"/>
  <c r="C1307" i="18"/>
  <c r="C1530" i="18"/>
  <c r="C1718" i="18"/>
  <c r="C239" i="18"/>
  <c r="C561" i="18"/>
  <c r="C1123" i="18"/>
  <c r="C111" i="18"/>
  <c r="C177" i="18"/>
  <c r="C335" i="18"/>
  <c r="C573" i="18"/>
  <c r="C808" i="18"/>
  <c r="C1036" i="18"/>
  <c r="C1571" i="18"/>
  <c r="C1736" i="18"/>
  <c r="C78" i="18"/>
  <c r="C318" i="18"/>
  <c r="C492" i="18"/>
  <c r="C709" i="18"/>
  <c r="C982" i="18"/>
  <c r="C1200" i="18"/>
  <c r="C1358" i="18"/>
  <c r="C1531" i="18"/>
  <c r="C1650" i="18"/>
  <c r="C36" i="18"/>
  <c r="C424" i="18"/>
  <c r="C614" i="18"/>
  <c r="C788" i="18"/>
  <c r="C999" i="18"/>
  <c r="C1204" i="18"/>
  <c r="C1405" i="18"/>
  <c r="C1572" i="18"/>
  <c r="C1727" i="18"/>
  <c r="C66" i="18"/>
  <c r="C306" i="18"/>
  <c r="C517" i="18"/>
  <c r="C837" i="18"/>
  <c r="C1164" i="18"/>
  <c r="C1600" i="18"/>
  <c r="C32" i="18"/>
  <c r="C261" i="18"/>
  <c r="C610" i="18"/>
  <c r="C911" i="18"/>
  <c r="C1091" i="18"/>
  <c r="C1286" i="18"/>
  <c r="C1667" i="18"/>
  <c r="C21" i="18"/>
  <c r="C419" i="18"/>
  <c r="C700" i="18"/>
  <c r="C867" i="18"/>
  <c r="C1209" i="18"/>
  <c r="C1637" i="18"/>
  <c r="C69" i="18"/>
  <c r="C765" i="18"/>
  <c r="C300" i="18"/>
  <c r="C1019" i="18"/>
  <c r="C1510" i="18"/>
  <c r="C378" i="18"/>
  <c r="C960" i="18"/>
  <c r="C1442" i="18"/>
  <c r="C393" i="18"/>
  <c r="C114" i="18"/>
  <c r="C360" i="18"/>
  <c r="C903" i="18"/>
  <c r="C1403" i="18"/>
  <c r="C31" i="18"/>
  <c r="C500" i="18"/>
  <c r="C998" i="18"/>
  <c r="C1305" i="18"/>
  <c r="C1765" i="18"/>
  <c r="C525" i="18"/>
  <c r="C930" i="18"/>
  <c r="C1506" i="18"/>
  <c r="C248" i="18"/>
  <c r="C842" i="18"/>
  <c r="C1532" i="18"/>
  <c r="C199" i="18"/>
  <c r="C779" i="18"/>
  <c r="C1291" i="18"/>
  <c r="C33" i="18"/>
  <c r="C187" i="18"/>
  <c r="C1072" i="18"/>
  <c r="C260" i="18"/>
  <c r="C981" i="18"/>
  <c r="C830" i="18"/>
  <c r="C588" i="18"/>
  <c r="C1724" i="18"/>
  <c r="C1034" i="18"/>
  <c r="C18" i="18"/>
  <c r="C1709" i="18"/>
  <c r="C826" i="18"/>
  <c r="C748" i="18"/>
  <c r="C208" i="18"/>
  <c r="C1652" i="18"/>
  <c r="C1503" i="18"/>
  <c r="C792" i="18"/>
  <c r="C1691" i="18"/>
  <c r="C133" i="18"/>
  <c r="C1355" i="18"/>
  <c r="C1644" i="18"/>
  <c r="C1699" i="18"/>
  <c r="C1700" i="18"/>
  <c r="C496" i="18"/>
  <c r="C1063" i="18"/>
  <c r="C886" i="18"/>
  <c r="C161" i="18"/>
  <c r="C1535" i="18"/>
  <c r="C338" i="18"/>
  <c r="C703" i="18"/>
  <c r="C1119" i="18"/>
  <c r="C704" i="18"/>
  <c r="P1662" i="18"/>
  <c r="C483" i="18"/>
  <c r="C621" i="18"/>
  <c r="C1292" i="18"/>
  <c r="C1745" i="18"/>
  <c r="C456" i="18"/>
  <c r="C1311" i="18"/>
  <c r="C1683" i="18"/>
  <c r="C1616" i="18"/>
  <c r="C1061" i="18"/>
  <c r="C653" i="18"/>
  <c r="C1258" i="18"/>
  <c r="C723" i="18"/>
  <c r="C1116" i="18"/>
  <c r="C882" i="18"/>
  <c r="C635" i="18"/>
  <c r="C1639" i="18"/>
  <c r="C975" i="18"/>
  <c r="C1033" i="18"/>
  <c r="C1333" i="18"/>
  <c r="C977" i="18"/>
  <c r="C548" i="18"/>
  <c r="C365" i="18"/>
  <c r="C153" i="18"/>
  <c r="C1567" i="18"/>
  <c r="C1045" i="18"/>
  <c r="C259" i="18"/>
  <c r="C1411" i="18"/>
  <c r="C1147" i="18"/>
  <c r="C741" i="18"/>
  <c r="C446" i="18"/>
  <c r="C135" i="18"/>
  <c r="C1553" i="18"/>
  <c r="C1129" i="18"/>
  <c r="C681" i="18"/>
  <c r="C372" i="18"/>
  <c r="C70" i="18"/>
  <c r="C151" i="18"/>
  <c r="C1706" i="18"/>
  <c r="C1433" i="18"/>
  <c r="C702" i="18"/>
  <c r="C556" i="18"/>
  <c r="C942" i="18"/>
  <c r="C313" i="18"/>
  <c r="C1684" i="18"/>
  <c r="C384" i="18"/>
  <c r="C980" i="18"/>
  <c r="C388" i="18"/>
  <c r="C1661" i="18"/>
  <c r="C1540" i="18"/>
  <c r="C631" i="18"/>
  <c r="C1495" i="18"/>
  <c r="C1202" i="18"/>
  <c r="C954" i="18"/>
  <c r="C651" i="18"/>
  <c r="C232" i="18"/>
  <c r="C1646" i="18"/>
  <c r="C1006" i="18"/>
  <c r="C570" i="18"/>
  <c r="C96" i="18"/>
  <c r="C1689" i="18"/>
  <c r="C1490" i="18"/>
  <c r="C1331" i="18"/>
  <c r="C1137" i="18"/>
  <c r="C918" i="18"/>
  <c r="C656" i="18"/>
  <c r="C449" i="18"/>
  <c r="C256" i="18"/>
  <c r="C67" i="18"/>
  <c r="C1626" i="18"/>
  <c r="C1300" i="18"/>
  <c r="C798" i="18"/>
  <c r="C167" i="18"/>
  <c r="C1632" i="18"/>
  <c r="C1351" i="18"/>
  <c r="C1141" i="18"/>
  <c r="C821" i="18"/>
  <c r="C605" i="18"/>
  <c r="C342" i="18"/>
  <c r="C24" i="18"/>
  <c r="C1459" i="18"/>
  <c r="C1165" i="18"/>
  <c r="C770" i="18"/>
  <c r="C415" i="18"/>
  <c r="C152" i="18"/>
  <c r="C1229" i="18"/>
  <c r="C757" i="18"/>
  <c r="C322" i="18"/>
  <c r="C1770" i="18"/>
  <c r="C1516" i="18"/>
  <c r="C1130" i="18"/>
  <c r="C186" i="18"/>
  <c r="C1544" i="18"/>
  <c r="C1373" i="18"/>
  <c r="C495" i="18"/>
  <c r="C1259" i="18"/>
  <c r="C311" i="18"/>
  <c r="C1498" i="18"/>
  <c r="C156" i="18"/>
  <c r="C1487" i="18"/>
  <c r="C1127" i="18"/>
  <c r="C900" i="18"/>
  <c r="C430" i="18"/>
  <c r="C45" i="18"/>
  <c r="C1386" i="18"/>
  <c r="C895" i="18"/>
  <c r="C403" i="18"/>
  <c r="C1828" i="18"/>
  <c r="C1597" i="18"/>
  <c r="C1450" i="18"/>
  <c r="C1317" i="18"/>
  <c r="C1024" i="18"/>
  <c r="C814" i="18"/>
  <c r="C476" i="18"/>
  <c r="C284" i="18"/>
  <c r="C92" i="18"/>
  <c r="C1659" i="18"/>
  <c r="C1380" i="18"/>
  <c r="C987" i="18"/>
  <c r="C428" i="18"/>
  <c r="C1778" i="18"/>
  <c r="C1376" i="18"/>
  <c r="C1163" i="18"/>
  <c r="C866" i="18"/>
  <c r="C658" i="18"/>
  <c r="C444" i="18"/>
  <c r="C48" i="18"/>
  <c r="C1522" i="18"/>
  <c r="C1243" i="18"/>
  <c r="C892" i="18"/>
  <c r="C461" i="18"/>
  <c r="C227" i="18"/>
  <c r="C1448" i="18"/>
  <c r="C818" i="18"/>
  <c r="C454" i="18"/>
  <c r="C1793" i="18"/>
  <c r="C1575" i="18"/>
  <c r="C1747" i="18"/>
  <c r="C1484" i="18"/>
  <c r="C61" i="18"/>
  <c r="C1823" i="18"/>
  <c r="C1483" i="18"/>
  <c r="C1178" i="18"/>
  <c r="C746" i="18"/>
  <c r="C409" i="18"/>
  <c r="C1796" i="18"/>
  <c r="C1047" i="18"/>
  <c r="C475" i="18"/>
  <c r="C77" i="18"/>
  <c r="C1668" i="18"/>
  <c r="C1464" i="18"/>
  <c r="C1287" i="18"/>
  <c r="C1071" i="18"/>
  <c r="C397" i="18"/>
  <c r="C1645" i="18"/>
  <c r="C1472" i="18"/>
  <c r="C1527" i="18"/>
  <c r="C695" i="18"/>
  <c r="C468" i="18"/>
  <c r="C1223" i="18"/>
  <c r="C843" i="18"/>
  <c r="C498" i="18"/>
  <c r="C328" i="18"/>
  <c r="C40" i="18"/>
  <c r="C1449" i="18"/>
  <c r="C682" i="18"/>
  <c r="C1819" i="18"/>
  <c r="C1353" i="18"/>
  <c r="C1056" i="18"/>
  <c r="C673" i="18"/>
  <c r="C440" i="18"/>
  <c r="C73" i="18"/>
  <c r="C1399" i="18"/>
  <c r="C1081" i="18"/>
  <c r="C607" i="18"/>
  <c r="C316" i="18"/>
  <c r="C9" i="18"/>
  <c r="C16" i="18"/>
  <c r="C1671" i="18"/>
  <c r="C819" i="18"/>
  <c r="C669" i="18"/>
  <c r="C294" i="18"/>
  <c r="C622" i="18"/>
  <c r="C189" i="18"/>
  <c r="C1602" i="18"/>
  <c r="C320" i="18"/>
  <c r="C941" i="18"/>
  <c r="C312" i="18"/>
  <c r="C1512" i="18"/>
  <c r="C1514" i="18"/>
  <c r="C1790" i="18"/>
  <c r="C1395" i="18"/>
  <c r="C1138" i="18"/>
  <c r="C902" i="18"/>
  <c r="C567" i="18"/>
  <c r="C68" i="18"/>
  <c r="C1518" i="18"/>
  <c r="C927" i="18"/>
  <c r="C460" i="18"/>
  <c r="C1831" i="18"/>
  <c r="C1631" i="18"/>
  <c r="C1457" i="18"/>
  <c r="C1324" i="18"/>
  <c r="C1030" i="18"/>
  <c r="C887" i="18"/>
  <c r="C615" i="18"/>
  <c r="C416" i="18"/>
  <c r="C233" i="18"/>
  <c r="C35" i="18"/>
  <c r="C1562" i="18"/>
  <c r="C1248" i="18"/>
  <c r="C574" i="18"/>
  <c r="C107" i="18"/>
  <c r="C1539" i="18"/>
  <c r="C1288" i="18"/>
  <c r="C1043" i="18"/>
  <c r="C738" i="18"/>
  <c r="C563" i="18"/>
  <c r="C257" i="18"/>
  <c r="C1713" i="18"/>
  <c r="C1390" i="18"/>
  <c r="C1126" i="18"/>
  <c r="C670" i="18"/>
  <c r="C346" i="18"/>
  <c r="C55" i="18"/>
  <c r="C1107" i="18"/>
  <c r="C684" i="18"/>
  <c r="C144" i="18"/>
  <c r="C1696" i="18"/>
  <c r="C1336" i="18"/>
  <c r="C1035" i="18"/>
  <c r="C1391" i="18"/>
  <c r="C457" i="18"/>
  <c r="C1356" i="18"/>
  <c r="C1118" i="18"/>
  <c r="C979" i="18"/>
  <c r="C159" i="18"/>
  <c r="C1188" i="18"/>
  <c r="C1782" i="18"/>
  <c r="C1337" i="18"/>
  <c r="C1049" i="18"/>
  <c r="C756" i="18"/>
  <c r="C381" i="18"/>
  <c r="C1802" i="18"/>
  <c r="C1206" i="18"/>
  <c r="C809" i="18"/>
  <c r="C325" i="18"/>
  <c r="C1777" i="18"/>
  <c r="C1561" i="18"/>
  <c r="C1414" i="18"/>
  <c r="C1241" i="18"/>
  <c r="C988" i="18"/>
  <c r="C648" i="18"/>
  <c r="C441" i="18"/>
  <c r="C255" i="18"/>
  <c r="C63" i="18"/>
  <c r="C1625" i="18"/>
  <c r="C1299" i="18"/>
  <c r="C773" i="18"/>
  <c r="C201" i="18"/>
  <c r="C1629" i="18"/>
  <c r="C1342" i="18"/>
  <c r="C1139" i="18"/>
  <c r="C813" i="18"/>
  <c r="C602" i="18"/>
  <c r="C371" i="18"/>
  <c r="C1827" i="18"/>
  <c r="C1441" i="18"/>
  <c r="C1155" i="18"/>
  <c r="C767" i="18"/>
  <c r="C369" i="18"/>
  <c r="C113" i="18"/>
  <c r="C1170" i="18"/>
  <c r="C755" i="18"/>
  <c r="C296" i="18"/>
  <c r="C1749" i="18"/>
  <c r="C1511" i="18"/>
  <c r="C1534" i="18"/>
  <c r="C1362" i="18"/>
  <c r="C1513" i="18"/>
  <c r="C925" i="18"/>
  <c r="C1499" i="18"/>
  <c r="C940" i="18"/>
  <c r="C1731" i="18"/>
  <c r="C1319" i="18"/>
  <c r="C1048" i="18"/>
  <c r="C698" i="18"/>
  <c r="C332" i="18"/>
  <c r="C1486" i="18"/>
  <c r="C976" i="18"/>
  <c r="C399" i="18"/>
  <c r="C1826" i="18"/>
  <c r="C1590" i="18"/>
  <c r="C1440" i="18"/>
  <c r="C1236" i="18"/>
  <c r="C1021" i="18"/>
  <c r="C874" i="18"/>
  <c r="C597" i="18"/>
  <c r="C395" i="18"/>
  <c r="C237" i="18"/>
  <c r="C57" i="18"/>
  <c r="C1599" i="18"/>
  <c r="C1134" i="18"/>
  <c r="C596" i="18"/>
  <c r="C197" i="18"/>
  <c r="C1640" i="18"/>
  <c r="C1374" i="18"/>
  <c r="C1160" i="18"/>
  <c r="C855" i="18"/>
  <c r="C583" i="18"/>
  <c r="C370" i="18"/>
  <c r="C1801" i="18"/>
  <c r="C1298" i="18"/>
  <c r="C945" i="18"/>
  <c r="C459" i="18"/>
  <c r="C212" i="18"/>
  <c r="C1566" i="18"/>
  <c r="C782" i="18"/>
  <c r="C191" i="18"/>
  <c r="C1207" i="18"/>
  <c r="C891" i="18"/>
  <c r="C760" i="18"/>
  <c r="C637" i="18"/>
  <c r="C414" i="18"/>
  <c r="C150" i="18"/>
  <c r="C1820" i="18"/>
  <c r="C1630" i="18"/>
  <c r="C1325" i="18"/>
  <c r="C1133" i="18"/>
  <c r="C946" i="18"/>
  <c r="C801" i="18"/>
  <c r="C612" i="18"/>
  <c r="C359" i="18"/>
  <c r="C145" i="18"/>
  <c r="C1833" i="18"/>
  <c r="C1612" i="18"/>
  <c r="C1365" i="18"/>
  <c r="C1104" i="18"/>
  <c r="C832" i="18"/>
  <c r="C501" i="18"/>
  <c r="C304" i="18"/>
  <c r="C1794" i="18"/>
  <c r="C1673" i="18"/>
  <c r="C1517" i="18"/>
  <c r="C1354" i="18"/>
  <c r="C1180" i="18"/>
  <c r="C922" i="18"/>
  <c r="C728" i="18"/>
  <c r="C532" i="18"/>
  <c r="C413" i="18"/>
  <c r="C10" i="18"/>
  <c r="C1641" i="18"/>
  <c r="C1408" i="18"/>
  <c r="C1244" i="18"/>
  <c r="C1083" i="18"/>
  <c r="C937" i="18"/>
  <c r="C677" i="18"/>
  <c r="C480" i="18"/>
  <c r="C309" i="18"/>
  <c r="C76" i="18"/>
  <c r="C1768" i="18"/>
  <c r="C1479" i="18"/>
  <c r="C1199" i="18"/>
  <c r="C1003" i="18"/>
  <c r="C797" i="18"/>
  <c r="C558" i="18"/>
  <c r="C329" i="18"/>
  <c r="C180" i="18"/>
  <c r="C127" i="18"/>
  <c r="C1613" i="18"/>
  <c r="C840" i="18"/>
  <c r="C1471" i="18"/>
  <c r="C1617" i="18"/>
  <c r="C1662" i="18"/>
  <c r="C293" i="18"/>
  <c r="C1716" i="18"/>
  <c r="C281" i="18"/>
  <c r="C1754" i="18"/>
  <c r="C1158" i="18"/>
  <c r="C759" i="18"/>
  <c r="C464" i="18"/>
  <c r="C235" i="18"/>
  <c r="C1811" i="18"/>
  <c r="C1393" i="18"/>
  <c r="C458" i="18"/>
  <c r="C1693" i="18"/>
  <c r="C1303" i="18"/>
  <c r="C873" i="18"/>
  <c r="C608" i="18"/>
  <c r="C351" i="18"/>
  <c r="C1800" i="18"/>
  <c r="C1347" i="18"/>
  <c r="C933" i="18"/>
  <c r="C502" i="18"/>
  <c r="C234" i="18"/>
  <c r="C1717" i="18"/>
  <c r="C1813" i="18"/>
  <c r="C1634" i="18"/>
  <c r="C796" i="18"/>
  <c r="C655" i="18"/>
  <c r="C1603" i="18"/>
  <c r="C528" i="18"/>
  <c r="C1260" i="18"/>
  <c r="C1541" i="18"/>
  <c r="C1638" i="18"/>
  <c r="C848" i="18"/>
  <c r="C188" i="18"/>
  <c r="C310" i="18"/>
  <c r="C689" i="18"/>
  <c r="C1680" i="18"/>
  <c r="C1308" i="18"/>
  <c r="C1053" i="18"/>
  <c r="C820" i="18"/>
  <c r="C462" i="18"/>
  <c r="C1832" i="18"/>
  <c r="C1413" i="18"/>
  <c r="C861" i="18"/>
  <c r="C337" i="18"/>
  <c r="C1807" i="18"/>
  <c r="C1563" i="18"/>
  <c r="C1423" i="18"/>
  <c r="C1270" i="18"/>
  <c r="C995" i="18"/>
  <c r="C838" i="18"/>
  <c r="C543" i="18"/>
  <c r="C341" i="18"/>
  <c r="C184" i="18"/>
  <c r="C1729" i="18"/>
  <c r="C1422" i="18"/>
  <c r="C1101" i="18"/>
  <c r="C431" i="18"/>
  <c r="C1818" i="18"/>
  <c r="C1443" i="18"/>
  <c r="C1254" i="18"/>
  <c r="C966" i="18"/>
  <c r="C713" i="18"/>
  <c r="C482" i="18"/>
  <c r="C164" i="18"/>
  <c r="C1648" i="18"/>
  <c r="C1316" i="18"/>
  <c r="C1073" i="18"/>
  <c r="C585" i="18"/>
  <c r="C274" i="18"/>
  <c r="C1798" i="18"/>
  <c r="C1041" i="18"/>
  <c r="C592" i="18"/>
  <c r="C8" i="18"/>
  <c r="C1666" i="18"/>
  <c r="C1313" i="18"/>
  <c r="C983" i="18"/>
  <c r="C185" i="18"/>
  <c r="C1573" i="18"/>
  <c r="C926" i="18"/>
  <c r="C885" i="18"/>
  <c r="C844" i="18"/>
  <c r="C1496" i="18"/>
  <c r="C1060" i="18"/>
  <c r="C1675" i="18"/>
  <c r="C1277" i="18"/>
  <c r="C989" i="18"/>
  <c r="C638" i="18"/>
  <c r="C198" i="18"/>
  <c r="C1722" i="18"/>
  <c r="C1105" i="18"/>
  <c r="C678" i="18"/>
  <c r="C168" i="18"/>
  <c r="C1725" i="18"/>
  <c r="C1508" i="18"/>
  <c r="C1378" i="18"/>
  <c r="C1173" i="18"/>
  <c r="C959" i="18"/>
  <c r="C611" i="18"/>
  <c r="C411" i="18"/>
  <c r="C213" i="18"/>
  <c r="C27" i="18"/>
  <c r="C1552" i="18"/>
  <c r="C1230" i="18"/>
  <c r="C617" i="18"/>
  <c r="C166" i="18"/>
  <c r="C1482" i="18"/>
  <c r="C1281" i="18"/>
  <c r="C1004" i="18"/>
  <c r="C725" i="18"/>
  <c r="C539" i="18"/>
  <c r="C250" i="18"/>
  <c r="C1679" i="18"/>
  <c r="C1389" i="18"/>
  <c r="C1120" i="18"/>
  <c r="C650" i="18"/>
  <c r="C340" i="18"/>
  <c r="C43" i="18"/>
  <c r="C1099" i="18"/>
  <c r="C668" i="18"/>
  <c r="C71" i="18"/>
  <c r="C1695" i="18"/>
  <c r="C1470" i="18"/>
  <c r="C641" i="18"/>
  <c r="C1670" i="18"/>
  <c r="C1271" i="18"/>
  <c r="C984" i="18"/>
  <c r="C589" i="18"/>
  <c r="C196" i="18"/>
  <c r="C1296" i="18"/>
  <c r="C752" i="18"/>
  <c r="C301" i="18"/>
  <c r="C1775" i="18"/>
  <c r="C1556" i="18"/>
  <c r="C1345" i="18"/>
  <c r="C1166" i="18"/>
  <c r="C978" i="18"/>
  <c r="C761" i="18"/>
  <c r="C504" i="18"/>
  <c r="C368" i="18"/>
  <c r="C210" i="18"/>
  <c r="C1825" i="18"/>
  <c r="C1409" i="18"/>
  <c r="C1067" i="18"/>
  <c r="C511" i="18"/>
  <c r="C121" i="18"/>
  <c r="C1606" i="18"/>
  <c r="C1339" i="18"/>
  <c r="C1128" i="18"/>
  <c r="C754" i="18"/>
  <c r="C530" i="18"/>
  <c r="C241" i="18"/>
  <c r="C1676" i="18"/>
  <c r="C1220" i="18"/>
  <c r="C836" i="18"/>
  <c r="C374" i="18"/>
  <c r="C85" i="18"/>
  <c r="C1350" i="18"/>
  <c r="C749" i="18"/>
  <c r="C1359" i="18"/>
  <c r="C1100" i="18"/>
  <c r="C856" i="18"/>
  <c r="C705" i="18"/>
  <c r="C568" i="18"/>
  <c r="C349" i="18"/>
  <c r="C94" i="18"/>
  <c r="C1805" i="18"/>
  <c r="C1577" i="18"/>
  <c r="C1279" i="18"/>
  <c r="C1090" i="18"/>
  <c r="C921" i="18"/>
  <c r="C764" i="18"/>
  <c r="C448" i="18"/>
  <c r="C283" i="18"/>
  <c r="C116" i="18"/>
  <c r="C1758" i="18"/>
  <c r="C1586" i="18"/>
  <c r="C1284" i="18"/>
  <c r="C1065" i="18"/>
  <c r="P156" i="18"/>
  <c r="P1060" i="18"/>
  <c r="P1167" i="18"/>
  <c r="P159" i="18"/>
  <c r="P527" i="18"/>
  <c r="P979" i="18"/>
  <c r="P1816" i="18"/>
  <c r="P1118" i="18"/>
  <c r="P732" i="18"/>
  <c r="P1356" i="18"/>
  <c r="P1492" i="18"/>
  <c r="C604" i="18"/>
  <c r="C824" i="18"/>
  <c r="C1042" i="18"/>
  <c r="C1315" i="18"/>
  <c r="C1583" i="18"/>
  <c r="C1760" i="18"/>
  <c r="C326" i="18"/>
  <c r="C745" i="18"/>
  <c r="C1387" i="18"/>
  <c r="C126" i="18"/>
  <c r="C179" i="18"/>
  <c r="C323" i="18"/>
  <c r="C510" i="18"/>
  <c r="C671" i="18"/>
  <c r="C916" i="18"/>
  <c r="C1057" i="18"/>
  <c r="C1278" i="18"/>
  <c r="C1474" i="18"/>
  <c r="C1743" i="18"/>
  <c r="C62" i="18"/>
  <c r="C302" i="18"/>
  <c r="C479" i="18"/>
  <c r="C676" i="18"/>
  <c r="C913" i="18"/>
  <c r="C1082" i="18"/>
  <c r="C1224" i="18"/>
  <c r="C1419" i="18"/>
  <c r="C1609" i="18"/>
  <c r="C1788" i="18"/>
  <c r="C412" i="18"/>
  <c r="C526" i="18"/>
  <c r="C780" i="18"/>
  <c r="C932" i="18"/>
  <c r="C1151" i="18"/>
  <c r="C1326" i="18"/>
  <c r="C1460" i="18"/>
  <c r="C1654" i="18"/>
  <c r="C101" i="18"/>
  <c r="C355" i="18"/>
  <c r="C630" i="18"/>
  <c r="C790" i="18"/>
  <c r="C1192" i="18"/>
  <c r="C1478" i="18"/>
  <c r="C1611" i="18"/>
  <c r="C1817" i="18"/>
  <c r="C136" i="18"/>
  <c r="C334" i="18"/>
  <c r="C564" i="18"/>
  <c r="C787" i="18"/>
  <c r="C944" i="18"/>
  <c r="C1132" i="18"/>
  <c r="C1272" i="18"/>
  <c r="C1564" i="18"/>
  <c r="C1766" i="18"/>
  <c r="C52" i="18"/>
  <c r="C278" i="18"/>
  <c r="C538" i="18"/>
  <c r="C687" i="18"/>
  <c r="C800" i="18"/>
  <c r="C1098" i="18"/>
  <c r="C1344" i="18"/>
  <c r="C146" i="18"/>
  <c r="C613" i="18"/>
  <c r="C869" i="18"/>
  <c r="C1187" i="18"/>
  <c r="C1491" i="18"/>
  <c r="C83" i="18"/>
  <c r="C331" i="18"/>
  <c r="C646" i="18"/>
  <c r="C858" i="18"/>
  <c r="C1190" i="18"/>
  <c r="C1521" i="18"/>
  <c r="C1714" i="18"/>
  <c r="C345" i="18"/>
  <c r="C776" i="18"/>
  <c r="C15" i="18"/>
  <c r="C172" i="18"/>
  <c r="C303" i="18"/>
  <c r="C591" i="18"/>
  <c r="C875" i="18"/>
  <c r="C1142" i="18"/>
  <c r="C1605" i="18"/>
  <c r="C5" i="18"/>
  <c r="C266" i="18"/>
  <c r="C529" i="18"/>
  <c r="C835" i="18"/>
  <c r="C1039" i="18"/>
  <c r="C1280" i="18"/>
  <c r="C1547" i="18"/>
  <c r="C1779" i="18"/>
  <c r="C453" i="18"/>
  <c r="C672" i="18"/>
  <c r="C879" i="18"/>
  <c r="C1196" i="18"/>
  <c r="C1446" i="18"/>
  <c r="C1619" i="18"/>
  <c r="C112" i="18"/>
  <c r="C382" i="18"/>
  <c r="C778" i="18"/>
  <c r="C1194" i="18"/>
  <c r="C1735" i="18"/>
  <c r="C251" i="18"/>
  <c r="C724" i="18"/>
  <c r="C1037" i="18"/>
  <c r="C1434" i="18"/>
  <c r="C56" i="18"/>
  <c r="C553" i="18"/>
  <c r="C816" i="18"/>
  <c r="C1321" i="18"/>
  <c r="C1161" i="18"/>
  <c r="C336" i="18"/>
  <c r="C1135" i="18"/>
  <c r="C79" i="18"/>
  <c r="C693" i="18"/>
  <c r="C1268" i="18"/>
  <c r="C34" i="18"/>
  <c r="C971" i="18"/>
  <c r="C1711" i="18"/>
  <c r="C330" i="18"/>
  <c r="C691" i="18"/>
  <c r="C1329" i="18"/>
  <c r="C660" i="18"/>
  <c r="C935" i="18"/>
  <c r="C924" i="18"/>
  <c r="C1822" i="18"/>
  <c r="C267" i="18"/>
  <c r="C1593" i="18"/>
  <c r="C965" i="18"/>
  <c r="C523" i="18"/>
  <c r="C162" i="18"/>
  <c r="C1078" i="18"/>
  <c r="C82" i="18"/>
  <c r="C155" i="18"/>
  <c r="C1557" i="18"/>
  <c r="C1816" i="18"/>
  <c r="C912" i="18"/>
  <c r="C509" i="18"/>
  <c r="C493" i="18"/>
  <c r="C132" i="18"/>
  <c r="C1185" i="18"/>
  <c r="C1011" i="18"/>
  <c r="C315" i="18"/>
  <c r="C1205" i="18"/>
  <c r="C268" i="18"/>
  <c r="C392" i="18"/>
  <c r="C1615" i="18"/>
  <c r="C632" i="18"/>
  <c r="C389" i="18"/>
  <c r="C1520" i="18"/>
  <c r="C422" i="18"/>
  <c r="C231" i="18"/>
  <c r="C1591" i="18"/>
  <c r="C203" i="18"/>
  <c r="C1502" i="18"/>
  <c r="C1545" i="18"/>
  <c r="C737" i="18"/>
  <c r="C963" i="18"/>
  <c r="C1094" i="18"/>
  <c r="C1332" i="18"/>
  <c r="C1509" i="18"/>
  <c r="C1622" i="18"/>
  <c r="C95" i="18"/>
  <c r="C443" i="18"/>
  <c r="C586" i="18"/>
  <c r="C812" i="18"/>
  <c r="C961" i="18"/>
  <c r="C1191" i="18"/>
  <c r="C1361" i="18"/>
  <c r="C1546" i="18"/>
  <c r="C1759" i="18"/>
  <c r="C200" i="18"/>
  <c r="C426" i="18"/>
  <c r="C649" i="18"/>
  <c r="C1014" i="18"/>
  <c r="C1283" i="18"/>
  <c r="C1525" i="18"/>
  <c r="C1642" i="18"/>
  <c r="C26" i="18"/>
  <c r="C202" i="18"/>
  <c r="C383" i="18"/>
  <c r="C639" i="18"/>
  <c r="C827" i="18"/>
  <c r="C964" i="18"/>
  <c r="C1156" i="18"/>
  <c r="C1323" i="18"/>
  <c r="C1628" i="18"/>
  <c r="C1804" i="18"/>
  <c r="C90" i="18"/>
  <c r="C319" i="18"/>
  <c r="C559" i="18"/>
  <c r="C701" i="18"/>
  <c r="C854" i="18"/>
  <c r="C1145" i="18"/>
  <c r="C1432" i="18"/>
  <c r="C194" i="18"/>
  <c r="C667" i="18"/>
  <c r="C1046" i="18"/>
  <c r="C1250" i="18"/>
  <c r="C1550" i="18"/>
  <c r="C138" i="18"/>
  <c r="C363" i="18"/>
  <c r="C747" i="18"/>
  <c r="C1008" i="18"/>
  <c r="C1235" i="18"/>
  <c r="C1570" i="18"/>
  <c r="C1762" i="18"/>
  <c r="C470" i="18"/>
  <c r="C1016" i="18"/>
  <c r="C93" i="18"/>
  <c r="C176" i="18"/>
  <c r="C362" i="18"/>
  <c r="C606" i="18"/>
  <c r="C974" i="18"/>
  <c r="C1249" i="18"/>
  <c r="C1664" i="18"/>
  <c r="C50" i="18"/>
  <c r="C347" i="18"/>
  <c r="C565" i="18"/>
  <c r="C884" i="18"/>
  <c r="C1108" i="18"/>
  <c r="C1348" i="18"/>
  <c r="C1568" i="18"/>
  <c r="C106" i="18"/>
  <c r="C490" i="18"/>
  <c r="C710" i="18"/>
  <c r="C934" i="18"/>
  <c r="C1225" i="18"/>
  <c r="C1462" i="18"/>
  <c r="C1703" i="18"/>
  <c r="C215" i="18"/>
  <c r="C438" i="18"/>
  <c r="C847" i="18"/>
  <c r="C1429" i="18"/>
  <c r="C29" i="18"/>
  <c r="C394" i="18"/>
  <c r="C852" i="18"/>
  <c r="C1169" i="18"/>
  <c r="C1657" i="18"/>
  <c r="C218" i="18"/>
  <c r="C663" i="18"/>
  <c r="C948" i="18"/>
  <c r="C452" i="18"/>
  <c r="C1755" i="18"/>
  <c r="C552" i="18"/>
  <c r="C1425" i="18"/>
  <c r="C442" i="18"/>
  <c r="C905" i="18"/>
  <c r="C1415" i="18"/>
  <c r="C262" i="18"/>
  <c r="C1297" i="18"/>
  <c r="C88" i="18"/>
  <c r="C435" i="18"/>
  <c r="C901" i="18"/>
  <c r="C1505" i="18"/>
  <c r="C1136" i="18"/>
  <c r="C1219" i="18"/>
  <c r="C1815" i="18"/>
  <c r="C1526" i="18"/>
  <c r="C572" i="18"/>
  <c r="C579" i="18"/>
  <c r="C109" i="18"/>
  <c r="C1247" i="18"/>
  <c r="C1096" i="18"/>
  <c r="C380" i="18"/>
  <c r="C1330" i="18"/>
  <c r="C512" i="18"/>
  <c r="C550" i="18"/>
  <c r="C292" i="18"/>
  <c r="C732" i="18"/>
  <c r="C1221" i="18"/>
  <c r="C839" i="18"/>
  <c r="C896" i="18"/>
  <c r="C445" i="18"/>
  <c r="C1388" i="18"/>
  <c r="C1381" i="18"/>
  <c r="C494" i="18"/>
  <c r="C1384" i="18"/>
  <c r="C694" i="18"/>
  <c r="C708" i="18"/>
  <c r="C140" i="18"/>
  <c r="C1168" i="18"/>
  <c r="C1115" i="18"/>
  <c r="C1771" i="18"/>
  <c r="C791" i="18"/>
  <c r="C571" i="18"/>
  <c r="C398" i="18"/>
  <c r="C386" i="18"/>
  <c r="C1549" i="18"/>
  <c r="C1493" i="18"/>
  <c r="C1732" i="18"/>
  <c r="C165" i="18"/>
  <c r="C477" i="18"/>
  <c r="C716" i="18"/>
  <c r="C865" i="18"/>
  <c r="C1002" i="18"/>
  <c r="C1222" i="18"/>
  <c r="C1394" i="18"/>
  <c r="C1585" i="18"/>
  <c r="C1792" i="18"/>
  <c r="C254" i="18"/>
  <c r="C469" i="18"/>
  <c r="C692" i="18"/>
  <c r="C1095" i="18"/>
  <c r="C1364" i="18"/>
  <c r="C1542" i="18"/>
  <c r="C1701" i="18"/>
  <c r="C41" i="18"/>
  <c r="C247" i="18"/>
  <c r="C421" i="18"/>
  <c r="C707" i="18"/>
  <c r="C876" i="18"/>
  <c r="C1032" i="18"/>
  <c r="C1193" i="18"/>
  <c r="C1396" i="18"/>
  <c r="C1655" i="18"/>
  <c r="C1812" i="18"/>
  <c r="C142" i="18"/>
  <c r="C417" i="18"/>
  <c r="C618" i="18"/>
  <c r="C726" i="18"/>
  <c r="C928" i="18"/>
  <c r="C1255" i="18"/>
  <c r="C1480" i="18"/>
  <c r="C244" i="18"/>
  <c r="C721" i="18"/>
  <c r="C1076" i="18"/>
  <c r="C1370" i="18"/>
  <c r="C1719" i="18"/>
  <c r="C216" i="18"/>
  <c r="C472" i="18"/>
  <c r="C803" i="18"/>
  <c r="C1074" i="18"/>
  <c r="C1338" i="18"/>
  <c r="C1614" i="18"/>
  <c r="C193" i="18"/>
  <c r="C545" i="18"/>
  <c r="C1153" i="18"/>
  <c r="C123" i="18"/>
  <c r="C192" i="18"/>
  <c r="C404" i="18"/>
  <c r="C715" i="18"/>
  <c r="C1026" i="18"/>
  <c r="C1290" i="18"/>
  <c r="C1728" i="18"/>
  <c r="C119" i="18"/>
  <c r="C364" i="18"/>
  <c r="C626" i="18"/>
  <c r="C970" i="18"/>
  <c r="C1175" i="18"/>
  <c r="C1377" i="18"/>
  <c r="C1708" i="18"/>
  <c r="C205" i="18"/>
  <c r="C507" i="18"/>
  <c r="C742" i="18"/>
  <c r="C996" i="18"/>
  <c r="C1274" i="18"/>
  <c r="C1554" i="18"/>
  <c r="C1751" i="18"/>
  <c r="C265" i="18"/>
  <c r="C536" i="18"/>
  <c r="C1022" i="18"/>
  <c r="C1569" i="18"/>
  <c r="C44" i="18"/>
  <c r="C425" i="18"/>
  <c r="C899" i="18"/>
  <c r="C1197" i="18"/>
  <c r="C1767" i="18"/>
  <c r="C285" i="18"/>
  <c r="C688" i="18"/>
  <c r="C1012" i="18"/>
  <c r="C566" i="18"/>
  <c r="C12" i="18"/>
  <c r="C727" i="18"/>
  <c r="C1565" i="18"/>
  <c r="C471" i="18"/>
  <c r="C985" i="18"/>
  <c r="C1501" i="18"/>
  <c r="C427" i="18"/>
  <c r="C1360" i="18"/>
  <c r="C158" i="18"/>
  <c r="C474" i="18"/>
  <c r="C957" i="18"/>
  <c r="C1712" i="18"/>
  <c r="C37" i="18"/>
  <c r="C1519" i="18"/>
  <c r="C1372" i="18"/>
  <c r="C1426" i="18"/>
  <c r="C986" i="18"/>
  <c r="C1023" i="18"/>
  <c r="C481" i="18"/>
  <c r="C1418" i="18"/>
  <c r="C1420" i="18"/>
  <c r="C514" i="18"/>
  <c r="C1475" i="18"/>
  <c r="C993" i="18"/>
  <c r="C938" i="18"/>
  <c r="C1167" i="18"/>
  <c r="C1492" i="18"/>
  <c r="C1587" i="18"/>
  <c r="C1687" i="18"/>
  <c r="C1261" i="18"/>
  <c r="C659" i="18"/>
  <c r="C1681" i="18"/>
  <c r="C1688" i="18"/>
  <c r="C735" i="18"/>
  <c r="C1528" i="18"/>
  <c r="C1210" i="18"/>
  <c r="C990" i="18"/>
  <c r="C1690" i="18"/>
  <c r="C731" i="18"/>
  <c r="C590" i="18"/>
  <c r="C1289" i="18"/>
  <c r="C1294" i="18"/>
  <c r="C853" i="18"/>
  <c r="C1102" i="18"/>
  <c r="C680" i="18"/>
  <c r="C1218" i="18"/>
  <c r="C1184" i="18"/>
  <c r="P457" i="18"/>
  <c r="P64" i="18"/>
  <c r="P1391" i="18"/>
  <c r="P1485" i="18"/>
  <c r="P182" i="18"/>
  <c r="P1293" i="18"/>
  <c r="P134" i="18"/>
  <c r="P881" i="18"/>
  <c r="P1312" i="18"/>
  <c r="P1494" i="18"/>
  <c r="P631" i="18"/>
  <c r="P689" i="18"/>
  <c r="P310" i="18"/>
  <c r="P1661" i="18"/>
  <c r="P188" i="18"/>
  <c r="P388" i="18"/>
  <c r="P848" i="18"/>
  <c r="P980" i="18"/>
  <c r="P320" i="18"/>
  <c r="P731" i="18"/>
  <c r="P1684" i="18"/>
  <c r="P1260" i="18"/>
  <c r="P313" i="18"/>
  <c r="P528" i="18"/>
  <c r="P942" i="18"/>
  <c r="P1603" i="18"/>
  <c r="P722" i="18"/>
  <c r="P635" i="18"/>
  <c r="P642" i="18"/>
  <c r="P1493" i="18"/>
  <c r="P314" i="18"/>
  <c r="P1472" i="18"/>
  <c r="P1392" i="18"/>
  <c r="P1691" i="18"/>
  <c r="P883" i="18"/>
  <c r="P91" i="18"/>
  <c r="P534" i="18"/>
  <c r="P810" i="18"/>
  <c r="P1125" i="18"/>
  <c r="P1447" i="18"/>
  <c r="P14" i="18"/>
  <c r="P286" i="18"/>
  <c r="P578" i="18"/>
  <c r="P826" i="18"/>
  <c r="P1157" i="18"/>
  <c r="P1404" i="18"/>
  <c r="P1669" i="18"/>
  <c r="P470" i="18"/>
  <c r="P840" i="18"/>
  <c r="P1613" i="18"/>
  <c r="P127" i="18"/>
  <c r="P180" i="18"/>
  <c r="P329" i="18"/>
  <c r="P97" i="18"/>
  <c r="P537" i="18"/>
  <c r="P834" i="18"/>
  <c r="P1146" i="18"/>
  <c r="P1588" i="18"/>
  <c r="P224" i="18"/>
  <c r="P503" i="18"/>
  <c r="P768" i="18"/>
  <c r="P955" i="18"/>
  <c r="P1237" i="18"/>
  <c r="P1507" i="18"/>
  <c r="P1685" i="18"/>
  <c r="P307" i="18"/>
  <c r="P743" i="18"/>
  <c r="P1171" i="18"/>
  <c r="P124" i="18"/>
  <c r="P181" i="18"/>
  <c r="P377" i="18"/>
  <c r="P595" i="18"/>
  <c r="P893" i="18"/>
  <c r="P1059" i="18"/>
  <c r="P1334" i="18"/>
  <c r="P1610" i="18"/>
  <c r="P1769" i="18"/>
  <c r="P154" i="18"/>
  <c r="P350" i="18"/>
  <c r="P540" i="18"/>
  <c r="P750" i="18"/>
  <c r="P1027" i="18"/>
  <c r="P1214" i="18"/>
  <c r="P1383" i="18"/>
  <c r="P1548" i="18"/>
  <c r="P221" i="18"/>
  <c r="P546" i="18"/>
  <c r="P923" i="18"/>
  <c r="P1162" i="18"/>
  <c r="P1465" i="18"/>
  <c r="P47" i="18"/>
  <c r="P353" i="18"/>
  <c r="P629" i="18"/>
  <c r="P904" i="18"/>
  <c r="P1176" i="18"/>
  <c r="P1343" i="18"/>
  <c r="P1721" i="18"/>
  <c r="P393" i="18"/>
  <c r="P807" i="18"/>
  <c r="P114" i="18"/>
  <c r="P174" i="18"/>
  <c r="P360" i="18"/>
  <c r="P575" i="18"/>
  <c r="P903" i="18"/>
  <c r="P1239" i="18"/>
  <c r="P1403" i="18"/>
  <c r="P1704" i="18"/>
  <c r="P54" i="18"/>
  <c r="P297" i="18"/>
  <c r="P675" i="18"/>
  <c r="P1092" i="18"/>
  <c r="P230" i="18"/>
  <c r="P939" i="18"/>
  <c r="P1476" i="18"/>
  <c r="P604" i="18"/>
  <c r="P1583" i="18"/>
  <c r="P4" i="18"/>
  <c r="P588" i="18"/>
  <c r="P1349" i="18"/>
  <c r="P358" i="18"/>
  <c r="P1148" i="18"/>
  <c r="P165" i="18"/>
  <c r="P1002" i="18"/>
  <c r="P1654" i="18"/>
  <c r="P790" i="18"/>
  <c r="P1817" i="18"/>
  <c r="P787" i="18"/>
  <c r="P1564" i="18"/>
  <c r="P538" i="18"/>
  <c r="P1344" i="18"/>
  <c r="P818" i="18"/>
  <c r="P892" i="18"/>
  <c r="P444" i="18"/>
  <c r="P1376" i="18"/>
  <c r="P1380" i="18"/>
  <c r="P476" i="18"/>
  <c r="P1450" i="18"/>
  <c r="P895" i="18"/>
  <c r="P900" i="18"/>
  <c r="P606" i="18"/>
  <c r="P1664" i="18"/>
  <c r="P565" i="18"/>
  <c r="P1348" i="18"/>
  <c r="P490" i="18"/>
  <c r="P1225" i="18"/>
  <c r="P215" i="18"/>
  <c r="P1194" i="18"/>
  <c r="P251" i="18"/>
  <c r="P1037" i="18"/>
  <c r="P56" i="18"/>
  <c r="P816" i="18"/>
  <c r="P1813" i="18"/>
  <c r="P228" i="18"/>
  <c r="P1514" i="18"/>
  <c r="P58" i="18"/>
  <c r="P1823" i="18"/>
  <c r="P1483" i="18"/>
  <c r="P1178" i="18"/>
  <c r="P746" i="18"/>
  <c r="P409" i="18"/>
  <c r="P1796" i="18"/>
  <c r="P1047" i="18"/>
  <c r="P475" i="18"/>
  <c r="P1799" i="18"/>
  <c r="P1256" i="18"/>
  <c r="P991" i="18"/>
  <c r="P730" i="18"/>
  <c r="P400" i="18"/>
  <c r="P1740" i="18"/>
  <c r="P1121" i="18"/>
  <c r="P657" i="18"/>
  <c r="P1821" i="18"/>
  <c r="P1584" i="18"/>
  <c r="P1385" i="18"/>
  <c r="P1223" i="18"/>
  <c r="P1009" i="18"/>
  <c r="P843" i="18"/>
  <c r="P548" i="18"/>
  <c r="P386" i="18"/>
  <c r="P235" i="18"/>
  <c r="P40" i="18"/>
  <c r="P1567" i="18"/>
  <c r="P1102" i="18"/>
  <c r="P1615" i="18"/>
  <c r="P77" i="18"/>
  <c r="P1668" i="18"/>
  <c r="P1464" i="18"/>
  <c r="P1287" i="18"/>
  <c r="P1071" i="18"/>
  <c r="P901" i="18"/>
  <c r="P640" i="18"/>
  <c r="P435" i="18"/>
  <c r="P275" i="18"/>
  <c r="P88" i="18"/>
  <c r="P1652" i="18"/>
  <c r="P1297" i="18"/>
  <c r="P696" i="18"/>
  <c r="P262" i="18"/>
  <c r="P1774" i="18"/>
  <c r="P1415" i="18"/>
  <c r="P1227" i="18"/>
  <c r="P905" i="18"/>
  <c r="P628" i="18"/>
  <c r="P442" i="18"/>
  <c r="P46" i="18"/>
  <c r="P1425" i="18"/>
  <c r="P1085" i="18"/>
  <c r="P552" i="18"/>
  <c r="P249" i="18"/>
  <c r="P1755" i="18"/>
  <c r="P908" i="18"/>
  <c r="P452" i="18"/>
  <c r="P1793" i="18"/>
  <c r="P1575" i="18"/>
  <c r="P1336" i="18"/>
  <c r="P1035" i="18"/>
  <c r="P796" i="18"/>
  <c r="P655" i="18"/>
  <c r="P473" i="18"/>
  <c r="P115" i="18"/>
  <c r="P1810" i="18"/>
  <c r="P1656" i="18"/>
  <c r="P1346" i="18"/>
  <c r="P1179" i="18"/>
  <c r="P956" i="18"/>
  <c r="P779" i="18"/>
  <c r="P433" i="18"/>
  <c r="P272" i="18"/>
  <c r="P84" i="18"/>
  <c r="P1737" i="18"/>
  <c r="P1580" i="18"/>
  <c r="P1375" i="18"/>
  <c r="P1124" i="18"/>
  <c r="P842" i="18"/>
  <c r="P647" i="18"/>
  <c r="P348" i="18"/>
  <c r="P11" i="18"/>
  <c r="P1678" i="18"/>
  <c r="P1538" i="18"/>
  <c r="P1371" i="18"/>
  <c r="P1088" i="18"/>
  <c r="P930" i="18"/>
  <c r="P774" i="18"/>
  <c r="P620" i="18"/>
  <c r="P478" i="18"/>
  <c r="P137" i="18"/>
  <c r="P1723" i="18"/>
  <c r="P1412" i="18"/>
  <c r="P1834" i="18"/>
  <c r="P458" i="18"/>
  <c r="P1819" i="18"/>
  <c r="P1411" i="18"/>
  <c r="P1215" i="18"/>
  <c r="P873" i="18"/>
  <c r="P673" i="18"/>
  <c r="P446" i="18"/>
  <c r="P231" i="18"/>
  <c r="P1800" i="18"/>
  <c r="P1399" i="18"/>
  <c r="P1129" i="18"/>
  <c r="P681" i="18"/>
  <c r="P372" i="18"/>
  <c r="P70" i="18"/>
  <c r="P1114" i="18"/>
  <c r="P734" i="18"/>
  <c r="P69" i="18"/>
  <c r="P1694" i="18"/>
  <c r="P1438" i="18"/>
  <c r="P1110" i="18"/>
  <c r="P867" i="18"/>
  <c r="P720" i="18"/>
  <c r="P569" i="18"/>
  <c r="P356" i="18"/>
  <c r="P21" i="18"/>
  <c r="P1757" i="18"/>
  <c r="P1436" i="18"/>
  <c r="P1266" i="18"/>
  <c r="P1091" i="18"/>
  <c r="P931" i="18"/>
  <c r="P771" i="18"/>
  <c r="P432" i="18"/>
  <c r="P261" i="18"/>
  <c r="P53" i="18"/>
  <c r="P1734" i="18"/>
  <c r="P1529" i="18"/>
  <c r="P1164" i="18"/>
  <c r="P860" i="18"/>
  <c r="P674" i="18"/>
  <c r="P487" i="18"/>
  <c r="P306" i="18"/>
  <c r="P66" i="18"/>
  <c r="P1727" i="18"/>
  <c r="P1572" i="18"/>
  <c r="P1405" i="18"/>
  <c r="P1204" i="18"/>
  <c r="P999" i="18"/>
  <c r="P788" i="18"/>
  <c r="P614" i="18"/>
  <c r="P424" i="18"/>
  <c r="P36" i="18"/>
  <c r="P1650" i="18"/>
  <c r="P1718" i="18"/>
  <c r="P1138" i="18"/>
  <c r="P902" i="18"/>
  <c r="P567" i="18"/>
  <c r="P68" i="18"/>
  <c r="P1518" i="18"/>
  <c r="P927" i="18"/>
  <c r="P460" i="18"/>
  <c r="P1831" i="18"/>
  <c r="P1631" i="18"/>
  <c r="P1457" i="18"/>
  <c r="P1324" i="18"/>
  <c r="P1030" i="18"/>
  <c r="P887" i="18"/>
  <c r="P615" i="18"/>
  <c r="P416" i="18"/>
  <c r="P233" i="18"/>
  <c r="P35" i="18"/>
  <c r="P1562" i="18"/>
  <c r="P1248" i="18"/>
  <c r="P574" i="18"/>
  <c r="P107" i="18"/>
  <c r="P1539" i="18"/>
  <c r="P1288" i="18"/>
  <c r="P1043" i="18"/>
  <c r="P738" i="18"/>
  <c r="P563" i="18"/>
  <c r="P257" i="18"/>
  <c r="P1713" i="18"/>
  <c r="P1390" i="18"/>
  <c r="P1126" i="18"/>
  <c r="P670" i="18"/>
  <c r="P346" i="18"/>
  <c r="P55" i="18"/>
  <c r="P1107" i="18"/>
  <c r="P684" i="18"/>
  <c r="P151" i="18"/>
  <c r="P1706" i="18"/>
  <c r="P1433" i="18"/>
  <c r="P1207" i="18"/>
  <c r="P891" i="18"/>
  <c r="P760" i="18"/>
  <c r="P637" i="18"/>
  <c r="P414" i="18"/>
  <c r="P150" i="18"/>
  <c r="P1820" i="18"/>
  <c r="P1630" i="18"/>
  <c r="P1325" i="18"/>
  <c r="P1133" i="18"/>
  <c r="P946" i="18"/>
  <c r="P801" i="18"/>
  <c r="P612" i="18"/>
  <c r="P359" i="18"/>
  <c r="P145" i="18"/>
  <c r="P1833" i="18"/>
  <c r="P1612" i="18"/>
  <c r="P1365" i="18"/>
  <c r="P1104" i="18"/>
  <c r="P832" i="18"/>
  <c r="P501" i="18"/>
  <c r="P304" i="18"/>
  <c r="P1794" i="18"/>
  <c r="P1673" i="18"/>
  <c r="P1517" i="18"/>
  <c r="P1354" i="18"/>
  <c r="P1180" i="18"/>
  <c r="P922" i="18"/>
  <c r="P728" i="18"/>
  <c r="P532" i="18"/>
  <c r="P413" i="18"/>
  <c r="P10" i="18"/>
  <c r="P1641" i="18"/>
  <c r="P1408" i="18"/>
  <c r="P1244" i="18"/>
  <c r="P1083" i="18"/>
  <c r="P937" i="18"/>
  <c r="P677" i="18"/>
  <c r="P480" i="18"/>
  <c r="P309" i="18"/>
  <c r="P76" i="18"/>
  <c r="P1768" i="18"/>
  <c r="P1479" i="18"/>
  <c r="P1199" i="18"/>
  <c r="P1003" i="18"/>
  <c r="P797" i="18"/>
  <c r="P558" i="18"/>
  <c r="P1675" i="18"/>
  <c r="P1277" i="18"/>
  <c r="P989" i="18"/>
  <c r="P638" i="18"/>
  <c r="P198" i="18"/>
  <c r="P1722" i="18"/>
  <c r="P1105" i="18"/>
  <c r="P678" i="18"/>
  <c r="P168" i="18"/>
  <c r="P1725" i="18"/>
  <c r="P1508" i="18"/>
  <c r="P1378" i="18"/>
  <c r="P1173" i="18"/>
  <c r="P959" i="18"/>
  <c r="P611" i="18"/>
  <c r="P411" i="18"/>
  <c r="P213" i="18"/>
  <c r="P27" i="18"/>
  <c r="P1552" i="18"/>
  <c r="P1230" i="18"/>
  <c r="P617" i="18"/>
  <c r="P166" i="18"/>
  <c r="P1482" i="18"/>
  <c r="P1281" i="18"/>
  <c r="P1004" i="18"/>
  <c r="P725" i="18"/>
  <c r="P539" i="18"/>
  <c r="P250" i="18"/>
  <c r="P1679" i="18"/>
  <c r="P1389" i="18"/>
  <c r="P1120" i="18"/>
  <c r="P650" i="18"/>
  <c r="P340" i="18"/>
  <c r="P43" i="18"/>
  <c r="P1099" i="18"/>
  <c r="P668" i="18"/>
  <c r="P144" i="18"/>
  <c r="P1696" i="18"/>
  <c r="P1480" i="18"/>
  <c r="P1255" i="18"/>
  <c r="P928" i="18"/>
  <c r="P726" i="18"/>
  <c r="P618" i="18"/>
  <c r="P417" i="18"/>
  <c r="P142" i="18"/>
  <c r="P1812" i="18"/>
  <c r="P1655" i="18"/>
  <c r="P1396" i="18"/>
  <c r="P1193" i="18"/>
  <c r="P1032" i="18"/>
  <c r="P876" i="18"/>
  <c r="P707" i="18"/>
  <c r="P421" i="18"/>
  <c r="P247" i="18"/>
  <c r="P41" i="18"/>
  <c r="P1701" i="18"/>
  <c r="P1542" i="18"/>
  <c r="P1364" i="18"/>
  <c r="P1095" i="18"/>
  <c r="P692" i="18"/>
  <c r="P469" i="18"/>
  <c r="P254" i="18"/>
  <c r="P1792" i="18"/>
  <c r="P1585" i="18"/>
  <c r="P1394" i="18"/>
  <c r="P1222" i="18"/>
  <c r="P1726" i="18"/>
  <c r="P932" i="18"/>
  <c r="P780" i="18"/>
  <c r="P526" i="18"/>
  <c r="P412" i="18"/>
  <c r="P1788" i="18"/>
  <c r="P1609" i="18"/>
  <c r="P1419" i="18"/>
  <c r="P1224" i="18"/>
  <c r="P1082" i="18"/>
  <c r="P913" i="18"/>
  <c r="P676" i="18"/>
  <c r="P479" i="18"/>
  <c r="P302" i="18"/>
  <c r="P62" i="18"/>
  <c r="P1743" i="18"/>
  <c r="P1474" i="18"/>
  <c r="P1278" i="18"/>
  <c r="P1057" i="18"/>
  <c r="P916" i="18"/>
  <c r="P671" i="18"/>
  <c r="P510" i="18"/>
  <c r="P323" i="18"/>
  <c r="P179" i="18"/>
  <c r="P126" i="18"/>
  <c r="P1387" i="18"/>
  <c r="P745" i="18"/>
  <c r="P326" i="18"/>
  <c r="P1760" i="18"/>
  <c r="P1524" i="18"/>
  <c r="P1232" i="18"/>
  <c r="P917" i="18"/>
  <c r="P733" i="18"/>
  <c r="P466" i="18"/>
  <c r="P1731" i="18"/>
  <c r="P1319" i="18"/>
  <c r="P1048" i="18"/>
  <c r="P698" i="18"/>
  <c r="P332" i="18"/>
  <c r="P1486" i="18"/>
  <c r="P976" i="18"/>
  <c r="P399" i="18"/>
  <c r="P1716" i="18"/>
  <c r="P1218" i="18"/>
  <c r="P975" i="18"/>
  <c r="P695" i="18"/>
  <c r="P281" i="18"/>
  <c r="P1549" i="18"/>
  <c r="P1033" i="18"/>
  <c r="P468" i="18"/>
  <c r="P1754" i="18"/>
  <c r="P1502" i="18"/>
  <c r="P1333" i="18"/>
  <c r="P1158" i="18"/>
  <c r="P977" i="18"/>
  <c r="P759" i="18"/>
  <c r="P498" i="18"/>
  <c r="P365" i="18"/>
  <c r="P203" i="18"/>
  <c r="P1811" i="18"/>
  <c r="P1449" i="18"/>
  <c r="P1045" i="18"/>
  <c r="P1495" i="18"/>
  <c r="P1826" i="18"/>
  <c r="P1590" i="18"/>
  <c r="P1440" i="18"/>
  <c r="P1236" i="18"/>
  <c r="P1021" i="18"/>
  <c r="P874" i="18"/>
  <c r="P597" i="18"/>
  <c r="P395" i="18"/>
  <c r="P237" i="18"/>
  <c r="P57" i="18"/>
  <c r="P1599" i="18"/>
  <c r="P1134" i="18"/>
  <c r="P596" i="18"/>
  <c r="P197" i="18"/>
  <c r="P1640" i="18"/>
  <c r="P1374" i="18"/>
  <c r="P1160" i="18"/>
  <c r="P855" i="18"/>
  <c r="P583" i="18"/>
  <c r="P370" i="18"/>
  <c r="P1801" i="18"/>
  <c r="P1298" i="18"/>
  <c r="P945" i="18"/>
  <c r="P459" i="18"/>
  <c r="P212" i="18"/>
  <c r="P1566" i="18"/>
  <c r="P782" i="18"/>
  <c r="P191" i="18"/>
  <c r="P1749" i="18"/>
  <c r="P1511" i="18"/>
  <c r="P1313" i="18"/>
  <c r="P983" i="18"/>
  <c r="P792" i="18"/>
  <c r="P590" i="18"/>
  <c r="P402" i="18"/>
  <c r="P80" i="18"/>
  <c r="P1784" i="18"/>
  <c r="P1560" i="18"/>
  <c r="P1291" i="18"/>
  <c r="P1154" i="18"/>
  <c r="P914" i="18"/>
  <c r="P751" i="18"/>
  <c r="P407" i="18"/>
  <c r="P226" i="18"/>
  <c r="P38" i="18"/>
  <c r="P1698" i="18"/>
  <c r="P1532" i="18"/>
  <c r="P1340" i="18"/>
  <c r="P1068" i="18"/>
  <c r="P789" i="18"/>
  <c r="P576" i="18"/>
  <c r="P279" i="18"/>
  <c r="P1787" i="18"/>
  <c r="P1653" i="18"/>
  <c r="P1506" i="18"/>
  <c r="P1357" i="18"/>
  <c r="P1013" i="18"/>
  <c r="P910" i="18"/>
  <c r="P736" i="18"/>
  <c r="P577" i="18"/>
  <c r="P437" i="18"/>
  <c r="P75" i="18"/>
  <c r="P1621" i="18"/>
  <c r="P1400" i="18"/>
  <c r="P1786" i="18"/>
  <c r="P398" i="18"/>
  <c r="P1693" i="18"/>
  <c r="P1353" i="18"/>
  <c r="P1147" i="18"/>
  <c r="P853" i="18"/>
  <c r="P608" i="18"/>
  <c r="P440" i="18"/>
  <c r="P135" i="18"/>
  <c r="P1658" i="18"/>
  <c r="P1347" i="18"/>
  <c r="P1081" i="18"/>
  <c r="P607" i="18"/>
  <c r="P316" i="18"/>
  <c r="P9" i="18"/>
  <c r="P1077" i="18"/>
  <c r="P624" i="18"/>
  <c r="P1814" i="18"/>
  <c r="P1637" i="18"/>
  <c r="P1322" i="18"/>
  <c r="P1029" i="18"/>
  <c r="P817" i="18"/>
  <c r="P700" i="18"/>
  <c r="P555" i="18"/>
  <c r="P288" i="18"/>
  <c r="P1824" i="18"/>
  <c r="P1667" i="18"/>
  <c r="P1417" i="18"/>
  <c r="P1226" i="18"/>
  <c r="P1070" i="18"/>
  <c r="P911" i="18"/>
  <c r="P729" i="18"/>
  <c r="P401" i="18"/>
  <c r="P219" i="18"/>
  <c r="P32" i="18"/>
  <c r="P1686" i="18"/>
  <c r="P1437" i="18"/>
  <c r="P1112" i="18"/>
  <c r="P837" i="18"/>
  <c r="P643" i="18"/>
  <c r="P447" i="18"/>
  <c r="P273" i="18"/>
  <c r="P2" i="18"/>
  <c r="P1674" i="18"/>
  <c r="P1536" i="18"/>
  <c r="P1366" i="18"/>
  <c r="P1182" i="18"/>
  <c r="P943" i="18"/>
  <c r="P772" i="18"/>
  <c r="P541" i="18"/>
  <c r="P376" i="18"/>
  <c r="P1781" i="18"/>
  <c r="P1620" i="18"/>
  <c r="P1830" i="18"/>
  <c r="P1053" i="18"/>
  <c r="P820" i="18"/>
  <c r="P462" i="18"/>
  <c r="P1832" i="18"/>
  <c r="P1413" i="18"/>
  <c r="P861" i="18"/>
  <c r="P337" i="18"/>
  <c r="P1807" i="18"/>
  <c r="P1563" i="18"/>
  <c r="P1423" i="18"/>
  <c r="P1270" i="18"/>
  <c r="P995" i="18"/>
  <c r="P838" i="18"/>
  <c r="P543" i="18"/>
  <c r="P341" i="18"/>
  <c r="P184" i="18"/>
  <c r="P1729" i="18"/>
  <c r="P1422" i="18"/>
  <c r="P1101" i="18"/>
  <c r="P431" i="18"/>
  <c r="P1818" i="18"/>
  <c r="P1443" i="18"/>
  <c r="P1254" i="18"/>
  <c r="P966" i="18"/>
  <c r="P713" i="18"/>
  <c r="P482" i="18"/>
  <c r="P164" i="18"/>
  <c r="P1648" i="18"/>
  <c r="P1316" i="18"/>
  <c r="P1073" i="18"/>
  <c r="P585" i="18"/>
  <c r="P274" i="18"/>
  <c r="P1798" i="18"/>
  <c r="P1041" i="18"/>
  <c r="P592" i="18"/>
  <c r="P16" i="18"/>
  <c r="P1671" i="18"/>
  <c r="P1359" i="18"/>
  <c r="P1100" i="18"/>
  <c r="P856" i="18"/>
  <c r="P705" i="18"/>
  <c r="P568" i="18"/>
  <c r="P349" i="18"/>
  <c r="P94" i="18"/>
  <c r="P1805" i="18"/>
  <c r="P1577" i="18"/>
  <c r="P1279" i="18"/>
  <c r="P1090" i="18"/>
  <c r="P921" i="18"/>
  <c r="P764" i="18"/>
  <c r="P448" i="18"/>
  <c r="P283" i="18"/>
  <c r="P116" i="18"/>
  <c r="P1758" i="18"/>
  <c r="P1586" i="18"/>
  <c r="P1284" i="18"/>
  <c r="P1065" i="18"/>
  <c r="P778" i="18"/>
  <c r="P438" i="18"/>
  <c r="P265" i="18"/>
  <c r="P1776" i="18"/>
  <c r="P1619" i="18"/>
  <c r="P1462" i="18"/>
  <c r="P1274" i="18"/>
  <c r="P1001" i="18"/>
  <c r="P879" i="18"/>
  <c r="P710" i="18"/>
  <c r="P507" i="18"/>
  <c r="P280" i="18"/>
  <c r="P1779" i="18"/>
  <c r="P1568" i="18"/>
  <c r="P1377" i="18"/>
  <c r="P1213" i="18"/>
  <c r="P1039" i="18"/>
  <c r="P884" i="18"/>
  <c r="P626" i="18"/>
  <c r="P429" i="18"/>
  <c r="P266" i="18"/>
  <c r="P50" i="18"/>
  <c r="P1728" i="18"/>
  <c r="P1416" i="18"/>
  <c r="P1142" i="18"/>
  <c r="P974" i="18"/>
  <c r="P715" i="18"/>
  <c r="P1762" i="18"/>
  <c r="P1557" i="18"/>
  <c r="P1234" i="18"/>
  <c r="P938" i="18"/>
  <c r="P550" i="18"/>
  <c r="P155" i="18"/>
  <c r="P1503" i="18"/>
  <c r="P993" i="18"/>
  <c r="P512" i="18"/>
  <c r="P82" i="18"/>
  <c r="P1682" i="18"/>
  <c r="P1475" i="18"/>
  <c r="P1330" i="18"/>
  <c r="P1078" i="18"/>
  <c r="P907" i="18"/>
  <c r="P514" i="18"/>
  <c r="P380" i="18"/>
  <c r="P162" i="18"/>
  <c r="P1720" i="18"/>
  <c r="P1420" i="18"/>
  <c r="P1096" i="18"/>
  <c r="P523" i="18"/>
  <c r="P104" i="18"/>
  <c r="P1418" i="18"/>
  <c r="P1247" i="18"/>
  <c r="P965" i="18"/>
  <c r="P697" i="18"/>
  <c r="P481" i="18"/>
  <c r="P109" i="18"/>
  <c r="P1593" i="18"/>
  <c r="P1304" i="18"/>
  <c r="P1023" i="18"/>
  <c r="P579" i="18"/>
  <c r="P267" i="18"/>
  <c r="P1791" i="18"/>
  <c r="P986" i="18"/>
  <c r="P572" i="18"/>
  <c r="P8" i="18"/>
  <c r="P1666" i="18"/>
  <c r="P1432" i="18"/>
  <c r="P1145" i="18"/>
  <c r="P854" i="18"/>
  <c r="P701" i="18"/>
  <c r="P559" i="18"/>
  <c r="P319" i="18"/>
  <c r="P90" i="18"/>
  <c r="P1804" i="18"/>
  <c r="P1628" i="18"/>
  <c r="P1323" i="18"/>
  <c r="P1156" i="18"/>
  <c r="P964" i="18"/>
  <c r="P827" i="18"/>
  <c r="P639" i="18"/>
  <c r="P383" i="18"/>
  <c r="P202" i="18"/>
  <c r="P26" i="18"/>
  <c r="P1642" i="18"/>
  <c r="P1525" i="18"/>
  <c r="P1283" i="18"/>
  <c r="P1014" i="18"/>
  <c r="P649" i="18"/>
  <c r="P426" i="18"/>
  <c r="P200" i="18"/>
  <c r="P1759" i="18"/>
  <c r="P1546" i="18"/>
  <c r="P1361" i="18"/>
  <c r="P1191" i="18"/>
  <c r="P1636" i="18"/>
  <c r="P915" i="18"/>
  <c r="P739" i="18"/>
  <c r="P505" i="18"/>
  <c r="P258" i="18"/>
  <c r="P1773" i="18"/>
  <c r="P1559" i="18"/>
  <c r="P1401" i="18"/>
  <c r="P1212" i="18"/>
  <c r="P1034" i="18"/>
  <c r="P872" i="18"/>
  <c r="P619" i="18"/>
  <c r="P423" i="18"/>
  <c r="P253" i="18"/>
  <c r="P39" i="18"/>
  <c r="P1724" i="18"/>
  <c r="P1406" i="18"/>
  <c r="P1240" i="18"/>
  <c r="P1020" i="18"/>
  <c r="P864" i="18"/>
  <c r="P603" i="18"/>
  <c r="P450" i="18"/>
  <c r="P289" i="18"/>
  <c r="P175" i="18"/>
  <c r="P118" i="18"/>
  <c r="P1152" i="18"/>
  <c r="P599" i="18"/>
  <c r="P264" i="18"/>
  <c r="P1692" i="18"/>
  <c r="P1477" i="18"/>
  <c r="P1131" i="18"/>
  <c r="P851" i="18"/>
  <c r="P634" i="18"/>
  <c r="P354" i="18"/>
  <c r="P13" i="18"/>
  <c r="P1427" i="18"/>
  <c r="P1117" i="18"/>
  <c r="P868" i="18"/>
  <c r="P524" i="18"/>
  <c r="P187" i="18"/>
  <c r="P1216" i="18"/>
  <c r="P1062" i="18"/>
  <c r="P909" i="18"/>
  <c r="P598" i="18"/>
  <c r="P357" i="18"/>
  <c r="P1670" i="18"/>
  <c r="P1271" i="18"/>
  <c r="P984" i="18"/>
  <c r="P589" i="18"/>
  <c r="P196" i="18"/>
  <c r="P1296" i="18"/>
  <c r="P752" i="18"/>
  <c r="P301" i="18"/>
  <c r="P1660" i="18"/>
  <c r="P1140" i="18"/>
  <c r="P906" i="18"/>
  <c r="P580" i="18"/>
  <c r="P102" i="18"/>
  <c r="P1481" i="18"/>
  <c r="P958" i="18"/>
  <c r="P367" i="18"/>
  <c r="P1705" i="18"/>
  <c r="P1458" i="18"/>
  <c r="P1328" i="18"/>
  <c r="P1089" i="18"/>
  <c r="P936" i="18"/>
  <c r="P680" i="18"/>
  <c r="P464" i="18"/>
  <c r="P328" i="18"/>
  <c r="P153" i="18"/>
  <c r="P1710" i="18"/>
  <c r="P1393" i="18"/>
  <c r="P1790" i="18"/>
  <c r="P1395" i="18"/>
  <c r="P1775" i="18"/>
  <c r="P1556" i="18"/>
  <c r="P1345" i="18"/>
  <c r="P1166" i="18"/>
  <c r="P978" i="18"/>
  <c r="P761" i="18"/>
  <c r="P504" i="18"/>
  <c r="P368" i="18"/>
  <c r="P210" i="18"/>
  <c r="P1825" i="18"/>
  <c r="P1409" i="18"/>
  <c r="P1067" i="18"/>
  <c r="P511" i="18"/>
  <c r="P121" i="18"/>
  <c r="P1606" i="18"/>
  <c r="P1339" i="18"/>
  <c r="P1128" i="18"/>
  <c r="P754" i="18"/>
  <c r="P530" i="18"/>
  <c r="P241" i="18"/>
  <c r="P1676" i="18"/>
  <c r="P1220" i="18"/>
  <c r="P836" i="18"/>
  <c r="P374" i="18"/>
  <c r="P85" i="18"/>
  <c r="P1350" i="18"/>
  <c r="P749" i="18"/>
  <c r="P71" i="18"/>
  <c r="P1695" i="18"/>
  <c r="P1470" i="18"/>
  <c r="P1221" i="18"/>
  <c r="P912" i="18"/>
  <c r="P702" i="18"/>
  <c r="P556" i="18"/>
  <c r="P270" i="18"/>
  <c r="P33" i="18"/>
  <c r="P1761" i="18"/>
  <c r="P1467" i="18"/>
  <c r="P1267" i="18"/>
  <c r="P1075" i="18"/>
  <c r="P870" i="18"/>
  <c r="P679" i="18"/>
  <c r="P375" i="18"/>
  <c r="P199" i="18"/>
  <c r="P23" i="18"/>
  <c r="P1623" i="18"/>
  <c r="P1500" i="18"/>
  <c r="P1233" i="18"/>
  <c r="P1050" i="18"/>
  <c r="P766" i="18"/>
  <c r="P489" i="18"/>
  <c r="P248" i="18"/>
  <c r="P1756" i="18"/>
  <c r="P1601" i="18"/>
  <c r="P1456" i="18"/>
  <c r="P1302" i="18"/>
  <c r="P1000" i="18"/>
  <c r="P862" i="18"/>
  <c r="P714" i="18"/>
  <c r="P525" i="18"/>
  <c r="P405" i="18"/>
  <c r="P1785" i="18"/>
  <c r="P1551" i="18"/>
  <c r="P1367" i="18"/>
  <c r="P682" i="18"/>
  <c r="P259" i="18"/>
  <c r="P1591" i="18"/>
  <c r="P1303" i="18"/>
  <c r="P1056" i="18"/>
  <c r="P741" i="18"/>
  <c r="P571" i="18"/>
  <c r="P351" i="18"/>
  <c r="P73" i="18"/>
  <c r="P1553" i="18"/>
  <c r="P1294" i="18"/>
  <c r="P933" i="18"/>
  <c r="P502" i="18"/>
  <c r="P234" i="18"/>
  <c r="P1717" i="18"/>
  <c r="P888" i="18"/>
  <c r="P551" i="18"/>
  <c r="P1789" i="18"/>
  <c r="P1558" i="18"/>
  <c r="P1301" i="18"/>
  <c r="P967" i="18"/>
  <c r="P795" i="18"/>
  <c r="P664" i="18"/>
  <c r="P521" i="18"/>
  <c r="P220" i="18"/>
  <c r="P1806" i="18"/>
  <c r="P1647" i="18"/>
  <c r="P1327" i="18"/>
  <c r="P1174" i="18"/>
  <c r="P992" i="18"/>
  <c r="P859" i="18"/>
  <c r="P665" i="18"/>
  <c r="P373" i="18"/>
  <c r="P195" i="18"/>
  <c r="P7" i="18"/>
  <c r="P1618" i="18"/>
  <c r="P1320" i="18"/>
  <c r="P1066" i="18"/>
  <c r="P784" i="18"/>
  <c r="P562" i="18"/>
  <c r="P387" i="18"/>
  <c r="P229" i="18"/>
  <c r="P1783" i="18"/>
  <c r="P1649" i="18"/>
  <c r="P1469" i="18"/>
  <c r="P1275" i="18"/>
  <c r="P1087" i="18"/>
  <c r="P898" i="18"/>
  <c r="P711" i="18"/>
  <c r="P513" i="18"/>
  <c r="P214" i="18"/>
  <c r="P1748" i="18"/>
  <c r="P1592" i="18"/>
  <c r="P1253" i="18"/>
  <c r="P990" i="18"/>
  <c r="P708" i="18"/>
  <c r="P392" i="18"/>
  <c r="P1738" i="18"/>
  <c r="P1210" i="18"/>
  <c r="P694" i="18"/>
  <c r="P268" i="18"/>
  <c r="P1742" i="18"/>
  <c r="P1528" i="18"/>
  <c r="P1384" i="18"/>
  <c r="P1205" i="18"/>
  <c r="P962" i="18"/>
  <c r="P735" i="18"/>
  <c r="P494" i="18"/>
  <c r="P315" i="18"/>
  <c r="P117" i="18"/>
  <c r="P1688" i="18"/>
  <c r="P1381" i="18"/>
  <c r="P1011" i="18"/>
  <c r="P223" i="18"/>
  <c r="P1681" i="18"/>
  <c r="P1388" i="18"/>
  <c r="P1185" i="18"/>
  <c r="P871" i="18"/>
  <c r="P659" i="18"/>
  <c r="P445" i="18"/>
  <c r="P132" i="18"/>
  <c r="P1533" i="18"/>
  <c r="P1519" i="18"/>
  <c r="P1219" i="18"/>
  <c r="P935" i="18"/>
  <c r="P542" i="18"/>
  <c r="P37" i="18"/>
  <c r="P1136" i="18"/>
  <c r="P660" i="18"/>
  <c r="P148" i="18"/>
  <c r="P1428" i="18"/>
  <c r="P1055" i="18"/>
  <c r="P831" i="18"/>
  <c r="P506" i="18"/>
  <c r="P22" i="18"/>
  <c r="P1285" i="18"/>
  <c r="P717" i="18"/>
  <c r="P49" i="18"/>
  <c r="P1663" i="18"/>
  <c r="P1424" i="18"/>
  <c r="P1273" i="18"/>
  <c r="P1051" i="18"/>
  <c r="P894" i="18"/>
  <c r="P627" i="18"/>
  <c r="P418" i="18"/>
  <c r="P271" i="18"/>
  <c r="P72" i="18"/>
  <c r="P1627" i="18"/>
  <c r="P1352" i="18"/>
  <c r="P1680" i="18"/>
  <c r="P1308" i="18"/>
  <c r="P1712" i="18"/>
  <c r="P1505" i="18"/>
  <c r="P1329" i="18"/>
  <c r="P1111" i="18"/>
  <c r="P957" i="18"/>
  <c r="P691" i="18"/>
  <c r="P474" i="18"/>
  <c r="P330" i="18"/>
  <c r="P158" i="18"/>
  <c r="P1711" i="18"/>
  <c r="P1360" i="18"/>
  <c r="P971" i="18"/>
  <c r="P427" i="18"/>
  <c r="P34" i="18"/>
  <c r="P1501" i="18"/>
  <c r="P1268" i="18"/>
  <c r="P985" i="18"/>
  <c r="P693" i="18"/>
  <c r="P471" i="18"/>
  <c r="P79" i="18"/>
  <c r="P1565" i="18"/>
  <c r="P1135" i="18"/>
  <c r="P727" i="18"/>
  <c r="P336" i="18"/>
  <c r="P12" i="18"/>
  <c r="P1161" i="18"/>
  <c r="P566" i="18"/>
  <c r="P1822" i="18"/>
  <c r="P1651" i="18"/>
  <c r="P1426" i="18"/>
  <c r="P1130" i="18"/>
  <c r="P819" i="18"/>
  <c r="P669" i="18"/>
  <c r="P522" i="18"/>
  <c r="P207" i="18"/>
  <c r="P17" i="18"/>
  <c r="P1702" i="18"/>
  <c r="P1421" i="18"/>
  <c r="P1238" i="18"/>
  <c r="P1031" i="18"/>
  <c r="P822" i="18"/>
  <c r="P491" i="18"/>
  <c r="P299" i="18"/>
  <c r="P131" i="18"/>
  <c r="P1772" i="18"/>
  <c r="P1608" i="18"/>
  <c r="P1451" i="18"/>
  <c r="P1186" i="18"/>
  <c r="P951" i="18"/>
  <c r="P645" i="18"/>
  <c r="P463" i="18"/>
  <c r="P99" i="18"/>
  <c r="P1733" i="18"/>
  <c r="P1579" i="18"/>
  <c r="P1430" i="18"/>
  <c r="P1217" i="18"/>
  <c r="P952" i="18"/>
  <c r="P799" i="18"/>
  <c r="P686" i="18"/>
  <c r="P497" i="18"/>
  <c r="P238" i="18"/>
  <c r="P1765" i="18"/>
  <c r="P1463" i="18"/>
  <c r="P1305" i="18"/>
  <c r="P587" i="18"/>
  <c r="P108" i="18"/>
  <c r="P1466" i="18"/>
  <c r="P1262" i="18"/>
  <c r="P972" i="18"/>
  <c r="P718" i="18"/>
  <c r="P486" i="18"/>
  <c r="P277" i="18"/>
  <c r="P25" i="18"/>
  <c r="P1468" i="18"/>
  <c r="P1172" i="18"/>
  <c r="P791" i="18"/>
  <c r="P422" i="18"/>
  <c r="P206" i="18"/>
  <c r="P1289" i="18"/>
  <c r="P765" i="18"/>
  <c r="P410" i="18"/>
  <c r="P1730" i="18"/>
  <c r="P1504" i="18"/>
  <c r="P1209" i="18"/>
  <c r="P897" i="18"/>
  <c r="P762" i="18"/>
  <c r="P654" i="18"/>
  <c r="P419" i="18"/>
  <c r="P100" i="18"/>
  <c r="P1780" i="18"/>
  <c r="P1589" i="18"/>
  <c r="P1286" i="18"/>
  <c r="P1150" i="18"/>
  <c r="P949" i="18"/>
  <c r="P815" i="18"/>
  <c r="P610" i="18"/>
  <c r="P291" i="18"/>
  <c r="P130" i="18"/>
  <c r="P1763" i="18"/>
  <c r="P1600" i="18"/>
  <c r="P1195" i="18"/>
  <c r="P1044" i="18"/>
  <c r="P740" i="18"/>
  <c r="P517" i="18"/>
  <c r="P333" i="18"/>
  <c r="P149" i="18"/>
  <c r="P1753" i="18"/>
  <c r="P1598" i="18"/>
  <c r="P1455" i="18"/>
  <c r="P1228" i="18"/>
  <c r="P1005" i="18"/>
  <c r="P857" i="18"/>
  <c r="P685" i="18"/>
  <c r="P467" i="18"/>
  <c r="P120" i="18"/>
  <c r="P1715" i="18"/>
  <c r="P1750" i="18"/>
  <c r="P1202" i="18"/>
  <c r="P954" i="18"/>
  <c r="P651" i="18"/>
  <c r="P232" i="18"/>
  <c r="P1646" i="18"/>
  <c r="P1006" i="18"/>
  <c r="P570" i="18"/>
  <c r="P96" i="18"/>
  <c r="P1689" i="18"/>
  <c r="P1490" i="18"/>
  <c r="P1331" i="18"/>
  <c r="P1137" i="18"/>
  <c r="P918" i="18"/>
  <c r="P656" i="18"/>
  <c r="P449" i="18"/>
  <c r="P256" i="18"/>
  <c r="P67" i="18"/>
  <c r="P1626" i="18"/>
  <c r="P1300" i="18"/>
  <c r="P798" i="18"/>
  <c r="P167" i="18"/>
  <c r="P1632" i="18"/>
  <c r="P1351" i="18"/>
  <c r="P1141" i="18"/>
  <c r="P821" i="18"/>
  <c r="P605" i="18"/>
  <c r="P342" i="18"/>
  <c r="P24" i="18"/>
  <c r="P1459" i="18"/>
  <c r="P1165" i="18"/>
  <c r="P770" i="18"/>
  <c r="P415" i="18"/>
  <c r="P152" i="18"/>
  <c r="P1229" i="18"/>
  <c r="P757" i="18"/>
  <c r="P322" i="18"/>
  <c r="P1771" i="18"/>
  <c r="P1520" i="18"/>
  <c r="P1264" i="18"/>
  <c r="P948" i="18"/>
  <c r="P794" i="18"/>
  <c r="P663" i="18"/>
  <c r="P515" i="18"/>
  <c r="P218" i="18"/>
  <c r="P20" i="18"/>
  <c r="P1657" i="18"/>
  <c r="P1398" i="18"/>
  <c r="P1169" i="18"/>
  <c r="P973" i="18"/>
  <c r="P852" i="18"/>
  <c r="P644" i="18"/>
  <c r="P394" i="18"/>
  <c r="P208" i="18"/>
  <c r="P29" i="18"/>
  <c r="P1643" i="18"/>
  <c r="P1429" i="18"/>
  <c r="P1159" i="18"/>
  <c r="P847" i="18"/>
  <c r="P536" i="18"/>
  <c r="P324" i="18"/>
  <c r="P112" i="18"/>
  <c r="P1703" i="18"/>
  <c r="P1554" i="18"/>
  <c r="P1402" i="18"/>
  <c r="P1196" i="18"/>
  <c r="P934" i="18"/>
  <c r="P742" i="18"/>
  <c r="P593" i="18"/>
  <c r="P453" i="18"/>
  <c r="P106" i="18"/>
  <c r="P1708" i="18"/>
  <c r="P1435" i="18"/>
  <c r="P1280" i="18"/>
  <c r="P1108" i="18"/>
  <c r="P970" i="18"/>
  <c r="P748" i="18"/>
  <c r="P529" i="18"/>
  <c r="P347" i="18"/>
  <c r="P119" i="18"/>
  <c r="P1809" i="18"/>
  <c r="P1605" i="18"/>
  <c r="P1249" i="18"/>
  <c r="P1026" i="18"/>
  <c r="P833" i="18"/>
  <c r="P591" i="18"/>
  <c r="P1782" i="18"/>
  <c r="P1337" i="18"/>
  <c r="P1049" i="18"/>
  <c r="P756" i="18"/>
  <c r="P381" i="18"/>
  <c r="P1802" i="18"/>
  <c r="P1206" i="18"/>
  <c r="P809" i="18"/>
  <c r="P325" i="18"/>
  <c r="P1777" i="18"/>
  <c r="P1561" i="18"/>
  <c r="P1414" i="18"/>
  <c r="P1241" i="18"/>
  <c r="P988" i="18"/>
  <c r="P648" i="18"/>
  <c r="P441" i="18"/>
  <c r="P255" i="18"/>
  <c r="P63" i="18"/>
  <c r="P1625" i="18"/>
  <c r="P1299" i="18"/>
  <c r="P773" i="18"/>
  <c r="P201" i="18"/>
  <c r="P1629" i="18"/>
  <c r="P1342" i="18"/>
  <c r="P1139" i="18"/>
  <c r="P813" i="18"/>
  <c r="P602" i="18"/>
  <c r="P371" i="18"/>
  <c r="P1827" i="18"/>
  <c r="P1441" i="18"/>
  <c r="P1155" i="18"/>
  <c r="P767" i="18"/>
  <c r="P369" i="18"/>
  <c r="P113" i="18"/>
  <c r="P1170" i="18"/>
  <c r="P755" i="18"/>
  <c r="P296" i="18"/>
  <c r="P1770" i="18"/>
  <c r="P1516" i="18"/>
  <c r="P1314" i="18"/>
  <c r="P994" i="18"/>
  <c r="P793" i="18"/>
  <c r="P662" i="18"/>
  <c r="P488" i="18"/>
  <c r="P217" i="18"/>
  <c r="P19" i="18"/>
  <c r="P1709" i="18"/>
  <c r="P1431" i="18"/>
  <c r="P1252" i="18"/>
  <c r="P1086" i="18"/>
  <c r="P920" i="18"/>
  <c r="P763" i="18"/>
  <c r="P434" i="18"/>
  <c r="P282" i="18"/>
  <c r="P86" i="18"/>
  <c r="P1744" i="18"/>
  <c r="P1581" i="18"/>
  <c r="P1379" i="18"/>
  <c r="P1144" i="18"/>
  <c r="P775" i="18"/>
  <c r="P531" i="18"/>
  <c r="P317" i="18"/>
  <c r="P18" i="18"/>
  <c r="P1607" i="18"/>
  <c r="P1445" i="18"/>
  <c r="P1269" i="18"/>
  <c r="P1040" i="18"/>
  <c r="P961" i="18"/>
  <c r="P812" i="18"/>
  <c r="P586" i="18"/>
  <c r="P443" i="18"/>
  <c r="P95" i="18"/>
  <c r="P1622" i="18"/>
  <c r="P1509" i="18"/>
  <c r="P1332" i="18"/>
  <c r="P1094" i="18"/>
  <c r="P963" i="18"/>
  <c r="P737" i="18"/>
  <c r="P518" i="18"/>
  <c r="P327" i="18"/>
  <c r="P110" i="18"/>
  <c r="P1808" i="18"/>
  <c r="P1596" i="18"/>
  <c r="P1309" i="18"/>
  <c r="P1103" i="18"/>
  <c r="P953" i="18"/>
  <c r="P785" i="18"/>
  <c r="P554" i="18"/>
  <c r="P361" i="18"/>
  <c r="P190" i="18"/>
  <c r="P143" i="18"/>
  <c r="P1523" i="18"/>
  <c r="P830" i="18"/>
  <c r="P465" i="18"/>
  <c r="P1803" i="18"/>
  <c r="P1555" i="18"/>
  <c r="P1263" i="18"/>
  <c r="P981" i="18"/>
  <c r="P786" i="18"/>
  <c r="P549" i="18"/>
  <c r="P260" i="18"/>
  <c r="P1537" i="18"/>
  <c r="P1211" i="18"/>
  <c r="P1025" i="18"/>
  <c r="P712" i="18"/>
  <c r="P352" i="18"/>
  <c r="P89" i="18"/>
  <c r="P1122" i="18"/>
  <c r="P998" i="18"/>
  <c r="P753" i="18"/>
  <c r="P1189" i="18"/>
  <c r="P60" i="18"/>
  <c r="P1257" i="18"/>
  <c r="P633" i="18"/>
  <c r="P1515" i="18"/>
  <c r="P293" i="18"/>
  <c r="P845" i="18"/>
  <c r="P1527" i="18"/>
  <c r="P1617" i="18"/>
  <c r="P321" i="18"/>
  <c r="P1645" i="18"/>
  <c r="P339" i="18"/>
  <c r="P882" i="18"/>
  <c r="P1604" i="18"/>
  <c r="P1184" i="18"/>
  <c r="P396" i="18"/>
  <c r="P940" i="18"/>
  <c r="P924" i="18"/>
  <c r="P1499" i="18"/>
  <c r="P1815" i="18"/>
  <c r="P925" i="18"/>
  <c r="P1372" i="18"/>
  <c r="P1513" i="18"/>
  <c r="P849" i="18"/>
  <c r="P61" i="18"/>
  <c r="P641" i="18"/>
  <c r="P1484" i="18"/>
  <c r="P1747" i="18"/>
  <c r="P1471" i="18"/>
  <c r="P390" i="18"/>
  <c r="P397" i="18"/>
  <c r="P385" i="18"/>
  <c r="P1116" i="18"/>
  <c r="P1362" i="18"/>
  <c r="P1526" i="18"/>
  <c r="P146" i="18"/>
  <c r="P613" i="18"/>
  <c r="P869" i="18"/>
  <c r="P1187" i="18"/>
  <c r="P1491" i="18"/>
  <c r="P83" i="18"/>
  <c r="P331" i="18"/>
  <c r="P646" i="18"/>
  <c r="P858" i="18"/>
  <c r="P1190" i="18"/>
  <c r="P1521" i="18"/>
  <c r="P193" i="18"/>
  <c r="P545" i="18"/>
  <c r="P1016" i="18"/>
  <c r="P15" i="18"/>
  <c r="P147" i="18"/>
  <c r="P192" i="18"/>
  <c r="P362" i="18"/>
  <c r="P204" i="18"/>
  <c r="P623" i="18"/>
  <c r="P919" i="18"/>
  <c r="P1251" i="18"/>
  <c r="P28" i="18"/>
  <c r="P287" i="18"/>
  <c r="P584" i="18"/>
  <c r="P805" i="18"/>
  <c r="P1017" i="18"/>
  <c r="P1307" i="18"/>
  <c r="P1530" i="18"/>
  <c r="P1764" i="18"/>
  <c r="P344" i="18"/>
  <c r="P806" i="18"/>
  <c r="P1635" i="18"/>
  <c r="P128" i="18"/>
  <c r="P225" i="18"/>
  <c r="P406" i="18"/>
  <c r="P616" i="18"/>
  <c r="P929" i="18"/>
  <c r="P1143" i="18"/>
  <c r="P1397" i="18"/>
  <c r="P1665" i="18"/>
  <c r="P30" i="18"/>
  <c r="P242" i="18"/>
  <c r="P379" i="18"/>
  <c r="P582" i="18"/>
  <c r="P846" i="18"/>
  <c r="P1054" i="18"/>
  <c r="P1245" i="18"/>
  <c r="P1410" i="18"/>
  <c r="P81" i="18"/>
  <c r="P300" i="18"/>
  <c r="P706" i="18"/>
  <c r="P1019" i="18"/>
  <c r="P1208" i="18"/>
  <c r="P1510" i="18"/>
  <c r="P98" i="18"/>
  <c r="P378" i="18"/>
  <c r="P777" i="18"/>
  <c r="P960" i="18"/>
  <c r="P1231" i="18"/>
  <c r="P1442" i="18"/>
  <c r="P1752" i="18"/>
  <c r="P533" i="18"/>
  <c r="P877" i="18"/>
  <c r="P125" i="18"/>
  <c r="P178" i="18"/>
  <c r="P439" i="18"/>
  <c r="P594" i="18"/>
  <c r="P1018" i="18"/>
  <c r="P1276" i="18"/>
  <c r="P1454" i="18"/>
  <c r="P1739" i="18"/>
  <c r="P105" i="18"/>
  <c r="P455" i="18"/>
  <c r="P863" i="18"/>
  <c r="P1201" i="18"/>
  <c r="P451" i="18"/>
  <c r="P1072" i="18"/>
  <c r="P1707" i="18"/>
  <c r="P824" i="18"/>
  <c r="P170" i="18"/>
  <c r="P171" i="18"/>
  <c r="P825" i="18"/>
  <c r="P1677" i="18"/>
  <c r="P560" i="18"/>
  <c r="P1369" i="18"/>
  <c r="P477" i="18"/>
  <c r="P1151" i="18"/>
  <c r="P101" i="18"/>
  <c r="P1192" i="18"/>
  <c r="P136" i="18"/>
  <c r="P944" i="18"/>
  <c r="P1766" i="18"/>
  <c r="P687" i="18"/>
  <c r="P1587" i="18"/>
  <c r="P1448" i="18"/>
  <c r="P1243" i="18"/>
  <c r="P658" i="18"/>
  <c r="P1778" i="18"/>
  <c r="P1659" i="18"/>
  <c r="P814" i="18"/>
  <c r="P1597" i="18"/>
  <c r="P1386" i="18"/>
  <c r="P1127" i="18"/>
  <c r="P875" i="18"/>
  <c r="P5" i="18"/>
  <c r="P835" i="18"/>
  <c r="P1547" i="18"/>
  <c r="P672" i="18"/>
  <c r="P1446" i="18"/>
  <c r="P382" i="18"/>
  <c r="P1569" i="18"/>
  <c r="P425" i="18"/>
  <c r="P1197" i="18"/>
  <c r="P285" i="18"/>
  <c r="P1012" i="18"/>
  <c r="P509" i="18"/>
  <c r="P493" i="18"/>
  <c r="P1690" i="18"/>
  <c r="P1602" i="18"/>
  <c r="P292" i="18"/>
  <c r="P1188" i="18"/>
  <c r="P1496" i="18"/>
  <c r="P311" i="18"/>
  <c r="P844" i="18"/>
  <c r="P1259" i="18"/>
  <c r="P885" i="18"/>
  <c r="P495" i="18"/>
  <c r="P926" i="18"/>
  <c r="P1373" i="18"/>
  <c r="P1573" i="18"/>
  <c r="P1544" i="18"/>
  <c r="P185" i="18"/>
  <c r="P186" i="18"/>
  <c r="P1639" i="18"/>
  <c r="P889" i="18"/>
  <c r="P1545" i="18"/>
  <c r="P295" i="18"/>
  <c r="P183" i="18"/>
  <c r="P1497" i="18"/>
  <c r="P1574" i="18"/>
  <c r="P140" i="18"/>
  <c r="P1540" i="18"/>
  <c r="P1512" i="18"/>
  <c r="P59" i="18"/>
  <c r="P312" i="18"/>
  <c r="P632" i="18"/>
  <c r="P941" i="18"/>
  <c r="P1168" i="18"/>
  <c r="P384" i="18"/>
  <c r="P1541" i="18"/>
  <c r="P1183" i="18"/>
  <c r="P189" i="18"/>
  <c r="P389" i="18"/>
  <c r="P622" i="18"/>
  <c r="P1115" i="18"/>
  <c r="P294" i="18"/>
  <c r="P880" i="18"/>
  <c r="P1079" i="18"/>
  <c r="P1363" i="18"/>
  <c r="P160" i="18"/>
  <c r="P723" i="18"/>
  <c r="P1473" i="18"/>
  <c r="P890" i="18"/>
  <c r="P141" i="18"/>
  <c r="P1064" i="18"/>
  <c r="P194" i="18"/>
  <c r="P667" i="18"/>
  <c r="P1046" i="18"/>
  <c r="P1250" i="18"/>
  <c r="P1550" i="18"/>
  <c r="P138" i="18"/>
  <c r="P363" i="18"/>
  <c r="P747" i="18"/>
  <c r="P1008" i="18"/>
  <c r="P1235" i="18"/>
  <c r="P1570" i="18"/>
  <c r="P298" i="18"/>
  <c r="P600" i="18"/>
  <c r="P1153" i="18"/>
  <c r="P93" i="18"/>
  <c r="P172" i="18"/>
  <c r="P263" i="18"/>
  <c r="P404" i="18"/>
  <c r="P408" i="18"/>
  <c r="P683" i="18"/>
  <c r="P969" i="18"/>
  <c r="P1382" i="18"/>
  <c r="P87" i="18"/>
  <c r="P343" i="18"/>
  <c r="P625" i="18"/>
  <c r="P828" i="18"/>
  <c r="P1097" i="18"/>
  <c r="P1341" i="18"/>
  <c r="P1576" i="18"/>
  <c r="P1829" i="18"/>
  <c r="P485" i="18"/>
  <c r="P841" i="18"/>
  <c r="P42" i="18"/>
  <c r="P173" i="18"/>
  <c r="P269" i="18"/>
  <c r="P499" i="18"/>
  <c r="P719" i="18"/>
  <c r="P1007" i="18"/>
  <c r="P1203" i="18"/>
  <c r="P1452" i="18"/>
  <c r="P1697" i="18"/>
  <c r="P51" i="18"/>
  <c r="P290" i="18"/>
  <c r="P436" i="18"/>
  <c r="P661" i="18"/>
  <c r="P947" i="18"/>
  <c r="P1084" i="18"/>
  <c r="P1282" i="18"/>
  <c r="P1453" i="18"/>
  <c r="P103" i="18"/>
  <c r="P420" i="18"/>
  <c r="P781" i="18"/>
  <c r="P1069" i="18"/>
  <c r="P1265" i="18"/>
  <c r="P1595" i="18"/>
  <c r="P236" i="18"/>
  <c r="P535" i="18"/>
  <c r="P823" i="18"/>
  <c r="P1038" i="18"/>
  <c r="P1242" i="18"/>
  <c r="P1578" i="18"/>
  <c r="P74" i="18"/>
  <c r="P581" i="18"/>
  <c r="P1149" i="18"/>
  <c r="P129" i="18"/>
  <c r="P243" i="18"/>
  <c r="P508" i="18"/>
  <c r="P758" i="18"/>
  <c r="P1052" i="18"/>
  <c r="P1306" i="18"/>
  <c r="P1582" i="18"/>
  <c r="P1795" i="18"/>
  <c r="P211" i="18"/>
  <c r="P500" i="18"/>
  <c r="P950" i="18"/>
  <c r="P1246" i="18"/>
  <c r="P609" i="18"/>
  <c r="P1181" i="18"/>
  <c r="P209" i="18"/>
  <c r="P1042" i="18"/>
  <c r="P544" i="18"/>
  <c r="P245" i="18"/>
  <c r="P997" i="18"/>
  <c r="P3" i="18"/>
  <c r="P811" i="18"/>
  <c r="P1543" i="18"/>
  <c r="P716" i="18"/>
  <c r="P1326" i="18"/>
  <c r="P355" i="18"/>
  <c r="P1478" i="18"/>
  <c r="P334" i="18"/>
  <c r="P1132" i="18"/>
  <c r="P52" i="18"/>
  <c r="P800" i="18"/>
  <c r="P1797" i="18"/>
  <c r="P227" i="18"/>
  <c r="P1522" i="18"/>
  <c r="P866" i="18"/>
  <c r="P428" i="18"/>
  <c r="P92" i="18"/>
  <c r="P1024" i="18"/>
  <c r="P1828" i="18"/>
  <c r="P45" i="18"/>
  <c r="P1487" i="18"/>
  <c r="P1058" i="18"/>
  <c r="P240" i="18"/>
  <c r="P1015" i="18"/>
  <c r="P1741" i="18"/>
  <c r="P783" i="18"/>
  <c r="P1594" i="18"/>
  <c r="P699" i="18"/>
  <c r="P1735" i="18"/>
  <c r="P724" i="18"/>
  <c r="P1434" i="18"/>
  <c r="P553" i="18"/>
  <c r="P1321" i="18"/>
  <c r="P839" i="18"/>
  <c r="P896" i="18"/>
  <c r="P652" i="18"/>
  <c r="P133" i="18"/>
  <c r="P1355" i="18"/>
  <c r="P1644" i="18"/>
  <c r="P1699" i="18"/>
  <c r="P690" i="18"/>
  <c r="P1700" i="18"/>
  <c r="P496" i="18"/>
  <c r="P1063" i="18"/>
  <c r="P886" i="18"/>
  <c r="P161" i="18"/>
  <c r="P1535" i="18"/>
  <c r="P338" i="18"/>
  <c r="P703" i="18"/>
  <c r="P1119" i="18"/>
  <c r="P704" i="18"/>
  <c r="P1534" i="18"/>
  <c r="P483" i="18"/>
  <c r="P621" i="18"/>
  <c r="P1292" i="18"/>
  <c r="P1745" i="18"/>
  <c r="P456" i="18"/>
  <c r="P1311" i="18"/>
  <c r="P1683" i="18"/>
  <c r="P1616" i="18"/>
  <c r="P1061" i="18"/>
  <c r="P484" i="18"/>
  <c r="P653" i="18"/>
  <c r="P1258" i="18"/>
  <c r="P1488" i="18"/>
  <c r="P65" i="18"/>
  <c r="P1489" i="18"/>
  <c r="P636" i="18"/>
  <c r="P1080" i="18"/>
  <c r="P157" i="18"/>
  <c r="P1746" i="18"/>
  <c r="P1638" i="18"/>
  <c r="P244" i="18"/>
  <c r="P721" i="18"/>
  <c r="P1076" i="18"/>
  <c r="P1370" i="18"/>
  <c r="P1719" i="18"/>
  <c r="P216" i="18"/>
  <c r="P472" i="18"/>
  <c r="P803" i="18"/>
  <c r="P1074" i="18"/>
  <c r="P1338" i="18"/>
  <c r="P1614" i="18"/>
  <c r="P345" i="18"/>
  <c r="P776" i="18"/>
  <c r="P1444" i="18"/>
  <c r="P123" i="18"/>
  <c r="P176" i="18"/>
  <c r="P303" i="18"/>
  <c r="P516" i="18"/>
  <c r="P519" i="18"/>
  <c r="P769" i="18"/>
  <c r="P1106" i="18"/>
  <c r="P1461" i="18"/>
  <c r="P139" i="18"/>
  <c r="P366" i="18"/>
  <c r="P666" i="18"/>
  <c r="P878" i="18"/>
  <c r="P1198" i="18"/>
  <c r="P1439" i="18"/>
  <c r="P1624" i="18"/>
  <c r="P239" i="18"/>
  <c r="P561" i="18"/>
  <c r="P1123" i="18"/>
  <c r="P111" i="18"/>
  <c r="P177" i="18"/>
  <c r="P335" i="18"/>
  <c r="P573" i="18"/>
  <c r="P808" i="18"/>
  <c r="P1036" i="18"/>
  <c r="P1295" i="18"/>
  <c r="P1571" i="18"/>
  <c r="P1736" i="18"/>
  <c r="P78" i="18"/>
  <c r="P318" i="18"/>
  <c r="P492" i="18"/>
  <c r="P709" i="18"/>
  <c r="P982" i="18"/>
  <c r="P1200" i="18"/>
  <c r="P1358" i="18"/>
  <c r="P1531" i="18"/>
  <c r="P163" i="18"/>
  <c r="P520" i="18"/>
  <c r="P850" i="18"/>
  <c r="P1109" i="18"/>
  <c r="P1407" i="18"/>
  <c r="P6" i="18"/>
  <c r="P305" i="18"/>
  <c r="P601" i="18"/>
  <c r="P829" i="18"/>
  <c r="P1113" i="18"/>
  <c r="P1310" i="18"/>
  <c r="P1633" i="18"/>
  <c r="P252" i="18"/>
  <c r="P744" i="18"/>
  <c r="P1318" i="18"/>
  <c r="P169" i="18"/>
  <c r="P276" i="18"/>
  <c r="P547" i="18"/>
  <c r="P804" i="18"/>
  <c r="P1093" i="18"/>
  <c r="P1335" i="18"/>
  <c r="P1672" i="18"/>
  <c r="P31" i="18"/>
  <c r="P246" i="18"/>
  <c r="P557" i="18"/>
  <c r="P1028" i="18"/>
  <c r="P122" i="18"/>
  <c r="P802" i="18"/>
  <c r="P1368" i="18"/>
  <c r="P308" i="18"/>
  <c r="P1315" i="18"/>
  <c r="P968" i="18"/>
  <c r="P391" i="18"/>
  <c r="P1177" i="18"/>
  <c r="P222" i="18"/>
  <c r="P1010" i="18"/>
  <c r="P1732" i="18"/>
  <c r="P865" i="18"/>
  <c r="P1460" i="18"/>
  <c r="P630" i="18"/>
  <c r="P1611" i="18"/>
  <c r="P564" i="18"/>
  <c r="P1272" i="18"/>
  <c r="P278" i="18"/>
  <c r="P1098" i="18"/>
  <c r="P454" i="18"/>
  <c r="P461" i="18"/>
  <c r="P48" i="18"/>
  <c r="P1163" i="18"/>
  <c r="P987" i="18"/>
  <c r="P284" i="18"/>
  <c r="P1317" i="18"/>
  <c r="P403" i="18"/>
  <c r="P430" i="18"/>
  <c r="P1714" i="18"/>
  <c r="P1290" i="18"/>
  <c r="P364" i="18"/>
  <c r="P1175" i="18"/>
  <c r="P205" i="18"/>
  <c r="P996" i="18"/>
  <c r="P1751" i="18"/>
  <c r="P1022" i="18"/>
  <c r="P44" i="18"/>
  <c r="P899" i="18"/>
  <c r="P1767" i="18"/>
  <c r="P688" i="18"/>
  <c r="P1634" i="18"/>
  <c r="P1687" i="18"/>
  <c r="P1261" i="18"/>
  <c r="C1385" i="18"/>
  <c r="C1584" i="18"/>
  <c r="C1821" i="18"/>
  <c r="C657" i="18"/>
  <c r="C1121" i="18"/>
  <c r="C1740" i="18"/>
  <c r="C400" i="18"/>
  <c r="C730" i="18"/>
  <c r="C991" i="18"/>
  <c r="C1256" i="18"/>
  <c r="C1799" i="18"/>
  <c r="C1189" i="18"/>
  <c r="C1257" i="18"/>
  <c r="C1515" i="18"/>
  <c r="C182" i="18"/>
  <c r="C134" i="18"/>
  <c r="C183" i="18"/>
  <c r="C1392" i="18"/>
  <c r="C1079" i="18"/>
  <c r="C160" i="18"/>
  <c r="C314" i="18"/>
  <c r="C65" i="18"/>
  <c r="C636" i="18"/>
  <c r="C157" i="18"/>
  <c r="C883" i="18"/>
  <c r="C1172" i="18"/>
  <c r="C1468" i="18"/>
  <c r="C25" i="18"/>
  <c r="C277" i="18"/>
  <c r="C486" i="18"/>
  <c r="C718" i="18"/>
  <c r="C972" i="18"/>
  <c r="C1262" i="18"/>
  <c r="C1466" i="18"/>
  <c r="C108" i="18"/>
  <c r="C587" i="18"/>
  <c r="C1352" i="18"/>
  <c r="C1627" i="18"/>
  <c r="C72" i="18"/>
  <c r="C271" i="18"/>
  <c r="C418" i="18"/>
  <c r="C627" i="18"/>
  <c r="C894" i="18"/>
  <c r="C1051" i="18"/>
  <c r="C1273" i="18"/>
  <c r="C1424" i="18"/>
  <c r="C1663" i="18"/>
  <c r="C49" i="18"/>
  <c r="C717" i="18"/>
  <c r="C1285" i="18"/>
  <c r="C22" i="18"/>
  <c r="C506" i="18"/>
  <c r="C831" i="18"/>
  <c r="C1055" i="18"/>
  <c r="C1428" i="18"/>
  <c r="C845" i="18"/>
  <c r="C1485" i="18"/>
  <c r="C889" i="18"/>
  <c r="C295" i="18"/>
  <c r="C1312" i="18"/>
  <c r="C722" i="18"/>
  <c r="C642" i="18"/>
  <c r="C1473" i="18"/>
  <c r="C321" i="18"/>
  <c r="C339" i="18"/>
  <c r="C1604" i="18"/>
  <c r="C890" i="18"/>
  <c r="C390" i="18"/>
  <c r="C385" i="18"/>
  <c r="C936" i="18"/>
  <c r="C1089" i="18"/>
  <c r="C1328" i="18"/>
  <c r="C1458" i="18"/>
  <c r="C1705" i="18"/>
  <c r="C367" i="18"/>
  <c r="C958" i="18"/>
  <c r="C1481" i="18"/>
  <c r="C102" i="18"/>
  <c r="C580" i="18"/>
  <c r="C906" i="18"/>
  <c r="C1140" i="18"/>
  <c r="C1660" i="18"/>
  <c r="C58" i="18"/>
  <c r="C60" i="18"/>
  <c r="C633" i="18"/>
  <c r="C1746" i="18"/>
  <c r="C1494" i="18"/>
  <c r="C1293" i="18"/>
  <c r="C881" i="18"/>
  <c r="C1497" i="18"/>
  <c r="C880" i="18"/>
  <c r="C1363" i="18"/>
  <c r="C1574" i="18"/>
  <c r="C1488" i="18"/>
  <c r="C1489" i="18"/>
  <c r="C1080" i="18"/>
  <c r="C141" i="18"/>
  <c r="C1064" i="18"/>
  <c r="G11" i="17"/>
  <c r="G73" i="17"/>
  <c r="G139" i="17"/>
  <c r="G23" i="17"/>
  <c r="G97" i="17"/>
  <c r="G52" i="17"/>
  <c r="G122" i="17"/>
  <c r="G29" i="17"/>
  <c r="G109" i="17"/>
  <c r="G64" i="17"/>
  <c r="G146" i="17"/>
  <c r="G3" i="17"/>
  <c r="G39" i="17"/>
  <c r="G127" i="17"/>
  <c r="G86" i="17"/>
  <c r="G102" i="17"/>
  <c r="G98" i="17" a="1"/>
  <c r="G40" i="17" a="1"/>
  <c r="G147" i="17" a="1"/>
  <c r="G12" i="17" a="1"/>
  <c r="G110" i="17" a="1"/>
  <c r="G103" i="17" a="1"/>
  <c r="G87" i="17" a="1"/>
  <c r="G140" i="17" a="1"/>
  <c r="G30" i="17" a="1"/>
  <c r="G65" i="17" a="1"/>
  <c r="G128" i="17" a="1"/>
  <c r="G4" i="17" a="1"/>
  <c r="G123" i="17" a="1"/>
  <c r="G74" i="17" a="1"/>
  <c r="G24" i="17" a="1"/>
  <c r="G53" i="17" a="1"/>
  <c r="G12" i="16" l="1"/>
  <c r="G84" i="16"/>
  <c r="G9" i="16"/>
  <c r="G57" i="16"/>
  <c r="G6" i="16"/>
  <c r="G10" i="16"/>
  <c r="G83" i="16"/>
  <c r="G3" i="16"/>
  <c r="G2" i="16"/>
  <c r="G59" i="16"/>
  <c r="G74" i="16"/>
  <c r="G45" i="15"/>
  <c r="G55" i="15"/>
  <c r="G16" i="15"/>
  <c r="G15" i="15"/>
  <c r="G42" i="15"/>
  <c r="G10" i="15"/>
  <c r="G51" i="15"/>
  <c r="G4" i="15"/>
  <c r="G40" i="15"/>
  <c r="G8" i="15"/>
  <c r="G38" i="14"/>
  <c r="G89" i="14"/>
  <c r="G56" i="14"/>
  <c r="G40" i="14"/>
  <c r="G43" i="14"/>
  <c r="G146" i="14"/>
  <c r="G50" i="14"/>
  <c r="G4" i="14"/>
  <c r="G144" i="14"/>
  <c r="G19" i="14"/>
  <c r="G78" i="14"/>
  <c r="G31" i="14"/>
  <c r="G25" i="13"/>
  <c r="G37" i="13"/>
  <c r="G73" i="13"/>
  <c r="G17" i="13"/>
  <c r="G53" i="13"/>
  <c r="G26" i="13"/>
  <c r="G59" i="13"/>
  <c r="G11" i="13"/>
  <c r="G38" i="13"/>
  <c r="G22" i="13"/>
  <c r="G6" i="13"/>
  <c r="G67" i="13"/>
  <c r="G3" i="13"/>
  <c r="G48" i="13"/>
  <c r="G71" i="13"/>
  <c r="G50" i="13"/>
  <c r="G44" i="13"/>
  <c r="G62" i="13"/>
  <c r="G30" i="13"/>
  <c r="G49" i="12"/>
  <c r="G33" i="12"/>
  <c r="G57" i="12"/>
  <c r="G77" i="12"/>
  <c r="G116" i="12"/>
  <c r="G96" i="12"/>
  <c r="G50" i="12"/>
  <c r="G44" i="12"/>
  <c r="G104" i="12"/>
  <c r="G102" i="12"/>
  <c r="G18" i="12"/>
  <c r="G76" i="12"/>
  <c r="G16" i="11"/>
  <c r="G64" i="11"/>
  <c r="G88" i="11"/>
  <c r="G24" i="11"/>
  <c r="G33" i="11"/>
  <c r="G37" i="11"/>
  <c r="G42" i="11"/>
  <c r="G74" i="11"/>
  <c r="G47" i="11"/>
  <c r="G15" i="11"/>
  <c r="G11" i="11"/>
  <c r="G34" i="11"/>
  <c r="G71" i="11"/>
  <c r="G46" i="11"/>
  <c r="G6" i="11"/>
  <c r="G87" i="11"/>
  <c r="G55" i="11"/>
  <c r="G23" i="11"/>
  <c r="G42" i="10"/>
  <c r="G29" i="10"/>
  <c r="G38" i="10"/>
  <c r="G40" i="10"/>
  <c r="G4" i="10"/>
  <c r="G26" i="10"/>
  <c r="G54" i="10"/>
  <c r="G48" i="10"/>
  <c r="G16" i="10"/>
  <c r="G34" i="10"/>
  <c r="G9" i="10"/>
  <c r="G36" i="10"/>
  <c r="G18" i="10"/>
  <c r="G44" i="10"/>
  <c r="G17" i="9"/>
  <c r="G40" i="9"/>
  <c r="G55" i="9"/>
  <c r="G114" i="9"/>
  <c r="G75" i="9"/>
  <c r="G43" i="9"/>
  <c r="G94" i="9"/>
  <c r="G115" i="9"/>
  <c r="G36" i="8"/>
  <c r="G81" i="8"/>
  <c r="G97" i="8"/>
  <c r="G32" i="8"/>
  <c r="G64" i="8"/>
  <c r="G53" i="8"/>
  <c r="G101" i="8"/>
  <c r="G131" i="8"/>
  <c r="G114" i="8"/>
  <c r="G26" i="8"/>
  <c r="G158" i="8"/>
  <c r="G130" i="8"/>
  <c r="G8" i="7"/>
  <c r="G100" i="7"/>
  <c r="G61" i="7"/>
  <c r="G28" i="7"/>
  <c r="G44" i="7"/>
  <c r="G9" i="7"/>
  <c r="G49" i="7"/>
  <c r="G117" i="7"/>
  <c r="G46" i="7"/>
  <c r="G30" i="7"/>
  <c r="G54" i="7"/>
  <c r="G107" i="7"/>
  <c r="G135" i="7"/>
  <c r="G103" i="7"/>
  <c r="G57" i="6"/>
  <c r="G73" i="6"/>
  <c r="G105" i="6"/>
  <c r="G157" i="6"/>
  <c r="G55" i="6"/>
  <c r="G71" i="6"/>
  <c r="G114" i="6"/>
  <c r="G46" i="6"/>
  <c r="G14" i="6"/>
  <c r="G111" i="6"/>
  <c r="G42" i="6"/>
  <c r="G154" i="6"/>
  <c r="G76" i="6"/>
  <c r="G70" i="6"/>
  <c r="G38" i="6"/>
  <c r="G85" i="5"/>
  <c r="G128" i="5"/>
  <c r="G44" i="5"/>
  <c r="G155" i="5"/>
  <c r="G123" i="5"/>
  <c r="G114" i="5"/>
  <c r="G100" i="5"/>
  <c r="G119" i="5"/>
  <c r="G46" i="5"/>
  <c r="G75" i="5"/>
  <c r="G128" i="4"/>
  <c r="G112" i="4"/>
  <c r="G64" i="4"/>
  <c r="G16" i="4"/>
  <c r="G111" i="4"/>
  <c r="G63" i="4"/>
  <c r="G15" i="4"/>
  <c r="G110" i="4"/>
  <c r="G14" i="4"/>
  <c r="G122" i="4"/>
  <c r="G104" i="4"/>
  <c r="G164" i="4"/>
  <c r="G68" i="4"/>
  <c r="G82" i="4"/>
  <c r="G108" i="4"/>
  <c r="G12" i="4"/>
  <c r="G13" i="4"/>
  <c r="G123" i="4"/>
  <c r="G11" i="4"/>
  <c r="G106" i="4"/>
  <c r="G10" i="4"/>
  <c r="G145" i="4"/>
  <c r="G167" i="4"/>
  <c r="G135" i="4"/>
  <c r="G18" i="4"/>
  <c r="G166" i="4"/>
  <c r="G2" i="4"/>
  <c r="G13" i="3"/>
  <c r="G41" i="3"/>
  <c r="G45" i="3"/>
  <c r="G33" i="3"/>
  <c r="G34" i="3"/>
  <c r="G10" i="3"/>
  <c r="G43" i="3"/>
  <c r="G36" i="3"/>
  <c r="G24" i="3"/>
  <c r="G40" i="3"/>
  <c r="G38" i="3"/>
  <c r="G13" i="2"/>
  <c r="G29" i="2"/>
  <c r="G89" i="2"/>
  <c r="G103" i="2"/>
  <c r="G87" i="2"/>
  <c r="G82" i="2"/>
  <c r="G126" i="2"/>
  <c r="G116" i="2"/>
  <c r="G31" i="2"/>
  <c r="G38" i="2"/>
  <c r="G118" i="2"/>
  <c r="G104" i="2"/>
  <c r="G69" i="1"/>
  <c r="G81" i="1"/>
  <c r="G60" i="1"/>
  <c r="G63" i="1"/>
  <c r="G3" i="1"/>
  <c r="G2" i="1"/>
  <c r="G55" i="1"/>
  <c r="G90" i="1"/>
  <c r="G58" i="1"/>
  <c r="G66" i="1"/>
  <c r="G42" i="1"/>
  <c r="G47" i="1"/>
  <c r="G19" i="1"/>
  <c r="G62" i="1"/>
  <c r="G68" i="1"/>
  <c r="G128" i="17"/>
  <c r="G65" i="17"/>
  <c r="G53" i="17"/>
  <c r="G74" i="17"/>
  <c r="G40" i="17"/>
  <c r="G110" i="17"/>
  <c r="G98" i="17"/>
  <c r="G12" i="17"/>
  <c r="G103" i="17"/>
  <c r="G4" i="17"/>
  <c r="G30" i="17"/>
  <c r="G24" i="17"/>
  <c r="G87" i="17"/>
  <c r="G147" i="17"/>
  <c r="G123" i="17"/>
  <c r="G140" i="17"/>
  <c r="G148" i="17" a="1"/>
  <c r="G41" i="17" a="1"/>
  <c r="G141" i="17" a="1"/>
  <c r="G31" i="17" a="1"/>
  <c r="G13" i="17" a="1"/>
  <c r="G88" i="17" a="1"/>
  <c r="G104" i="17" a="1"/>
  <c r="G54" i="17" a="1"/>
  <c r="G75" i="17" a="1"/>
  <c r="G66" i="17" a="1"/>
  <c r="G99" i="17" a="1"/>
  <c r="G124" i="17" a="1"/>
  <c r="G25" i="17" a="1"/>
  <c r="G129" i="17" a="1"/>
  <c r="G5" i="17" a="1"/>
  <c r="G111" i="17" a="1"/>
  <c r="G20" i="16" l="1"/>
  <c r="G41" i="16"/>
  <c r="G69" i="16"/>
  <c r="G23" i="16"/>
  <c r="G7" i="16"/>
  <c r="G54" i="16"/>
  <c r="G67" i="16"/>
  <c r="G46" i="16"/>
  <c r="G26" i="16"/>
  <c r="G27" i="14"/>
  <c r="G153" i="14"/>
  <c r="G111" i="14"/>
  <c r="G32" i="14"/>
  <c r="G67" i="14"/>
  <c r="G85" i="14"/>
  <c r="G34" i="14"/>
  <c r="G71" i="14"/>
  <c r="G33" i="14"/>
  <c r="G48" i="14"/>
  <c r="G122" i="14"/>
  <c r="G127" i="14"/>
  <c r="G35" i="14"/>
  <c r="G135" i="14"/>
  <c r="G129" i="14"/>
  <c r="G49" i="13"/>
  <c r="G61" i="13"/>
  <c r="G9" i="13"/>
  <c r="G5" i="13"/>
  <c r="G45" i="13"/>
  <c r="G8" i="13"/>
  <c r="G63" i="13"/>
  <c r="G31" i="13"/>
  <c r="G15" i="13"/>
  <c r="G58" i="13"/>
  <c r="G42" i="13"/>
  <c r="G10" i="13"/>
  <c r="G36" i="13"/>
  <c r="G46" i="13"/>
  <c r="G14" i="13"/>
  <c r="G64" i="13"/>
  <c r="G32" i="13"/>
  <c r="G39" i="13"/>
  <c r="G66" i="13"/>
  <c r="G18" i="13"/>
  <c r="G28" i="13"/>
  <c r="G19" i="13"/>
  <c r="G5" i="12"/>
  <c r="G85" i="12"/>
  <c r="G97" i="12"/>
  <c r="G38" i="12"/>
  <c r="G119" i="12"/>
  <c r="G14" i="12"/>
  <c r="G112" i="12"/>
  <c r="G4" i="12"/>
  <c r="G70" i="12"/>
  <c r="G48" i="11"/>
  <c r="G13" i="11"/>
  <c r="G41" i="11"/>
  <c r="G65" i="11"/>
  <c r="G81" i="11"/>
  <c r="G4" i="11"/>
  <c r="G52" i="11"/>
  <c r="G76" i="11"/>
  <c r="G17" i="11"/>
  <c r="G86" i="11"/>
  <c r="G39" i="11"/>
  <c r="G19" i="11"/>
  <c r="G54" i="11"/>
  <c r="G38" i="11"/>
  <c r="G10" i="10"/>
  <c r="G47" i="10"/>
  <c r="G15" i="10"/>
  <c r="G6" i="10"/>
  <c r="G8" i="10"/>
  <c r="G52" i="10"/>
  <c r="G37" i="10"/>
  <c r="G50" i="10"/>
  <c r="G12" i="10"/>
  <c r="G11" i="10"/>
  <c r="G39" i="10"/>
  <c r="G30" i="10"/>
  <c r="G3" i="10"/>
  <c r="G53" i="10"/>
  <c r="G31" i="10"/>
  <c r="G22" i="10"/>
  <c r="G32" i="10"/>
  <c r="G27" i="10"/>
  <c r="G33" i="10"/>
  <c r="G46" i="10"/>
  <c r="G13" i="9"/>
  <c r="G65" i="9"/>
  <c r="G45" i="9"/>
  <c r="G73" i="9"/>
  <c r="G121" i="9"/>
  <c r="G133" i="9"/>
  <c r="G19" i="9"/>
  <c r="G38" i="9"/>
  <c r="G7" i="9"/>
  <c r="G74" i="9"/>
  <c r="G132" i="9"/>
  <c r="G116" i="9"/>
  <c r="G20" i="9"/>
  <c r="G15" i="9"/>
  <c r="G103" i="9"/>
  <c r="G76" i="9"/>
  <c r="G142" i="9"/>
  <c r="G11" i="9"/>
  <c r="G126" i="9"/>
  <c r="G46" i="9"/>
  <c r="G140" i="9"/>
  <c r="G108" i="9"/>
  <c r="G57" i="8"/>
  <c r="G125" i="8"/>
  <c r="G112" i="8"/>
  <c r="G37" i="8"/>
  <c r="G109" i="8"/>
  <c r="G113" i="8"/>
  <c r="G149" i="8"/>
  <c r="G146" i="8"/>
  <c r="G150" i="8"/>
  <c r="G3" i="8"/>
  <c r="G82" i="8"/>
  <c r="G84" i="7"/>
  <c r="G5" i="7"/>
  <c r="G129" i="7"/>
  <c r="G36" i="7"/>
  <c r="G40" i="7"/>
  <c r="G52" i="7"/>
  <c r="G92" i="7"/>
  <c r="G120" i="7"/>
  <c r="G136" i="7"/>
  <c r="G113" i="7"/>
  <c r="G126" i="7"/>
  <c r="G110" i="7"/>
  <c r="G31" i="7"/>
  <c r="G15" i="7"/>
  <c r="G134" i="7"/>
  <c r="G47" i="7"/>
  <c r="G27" i="7"/>
  <c r="G23" i="7"/>
  <c r="G102" i="7"/>
  <c r="G70" i="7"/>
  <c r="G38" i="7"/>
  <c r="G63" i="7"/>
  <c r="G43" i="7"/>
  <c r="G50" i="7"/>
  <c r="G125" i="6"/>
  <c r="G41" i="6"/>
  <c r="G49" i="6"/>
  <c r="G145" i="6"/>
  <c r="G72" i="6"/>
  <c r="G40" i="6"/>
  <c r="G47" i="6"/>
  <c r="G6" i="6"/>
  <c r="G20" i="6"/>
  <c r="G135" i="6"/>
  <c r="G98" i="6"/>
  <c r="G122" i="6"/>
  <c r="G108" i="6"/>
  <c r="G2" i="5"/>
  <c r="G69" i="5"/>
  <c r="G121" i="5"/>
  <c r="G134" i="5"/>
  <c r="G143" i="5"/>
  <c r="G32" i="4"/>
  <c r="G25" i="4"/>
  <c r="G31" i="4"/>
  <c r="G30" i="4"/>
  <c r="G26" i="4"/>
  <c r="G24" i="4"/>
  <c r="G151" i="4"/>
  <c r="G28" i="4"/>
  <c r="G27" i="4"/>
  <c r="G136" i="4"/>
  <c r="G29" i="4"/>
  <c r="G23" i="4"/>
  <c r="G22" i="4"/>
  <c r="G5" i="3"/>
  <c r="G9" i="3"/>
  <c r="G7" i="3"/>
  <c r="G31" i="3"/>
  <c r="G22" i="3"/>
  <c r="G3" i="3"/>
  <c r="G28" i="3"/>
  <c r="G15" i="3"/>
  <c r="G16" i="3"/>
  <c r="G6" i="3"/>
  <c r="G33" i="2"/>
  <c r="G121" i="2"/>
  <c r="G37" i="2"/>
  <c r="G132" i="2"/>
  <c r="G48" i="2"/>
  <c r="G39" i="2"/>
  <c r="G22" i="2"/>
  <c r="G119" i="2"/>
  <c r="G99" i="2"/>
  <c r="G19" i="2"/>
  <c r="G40" i="2"/>
  <c r="G111" i="2"/>
  <c r="G79" i="2"/>
  <c r="G128" i="2"/>
  <c r="G91" i="2"/>
  <c r="G43" i="2"/>
  <c r="G9" i="1"/>
  <c r="G33" i="1"/>
  <c r="G13" i="1"/>
  <c r="G49" i="1"/>
  <c r="G5" i="1"/>
  <c r="G17" i="1"/>
  <c r="G56" i="1"/>
  <c r="G38" i="1"/>
  <c r="G11" i="1"/>
  <c r="G86" i="1"/>
  <c r="G7" i="1"/>
  <c r="G54" i="1"/>
  <c r="G66" i="17"/>
  <c r="G25" i="17"/>
  <c r="G75" i="17"/>
  <c r="G148" i="17"/>
  <c r="G5" i="17"/>
  <c r="G111" i="17"/>
  <c r="G88" i="17"/>
  <c r="G104" i="17"/>
  <c r="G41" i="17"/>
  <c r="G129" i="17"/>
  <c r="G141" i="17"/>
  <c r="G13" i="17"/>
  <c r="G124" i="17"/>
  <c r="G31" i="17"/>
  <c r="G99" i="17"/>
  <c r="G54" i="17"/>
  <c r="G149" i="17" a="1"/>
  <c r="G125" i="17" a="1"/>
  <c r="G100" i="17" a="1"/>
  <c r="G130" i="17" a="1"/>
  <c r="G89" i="17" a="1"/>
  <c r="G67" i="17" a="1"/>
  <c r="G142" i="17" a="1"/>
  <c r="G105" i="17" a="1"/>
  <c r="G112" i="17" a="1"/>
  <c r="G32" i="17" a="1"/>
  <c r="G76" i="17" a="1"/>
  <c r="G42" i="17" a="1"/>
  <c r="G6" i="17" a="1"/>
  <c r="G55" i="17" a="1"/>
  <c r="G14" i="17" a="1"/>
  <c r="G26" i="17" a="1"/>
  <c r="G52" i="16" l="1"/>
  <c r="G68" i="16"/>
  <c r="G65" i="16"/>
  <c r="G77" i="16"/>
  <c r="G70" i="16"/>
  <c r="G22" i="16"/>
  <c r="G58" i="16"/>
  <c r="G30" i="16"/>
  <c r="G43" i="16"/>
  <c r="G33" i="15"/>
  <c r="G61" i="15"/>
  <c r="G37" i="15"/>
  <c r="G23" i="15"/>
  <c r="G59" i="15"/>
  <c r="G38" i="15"/>
  <c r="G53" i="14"/>
  <c r="G141" i="14"/>
  <c r="G10" i="14"/>
  <c r="G60" i="14"/>
  <c r="G76" i="14"/>
  <c r="G64" i="14"/>
  <c r="G16" i="14"/>
  <c r="G41" i="13"/>
  <c r="G65" i="13"/>
  <c r="G56" i="13"/>
  <c r="G40" i="13"/>
  <c r="G74" i="13"/>
  <c r="G12" i="13"/>
  <c r="G68" i="13"/>
  <c r="G54" i="13"/>
  <c r="G35" i="13"/>
  <c r="G16" i="13"/>
  <c r="G55" i="13"/>
  <c r="G23" i="13"/>
  <c r="G7" i="13"/>
  <c r="G2" i="13"/>
  <c r="G60" i="13"/>
  <c r="G93" i="12"/>
  <c r="G9" i="12"/>
  <c r="G113" i="12"/>
  <c r="G62" i="12"/>
  <c r="G60" i="12"/>
  <c r="G56" i="12"/>
  <c r="G23" i="12"/>
  <c r="G7" i="12"/>
  <c r="G99" i="12"/>
  <c r="G40" i="11"/>
  <c r="G9" i="11"/>
  <c r="G57" i="11"/>
  <c r="G60" i="11"/>
  <c r="G70" i="11"/>
  <c r="G2" i="11"/>
  <c r="G7" i="11"/>
  <c r="G82" i="11"/>
  <c r="G67" i="11"/>
  <c r="G75" i="11"/>
  <c r="G66" i="11"/>
  <c r="G62" i="11"/>
  <c r="G35" i="11"/>
  <c r="G3" i="11"/>
  <c r="G53" i="9"/>
  <c r="G125" i="9"/>
  <c r="G9" i="9"/>
  <c r="G69" i="9"/>
  <c r="G93" i="9"/>
  <c r="G139" i="9"/>
  <c r="G51" i="9"/>
  <c r="G54" i="9"/>
  <c r="G52" i="9"/>
  <c r="G71" i="9"/>
  <c r="G90" i="9"/>
  <c r="G131" i="9"/>
  <c r="G123" i="9"/>
  <c r="G62" i="9"/>
  <c r="G30" i="9"/>
  <c r="G24" i="8"/>
  <c r="G9" i="8"/>
  <c r="G133" i="8"/>
  <c r="G104" i="8"/>
  <c r="G121" i="8"/>
  <c r="G153" i="8"/>
  <c r="G157" i="8"/>
  <c r="G87" i="8"/>
  <c r="G118" i="8"/>
  <c r="G126" i="8"/>
  <c r="G35" i="8"/>
  <c r="G22" i="8"/>
  <c r="G66" i="8"/>
  <c r="G155" i="8"/>
  <c r="G62" i="8"/>
  <c r="G102" i="8"/>
  <c r="G16" i="7"/>
  <c r="G53" i="7"/>
  <c r="G72" i="7"/>
  <c r="G128" i="7"/>
  <c r="G33" i="7"/>
  <c r="G67" i="7"/>
  <c r="G94" i="7"/>
  <c r="G123" i="7"/>
  <c r="G106" i="7"/>
  <c r="G11" i="7"/>
  <c r="G25" i="6"/>
  <c r="G33" i="6"/>
  <c r="G150" i="6"/>
  <c r="G118" i="6"/>
  <c r="G119" i="6"/>
  <c r="G136" i="6"/>
  <c r="G88" i="6"/>
  <c r="G75" i="6"/>
  <c r="G35" i="6"/>
  <c r="G32" i="6"/>
  <c r="G94" i="6"/>
  <c r="G95" i="6"/>
  <c r="G59" i="6"/>
  <c r="G12" i="6"/>
  <c r="G158" i="5"/>
  <c r="G21" i="5"/>
  <c r="G147" i="5"/>
  <c r="G130" i="5"/>
  <c r="G65" i="5"/>
  <c r="G156" i="5"/>
  <c r="G125" i="5"/>
  <c r="G77" i="5"/>
  <c r="G89" i="5"/>
  <c r="G135" i="5"/>
  <c r="G32" i="5"/>
  <c r="G161" i="5"/>
  <c r="G81" i="5"/>
  <c r="G124" i="5"/>
  <c r="G161" i="4"/>
  <c r="G113" i="4"/>
  <c r="G95" i="4"/>
  <c r="G7" i="4"/>
  <c r="G51" i="4"/>
  <c r="G130" i="4"/>
  <c r="G102" i="4"/>
  <c r="G52" i="4"/>
  <c r="G4" i="4"/>
  <c r="G33" i="4"/>
  <c r="G71" i="4"/>
  <c r="G98" i="4"/>
  <c r="G17" i="3"/>
  <c r="G49" i="3"/>
  <c r="G44" i="3"/>
  <c r="G12" i="3"/>
  <c r="G32" i="3"/>
  <c r="G19" i="3"/>
  <c r="G47" i="3"/>
  <c r="G20" i="3"/>
  <c r="G117" i="2"/>
  <c r="G129" i="2"/>
  <c r="G133" i="2"/>
  <c r="G71" i="2"/>
  <c r="G23" i="2"/>
  <c r="G8" i="2"/>
  <c r="G114" i="2"/>
  <c r="G2" i="2"/>
  <c r="G83" i="2"/>
  <c r="G42" i="2"/>
  <c r="G76" i="2"/>
  <c r="G66" i="2"/>
  <c r="G56" i="2"/>
  <c r="G57" i="1"/>
  <c r="G93" i="1"/>
  <c r="G61" i="1"/>
  <c r="G85" i="1"/>
  <c r="G29" i="1"/>
  <c r="G91" i="1"/>
  <c r="G35" i="1"/>
  <c r="G72" i="1"/>
  <c r="G67" i="1"/>
  <c r="G78" i="1"/>
  <c r="G75" i="1"/>
  <c r="G50" i="1"/>
  <c r="G34" i="1"/>
  <c r="G48" i="1"/>
  <c r="G16" i="1"/>
  <c r="G100" i="17"/>
  <c r="G142" i="17"/>
  <c r="G32" i="17"/>
  <c r="G130" i="17"/>
  <c r="G112" i="17"/>
  <c r="G26" i="17"/>
  <c r="G125" i="17"/>
  <c r="G42" i="17"/>
  <c r="G6" i="17"/>
  <c r="G67" i="17"/>
  <c r="G55" i="17"/>
  <c r="G14" i="17"/>
  <c r="G105" i="17"/>
  <c r="G149" i="17"/>
  <c r="G89" i="17"/>
  <c r="G76" i="17"/>
  <c r="G150" i="17" a="1"/>
  <c r="G90" i="17" a="1"/>
  <c r="G15" i="17" a="1"/>
  <c r="G77" i="17" a="1"/>
  <c r="G7" i="17" a="1"/>
  <c r="G68" i="17" a="1"/>
  <c r="G27" i="17" a="1"/>
  <c r="G43" i="17" a="1"/>
  <c r="G106" i="17" a="1"/>
  <c r="G113" i="17" a="1"/>
  <c r="G131" i="17" a="1"/>
  <c r="G143" i="17" a="1"/>
  <c r="G56" i="17" a="1"/>
  <c r="G33" i="17" a="1"/>
  <c r="G80" i="16" l="1"/>
  <c r="G17" i="16"/>
  <c r="G73" i="16"/>
  <c r="G32" i="16"/>
  <c r="G33" i="16"/>
  <c r="G53" i="16"/>
  <c r="G51" i="16"/>
  <c r="G34" i="16"/>
  <c r="G91" i="16"/>
  <c r="G27" i="16"/>
  <c r="G78" i="16"/>
  <c r="G31" i="16"/>
  <c r="G13" i="15"/>
  <c r="G25" i="15"/>
  <c r="G9" i="15"/>
  <c r="G5" i="15"/>
  <c r="G21" i="15"/>
  <c r="G50" i="15"/>
  <c r="G32" i="15"/>
  <c r="G12" i="15"/>
  <c r="G62" i="15"/>
  <c r="G6" i="15"/>
  <c r="G19" i="15"/>
  <c r="G26" i="15"/>
  <c r="G22" i="15"/>
  <c r="G35" i="15"/>
  <c r="G30" i="15"/>
  <c r="G2" i="15"/>
  <c r="G43" i="15"/>
  <c r="G56" i="15"/>
  <c r="G24" i="15"/>
  <c r="G3" i="15"/>
  <c r="G36" i="15"/>
  <c r="G103" i="14"/>
  <c r="G72" i="14"/>
  <c r="G80" i="14"/>
  <c r="G73" i="14"/>
  <c r="G108" i="14"/>
  <c r="G47" i="14"/>
  <c r="G2" i="14"/>
  <c r="G133" i="14"/>
  <c r="G148" i="14"/>
  <c r="G52" i="14"/>
  <c r="G36" i="14"/>
  <c r="G20" i="14"/>
  <c r="G15" i="14"/>
  <c r="G95" i="14"/>
  <c r="G41" i="14"/>
  <c r="G59" i="14"/>
  <c r="G137" i="14"/>
  <c r="G112" i="14"/>
  <c r="G13" i="13"/>
  <c r="G29" i="13"/>
  <c r="G21" i="13"/>
  <c r="G33" i="13"/>
  <c r="G57" i="13"/>
  <c r="G69" i="13"/>
  <c r="G72" i="13"/>
  <c r="G24" i="13"/>
  <c r="G47" i="13"/>
  <c r="G52" i="13"/>
  <c r="G20" i="13"/>
  <c r="G4" i="13"/>
  <c r="G43" i="13"/>
  <c r="G27" i="13"/>
  <c r="G70" i="13"/>
  <c r="G34" i="13"/>
  <c r="G51" i="13"/>
  <c r="G25" i="12"/>
  <c r="G43" i="12"/>
  <c r="G52" i="12"/>
  <c r="G90" i="12"/>
  <c r="G26" i="12"/>
  <c r="G82" i="12"/>
  <c r="G24" i="12"/>
  <c r="G20" i="11"/>
  <c r="G72" i="11"/>
  <c r="G21" i="11"/>
  <c r="G32" i="11"/>
  <c r="G36" i="11"/>
  <c r="G68" i="11"/>
  <c r="G5" i="11"/>
  <c r="G25" i="11"/>
  <c r="G26" i="11"/>
  <c r="G10" i="11"/>
  <c r="G31" i="11"/>
  <c r="G59" i="11"/>
  <c r="G27" i="11"/>
  <c r="G51" i="10"/>
  <c r="G45" i="10"/>
  <c r="G49" i="10"/>
  <c r="G17" i="10"/>
  <c r="G23" i="10"/>
  <c r="G14" i="10"/>
  <c r="G43" i="10"/>
  <c r="G41" i="10"/>
  <c r="G25" i="10"/>
  <c r="G7" i="10"/>
  <c r="G20" i="10"/>
  <c r="G55" i="10"/>
  <c r="G101" i="9"/>
  <c r="G105" i="9"/>
  <c r="G109" i="9"/>
  <c r="G72" i="9"/>
  <c r="G8" i="9"/>
  <c r="G22" i="9"/>
  <c r="G79" i="9"/>
  <c r="G47" i="9"/>
  <c r="G2" i="9"/>
  <c r="G28" i="9"/>
  <c r="G64" i="9"/>
  <c r="G16" i="9"/>
  <c r="G59" i="9"/>
  <c r="G78" i="9"/>
  <c r="G124" i="9"/>
  <c r="G16" i="8"/>
  <c r="G28" i="8"/>
  <c r="G60" i="8"/>
  <c r="G76" i="8"/>
  <c r="G100" i="8"/>
  <c r="G124" i="8"/>
  <c r="G73" i="8"/>
  <c r="G12" i="8"/>
  <c r="G96" i="8"/>
  <c r="G13" i="8"/>
  <c r="G85" i="8"/>
  <c r="G129" i="8"/>
  <c r="G59" i="8"/>
  <c r="G86" i="8"/>
  <c r="G123" i="8"/>
  <c r="G18" i="8"/>
  <c r="G154" i="8"/>
  <c r="G48" i="7"/>
  <c r="G69" i="7"/>
  <c r="G77" i="7"/>
  <c r="G133" i="7"/>
  <c r="G80" i="7"/>
  <c r="G125" i="7"/>
  <c r="G62" i="7"/>
  <c r="G51" i="7"/>
  <c r="G118" i="7"/>
  <c r="G127" i="7"/>
  <c r="G82" i="7"/>
  <c r="G39" i="7"/>
  <c r="G93" i="6"/>
  <c r="G121" i="6"/>
  <c r="G61" i="6"/>
  <c r="G90" i="6"/>
  <c r="G15" i="6"/>
  <c r="G110" i="6"/>
  <c r="G67" i="6"/>
  <c r="G138" i="6"/>
  <c r="G84" i="6"/>
  <c r="G115" i="6"/>
  <c r="G130" i="6"/>
  <c r="G96" i="6"/>
  <c r="G58" i="5"/>
  <c r="G33" i="5"/>
  <c r="G108" i="5"/>
  <c r="G110" i="5"/>
  <c r="G93" i="5"/>
  <c r="G61" i="5"/>
  <c r="G132" i="5"/>
  <c r="G55" i="5"/>
  <c r="G94" i="5"/>
  <c r="G17" i="5"/>
  <c r="G48" i="4"/>
  <c r="G94" i="4"/>
  <c r="G78" i="4"/>
  <c r="G9" i="4"/>
  <c r="G116" i="4"/>
  <c r="G20" i="4"/>
  <c r="G140" i="4"/>
  <c r="G139" i="4"/>
  <c r="G157" i="4"/>
  <c r="G39" i="4"/>
  <c r="G114" i="4"/>
  <c r="G89" i="4"/>
  <c r="G97" i="4"/>
  <c r="G19" i="4"/>
  <c r="G25" i="3"/>
  <c r="G21" i="3"/>
  <c r="G37" i="3"/>
  <c r="G39" i="3"/>
  <c r="G23" i="3"/>
  <c r="G50" i="3"/>
  <c r="G18" i="3"/>
  <c r="G11" i="3"/>
  <c r="G46" i="3"/>
  <c r="G26" i="3"/>
  <c r="G27" i="3"/>
  <c r="G57" i="2"/>
  <c r="G65" i="2"/>
  <c r="G85" i="2"/>
  <c r="G101" i="2"/>
  <c r="G55" i="2"/>
  <c r="G52" i="2"/>
  <c r="G54" i="2"/>
  <c r="G102" i="2"/>
  <c r="G120" i="2"/>
  <c r="G35" i="2"/>
  <c r="G20" i="2"/>
  <c r="G58" i="2"/>
  <c r="G45" i="1"/>
  <c r="G65" i="1"/>
  <c r="G37" i="1"/>
  <c r="G87" i="1"/>
  <c r="G51" i="1"/>
  <c r="G18" i="1"/>
  <c r="G80" i="1"/>
  <c r="G12" i="1"/>
  <c r="G88" i="1"/>
  <c r="G71" i="1"/>
  <c r="G26" i="1"/>
  <c r="G10" i="1"/>
  <c r="G131" i="17"/>
  <c r="G150" i="17"/>
  <c r="G68" i="17"/>
  <c r="G27" i="17"/>
  <c r="G143" i="17"/>
  <c r="G106" i="17"/>
  <c r="G7" i="17"/>
  <c r="G113" i="17"/>
  <c r="G77" i="17"/>
  <c r="G15" i="17"/>
  <c r="G43" i="17"/>
  <c r="G90" i="17"/>
  <c r="G56" i="17"/>
  <c r="G33" i="17"/>
  <c r="G44" i="17" a="1"/>
  <c r="G8" i="17" a="1"/>
  <c r="G78" i="17" a="1"/>
  <c r="G69" i="17" a="1"/>
  <c r="G144" i="17" a="1"/>
  <c r="G34" i="17" a="1"/>
  <c r="G132" i="17" a="1"/>
  <c r="G91" i="17" a="1"/>
  <c r="G114" i="17" a="1"/>
  <c r="G151" i="17" a="1"/>
  <c r="G16" i="17" a="1"/>
  <c r="G107" i="17" a="1"/>
  <c r="G57" i="17" a="1"/>
  <c r="G60" i="16" l="1"/>
  <c r="G81" i="16"/>
  <c r="G40" i="16"/>
  <c r="G76" i="16"/>
  <c r="G49" i="16"/>
  <c r="G85" i="16"/>
  <c r="G90" i="16"/>
  <c r="G87" i="16"/>
  <c r="G38" i="16"/>
  <c r="G50" i="16"/>
  <c r="G14" i="16"/>
  <c r="G15" i="16"/>
  <c r="G53" i="15"/>
  <c r="G65" i="15"/>
  <c r="G41" i="15"/>
  <c r="G64" i="15"/>
  <c r="G47" i="15"/>
  <c r="G60" i="15"/>
  <c r="G28" i="15"/>
  <c r="G52" i="15"/>
  <c r="G7" i="15"/>
  <c r="G152" i="14"/>
  <c r="G125" i="14"/>
  <c r="G139" i="14"/>
  <c r="G114" i="14"/>
  <c r="G145" i="14"/>
  <c r="G49" i="14"/>
  <c r="G115" i="14"/>
  <c r="G110" i="14"/>
  <c r="G94" i="14"/>
  <c r="G14" i="14"/>
  <c r="G61" i="14"/>
  <c r="G13" i="14"/>
  <c r="G87" i="14"/>
  <c r="G93" i="14"/>
  <c r="G57" i="14"/>
  <c r="G140" i="14"/>
  <c r="G29" i="12"/>
  <c r="G16" i="12"/>
  <c r="G30" i="12"/>
  <c r="G55" i="12"/>
  <c r="G46" i="12"/>
  <c r="G2" i="12"/>
  <c r="G31" i="12"/>
  <c r="G100" i="12"/>
  <c r="G48" i="12"/>
  <c r="G10" i="12"/>
  <c r="G8" i="11"/>
  <c r="G56" i="11"/>
  <c r="G12" i="11"/>
  <c r="G53" i="11"/>
  <c r="G61" i="11"/>
  <c r="G79" i="11"/>
  <c r="G50" i="11"/>
  <c r="G14" i="11"/>
  <c r="G19" i="10"/>
  <c r="G13" i="10"/>
  <c r="G24" i="10"/>
  <c r="G35" i="10"/>
  <c r="G5" i="10"/>
  <c r="G28" i="10"/>
  <c r="G2" i="10"/>
  <c r="G21" i="10"/>
  <c r="G41" i="9"/>
  <c r="G25" i="9"/>
  <c r="G49" i="9"/>
  <c r="G83" i="9"/>
  <c r="G35" i="9"/>
  <c r="G12" i="9"/>
  <c r="G84" i="9"/>
  <c r="G128" i="9"/>
  <c r="G96" i="9"/>
  <c r="G80" i="9"/>
  <c r="G110" i="9"/>
  <c r="G92" i="9"/>
  <c r="G87" i="9"/>
  <c r="G106" i="9"/>
  <c r="G65" i="8"/>
  <c r="G8" i="8"/>
  <c r="G56" i="8"/>
  <c r="G144" i="8"/>
  <c r="G61" i="8"/>
  <c r="G69" i="8"/>
  <c r="G77" i="8"/>
  <c r="G34" i="8"/>
  <c r="G139" i="8"/>
  <c r="G119" i="8"/>
  <c r="G138" i="8"/>
  <c r="G6" i="8"/>
  <c r="G32" i="7"/>
  <c r="G68" i="7"/>
  <c r="G29" i="7"/>
  <c r="G109" i="7"/>
  <c r="G12" i="7"/>
  <c r="G20" i="7"/>
  <c r="G64" i="7"/>
  <c r="G104" i="7"/>
  <c r="G25" i="7"/>
  <c r="G81" i="7"/>
  <c r="G97" i="7"/>
  <c r="G78" i="7"/>
  <c r="G79" i="7"/>
  <c r="G6" i="7"/>
  <c r="G59" i="7"/>
  <c r="G122" i="7"/>
  <c r="G22" i="7"/>
  <c r="G55" i="7"/>
  <c r="G81" i="6"/>
  <c r="G117" i="6"/>
  <c r="G65" i="6"/>
  <c r="G137" i="6"/>
  <c r="G17" i="6"/>
  <c r="G45" i="6"/>
  <c r="G23" i="6"/>
  <c r="G51" i="6"/>
  <c r="G146" i="6"/>
  <c r="G24" i="6"/>
  <c r="G8" i="6"/>
  <c r="G92" i="6"/>
  <c r="G83" i="6"/>
  <c r="G43" i="6"/>
  <c r="G131" i="6"/>
  <c r="G2" i="6"/>
  <c r="G102" i="6"/>
  <c r="G63" i="6"/>
  <c r="G144" i="6"/>
  <c r="G80" i="6"/>
  <c r="G26" i="6"/>
  <c r="G138" i="5"/>
  <c r="G37" i="5"/>
  <c r="G83" i="5"/>
  <c r="G78" i="5"/>
  <c r="G140" i="5"/>
  <c r="G141" i="5"/>
  <c r="G41" i="5"/>
  <c r="G84" i="5"/>
  <c r="G36" i="5"/>
  <c r="G23" i="5"/>
  <c r="G64" i="5"/>
  <c r="G16" i="5"/>
  <c r="G154" i="5"/>
  <c r="G49" i="5"/>
  <c r="G152" i="5"/>
  <c r="G80" i="4"/>
  <c r="G169" i="4"/>
  <c r="G79" i="4"/>
  <c r="G47" i="4"/>
  <c r="G117" i="4"/>
  <c r="G62" i="4"/>
  <c r="G55" i="4"/>
  <c r="G86" i="4"/>
  <c r="G37" i="4"/>
  <c r="G107" i="4"/>
  <c r="G150" i="4"/>
  <c r="G148" i="4"/>
  <c r="G35" i="4"/>
  <c r="G54" i="4"/>
  <c r="G84" i="4"/>
  <c r="G163" i="4"/>
  <c r="G67" i="4"/>
  <c r="G29" i="3"/>
  <c r="G2" i="3"/>
  <c r="G48" i="3"/>
  <c r="G42" i="3"/>
  <c r="G8" i="3"/>
  <c r="G4" i="3"/>
  <c r="G35" i="3"/>
  <c r="G30" i="3"/>
  <c r="G14" i="3"/>
  <c r="G97" i="2"/>
  <c r="G77" i="2"/>
  <c r="G46" i="2"/>
  <c r="G18" i="2"/>
  <c r="G26" i="2"/>
  <c r="G16" i="2"/>
  <c r="G68" i="2"/>
  <c r="G60" i="2"/>
  <c r="G12" i="2"/>
  <c r="G6" i="2"/>
  <c r="G11" i="2"/>
  <c r="G122" i="2"/>
  <c r="G77" i="1"/>
  <c r="G41" i="1"/>
  <c r="G89" i="1"/>
  <c r="G92" i="1"/>
  <c r="G70" i="1"/>
  <c r="G30" i="1"/>
  <c r="G46" i="1"/>
  <c r="G64" i="1"/>
  <c r="G39" i="1"/>
  <c r="G84" i="1"/>
  <c r="G44" i="17"/>
  <c r="G8" i="17"/>
  <c r="G69" i="17"/>
  <c r="G34" i="17"/>
  <c r="G16" i="17"/>
  <c r="G107" i="17"/>
  <c r="G151" i="17"/>
  <c r="G57" i="17"/>
  <c r="G78" i="17"/>
  <c r="G144" i="17"/>
  <c r="G132" i="17"/>
  <c r="G91" i="17"/>
  <c r="G114" i="17"/>
  <c r="G70" i="17" a="1"/>
  <c r="G92" i="17" a="1"/>
  <c r="G79" i="17" a="1"/>
  <c r="G152" i="17" a="1"/>
  <c r="G133" i="17" a="1"/>
  <c r="G58" i="17" a="1"/>
  <c r="G9" i="17" a="1"/>
  <c r="G35" i="17" a="1"/>
  <c r="G115" i="17" a="1"/>
  <c r="G17" i="17" a="1"/>
  <c r="G45" i="17" a="1"/>
  <c r="G44" i="16" l="1"/>
  <c r="G16" i="16"/>
  <c r="G24" i="16"/>
  <c r="G28" i="16"/>
  <c r="G88" i="16"/>
  <c r="G21" i="16"/>
  <c r="G71" i="16"/>
  <c r="G35" i="16"/>
  <c r="G19" i="16"/>
  <c r="G18" i="16"/>
  <c r="G62" i="16"/>
  <c r="G79" i="16"/>
  <c r="G47" i="16"/>
  <c r="G11" i="16"/>
  <c r="G29" i="15"/>
  <c r="G49" i="15"/>
  <c r="G57" i="15"/>
  <c r="G14" i="15"/>
  <c r="G20" i="15"/>
  <c r="G11" i="15"/>
  <c r="G46" i="15"/>
  <c r="G134" i="14"/>
  <c r="G54" i="14"/>
  <c r="G131" i="14"/>
  <c r="G69" i="14"/>
  <c r="G120" i="14"/>
  <c r="G88" i="14"/>
  <c r="G8" i="14"/>
  <c r="G154" i="14"/>
  <c r="G75" i="14"/>
  <c r="G98" i="14"/>
  <c r="G65" i="14"/>
  <c r="G28" i="14"/>
  <c r="G29" i="14"/>
  <c r="G27" i="12"/>
  <c r="G118" i="12"/>
  <c r="G54" i="12"/>
  <c r="G108" i="12"/>
  <c r="G35" i="12"/>
  <c r="G36" i="12"/>
  <c r="G15" i="12"/>
  <c r="G28" i="11"/>
  <c r="G80" i="11"/>
  <c r="G29" i="11"/>
  <c r="G49" i="11"/>
  <c r="G73" i="11"/>
  <c r="G44" i="11"/>
  <c r="G84" i="11"/>
  <c r="G45" i="11"/>
  <c r="G69" i="11"/>
  <c r="G77" i="11"/>
  <c r="G85" i="11"/>
  <c r="G58" i="11"/>
  <c r="G63" i="11"/>
  <c r="G22" i="11"/>
  <c r="G43" i="11"/>
  <c r="G78" i="11"/>
  <c r="G18" i="11"/>
  <c r="G83" i="11"/>
  <c r="G30" i="11"/>
  <c r="G51" i="11"/>
  <c r="G137" i="9"/>
  <c r="G107" i="9"/>
  <c r="G95" i="9"/>
  <c r="G10" i="9"/>
  <c r="G68" i="8"/>
  <c r="G148" i="8"/>
  <c r="G5" i="8"/>
  <c r="G103" i="8"/>
  <c r="G14" i="8"/>
  <c r="G91" i="8"/>
  <c r="G30" i="8"/>
  <c r="G27" i="8"/>
  <c r="G143" i="8"/>
  <c r="G54" i="8"/>
  <c r="G60" i="7"/>
  <c r="G76" i="7"/>
  <c r="G108" i="7"/>
  <c r="G116" i="7"/>
  <c r="G93" i="7"/>
  <c r="G101" i="7"/>
  <c r="G4" i="7"/>
  <c r="G57" i="7"/>
  <c r="G73" i="7"/>
  <c r="G66" i="7"/>
  <c r="G91" i="7"/>
  <c r="G58" i="7"/>
  <c r="G18" i="7"/>
  <c r="G83" i="7"/>
  <c r="G14" i="7"/>
  <c r="G98" i="7"/>
  <c r="G77" i="6"/>
  <c r="G89" i="6"/>
  <c r="G97" i="6"/>
  <c r="G153" i="6"/>
  <c r="G22" i="6"/>
  <c r="G87" i="6"/>
  <c r="G44" i="6"/>
  <c r="G99" i="6"/>
  <c r="G36" i="6"/>
  <c r="G124" i="6"/>
  <c r="G134" i="6"/>
  <c r="G155" i="6"/>
  <c r="G48" i="6"/>
  <c r="G112" i="5"/>
  <c r="G51" i="5"/>
  <c r="G14" i="5"/>
  <c r="G97" i="5"/>
  <c r="G162" i="5"/>
  <c r="G8" i="5"/>
  <c r="G38" i="5"/>
  <c r="G45" i="5"/>
  <c r="G30" i="5"/>
  <c r="G137" i="5"/>
  <c r="G54" i="5"/>
  <c r="G116" i="5"/>
  <c r="G62" i="5"/>
  <c r="G48" i="5"/>
  <c r="G67" i="5"/>
  <c r="G145" i="5"/>
  <c r="G92" i="5"/>
  <c r="G28" i="5"/>
  <c r="G111" i="5"/>
  <c r="G66" i="5"/>
  <c r="G107" i="5"/>
  <c r="G127" i="4"/>
  <c r="G158" i="4"/>
  <c r="G46" i="4"/>
  <c r="G49" i="4"/>
  <c r="G131" i="4"/>
  <c r="G149" i="4"/>
  <c r="G53" i="4"/>
  <c r="G124" i="4"/>
  <c r="G91" i="4"/>
  <c r="G109" i="4"/>
  <c r="G88" i="4"/>
  <c r="G40" i="4"/>
  <c r="G129" i="4"/>
  <c r="G66" i="4"/>
  <c r="G41" i="4"/>
  <c r="G152" i="4"/>
  <c r="G132" i="4"/>
  <c r="G21" i="2"/>
  <c r="G93" i="2"/>
  <c r="G61" i="2"/>
  <c r="G113" i="2"/>
  <c r="G92" i="2"/>
  <c r="G70" i="2"/>
  <c r="G88" i="2"/>
  <c r="G123" i="2"/>
  <c r="G74" i="2"/>
  <c r="G94" i="2"/>
  <c r="G95" i="2"/>
  <c r="G28" i="2"/>
  <c r="G21" i="1"/>
  <c r="G25" i="1"/>
  <c r="G32" i="1"/>
  <c r="G22" i="1"/>
  <c r="G20" i="1"/>
  <c r="G6" i="1"/>
  <c r="G4" i="1"/>
  <c r="G24" i="1"/>
  <c r="G79" i="1"/>
  <c r="G43" i="1"/>
  <c r="G14" i="1"/>
  <c r="G82" i="1"/>
  <c r="G35" i="17"/>
  <c r="G9" i="17"/>
  <c r="G115" i="17"/>
  <c r="G79" i="17"/>
  <c r="G17" i="17"/>
  <c r="G45" i="17"/>
  <c r="G92" i="17"/>
  <c r="G58" i="17"/>
  <c r="G133" i="17"/>
  <c r="G152" i="17"/>
  <c r="G70" i="17"/>
  <c r="G116" i="17" a="1"/>
  <c r="G93" i="17" a="1"/>
  <c r="G134" i="17" a="1"/>
  <c r="G71" i="17" a="1"/>
  <c r="G59" i="17" a="1"/>
  <c r="G153" i="17" a="1"/>
  <c r="G36" i="17" a="1"/>
  <c r="G18" i="17" a="1"/>
  <c r="G80" i="17" a="1"/>
  <c r="G46" i="17" a="1"/>
  <c r="G8" i="16" l="1"/>
  <c r="G48" i="16"/>
  <c r="G56" i="16"/>
  <c r="G72" i="16"/>
  <c r="G45" i="16"/>
  <c r="G5" i="16"/>
  <c r="G13" i="16"/>
  <c r="G55" i="16"/>
  <c r="G82" i="16"/>
  <c r="G63" i="16"/>
  <c r="G118" i="14"/>
  <c r="G70" i="14"/>
  <c r="G63" i="14"/>
  <c r="G58" i="14"/>
  <c r="G25" i="14"/>
  <c r="G113" i="14"/>
  <c r="G99" i="14"/>
  <c r="G116" i="14"/>
  <c r="G84" i="14"/>
  <c r="G46" i="14"/>
  <c r="G138" i="14"/>
  <c r="G42" i="14"/>
  <c r="G143" i="14"/>
  <c r="G21" i="12"/>
  <c r="G61" i="12"/>
  <c r="G69" i="12"/>
  <c r="G103" i="12"/>
  <c r="G71" i="12"/>
  <c r="G8" i="12"/>
  <c r="G92" i="12"/>
  <c r="G19" i="12"/>
  <c r="G32" i="12"/>
  <c r="G113" i="9"/>
  <c r="G81" i="9"/>
  <c r="G117" i="9"/>
  <c r="G118" i="9"/>
  <c r="G70" i="9"/>
  <c r="G127" i="9"/>
  <c r="G63" i="9"/>
  <c r="G31" i="9"/>
  <c r="G135" i="9"/>
  <c r="G48" i="9"/>
  <c r="G14" i="9"/>
  <c r="G140" i="8"/>
  <c r="G20" i="8"/>
  <c r="G40" i="8"/>
  <c r="G75" i="8"/>
  <c r="G50" i="8"/>
  <c r="G15" i="8"/>
  <c r="G74" i="8"/>
  <c r="G42" i="8"/>
  <c r="G99" i="8"/>
  <c r="G24" i="7"/>
  <c r="G124" i="7"/>
  <c r="G132" i="7"/>
  <c r="G37" i="7"/>
  <c r="G45" i="7"/>
  <c r="G85" i="7"/>
  <c r="G121" i="7"/>
  <c r="G96" i="7"/>
  <c r="G112" i="7"/>
  <c r="G17" i="7"/>
  <c r="G89" i="7"/>
  <c r="G137" i="7"/>
  <c r="G99" i="7"/>
  <c r="G111" i="7"/>
  <c r="G95" i="7"/>
  <c r="G114" i="7"/>
  <c r="G35" i="7"/>
  <c r="G42" i="7"/>
  <c r="G71" i="7"/>
  <c r="G26" i="7"/>
  <c r="G130" i="7"/>
  <c r="G19" i="7"/>
  <c r="G115" i="7"/>
  <c r="G10" i="7"/>
  <c r="G21" i="6"/>
  <c r="G129" i="6"/>
  <c r="G37" i="6"/>
  <c r="G69" i="6"/>
  <c r="G151" i="6"/>
  <c r="G152" i="6"/>
  <c r="G74" i="6"/>
  <c r="G148" i="6"/>
  <c r="G58" i="6"/>
  <c r="G79" i="6"/>
  <c r="G34" i="6"/>
  <c r="G123" i="6"/>
  <c r="G112" i="6"/>
  <c r="G64" i="6"/>
  <c r="G16" i="6"/>
  <c r="G160" i="5"/>
  <c r="G144" i="5"/>
  <c r="G19" i="5"/>
  <c r="G104" i="5"/>
  <c r="G91" i="5"/>
  <c r="G59" i="5"/>
  <c r="G29" i="5"/>
  <c r="G70" i="5"/>
  <c r="G9" i="5"/>
  <c r="G87" i="5"/>
  <c r="G142" i="5"/>
  <c r="G120" i="5"/>
  <c r="G56" i="5"/>
  <c r="G24" i="5"/>
  <c r="G65" i="4"/>
  <c r="G96" i="4"/>
  <c r="G142" i="4"/>
  <c r="G138" i="4"/>
  <c r="G72" i="4"/>
  <c r="G93" i="4"/>
  <c r="G134" i="4"/>
  <c r="G38" i="4"/>
  <c r="G99" i="4"/>
  <c r="G3" i="4"/>
  <c r="G5" i="4"/>
  <c r="G76" i="4"/>
  <c r="G44" i="4"/>
  <c r="G59" i="4"/>
  <c r="G154" i="4"/>
  <c r="G42" i="4"/>
  <c r="G141" i="4"/>
  <c r="G100" i="4"/>
  <c r="G83" i="4"/>
  <c r="G77" i="4"/>
  <c r="G36" i="4"/>
  <c r="G133" i="4"/>
  <c r="G115" i="4"/>
  <c r="G50" i="4"/>
  <c r="G45" i="2"/>
  <c r="G69" i="2"/>
  <c r="G17" i="2"/>
  <c r="G41" i="2"/>
  <c r="G73" i="2"/>
  <c r="G109" i="2"/>
  <c r="G9" i="2"/>
  <c r="G125" i="2"/>
  <c r="G64" i="2"/>
  <c r="G110" i="2"/>
  <c r="G36" i="2"/>
  <c r="G131" i="2"/>
  <c r="G4" i="2"/>
  <c r="G107" i="2"/>
  <c r="G59" i="2"/>
  <c r="G73" i="1"/>
  <c r="G53" i="1"/>
  <c r="G40" i="1"/>
  <c r="G8" i="1"/>
  <c r="G59" i="1"/>
  <c r="G23" i="1"/>
  <c r="G74" i="1"/>
  <c r="G83" i="1"/>
  <c r="G27" i="1"/>
  <c r="G28" i="1"/>
  <c r="G15" i="1"/>
  <c r="G76" i="1"/>
  <c r="G44" i="1"/>
  <c r="G52" i="1"/>
  <c r="G36" i="1"/>
  <c r="G31" i="1"/>
  <c r="G71" i="17"/>
  <c r="G116" i="17"/>
  <c r="G153" i="17"/>
  <c r="G46" i="17"/>
  <c r="G134" i="17"/>
  <c r="G18" i="17"/>
  <c r="G36" i="17"/>
  <c r="G59" i="17"/>
  <c r="G80" i="17"/>
  <c r="G93" i="17"/>
  <c r="G94" i="17" a="1"/>
  <c r="G81" i="17" a="1"/>
  <c r="G117" i="17" a="1"/>
  <c r="G19" i="17" a="1"/>
  <c r="G154" i="17" a="1"/>
  <c r="G47" i="17" a="1"/>
  <c r="G37" i="17" a="1"/>
  <c r="G60" i="17" a="1"/>
  <c r="G135" i="17" a="1"/>
  <c r="G64" i="16" l="1"/>
  <c r="G29" i="16"/>
  <c r="G37" i="16"/>
  <c r="G89" i="16"/>
  <c r="G4" i="16"/>
  <c r="G36" i="16"/>
  <c r="G25" i="16"/>
  <c r="G61" i="16"/>
  <c r="G39" i="16"/>
  <c r="G66" i="16"/>
  <c r="G42" i="16"/>
  <c r="G86" i="16"/>
  <c r="G75" i="16"/>
  <c r="G86" i="14"/>
  <c r="G22" i="14"/>
  <c r="G6" i="14"/>
  <c r="G83" i="14"/>
  <c r="G21" i="14"/>
  <c r="G5" i="14"/>
  <c r="G109" i="14"/>
  <c r="G24" i="14"/>
  <c r="G128" i="14"/>
  <c r="G12" i="14"/>
  <c r="G7" i="14"/>
  <c r="G82" i="14"/>
  <c r="G18" i="14"/>
  <c r="G81" i="14"/>
  <c r="G51" i="14"/>
  <c r="G68" i="14"/>
  <c r="G26" i="14"/>
  <c r="G123" i="14"/>
  <c r="G124" i="14"/>
  <c r="G155" i="14"/>
  <c r="G45" i="12"/>
  <c r="G73" i="12"/>
  <c r="G53" i="12"/>
  <c r="G109" i="12"/>
  <c r="G13" i="12"/>
  <c r="G59" i="12"/>
  <c r="G106" i="12"/>
  <c r="G20" i="12"/>
  <c r="G80" i="12"/>
  <c r="G95" i="12"/>
  <c r="G77" i="9"/>
  <c r="G89" i="9"/>
  <c r="G61" i="9"/>
  <c r="G85" i="9"/>
  <c r="G120" i="9"/>
  <c r="G104" i="9"/>
  <c r="G102" i="9"/>
  <c r="G86" i="9"/>
  <c r="G6" i="9"/>
  <c r="G26" i="9"/>
  <c r="G91" i="9"/>
  <c r="G36" i="9"/>
  <c r="G130" i="9"/>
  <c r="G66" i="9"/>
  <c r="G18" i="9"/>
  <c r="G23" i="9"/>
  <c r="G27" i="9"/>
  <c r="G111" i="9"/>
  <c r="G136" i="8"/>
  <c r="G17" i="8"/>
  <c r="G33" i="8"/>
  <c r="G23" i="8"/>
  <c r="G83" i="8"/>
  <c r="G58" i="8"/>
  <c r="G110" i="8"/>
  <c r="G115" i="8"/>
  <c r="G43" i="8"/>
  <c r="G63" i="8"/>
  <c r="G88" i="7"/>
  <c r="G13" i="7"/>
  <c r="G21" i="7"/>
  <c r="G56" i="7"/>
  <c r="G41" i="7"/>
  <c r="G65" i="7"/>
  <c r="G105" i="7"/>
  <c r="G131" i="7"/>
  <c r="G2" i="7"/>
  <c r="G119" i="7"/>
  <c r="G90" i="7"/>
  <c r="G74" i="7"/>
  <c r="G86" i="7"/>
  <c r="G34" i="7"/>
  <c r="G87" i="7"/>
  <c r="G7" i="7"/>
  <c r="G75" i="7"/>
  <c r="G3" i="7"/>
  <c r="G133" i="6"/>
  <c r="G113" i="6"/>
  <c r="G53" i="6"/>
  <c r="G82" i="6"/>
  <c r="G139" i="6"/>
  <c r="G140" i="6"/>
  <c r="G142" i="6"/>
  <c r="G78" i="6"/>
  <c r="G52" i="6"/>
  <c r="G62" i="6"/>
  <c r="G28" i="6"/>
  <c r="G10" i="6"/>
  <c r="G3" i="6"/>
  <c r="G30" i="6"/>
  <c r="G156" i="6"/>
  <c r="G129" i="5"/>
  <c r="G76" i="5"/>
  <c r="G27" i="5"/>
  <c r="G150" i="5"/>
  <c r="G3" i="5"/>
  <c r="G50" i="5"/>
  <c r="G60" i="5"/>
  <c r="G63" i="5"/>
  <c r="G17" i="4"/>
  <c r="G144" i="4"/>
  <c r="G159" i="4"/>
  <c r="G143" i="4"/>
  <c r="G165" i="4"/>
  <c r="G73" i="4"/>
  <c r="G90" i="4"/>
  <c r="G58" i="4"/>
  <c r="G168" i="4"/>
  <c r="G81" i="4"/>
  <c r="G101" i="4"/>
  <c r="G92" i="4"/>
  <c r="G60" i="4"/>
  <c r="G153" i="4"/>
  <c r="G57" i="4"/>
  <c r="G87" i="4"/>
  <c r="G6" i="4"/>
  <c r="G56" i="4"/>
  <c r="G8" i="4"/>
  <c r="G45" i="4"/>
  <c r="G118" i="4"/>
  <c r="G146" i="4"/>
  <c r="G25" i="2"/>
  <c r="G72" i="2"/>
  <c r="G10" i="2"/>
  <c r="G15" i="2"/>
  <c r="G130" i="2"/>
  <c r="G14" i="2"/>
  <c r="G108" i="2"/>
  <c r="G75" i="2"/>
  <c r="G112" i="2"/>
  <c r="G94" i="17"/>
  <c r="G19" i="17"/>
  <c r="G117" i="17"/>
  <c r="G81" i="17"/>
  <c r="G135" i="17"/>
  <c r="G60" i="17"/>
  <c r="G47" i="17"/>
  <c r="G37" i="17"/>
  <c r="G154" i="17"/>
  <c r="G48" i="17" a="1"/>
  <c r="G82" i="17" a="1"/>
  <c r="G61" i="17" a="1"/>
  <c r="G95" i="17" a="1"/>
  <c r="G136" i="17" a="1"/>
  <c r="G20" i="17" a="1"/>
  <c r="G118" i="17" a="1"/>
  <c r="G151" i="14" l="1"/>
  <c r="G102" i="14"/>
  <c r="G136" i="14"/>
  <c r="G104" i="14"/>
  <c r="G106" i="14"/>
  <c r="G17" i="14"/>
  <c r="G101" i="14"/>
  <c r="G100" i="14"/>
  <c r="G96" i="14"/>
  <c r="G79" i="14"/>
  <c r="G126" i="14"/>
  <c r="G105" i="14"/>
  <c r="G45" i="14"/>
  <c r="G44" i="14"/>
  <c r="G37" i="12"/>
  <c r="G65" i="12"/>
  <c r="G89" i="12"/>
  <c r="G28" i="12"/>
  <c r="G115" i="12"/>
  <c r="G22" i="12"/>
  <c r="G88" i="12"/>
  <c r="G110" i="12"/>
  <c r="G84" i="12"/>
  <c r="G66" i="12"/>
  <c r="G74" i="12"/>
  <c r="G42" i="12"/>
  <c r="G29" i="9"/>
  <c r="G21" i="9"/>
  <c r="G33" i="9"/>
  <c r="G37" i="9"/>
  <c r="G97" i="9"/>
  <c r="G99" i="9"/>
  <c r="G136" i="9"/>
  <c r="G88" i="9"/>
  <c r="G56" i="9"/>
  <c r="G24" i="9"/>
  <c r="G67" i="9"/>
  <c r="G122" i="9"/>
  <c r="G68" i="9"/>
  <c r="G98" i="9"/>
  <c r="G82" i="9"/>
  <c r="G42" i="9"/>
  <c r="G119" i="9"/>
  <c r="G32" i="9"/>
  <c r="G44" i="9"/>
  <c r="G39" i="9"/>
  <c r="G4" i="8"/>
  <c r="G117" i="8"/>
  <c r="G88" i="8"/>
  <c r="G120" i="8"/>
  <c r="G151" i="8"/>
  <c r="G7" i="8"/>
  <c r="G147" i="8"/>
  <c r="G70" i="8"/>
  <c r="G38" i="8"/>
  <c r="G10" i="8"/>
  <c r="G11" i="8"/>
  <c r="G31" i="8"/>
  <c r="G67" i="8"/>
  <c r="G122" i="8"/>
  <c r="G109" i="6"/>
  <c r="G50" i="6"/>
  <c r="G120" i="6"/>
  <c r="G127" i="6"/>
  <c r="G27" i="6"/>
  <c r="G11" i="6"/>
  <c r="G132" i="6"/>
  <c r="G126" i="6"/>
  <c r="G39" i="6"/>
  <c r="G7" i="6"/>
  <c r="G66" i="6"/>
  <c r="G128" i="6"/>
  <c r="G149" i="5"/>
  <c r="G5" i="5"/>
  <c r="G96" i="5"/>
  <c r="G47" i="5"/>
  <c r="G157" i="5"/>
  <c r="G109" i="5"/>
  <c r="G153" i="5"/>
  <c r="G57" i="5"/>
  <c r="G148" i="5"/>
  <c r="G52" i="5"/>
  <c r="G71" i="5"/>
  <c r="G139" i="5"/>
  <c r="G160" i="4"/>
  <c r="G121" i="4"/>
  <c r="G69" i="4"/>
  <c r="G21" i="4"/>
  <c r="G126" i="4"/>
  <c r="G103" i="4"/>
  <c r="G125" i="4"/>
  <c r="G34" i="4"/>
  <c r="G156" i="4"/>
  <c r="G105" i="4"/>
  <c r="G155" i="4"/>
  <c r="G75" i="4"/>
  <c r="G43" i="4"/>
  <c r="G61" i="4"/>
  <c r="G74" i="4"/>
  <c r="G70" i="4"/>
  <c r="G147" i="4"/>
  <c r="G162" i="4"/>
  <c r="G137" i="4"/>
  <c r="G120" i="4"/>
  <c r="G119" i="4"/>
  <c r="G85" i="4"/>
  <c r="G53" i="2"/>
  <c r="G49" i="2"/>
  <c r="G32" i="2"/>
  <c r="G34" i="2"/>
  <c r="G96" i="2"/>
  <c r="G63" i="2"/>
  <c r="G44" i="2"/>
  <c r="G61" i="17"/>
  <c r="G82" i="17"/>
  <c r="G48" i="17"/>
  <c r="G118" i="17"/>
  <c r="G20" i="17"/>
  <c r="G136" i="17"/>
  <c r="G95" i="17"/>
  <c r="G21" i="17" a="1"/>
  <c r="G62" i="17" a="1"/>
  <c r="G137" i="17" a="1"/>
  <c r="G83" i="17" a="1"/>
  <c r="G49" i="17" a="1"/>
  <c r="G119" i="17" a="1"/>
  <c r="G17" i="15" l="1"/>
  <c r="G31" i="15"/>
  <c r="G58" i="15"/>
  <c r="G34" i="15"/>
  <c r="G48" i="15"/>
  <c r="G44" i="15"/>
  <c r="G39" i="15"/>
  <c r="G54" i="15"/>
  <c r="G27" i="15"/>
  <c r="G18" i="15"/>
  <c r="G63" i="15"/>
  <c r="G11" i="14"/>
  <c r="G91" i="14"/>
  <c r="G23" i="14"/>
  <c r="G66" i="14"/>
  <c r="G119" i="14"/>
  <c r="G147" i="14"/>
  <c r="G132" i="14"/>
  <c r="G74" i="14"/>
  <c r="G117" i="14"/>
  <c r="G62" i="14"/>
  <c r="G77" i="14"/>
  <c r="G39" i="14"/>
  <c r="G9" i="14"/>
  <c r="G92" i="14"/>
  <c r="G17" i="12"/>
  <c r="G81" i="12"/>
  <c r="G75" i="12"/>
  <c r="G107" i="12"/>
  <c r="G87" i="12"/>
  <c r="G39" i="12"/>
  <c r="G40" i="12"/>
  <c r="G111" i="12"/>
  <c r="G83" i="12"/>
  <c r="G51" i="12"/>
  <c r="G72" i="12"/>
  <c r="G34" i="12"/>
  <c r="G64" i="12"/>
  <c r="G94" i="12"/>
  <c r="G57" i="9"/>
  <c r="G129" i="9"/>
  <c r="G141" i="9"/>
  <c r="G5" i="9"/>
  <c r="G3" i="9"/>
  <c r="G134" i="9"/>
  <c r="G60" i="9"/>
  <c r="G100" i="9"/>
  <c r="G4" i="9"/>
  <c r="G50" i="9"/>
  <c r="G34" i="9"/>
  <c r="G138" i="9"/>
  <c r="G112" i="9"/>
  <c r="G58" i="9"/>
  <c r="G44" i="8"/>
  <c r="G84" i="8"/>
  <c r="G48" i="8"/>
  <c r="G41" i="8"/>
  <c r="G93" i="8"/>
  <c r="G51" i="8"/>
  <c r="G19" i="8"/>
  <c r="G71" i="8"/>
  <c r="G79" i="8"/>
  <c r="G47" i="8"/>
  <c r="G98" i="8"/>
  <c r="G111" i="8"/>
  <c r="G134" i="8"/>
  <c r="G5" i="6"/>
  <c r="G86" i="6"/>
  <c r="G107" i="6"/>
  <c r="G56" i="6"/>
  <c r="G147" i="6"/>
  <c r="G143" i="6"/>
  <c r="G106" i="6"/>
  <c r="G68" i="6"/>
  <c r="G31" i="6"/>
  <c r="G103" i="6"/>
  <c r="G60" i="6"/>
  <c r="G106" i="5"/>
  <c r="G90" i="5"/>
  <c r="G115" i="5"/>
  <c r="G105" i="5"/>
  <c r="G18" i="5"/>
  <c r="G68" i="5"/>
  <c r="G20" i="5"/>
  <c r="G4" i="5"/>
  <c r="G103" i="5"/>
  <c r="G39" i="5"/>
  <c r="G131" i="5"/>
  <c r="G99" i="5"/>
  <c r="G35" i="5"/>
  <c r="G118" i="5"/>
  <c r="G31" i="5"/>
  <c r="G88" i="5"/>
  <c r="G74" i="5"/>
  <c r="G5" i="2"/>
  <c r="G81" i="2"/>
  <c r="G105" i="2"/>
  <c r="G127" i="2"/>
  <c r="G7" i="2"/>
  <c r="G84" i="2"/>
  <c r="G90" i="2"/>
  <c r="G115" i="2"/>
  <c r="G67" i="2"/>
  <c r="G24" i="2"/>
  <c r="G98" i="2"/>
  <c r="G86" i="2"/>
  <c r="G50" i="2"/>
  <c r="G27" i="2"/>
  <c r="G119" i="17"/>
  <c r="G49" i="17"/>
  <c r="G137" i="17"/>
  <c r="G83" i="17"/>
  <c r="G21" i="17"/>
  <c r="G62" i="17"/>
  <c r="G120" i="17" a="1"/>
  <c r="G84" i="17" a="1"/>
  <c r="G50" i="17" a="1"/>
  <c r="G55" i="14" l="1"/>
  <c r="G150" i="14"/>
  <c r="G121" i="14"/>
  <c r="G37" i="14"/>
  <c r="G130" i="14"/>
  <c r="G97" i="14"/>
  <c r="G3" i="14"/>
  <c r="G142" i="14"/>
  <c r="G30" i="14"/>
  <c r="G107" i="14"/>
  <c r="G90" i="14"/>
  <c r="G149" i="14"/>
  <c r="G101" i="12"/>
  <c r="G68" i="12"/>
  <c r="G91" i="12"/>
  <c r="G6" i="12"/>
  <c r="G12" i="12"/>
  <c r="G114" i="12"/>
  <c r="G52" i="8"/>
  <c r="G108" i="8"/>
  <c r="G116" i="8"/>
  <c r="G89" i="8"/>
  <c r="G105" i="8"/>
  <c r="G141" i="8"/>
  <c r="G128" i="8"/>
  <c r="G152" i="8"/>
  <c r="G29" i="8"/>
  <c r="G145" i="8"/>
  <c r="G78" i="8"/>
  <c r="G90" i="8"/>
  <c r="G107" i="8"/>
  <c r="G55" i="8"/>
  <c r="G2" i="8"/>
  <c r="G13" i="6"/>
  <c r="G85" i="6"/>
  <c r="G101" i="6"/>
  <c r="G141" i="6"/>
  <c r="G9" i="6"/>
  <c r="G149" i="6"/>
  <c r="G29" i="6"/>
  <c r="G54" i="6"/>
  <c r="G19" i="6"/>
  <c r="G18" i="6"/>
  <c r="G104" i="6"/>
  <c r="G116" i="6"/>
  <c r="G100" i="6"/>
  <c r="G4" i="6"/>
  <c r="G91" i="6"/>
  <c r="G158" i="6"/>
  <c r="G22" i="5"/>
  <c r="G117" i="5"/>
  <c r="G126" i="5"/>
  <c r="G42" i="5"/>
  <c r="G80" i="5"/>
  <c r="G12" i="5"/>
  <c r="G159" i="5"/>
  <c r="G26" i="5"/>
  <c r="G10" i="5"/>
  <c r="G146" i="5"/>
  <c r="G73" i="5"/>
  <c r="G7" i="5"/>
  <c r="G113" i="5"/>
  <c r="G95" i="5"/>
  <c r="G11" i="5"/>
  <c r="G100" i="2"/>
  <c r="G80" i="2"/>
  <c r="G51" i="2"/>
  <c r="G3" i="2"/>
  <c r="G106" i="2"/>
  <c r="G124" i="2"/>
  <c r="G62" i="2"/>
  <c r="G47" i="2"/>
  <c r="G30" i="2"/>
  <c r="G78" i="2"/>
  <c r="G84" i="17"/>
  <c r="G50" i="17"/>
  <c r="G120" i="17"/>
  <c r="G105" i="12" l="1"/>
  <c r="G117" i="12"/>
  <c r="G41" i="12"/>
  <c r="G11" i="12"/>
  <c r="G86" i="12"/>
  <c r="G47" i="12"/>
  <c r="G78" i="12"/>
  <c r="G79" i="12"/>
  <c r="G58" i="12"/>
  <c r="G67" i="12"/>
  <c r="G3" i="12"/>
  <c r="G98" i="12"/>
  <c r="G63" i="12"/>
  <c r="G92" i="8"/>
  <c r="G132" i="8"/>
  <c r="G156" i="8"/>
  <c r="G49" i="8"/>
  <c r="G72" i="8"/>
  <c r="G80" i="8"/>
  <c r="G21" i="8"/>
  <c r="G25" i="8"/>
  <c r="G45" i="8"/>
  <c r="G137" i="8"/>
  <c r="G39" i="8"/>
  <c r="G46" i="8"/>
  <c r="G135" i="8"/>
  <c r="G106" i="8"/>
  <c r="G142" i="8"/>
  <c r="G95" i="8"/>
  <c r="G127" i="8"/>
  <c r="G94" i="8"/>
  <c r="G133" i="5"/>
  <c r="G101" i="5"/>
  <c r="G53" i="5"/>
  <c r="G98" i="5"/>
  <c r="G127" i="5"/>
  <c r="G79" i="5"/>
  <c r="G15" i="5"/>
  <c r="G136" i="5"/>
  <c r="G72" i="5"/>
  <c r="G40" i="5"/>
  <c r="G122" i="5"/>
  <c r="G82" i="5"/>
  <c r="G13" i="5"/>
  <c r="G6" i="5"/>
  <c r="G25" i="5"/>
  <c r="G102" i="5"/>
  <c r="G151" i="5"/>
  <c r="G34" i="5"/>
  <c r="G86" i="5"/>
  <c r="G43" i="5"/>
  <c r="J864" i="18" l="1"/>
  <c r="J594" i="18"/>
  <c r="J1373" i="18"/>
  <c r="K603" i="18"/>
  <c r="J1660" i="18"/>
  <c r="J1256" i="18"/>
  <c r="J991" i="18"/>
  <c r="J730" i="18"/>
  <c r="J281" i="18"/>
  <c r="J1740" i="18"/>
  <c r="J1615" i="18"/>
  <c r="J1308" i="18"/>
  <c r="J1053" i="18"/>
  <c r="J820" i="18"/>
  <c r="J462" i="18"/>
  <c r="J68" i="18"/>
  <c r="J1518" i="18"/>
  <c r="J1006" i="18"/>
  <c r="J570" i="18"/>
  <c r="J96" i="18"/>
  <c r="J1689" i="18"/>
  <c r="J1490" i="18"/>
  <c r="J1331" i="18"/>
  <c r="J1137" i="18"/>
  <c r="J995" i="18"/>
  <c r="J838" i="18"/>
  <c r="J543" i="18"/>
  <c r="J385" i="18"/>
  <c r="J233" i="18"/>
  <c r="J35" i="18"/>
  <c r="J1562" i="18"/>
  <c r="J1300" i="18"/>
  <c r="J798" i="18"/>
  <c r="J397" i="18"/>
  <c r="J1818" i="18"/>
  <c r="J1489" i="18"/>
  <c r="J1288" i="18"/>
  <c r="J1043" i="18"/>
  <c r="J738" i="18"/>
  <c r="J563" i="18"/>
  <c r="J390" i="18"/>
  <c r="J65" i="18"/>
  <c r="J1533" i="18"/>
  <c r="J1261" i="18"/>
  <c r="J896" i="18"/>
  <c r="J493" i="18"/>
  <c r="J228" i="18"/>
  <c r="J1497" i="18"/>
  <c r="J1218" i="18"/>
  <c r="J975" i="18"/>
  <c r="J695" i="18"/>
  <c r="J400" i="18"/>
  <c r="J22" i="18"/>
  <c r="J1395" i="18"/>
  <c r="J1138" i="18"/>
  <c r="J902" i="18"/>
  <c r="J567" i="18"/>
  <c r="J157" i="18"/>
  <c r="J1646" i="18"/>
  <c r="J1116" i="18"/>
  <c r="J694" i="18"/>
  <c r="J268" i="18"/>
  <c r="J1742" i="18"/>
  <c r="J1528" i="18"/>
  <c r="J1384" i="18"/>
  <c r="J1205" i="18"/>
  <c r="J962" i="18"/>
  <c r="J1068" i="18"/>
  <c r="J1662" i="18"/>
  <c r="J603" i="18"/>
  <c r="K594" i="18"/>
  <c r="K1660" i="18"/>
  <c r="K1256" i="18"/>
  <c r="K991" i="18"/>
  <c r="K730" i="18"/>
  <c r="K281" i="18"/>
  <c r="K1740" i="18"/>
  <c r="K1615" i="18"/>
  <c r="K1308" i="18"/>
  <c r="K1053" i="18"/>
  <c r="K820" i="18"/>
  <c r="K462" i="18"/>
  <c r="K68" i="18"/>
  <c r="K1518" i="18"/>
  <c r="K1006" i="18"/>
  <c r="K570" i="18"/>
  <c r="K96" i="18"/>
  <c r="K1689" i="18"/>
  <c r="K1490" i="18"/>
  <c r="K1331" i="18"/>
  <c r="K1137" i="18"/>
  <c r="K995" i="18"/>
  <c r="K838" i="18"/>
  <c r="K543" i="18"/>
  <c r="K385" i="18"/>
  <c r="K233" i="18"/>
  <c r="K35" i="18"/>
  <c r="K1562" i="18"/>
  <c r="K1300" i="18"/>
  <c r="K798" i="18"/>
  <c r="K397" i="18"/>
  <c r="K1818" i="18"/>
  <c r="K1489" i="18"/>
  <c r="K1288" i="18"/>
  <c r="K1043" i="18"/>
  <c r="K738" i="18"/>
  <c r="K563" i="18"/>
  <c r="K390" i="18"/>
  <c r="K65" i="18"/>
  <c r="K1533" i="18"/>
  <c r="K1261" i="18"/>
  <c r="K896" i="18"/>
  <c r="K493" i="18"/>
  <c r="K228" i="18"/>
  <c r="K1497" i="18"/>
  <c r="K1218" i="18"/>
  <c r="K975" i="18"/>
  <c r="K695" i="18"/>
  <c r="K400" i="18"/>
  <c r="K22" i="18"/>
  <c r="K1395" i="18"/>
  <c r="K1138" i="18"/>
  <c r="K902" i="18"/>
  <c r="K567" i="18"/>
  <c r="K157" i="18"/>
  <c r="K1646" i="18"/>
  <c r="K1116" i="18"/>
  <c r="K694" i="18"/>
  <c r="K268" i="18"/>
  <c r="K1742" i="18"/>
  <c r="K1528" i="18"/>
  <c r="K1384" i="18"/>
  <c r="J576" i="18"/>
  <c r="J1573" i="18"/>
  <c r="K1373" i="18"/>
  <c r="J1799" i="18"/>
  <c r="J1428" i="18"/>
  <c r="J1140" i="18"/>
  <c r="J906" i="18"/>
  <c r="J506" i="18"/>
  <c r="J102" i="18"/>
  <c r="J1790" i="18"/>
  <c r="J1495" i="18"/>
  <c r="J1202" i="18"/>
  <c r="J954" i="18"/>
  <c r="J651" i="18"/>
  <c r="J232" i="18"/>
  <c r="J1738" i="18"/>
  <c r="J1210" i="18"/>
  <c r="J861" i="18"/>
  <c r="J337" i="18"/>
  <c r="J1807" i="18"/>
  <c r="J1563" i="18"/>
  <c r="J1423" i="18"/>
  <c r="J1270" i="18"/>
  <c r="J1080" i="18"/>
  <c r="J918" i="18"/>
  <c r="J656" i="18"/>
  <c r="J449" i="18"/>
  <c r="J315" i="18"/>
  <c r="J117" i="18"/>
  <c r="J1688" i="18"/>
  <c r="J1381" i="18"/>
  <c r="J1101" i="18"/>
  <c r="J574" i="18"/>
  <c r="J167" i="18"/>
  <c r="J1632" i="18"/>
  <c r="J1388" i="18"/>
  <c r="J1185" i="18"/>
  <c r="J871" i="18"/>
  <c r="J659" i="18"/>
  <c r="J482" i="18"/>
  <c r="J164" i="18"/>
  <c r="J1713" i="18"/>
  <c r="J1390" i="18"/>
  <c r="J1126" i="18"/>
  <c r="J670" i="18"/>
  <c r="J346" i="18"/>
  <c r="J1716" i="18"/>
  <c r="J1312" i="18"/>
  <c r="J1055" i="18"/>
  <c r="J831" i="18"/>
  <c r="J580" i="18"/>
  <c r="J183" i="18"/>
  <c r="J1680" i="18"/>
  <c r="J1253" i="18"/>
  <c r="J990" i="18"/>
  <c r="J708" i="18"/>
  <c r="J392" i="18"/>
  <c r="J1832" i="18"/>
  <c r="J1413" i="18"/>
  <c r="J927" i="18"/>
  <c r="J460" i="18"/>
  <c r="J1831" i="18"/>
  <c r="J1631" i="18"/>
  <c r="J1457" i="18"/>
  <c r="J1324" i="18"/>
  <c r="J1030" i="18"/>
  <c r="J887" i="18"/>
  <c r="J615" i="18"/>
  <c r="J416" i="18"/>
  <c r="J256" i="18"/>
  <c r="J67" i="18"/>
  <c r="J1626" i="18"/>
  <c r="J1248" i="18"/>
  <c r="J636" i="18"/>
  <c r="J223" i="18"/>
  <c r="J1681" i="18"/>
  <c r="J1443" i="18"/>
  <c r="J1254" i="18"/>
  <c r="J966" i="18"/>
  <c r="J713" i="18"/>
  <c r="J445" i="18"/>
  <c r="J257" i="18"/>
  <c r="J24" i="18"/>
  <c r="J1459" i="18"/>
  <c r="J1165" i="18"/>
  <c r="J758" i="18"/>
  <c r="K1428" i="18"/>
  <c r="K102" i="18"/>
  <c r="K954" i="18"/>
  <c r="K1210" i="18"/>
  <c r="K1563" i="18"/>
  <c r="K918" i="18"/>
  <c r="K117" i="18"/>
  <c r="K574" i="18"/>
  <c r="K1185" i="18"/>
  <c r="K164" i="18"/>
  <c r="K670" i="18"/>
  <c r="K1055" i="18"/>
  <c r="K1680" i="18"/>
  <c r="K392" i="18"/>
  <c r="K460" i="18"/>
  <c r="K1324" i="18"/>
  <c r="K887" i="18"/>
  <c r="J494" i="18"/>
  <c r="K341" i="18"/>
  <c r="K67" i="18"/>
  <c r="J1422" i="18"/>
  <c r="K1011" i="18"/>
  <c r="K223" i="18"/>
  <c r="J1539" i="18"/>
  <c r="K1351" i="18"/>
  <c r="K966" i="18"/>
  <c r="J605" i="18"/>
  <c r="K342" i="18"/>
  <c r="K24" i="18"/>
  <c r="J1316" i="18"/>
  <c r="K1073" i="18"/>
  <c r="K585" i="18"/>
  <c r="K274" i="18"/>
  <c r="K1798" i="18"/>
  <c r="K1107" i="18"/>
  <c r="K684" i="18"/>
  <c r="K151" i="18"/>
  <c r="K1706" i="18"/>
  <c r="K1488" i="18"/>
  <c r="K1264" i="18"/>
  <c r="K948" i="18"/>
  <c r="K760" i="18"/>
  <c r="K637" i="18"/>
  <c r="K414" i="18"/>
  <c r="K218" i="18"/>
  <c r="K1820" i="18"/>
  <c r="K1657" i="18"/>
  <c r="K1434" i="18"/>
  <c r="K1258" i="18"/>
  <c r="K1090" i="18"/>
  <c r="K946" i="18"/>
  <c r="K801" i="18"/>
  <c r="K612" i="18"/>
  <c r="K359" i="18"/>
  <c r="K145" i="18"/>
  <c r="K1833" i="18"/>
  <c r="K1612" i="18"/>
  <c r="K1484" i="18"/>
  <c r="K1284" i="18"/>
  <c r="K1065" i="18"/>
  <c r="K778" i="18"/>
  <c r="K536" i="18"/>
  <c r="K382" i="18"/>
  <c r="K215" i="18"/>
  <c r="K1776" i="18"/>
  <c r="K1619" i="18"/>
  <c r="K1517" i="18"/>
  <c r="K1362" i="18"/>
  <c r="K1196" i="18"/>
  <c r="K996" i="18"/>
  <c r="K783" i="18"/>
  <c r="K672" i="18"/>
  <c r="K490" i="18"/>
  <c r="K205" i="18"/>
  <c r="K1741" i="18"/>
  <c r="K1616" i="18"/>
  <c r="K1435" i="18"/>
  <c r="K1280" i="18"/>
  <c r="K1108" i="18"/>
  <c r="K970" i="18"/>
  <c r="K677" i="18"/>
  <c r="K480" i="18"/>
  <c r="K309" i="18"/>
  <c r="K76" i="18"/>
  <c r="J1492" i="18"/>
  <c r="K1140" i="18"/>
  <c r="K1790" i="18"/>
  <c r="K651" i="18"/>
  <c r="K861" i="18"/>
  <c r="K1423" i="18"/>
  <c r="K656" i="18"/>
  <c r="K1688" i="18"/>
  <c r="K167" i="18"/>
  <c r="K871" i="18"/>
  <c r="K1713" i="18"/>
  <c r="K346" i="18"/>
  <c r="K831" i="18"/>
  <c r="K1253" i="18"/>
  <c r="K1832" i="18"/>
  <c r="K1831" i="18"/>
  <c r="K1205" i="18"/>
  <c r="J735" i="18"/>
  <c r="K494" i="18"/>
  <c r="K256" i="18"/>
  <c r="J1729" i="18"/>
  <c r="K1422" i="18"/>
  <c r="K636" i="18"/>
  <c r="J107" i="18"/>
  <c r="K1539" i="18"/>
  <c r="K1254" i="18"/>
  <c r="J821" i="18"/>
  <c r="K605" i="18"/>
  <c r="K257" i="18"/>
  <c r="J1648" i="18"/>
  <c r="K1316" i="18"/>
  <c r="J770" i="18"/>
  <c r="J415" i="18"/>
  <c r="J152" i="18"/>
  <c r="J1471" i="18"/>
  <c r="J839" i="18"/>
  <c r="J509" i="18"/>
  <c r="J1813" i="18"/>
  <c r="J1634" i="18"/>
  <c r="J1359" i="18"/>
  <c r="J1100" i="18"/>
  <c r="J816" i="18"/>
  <c r="J688" i="18"/>
  <c r="J553" i="18"/>
  <c r="J285" i="18"/>
  <c r="J56" i="18"/>
  <c r="J1767" i="18"/>
  <c r="J1577" i="18"/>
  <c r="J1325" i="18"/>
  <c r="J1169" i="18"/>
  <c r="J1037" i="18"/>
  <c r="J899" i="18"/>
  <c r="J724" i="18"/>
  <c r="J425" i="18"/>
  <c r="J251" i="18"/>
  <c r="J44" i="18"/>
  <c r="J1735" i="18"/>
  <c r="J1569" i="18"/>
  <c r="J1365" i="18"/>
  <c r="J1159" i="18"/>
  <c r="J847" i="18"/>
  <c r="J653" i="18"/>
  <c r="J484" i="18"/>
  <c r="J304" i="18"/>
  <c r="J61" i="18"/>
  <c r="J1703" i="18"/>
  <c r="J1594" i="18"/>
  <c r="J1446" i="18"/>
  <c r="J1274" i="18"/>
  <c r="J1061" i="18"/>
  <c r="J879" i="18"/>
  <c r="J728" i="18"/>
  <c r="J532" i="18"/>
  <c r="J413" i="18"/>
  <c r="J10" i="18"/>
  <c r="J1708" i="18"/>
  <c r="J1547" i="18"/>
  <c r="J1377" i="18"/>
  <c r="J1213" i="18"/>
  <c r="J1039" i="18"/>
  <c r="J884" i="18"/>
  <c r="J565" i="18"/>
  <c r="J364" i="18"/>
  <c r="J240" i="18"/>
  <c r="J5" i="18"/>
  <c r="K576" i="18"/>
  <c r="K1799" i="18"/>
  <c r="K506" i="18"/>
  <c r="K1202" i="18"/>
  <c r="K1738" i="18"/>
  <c r="K1807" i="18"/>
  <c r="K1080" i="18"/>
  <c r="K315" i="18"/>
  <c r="K1101" i="18"/>
  <c r="K1388" i="18"/>
  <c r="K482" i="18"/>
  <c r="K1126" i="18"/>
  <c r="K1312" i="18"/>
  <c r="K183" i="18"/>
  <c r="K708" i="18"/>
  <c r="K927" i="18"/>
  <c r="K1457" i="18"/>
  <c r="K962" i="18"/>
  <c r="K615" i="18"/>
  <c r="J341" i="18"/>
  <c r="K184" i="18"/>
  <c r="K1626" i="18"/>
  <c r="J1011" i="18"/>
  <c r="K431" i="18"/>
  <c r="K1681" i="18"/>
  <c r="J1351" i="18"/>
  <c r="K1141" i="18"/>
  <c r="K713" i="18"/>
  <c r="J342" i="18"/>
  <c r="K132" i="18"/>
  <c r="K1459" i="18"/>
  <c r="J1073" i="18"/>
  <c r="J585" i="18"/>
  <c r="J274" i="18"/>
  <c r="J1798" i="18"/>
  <c r="J1107" i="18"/>
  <c r="J684" i="18"/>
  <c r="J151" i="18"/>
  <c r="J1706" i="18"/>
  <c r="J1488" i="18"/>
  <c r="J1264" i="18"/>
  <c r="J948" i="18"/>
  <c r="J760" i="18"/>
  <c r="J637" i="18"/>
  <c r="J414" i="18"/>
  <c r="J218" i="18"/>
  <c r="J1820" i="18"/>
  <c r="J1657" i="18"/>
  <c r="J1434" i="18"/>
  <c r="J1258" i="18"/>
  <c r="J1090" i="18"/>
  <c r="J946" i="18"/>
  <c r="J801" i="18"/>
  <c r="J612" i="18"/>
  <c r="J359" i="18"/>
  <c r="J145" i="18"/>
  <c r="J1833" i="18"/>
  <c r="J1612" i="18"/>
  <c r="J1484" i="18"/>
  <c r="J1284" i="18"/>
  <c r="J1065" i="18"/>
  <c r="J778" i="18"/>
  <c r="J536" i="18"/>
  <c r="J382" i="18"/>
  <c r="J215" i="18"/>
  <c r="J1776" i="18"/>
  <c r="J1619" i="18"/>
  <c r="J1517" i="18"/>
  <c r="J1362" i="18"/>
  <c r="J1196" i="18"/>
  <c r="J996" i="18"/>
  <c r="J783" i="18"/>
  <c r="J672" i="18"/>
  <c r="J490" i="18"/>
  <c r="J205" i="18"/>
  <c r="J1741" i="18"/>
  <c r="J1616" i="18"/>
  <c r="J1435" i="18"/>
  <c r="J1280" i="18"/>
  <c r="J1108" i="18"/>
  <c r="J970" i="18"/>
  <c r="J677" i="18"/>
  <c r="J480" i="18"/>
  <c r="J309" i="18"/>
  <c r="K906" i="18"/>
  <c r="K1270" i="18"/>
  <c r="K659" i="18"/>
  <c r="K990" i="18"/>
  <c r="K735" i="18"/>
  <c r="K1248" i="18"/>
  <c r="J1141" i="18"/>
  <c r="K1648" i="18"/>
  <c r="K152" i="18"/>
  <c r="K1813" i="18"/>
  <c r="K816" i="18"/>
  <c r="K56" i="18"/>
  <c r="K1169" i="18"/>
  <c r="K425" i="18"/>
  <c r="K1569" i="18"/>
  <c r="K653" i="18"/>
  <c r="K1703" i="18"/>
  <c r="K1061" i="18"/>
  <c r="K413" i="18"/>
  <c r="K1377" i="18"/>
  <c r="K565" i="18"/>
  <c r="K5" i="18"/>
  <c r="K1683" i="18"/>
  <c r="K1416" i="18"/>
  <c r="K1290" i="18"/>
  <c r="K1058" i="18"/>
  <c r="K875" i="18"/>
  <c r="K606" i="18"/>
  <c r="K456" i="18"/>
  <c r="K303" i="18"/>
  <c r="K176" i="18"/>
  <c r="K123" i="18"/>
  <c r="K1444" i="18"/>
  <c r="K776" i="18"/>
  <c r="K345" i="18"/>
  <c r="K1762" i="18"/>
  <c r="K1614" i="18"/>
  <c r="K1404" i="18"/>
  <c r="K1190" i="18"/>
  <c r="K924" i="18"/>
  <c r="K803" i="18"/>
  <c r="K578" i="18"/>
  <c r="K286" i="18"/>
  <c r="K14" i="18"/>
  <c r="K1370" i="18"/>
  <c r="K1125" i="18"/>
  <c r="K810" i="18"/>
  <c r="K534" i="18"/>
  <c r="K1782" i="18"/>
  <c r="K1337" i="18"/>
  <c r="K1127" i="18"/>
  <c r="K900" i="18"/>
  <c r="K550" i="18"/>
  <c r="K155" i="18"/>
  <c r="K1503" i="18"/>
  <c r="K993" i="18"/>
  <c r="K512" i="18"/>
  <c r="K168" i="18"/>
  <c r="K1725" i="18"/>
  <c r="K1508" i="18"/>
  <c r="K1414" i="18"/>
  <c r="K1330" i="18"/>
  <c r="K1241" i="18"/>
  <c r="K1078" i="18"/>
  <c r="K988" i="18"/>
  <c r="K907" i="18"/>
  <c r="K814" i="18"/>
  <c r="K648" i="18"/>
  <c r="K514" i="18"/>
  <c r="K441" i="18"/>
  <c r="K380" i="18"/>
  <c r="K284" i="18"/>
  <c r="K213" i="18"/>
  <c r="K92" i="18"/>
  <c r="K27" i="18"/>
  <c r="K1659" i="18"/>
  <c r="K1552" i="18"/>
  <c r="K1380" i="18"/>
  <c r="K1230" i="18"/>
  <c r="K987" i="18"/>
  <c r="K617" i="18"/>
  <c r="K428" i="18"/>
  <c r="K201" i="18"/>
  <c r="K104" i="18"/>
  <c r="K1645" i="18"/>
  <c r="K1535" i="18"/>
  <c r="K1418" i="18"/>
  <c r="K1495" i="18"/>
  <c r="K449" i="18"/>
  <c r="K1390" i="18"/>
  <c r="K1413" i="18"/>
  <c r="K416" i="18"/>
  <c r="J431" i="18"/>
  <c r="K821" i="18"/>
  <c r="K1165" i="18"/>
  <c r="K1471" i="18"/>
  <c r="K1634" i="18"/>
  <c r="K688" i="18"/>
  <c r="K1767" i="18"/>
  <c r="K1037" i="18"/>
  <c r="K251" i="18"/>
  <c r="K1365" i="18"/>
  <c r="K484" i="18"/>
  <c r="K1594" i="18"/>
  <c r="K879" i="18"/>
  <c r="K10" i="18"/>
  <c r="K1213" i="18"/>
  <c r="K364" i="18"/>
  <c r="J1768" i="18"/>
  <c r="J1605" i="18"/>
  <c r="J1311" i="18"/>
  <c r="J1199" i="18"/>
  <c r="J974" i="18"/>
  <c r="J797" i="18"/>
  <c r="J558" i="18"/>
  <c r="J362" i="18"/>
  <c r="J192" i="18"/>
  <c r="J147" i="18"/>
  <c r="J15" i="18"/>
  <c r="J1016" i="18"/>
  <c r="J545" i="18"/>
  <c r="J193" i="18"/>
  <c r="J1714" i="18"/>
  <c r="J1521" i="18"/>
  <c r="J1292" i="18"/>
  <c r="J1074" i="18"/>
  <c r="J826" i="18"/>
  <c r="J646" i="18"/>
  <c r="J363" i="18"/>
  <c r="J138" i="18"/>
  <c r="J1491" i="18"/>
  <c r="J1250" i="18"/>
  <c r="J1046" i="18"/>
  <c r="J667" i="18"/>
  <c r="J244" i="18"/>
  <c r="J1557" i="18"/>
  <c r="J1234" i="18"/>
  <c r="J989" i="18"/>
  <c r="J704" i="18"/>
  <c r="J381" i="18"/>
  <c r="J1802" i="18"/>
  <c r="J1206" i="18"/>
  <c r="J809" i="18"/>
  <c r="J403" i="18"/>
  <c r="J1828" i="18"/>
  <c r="J1561" i="18"/>
  <c r="J1450" i="18"/>
  <c r="J1378" i="18"/>
  <c r="J1317" i="18"/>
  <c r="J1173" i="18"/>
  <c r="J1024" i="18"/>
  <c r="J959" i="18"/>
  <c r="J882" i="18"/>
  <c r="J703" i="18"/>
  <c r="J611" i="18"/>
  <c r="J476" i="18"/>
  <c r="J411" i="18"/>
  <c r="J339" i="18"/>
  <c r="J255" i="18"/>
  <c r="J162" i="18"/>
  <c r="J63" i="18"/>
  <c r="J1720" i="18"/>
  <c r="J1625" i="18"/>
  <c r="J1420" i="18"/>
  <c r="J1299" i="18"/>
  <c r="J1096" i="18"/>
  <c r="J773" i="18"/>
  <c r="J523" i="18"/>
  <c r="J338" i="18"/>
  <c r="J166" i="18"/>
  <c r="J1778" i="18"/>
  <c r="J1629" i="18"/>
  <c r="J1482" i="18"/>
  <c r="K232" i="18"/>
  <c r="K1381" i="18"/>
  <c r="K1716" i="18"/>
  <c r="K1631" i="18"/>
  <c r="J184" i="18"/>
  <c r="K107" i="18"/>
  <c r="K445" i="18"/>
  <c r="K770" i="18"/>
  <c r="K839" i="18"/>
  <c r="K1359" i="18"/>
  <c r="K553" i="18"/>
  <c r="K1577" i="18"/>
  <c r="K899" i="18"/>
  <c r="K44" i="18"/>
  <c r="K1159" i="18"/>
  <c r="K304" i="18"/>
  <c r="K1446" i="18"/>
  <c r="K728" i="18"/>
  <c r="K1708" i="18"/>
  <c r="K1039" i="18"/>
  <c r="K240" i="18"/>
  <c r="K1768" i="18"/>
  <c r="K1605" i="18"/>
  <c r="K1311" i="18"/>
  <c r="K1199" i="18"/>
  <c r="K974" i="18"/>
  <c r="K797" i="18"/>
  <c r="K558" i="18"/>
  <c r="K362" i="18"/>
  <c r="K192" i="18"/>
  <c r="K147" i="18"/>
  <c r="K15" i="18"/>
  <c r="K1016" i="18"/>
  <c r="K545" i="18"/>
  <c r="K193" i="18"/>
  <c r="K1714" i="18"/>
  <c r="K1521" i="18"/>
  <c r="K1292" i="18"/>
  <c r="K1074" i="18"/>
  <c r="K826" i="18"/>
  <c r="K646" i="18"/>
  <c r="K363" i="18"/>
  <c r="K138" i="18"/>
  <c r="K1491" i="18"/>
  <c r="K1250" i="18"/>
  <c r="K1046" i="18"/>
  <c r="K667" i="18"/>
  <c r="K244" i="18"/>
  <c r="K1557" i="18"/>
  <c r="K1234" i="18"/>
  <c r="K989" i="18"/>
  <c r="K704" i="18"/>
  <c r="K381" i="18"/>
  <c r="K1802" i="18"/>
  <c r="K1206" i="18"/>
  <c r="K809" i="18"/>
  <c r="K403" i="18"/>
  <c r="K1828" i="18"/>
  <c r="K1561" i="18"/>
  <c r="K1450" i="18"/>
  <c r="K1378" i="18"/>
  <c r="K1317" i="18"/>
  <c r="K1173" i="18"/>
  <c r="K1024" i="18"/>
  <c r="K959" i="18"/>
  <c r="K882" i="18"/>
  <c r="K703" i="18"/>
  <c r="K611" i="18"/>
  <c r="K476" i="18"/>
  <c r="K411" i="18"/>
  <c r="K339" i="18"/>
  <c r="K255" i="18"/>
  <c r="K162" i="18"/>
  <c r="K63" i="18"/>
  <c r="K1720" i="18"/>
  <c r="K1625" i="18"/>
  <c r="K1420" i="18"/>
  <c r="K1299" i="18"/>
  <c r="K1096" i="18"/>
  <c r="K773" i="18"/>
  <c r="K523" i="18"/>
  <c r="K338" i="18"/>
  <c r="K166" i="18"/>
  <c r="K1778" i="18"/>
  <c r="K1629" i="18"/>
  <c r="K1482" i="18"/>
  <c r="K337" i="18"/>
  <c r="K1632" i="18"/>
  <c r="K580" i="18"/>
  <c r="K1030" i="18"/>
  <c r="K1729" i="18"/>
  <c r="K1443" i="18"/>
  <c r="J132" i="18"/>
  <c r="K415" i="18"/>
  <c r="K509" i="18"/>
  <c r="K1100" i="18"/>
  <c r="K285" i="18"/>
  <c r="K1325" i="18"/>
  <c r="K724" i="18"/>
  <c r="K1735" i="18"/>
  <c r="K847" i="18"/>
  <c r="K61" i="18"/>
  <c r="K1274" i="18"/>
  <c r="K532" i="18"/>
  <c r="K1547" i="18"/>
  <c r="K884" i="18"/>
  <c r="J76" i="18"/>
  <c r="J1683" i="18"/>
  <c r="J1416" i="18"/>
  <c r="J1290" i="18"/>
  <c r="J1058" i="18"/>
  <c r="J875" i="18"/>
  <c r="J606" i="18"/>
  <c r="J456" i="18"/>
  <c r="J303" i="18"/>
  <c r="J176" i="18"/>
  <c r="J123" i="18"/>
  <c r="J1444" i="18"/>
  <c r="J776" i="18"/>
  <c r="J345" i="18"/>
  <c r="J1762" i="18"/>
  <c r="J1614" i="18"/>
  <c r="J1404" i="18"/>
  <c r="J1190" i="18"/>
  <c r="J924" i="18"/>
  <c r="J803" i="18"/>
  <c r="J578" i="18"/>
  <c r="J286" i="18"/>
  <c r="J14" i="18"/>
  <c r="J1370" i="18"/>
  <c r="J1125" i="18"/>
  <c r="J810" i="18"/>
  <c r="J534" i="18"/>
  <c r="J1782" i="18"/>
  <c r="J1337" i="18"/>
  <c r="J1127" i="18"/>
  <c r="J900" i="18"/>
  <c r="J550" i="18"/>
  <c r="J155" i="18"/>
  <c r="J1503" i="18"/>
  <c r="J993" i="18"/>
  <c r="J512" i="18"/>
  <c r="J168" i="18"/>
  <c r="J1725" i="18"/>
  <c r="J1508" i="18"/>
  <c r="J1414" i="18"/>
  <c r="J1330" i="18"/>
  <c r="J1241" i="18"/>
  <c r="J1078" i="18"/>
  <c r="J988" i="18"/>
  <c r="J907" i="18"/>
  <c r="J814" i="18"/>
  <c r="J648" i="18"/>
  <c r="J514" i="18"/>
  <c r="J441" i="18"/>
  <c r="J380" i="18"/>
  <c r="J284" i="18"/>
  <c r="J213" i="18"/>
  <c r="J92" i="18"/>
  <c r="J27" i="18"/>
  <c r="J1659" i="18"/>
  <c r="J1552" i="18"/>
  <c r="J1380" i="18"/>
  <c r="J1230" i="18"/>
  <c r="J987" i="18"/>
  <c r="J617" i="18"/>
  <c r="J428" i="18"/>
  <c r="J201" i="18"/>
  <c r="J104" i="18"/>
  <c r="J1645" i="18"/>
  <c r="J1535" i="18"/>
  <c r="J1418" i="18"/>
  <c r="K1342" i="18"/>
  <c r="K1247" i="18"/>
  <c r="K1139" i="18"/>
  <c r="K965" i="18"/>
  <c r="K813" i="18"/>
  <c r="K697" i="18"/>
  <c r="K602" i="18"/>
  <c r="K481" i="18"/>
  <c r="K371" i="18"/>
  <c r="K250" i="18"/>
  <c r="K109" i="18"/>
  <c r="K1827" i="18"/>
  <c r="K1593" i="18"/>
  <c r="K1441" i="18"/>
  <c r="K1304" i="18"/>
  <c r="K1155" i="18"/>
  <c r="K1023" i="18"/>
  <c r="K767" i="18"/>
  <c r="K579" i="18"/>
  <c r="K369" i="18"/>
  <c r="K267" i="18"/>
  <c r="K113" i="18"/>
  <c r="K1791" i="18"/>
  <c r="K1448" i="18"/>
  <c r="K1099" i="18"/>
  <c r="K818" i="18"/>
  <c r="K668" i="18"/>
  <c r="K454" i="18"/>
  <c r="K144" i="18"/>
  <c r="K1797" i="18"/>
  <c r="K1696" i="18"/>
  <c r="K1587" i="18"/>
  <c r="K1480" i="18"/>
  <c r="K1344" i="18"/>
  <c r="K1255" i="18"/>
  <c r="K1098" i="18"/>
  <c r="K928" i="18"/>
  <c r="K854" i="18"/>
  <c r="K793" i="18"/>
  <c r="K701" i="18"/>
  <c r="K662" i="18"/>
  <c r="K559" i="18"/>
  <c r="K488" i="18"/>
  <c r="K319" i="18"/>
  <c r="K217" i="18"/>
  <c r="K90" i="18"/>
  <c r="K19" i="18"/>
  <c r="K1804" i="18"/>
  <c r="K1709" i="18"/>
  <c r="K1628" i="18"/>
  <c r="K1527" i="18"/>
  <c r="K1396" i="18"/>
  <c r="K1272" i="18"/>
  <c r="K1193" i="18"/>
  <c r="K1132" i="18"/>
  <c r="K1032" i="18"/>
  <c r="K944" i="18"/>
  <c r="K876" i="18"/>
  <c r="K787" i="18"/>
  <c r="K707" i="18"/>
  <c r="K564" i="18"/>
  <c r="K421" i="18"/>
  <c r="K334" i="18"/>
  <c r="K247" i="18"/>
  <c r="K136" i="18"/>
  <c r="K41" i="18"/>
  <c r="K1817" i="18"/>
  <c r="K1701" i="18"/>
  <c r="K1611" i="18"/>
  <c r="K1542" i="18"/>
  <c r="K1478" i="18"/>
  <c r="K1364" i="18"/>
  <c r="K1192" i="18"/>
  <c r="K1095" i="18"/>
  <c r="K1014" i="18"/>
  <c r="K790" i="18"/>
  <c r="K692" i="18"/>
  <c r="K630" i="18"/>
  <c r="K496" i="18"/>
  <c r="K426" i="18"/>
  <c r="K317" i="18"/>
  <c r="K254" i="18"/>
  <c r="K101" i="18"/>
  <c r="K1792" i="18"/>
  <c r="K1746" i="18"/>
  <c r="K1654" i="18"/>
  <c r="K1585" i="18"/>
  <c r="K1515" i="18"/>
  <c r="K1445" i="18"/>
  <c r="K1361" i="18"/>
  <c r="K1269" i="18"/>
  <c r="K1191" i="18"/>
  <c r="K1040" i="18"/>
  <c r="K961" i="18"/>
  <c r="K915" i="18"/>
  <c r="K812" i="18"/>
  <c r="K739" i="18"/>
  <c r="K690" i="18"/>
  <c r="K586" i="18"/>
  <c r="K505" i="18"/>
  <c r="K443" i="18"/>
  <c r="K258" i="18"/>
  <c r="K95" i="18"/>
  <c r="K1773" i="18"/>
  <c r="K1699" i="18"/>
  <c r="K1609" i="18"/>
  <c r="K1543" i="18"/>
  <c r="K1419" i="18"/>
  <c r="K1369" i="18"/>
  <c r="K1257" i="18"/>
  <c r="K1212" i="18"/>
  <c r="K1094" i="18"/>
  <c r="K1034" i="18"/>
  <c r="K963" i="18"/>
  <c r="K872" i="18"/>
  <c r="K737" i="18"/>
  <c r="K619" i="18"/>
  <c r="K518" i="18"/>
  <c r="K423" i="18"/>
  <c r="K327" i="18"/>
  <c r="K253" i="18"/>
  <c r="K110" i="18"/>
  <c r="K39" i="18"/>
  <c r="K1808" i="18"/>
  <c r="K1724" i="18"/>
  <c r="K1644" i="18"/>
  <c r="K1474" i="18"/>
  <c r="K1349" i="18"/>
  <c r="K1278" i="18"/>
  <c r="K1177" i="18"/>
  <c r="K1057" i="18"/>
  <c r="K997" i="18"/>
  <c r="K916" i="18"/>
  <c r="K1687" i="18"/>
  <c r="K1041" i="18"/>
  <c r="K592" i="18"/>
  <c r="K16" i="18"/>
  <c r="K1671" i="18"/>
  <c r="K1433" i="18"/>
  <c r="K1207" i="18"/>
  <c r="K891" i="18"/>
  <c r="K794" i="18"/>
  <c r="K663" i="18"/>
  <c r="K515" i="18"/>
  <c r="K150" i="18"/>
  <c r="K20" i="18"/>
  <c r="K1747" i="18"/>
  <c r="K1534" i="18"/>
  <c r="K1279" i="18"/>
  <c r="K1133" i="18"/>
  <c r="K921" i="18"/>
  <c r="K764" i="18"/>
  <c r="K448" i="18"/>
  <c r="K283" i="18"/>
  <c r="K116" i="18"/>
  <c r="K1758" i="18"/>
  <c r="K1586" i="18"/>
  <c r="K1429" i="18"/>
  <c r="K1104" i="18"/>
  <c r="K832" i="18"/>
  <c r="K641" i="18"/>
  <c r="K438" i="18"/>
  <c r="K265" i="18"/>
  <c r="K1794" i="18"/>
  <c r="K1673" i="18"/>
  <c r="K1462" i="18"/>
  <c r="K1354" i="18"/>
  <c r="K1180" i="18"/>
  <c r="K934" i="18"/>
  <c r="J1376" i="18"/>
  <c r="J1281" i="18"/>
  <c r="J1163" i="18"/>
  <c r="J1004" i="18"/>
  <c r="J866" i="18"/>
  <c r="J725" i="18"/>
  <c r="J658" i="18"/>
  <c r="J539" i="18"/>
  <c r="J444" i="18"/>
  <c r="J321" i="18"/>
  <c r="J161" i="18"/>
  <c r="J48" i="18"/>
  <c r="J1679" i="18"/>
  <c r="J1522" i="18"/>
  <c r="J1389" i="18"/>
  <c r="J1243" i="18"/>
  <c r="J1120" i="18"/>
  <c r="J892" i="18"/>
  <c r="J650" i="18"/>
  <c r="J461" i="18"/>
  <c r="J340" i="18"/>
  <c r="J227" i="18"/>
  <c r="J43" i="18"/>
  <c r="J1617" i="18"/>
  <c r="J1170" i="18"/>
  <c r="J986" i="18"/>
  <c r="J755" i="18"/>
  <c r="J572" i="18"/>
  <c r="J296" i="18"/>
  <c r="J8" i="18"/>
  <c r="J1770" i="18"/>
  <c r="J1666" i="18"/>
  <c r="J1516" i="18"/>
  <c r="J1432" i="18"/>
  <c r="J1314" i="18"/>
  <c r="J1145" i="18"/>
  <c r="J994" i="18"/>
  <c r="J886" i="18"/>
  <c r="J800" i="18"/>
  <c r="J726" i="18"/>
  <c r="J687" i="18"/>
  <c r="J618" i="18"/>
  <c r="J538" i="18"/>
  <c r="J417" i="18"/>
  <c r="J278" i="18"/>
  <c r="J142" i="18"/>
  <c r="J52" i="18"/>
  <c r="J1812" i="18"/>
  <c r="J1766" i="18"/>
  <c r="J1655" i="18"/>
  <c r="J1564" i="18"/>
  <c r="J1431" i="18"/>
  <c r="J1323" i="18"/>
  <c r="J1252" i="18"/>
  <c r="J1156" i="18"/>
  <c r="J1086" i="18"/>
  <c r="J964" i="18"/>
  <c r="J920" i="18"/>
  <c r="J827" i="18"/>
  <c r="J763" i="18"/>
  <c r="J639" i="18"/>
  <c r="J434" i="18"/>
  <c r="J383" i="18"/>
  <c r="J282" i="18"/>
  <c r="J202" i="18"/>
  <c r="J86" i="18"/>
  <c r="J26" i="18"/>
  <c r="J1744" i="18"/>
  <c r="J1642" i="18"/>
  <c r="J1581" i="18"/>
  <c r="J1525" i="18"/>
  <c r="J1379" i="18"/>
  <c r="J1283" i="18"/>
  <c r="J1144" i="18"/>
  <c r="J1063" i="18"/>
  <c r="J845" i="18"/>
  <c r="J775" i="18"/>
  <c r="J649" i="18"/>
  <c r="J531" i="18"/>
  <c r="J469" i="18"/>
  <c r="J355" i="18"/>
  <c r="J293" i="18"/>
  <c r="J200" i="18"/>
  <c r="J18" i="18"/>
  <c r="J1759" i="18"/>
  <c r="J1700" i="18"/>
  <c r="J1607" i="18"/>
  <c r="J1546" i="18"/>
  <c r="J1460" i="18"/>
  <c r="J1394" i="18"/>
  <c r="J1326" i="18"/>
  <c r="J1222" i="18"/>
  <c r="J1151" i="18"/>
  <c r="J1002" i="18"/>
  <c r="J932" i="18"/>
  <c r="J865" i="18"/>
  <c r="J780" i="18"/>
  <c r="J716" i="18"/>
  <c r="J633" i="18"/>
  <c r="J526" i="18"/>
  <c r="J477" i="18"/>
  <c r="J412" i="18"/>
  <c r="J165" i="18"/>
  <c r="J1788" i="18"/>
  <c r="J1732" i="18"/>
  <c r="J1622" i="18"/>
  <c r="J1559" i="18"/>
  <c r="J1509" i="18"/>
  <c r="J1401" i="18"/>
  <c r="J1332" i="18"/>
  <c r="J1224" i="18"/>
  <c r="J1148" i="18"/>
  <c r="J1082" i="18"/>
  <c r="J1010" i="18"/>
  <c r="J913" i="18"/>
  <c r="J811" i="18"/>
  <c r="J676" i="18"/>
  <c r="J560" i="18"/>
  <c r="J479" i="18"/>
  <c r="J358" i="18"/>
  <c r="J302" i="18"/>
  <c r="J222" i="18"/>
  <c r="J62" i="18"/>
  <c r="J3" i="18"/>
  <c r="J1743" i="18"/>
  <c r="J1677" i="18"/>
  <c r="J1596" i="18"/>
  <c r="J1406" i="18"/>
  <c r="J1309" i="18"/>
  <c r="J1240" i="18"/>
  <c r="J1103" i="18"/>
  <c r="J1020" i="18"/>
  <c r="J953" i="18"/>
  <c r="J55" i="18"/>
  <c r="J1229" i="18"/>
  <c r="J757" i="18"/>
  <c r="J322" i="18"/>
  <c r="J1771" i="18"/>
  <c r="J1520" i="18"/>
  <c r="J1321" i="18"/>
  <c r="J1012" i="18"/>
  <c r="J856" i="18"/>
  <c r="J705" i="18"/>
  <c r="J568" i="18"/>
  <c r="J349" i="18"/>
  <c r="J94" i="18"/>
  <c r="J1805" i="18"/>
  <c r="J1630" i="18"/>
  <c r="J1398" i="18"/>
  <c r="J1197" i="18"/>
  <c r="J973" i="18"/>
  <c r="J852" i="18"/>
  <c r="J644" i="18"/>
  <c r="J394" i="18"/>
  <c r="J208" i="18"/>
  <c r="J29" i="18"/>
  <c r="J1643" i="18"/>
  <c r="J1526" i="18"/>
  <c r="J1194" i="18"/>
  <c r="J1022" i="18"/>
  <c r="J699" i="18"/>
  <c r="J501" i="18"/>
  <c r="J324" i="18"/>
  <c r="J112" i="18"/>
  <c r="J1751" i="18"/>
  <c r="J1554" i="18"/>
  <c r="J1402" i="18"/>
  <c r="J1225" i="18"/>
  <c r="J1001" i="18"/>
  <c r="J922" i="18"/>
  <c r="K1376" i="18"/>
  <c r="K1281" i="18"/>
  <c r="K1163" i="18"/>
  <c r="K1004" i="18"/>
  <c r="K866" i="18"/>
  <c r="K725" i="18"/>
  <c r="K658" i="18"/>
  <c r="K539" i="18"/>
  <c r="K444" i="18"/>
  <c r="K321" i="18"/>
  <c r="K161" i="18"/>
  <c r="K48" i="18"/>
  <c r="K1679" i="18"/>
  <c r="K1522" i="18"/>
  <c r="K1389" i="18"/>
  <c r="K1243" i="18"/>
  <c r="K1120" i="18"/>
  <c r="K892" i="18"/>
  <c r="K650" i="18"/>
  <c r="K461" i="18"/>
  <c r="K340" i="18"/>
  <c r="K227" i="18"/>
  <c r="K43" i="18"/>
  <c r="K1617" i="18"/>
  <c r="K1170" i="18"/>
  <c r="K986" i="18"/>
  <c r="K755" i="18"/>
  <c r="K572" i="18"/>
  <c r="K296" i="18"/>
  <c r="K8" i="18"/>
  <c r="K1770" i="18"/>
  <c r="K1666" i="18"/>
  <c r="K1516" i="18"/>
  <c r="K1432" i="18"/>
  <c r="K1314" i="18"/>
  <c r="K1145" i="18"/>
  <c r="K994" i="18"/>
  <c r="K886" i="18"/>
  <c r="K800" i="18"/>
  <c r="K726" i="18"/>
  <c r="K687" i="18"/>
  <c r="K618" i="18"/>
  <c r="K538" i="18"/>
  <c r="K417" i="18"/>
  <c r="K278" i="18"/>
  <c r="K142" i="18"/>
  <c r="K52" i="18"/>
  <c r="K1812" i="18"/>
  <c r="K1766" i="18"/>
  <c r="K1655" i="18"/>
  <c r="K1564" i="18"/>
  <c r="K1431" i="18"/>
  <c r="K1323" i="18"/>
  <c r="K1252" i="18"/>
  <c r="K1156" i="18"/>
  <c r="K1086" i="18"/>
  <c r="K964" i="18"/>
  <c r="K920" i="18"/>
  <c r="K827" i="18"/>
  <c r="K763" i="18"/>
  <c r="K639" i="18"/>
  <c r="K434" i="18"/>
  <c r="K383" i="18"/>
  <c r="K282" i="18"/>
  <c r="K202" i="18"/>
  <c r="K86" i="18"/>
  <c r="K26" i="18"/>
  <c r="K1744" i="18"/>
  <c r="K1642" i="18"/>
  <c r="K1581" i="18"/>
  <c r="K1525" i="18"/>
  <c r="K1379" i="18"/>
  <c r="K1283" i="18"/>
  <c r="K1144" i="18"/>
  <c r="K1063" i="18"/>
  <c r="K845" i="18"/>
  <c r="K775" i="18"/>
  <c r="K649" i="18"/>
  <c r="K531" i="18"/>
  <c r="K469" i="18"/>
  <c r="K355" i="18"/>
  <c r="K293" i="18"/>
  <c r="K200" i="18"/>
  <c r="K18" i="18"/>
  <c r="K1759" i="18"/>
  <c r="K1700" i="18"/>
  <c r="K1607" i="18"/>
  <c r="K1546" i="18"/>
  <c r="K1460" i="18"/>
  <c r="K1394" i="18"/>
  <c r="K1326" i="18"/>
  <c r="K1222" i="18"/>
  <c r="K1151" i="18"/>
  <c r="K1002" i="18"/>
  <c r="K932" i="18"/>
  <c r="K865" i="18"/>
  <c r="K780" i="18"/>
  <c r="K716" i="18"/>
  <c r="K633" i="18"/>
  <c r="K526" i="18"/>
  <c r="K477" i="18"/>
  <c r="K412" i="18"/>
  <c r="K165" i="18"/>
  <c r="K1788" i="18"/>
  <c r="K1732" i="18"/>
  <c r="K1622" i="18"/>
  <c r="K1559" i="18"/>
  <c r="K1509" i="18"/>
  <c r="K1401" i="18"/>
  <c r="K1332" i="18"/>
  <c r="K1224" i="18"/>
  <c r="K1148" i="18"/>
  <c r="K1082" i="18"/>
  <c r="K1010" i="18"/>
  <c r="K913" i="18"/>
  <c r="K811" i="18"/>
  <c r="K676" i="18"/>
  <c r="K560" i="18"/>
  <c r="K479" i="18"/>
  <c r="K358" i="18"/>
  <c r="K302" i="18"/>
  <c r="K222" i="18"/>
  <c r="K62" i="18"/>
  <c r="K3" i="18"/>
  <c r="K1743" i="18"/>
  <c r="K1677" i="18"/>
  <c r="K1596" i="18"/>
  <c r="K1406" i="18"/>
  <c r="K1309" i="18"/>
  <c r="K1240" i="18"/>
  <c r="K1103" i="18"/>
  <c r="K1020" i="18"/>
  <c r="K953" i="18"/>
  <c r="K55" i="18"/>
  <c r="K1229" i="18"/>
  <c r="K757" i="18"/>
  <c r="K322" i="18"/>
  <c r="K1771" i="18"/>
  <c r="K1520" i="18"/>
  <c r="K1321" i="18"/>
  <c r="K1012" i="18"/>
  <c r="K856" i="18"/>
  <c r="K705" i="18"/>
  <c r="K568" i="18"/>
  <c r="K349" i="18"/>
  <c r="K94" i="18"/>
  <c r="K1805" i="18"/>
  <c r="K1630" i="18"/>
  <c r="K1398" i="18"/>
  <c r="K1197" i="18"/>
  <c r="K973" i="18"/>
  <c r="K852" i="18"/>
  <c r="K644" i="18"/>
  <c r="K394" i="18"/>
  <c r="K208" i="18"/>
  <c r="K29" i="18"/>
  <c r="K1643" i="18"/>
  <c r="K1526" i="18"/>
  <c r="K1194" i="18"/>
  <c r="K1022" i="18"/>
  <c r="K699" i="18"/>
  <c r="K501" i="18"/>
  <c r="K324" i="18"/>
  <c r="K112" i="18"/>
  <c r="K1751" i="18"/>
  <c r="K1554" i="18"/>
  <c r="K1402" i="18"/>
  <c r="K1225" i="18"/>
  <c r="K1001" i="18"/>
  <c r="K922" i="18"/>
  <c r="J1342" i="18"/>
  <c r="J1247" i="18"/>
  <c r="J1139" i="18"/>
  <c r="J965" i="18"/>
  <c r="J813" i="18"/>
  <c r="J697" i="18"/>
  <c r="J602" i="18"/>
  <c r="J481" i="18"/>
  <c r="J371" i="18"/>
  <c r="J250" i="18"/>
  <c r="J109" i="18"/>
  <c r="J1827" i="18"/>
  <c r="J1593" i="18"/>
  <c r="J1441" i="18"/>
  <c r="J1304" i="18"/>
  <c r="J1155" i="18"/>
  <c r="J1023" i="18"/>
  <c r="J767" i="18"/>
  <c r="J579" i="18"/>
  <c r="J369" i="18"/>
  <c r="J267" i="18"/>
  <c r="J113" i="18"/>
  <c r="J1791" i="18"/>
  <c r="J1448" i="18"/>
  <c r="J1099" i="18"/>
  <c r="J818" i="18"/>
  <c r="J668" i="18"/>
  <c r="J454" i="18"/>
  <c r="J144" i="18"/>
  <c r="J1797" i="18"/>
  <c r="J1696" i="18"/>
  <c r="J1587" i="18"/>
  <c r="J1480" i="18"/>
  <c r="J1344" i="18"/>
  <c r="J1255" i="18"/>
  <c r="J1098" i="18"/>
  <c r="J928" i="18"/>
  <c r="J854" i="18"/>
  <c r="J793" i="18"/>
  <c r="J701" i="18"/>
  <c r="J662" i="18"/>
  <c r="J559" i="18"/>
  <c r="J488" i="18"/>
  <c r="J319" i="18"/>
  <c r="J217" i="18"/>
  <c r="J90" i="18"/>
  <c r="J19" i="18"/>
  <c r="J1804" i="18"/>
  <c r="J1709" i="18"/>
  <c r="J1628" i="18"/>
  <c r="J1527" i="18"/>
  <c r="J1396" i="18"/>
  <c r="J1272" i="18"/>
  <c r="J1193" i="18"/>
  <c r="J1132" i="18"/>
  <c r="J1032" i="18"/>
  <c r="J944" i="18"/>
  <c r="J876" i="18"/>
  <c r="J787" i="18"/>
  <c r="J707" i="18"/>
  <c r="J564" i="18"/>
  <c r="J421" i="18"/>
  <c r="J334" i="18"/>
  <c r="J247" i="18"/>
  <c r="J136" i="18"/>
  <c r="J41" i="18"/>
  <c r="J1817" i="18"/>
  <c r="J1701" i="18"/>
  <c r="J1611" i="18"/>
  <c r="J1542" i="18"/>
  <c r="J1478" i="18"/>
  <c r="J1364" i="18"/>
  <c r="J1192" i="18"/>
  <c r="J1095" i="18"/>
  <c r="J1014" i="18"/>
  <c r="J790" i="18"/>
  <c r="J692" i="18"/>
  <c r="J630" i="18"/>
  <c r="J496" i="18"/>
  <c r="J426" i="18"/>
  <c r="J317" i="18"/>
  <c r="J254" i="18"/>
  <c r="J101" i="18"/>
  <c r="J1792" i="18"/>
  <c r="J1746" i="18"/>
  <c r="J1654" i="18"/>
  <c r="J1585" i="18"/>
  <c r="J1515" i="18"/>
  <c r="J1445" i="18"/>
  <c r="J1361" i="18"/>
  <c r="J1269" i="18"/>
  <c r="J1191" i="18"/>
  <c r="J1040" i="18"/>
  <c r="J961" i="18"/>
  <c r="J915" i="18"/>
  <c r="J812" i="18"/>
  <c r="J739" i="18"/>
  <c r="J690" i="18"/>
  <c r="J586" i="18"/>
  <c r="J505" i="18"/>
  <c r="J443" i="18"/>
  <c r="J258" i="18"/>
  <c r="J95" i="18"/>
  <c r="J1773" i="18"/>
  <c r="J1699" i="18"/>
  <c r="J1609" i="18"/>
  <c r="J1543" i="18"/>
  <c r="J1419" i="18"/>
  <c r="J1369" i="18"/>
  <c r="J1257" i="18"/>
  <c r="J1212" i="18"/>
  <c r="J1094" i="18"/>
  <c r="J1034" i="18"/>
  <c r="J963" i="18"/>
  <c r="J872" i="18"/>
  <c r="J737" i="18"/>
  <c r="J619" i="18"/>
  <c r="J518" i="18"/>
  <c r="J423" i="18"/>
  <c r="J327" i="18"/>
  <c r="J253" i="18"/>
  <c r="J110" i="18"/>
  <c r="J39" i="18"/>
  <c r="J1808" i="18"/>
  <c r="J1724" i="18"/>
  <c r="J1644" i="18"/>
  <c r="J1474" i="18"/>
  <c r="J1349" i="18"/>
  <c r="J1278" i="18"/>
  <c r="J1177" i="18"/>
  <c r="J1057" i="18"/>
  <c r="J997" i="18"/>
  <c r="J916" i="18"/>
  <c r="J1687" i="18"/>
  <c r="J1041" i="18"/>
  <c r="J592" i="18"/>
  <c r="J16" i="18"/>
  <c r="J1671" i="18"/>
  <c r="J1433" i="18"/>
  <c r="J1207" i="18"/>
  <c r="J891" i="18"/>
  <c r="J794" i="18"/>
  <c r="J663" i="18"/>
  <c r="J515" i="18"/>
  <c r="J150" i="18"/>
  <c r="J20" i="18"/>
  <c r="J1747" i="18"/>
  <c r="J1534" i="18"/>
  <c r="J1279" i="18"/>
  <c r="J1133" i="18"/>
  <c r="J921" i="18"/>
  <c r="J764" i="18"/>
  <c r="J448" i="18"/>
  <c r="J283" i="18"/>
  <c r="J116" i="18"/>
  <c r="J1758" i="18"/>
  <c r="J1586" i="18"/>
  <c r="J1429" i="18"/>
  <c r="J1104" i="18"/>
  <c r="J832" i="18"/>
  <c r="J641" i="18"/>
  <c r="J438" i="18"/>
  <c r="J265" i="18"/>
  <c r="J1794" i="18"/>
  <c r="J1673" i="18"/>
  <c r="J1462" i="18"/>
  <c r="J1354" i="18"/>
  <c r="J1180" i="18"/>
  <c r="J934" i="18"/>
  <c r="J849" i="18"/>
  <c r="K849" i="18"/>
  <c r="K710" i="18"/>
  <c r="K507" i="18"/>
  <c r="K280" i="18"/>
  <c r="K1779" i="18"/>
  <c r="K1568" i="18"/>
  <c r="K1408" i="18"/>
  <c r="K1244" i="18"/>
  <c r="K1083" i="18"/>
  <c r="K937" i="18"/>
  <c r="K748" i="18"/>
  <c r="K529" i="18"/>
  <c r="K347" i="18"/>
  <c r="K119" i="18"/>
  <c r="K1809" i="18"/>
  <c r="K1664" i="18"/>
  <c r="K1372" i="18"/>
  <c r="K1142" i="18"/>
  <c r="K1003" i="18"/>
  <c r="K833" i="18"/>
  <c r="K591" i="18"/>
  <c r="K404" i="18"/>
  <c r="K263" i="18"/>
  <c r="K172" i="18"/>
  <c r="K93" i="18"/>
  <c r="K1153" i="18"/>
  <c r="K600" i="18"/>
  <c r="K298" i="18"/>
  <c r="K1745" i="18"/>
  <c r="K1570" i="18"/>
  <c r="K1338" i="18"/>
  <c r="K1157" i="18"/>
  <c r="K858" i="18"/>
  <c r="K621" i="18"/>
  <c r="K331" i="18"/>
  <c r="K83" i="18"/>
  <c r="K1550" i="18"/>
  <c r="K1187" i="18"/>
  <c r="K940" i="18"/>
  <c r="K721" i="18"/>
  <c r="K483" i="18"/>
  <c r="K194" i="18"/>
  <c r="K91" i="18"/>
  <c r="K1487" i="18"/>
  <c r="K1184" i="18"/>
  <c r="K938" i="18"/>
  <c r="K638" i="18"/>
  <c r="K198" i="18"/>
  <c r="K1722" i="18"/>
  <c r="K1386" i="18"/>
  <c r="K895" i="18"/>
  <c r="K325" i="18"/>
  <c r="K1777" i="18"/>
  <c r="K1597" i="18"/>
  <c r="K1119" i="18"/>
  <c r="K1731" i="18"/>
  <c r="K1519" i="18"/>
  <c r="K1319" i="18"/>
  <c r="K1219" i="18"/>
  <c r="K1064" i="18"/>
  <c r="K984" i="18"/>
  <c r="K883" i="18"/>
  <c r="K698" i="18"/>
  <c r="K542" i="18"/>
  <c r="K332" i="18"/>
  <c r="K141" i="18"/>
  <c r="K1796" i="18"/>
  <c r="K1574" i="18"/>
  <c r="K1296" i="18"/>
  <c r="K1047" i="18"/>
  <c r="K890" i="18"/>
  <c r="K660" i="18"/>
  <c r="K399" i="18"/>
  <c r="K148" i="18"/>
  <c r="K1826" i="18"/>
  <c r="K1712" i="18"/>
  <c r="K1590" i="18"/>
  <c r="K1505" i="18"/>
  <c r="K1440" i="18"/>
  <c r="K1345" i="18"/>
  <c r="K1287" i="18"/>
  <c r="K1166" i="18"/>
  <c r="K1071" i="18"/>
  <c r="K978" i="18"/>
  <c r="K901" i="18"/>
  <c r="K761" i="18"/>
  <c r="K640" i="18"/>
  <c r="K504" i="18"/>
  <c r="K435" i="18"/>
  <c r="K368" i="18"/>
  <c r="K275" i="18"/>
  <c r="K210" i="18"/>
  <c r="K88" i="18"/>
  <c r="K1825" i="18"/>
  <c r="K1652" i="18"/>
  <c r="K1473" i="18"/>
  <c r="K1360" i="18"/>
  <c r="K1134" i="18"/>
  <c r="K971" i="18"/>
  <c r="K596" i="18"/>
  <c r="K427" i="18"/>
  <c r="K197" i="18"/>
  <c r="K34" i="18"/>
  <c r="K1640" i="18"/>
  <c r="K1501" i="18"/>
  <c r="K1415" i="18"/>
  <c r="K1339" i="18"/>
  <c r="K1227" i="18"/>
  <c r="K1128" i="18"/>
  <c r="K905" i="18"/>
  <c r="K754" i="18"/>
  <c r="K693" i="18"/>
  <c r="K583" i="18"/>
  <c r="K471" i="18"/>
  <c r="K370" i="18"/>
  <c r="K241" i="18"/>
  <c r="K79" i="18"/>
  <c r="K1801" i="18"/>
  <c r="K1565" i="18"/>
  <c r="K1425" i="18"/>
  <c r="K1298" i="18"/>
  <c r="K1135" i="18"/>
  <c r="K945" i="18"/>
  <c r="K727" i="18"/>
  <c r="K552" i="18"/>
  <c r="K374" i="18"/>
  <c r="K249" i="18"/>
  <c r="K85" i="18"/>
  <c r="K1755" i="18"/>
  <c r="K1350" i="18"/>
  <c r="K1079" i="18"/>
  <c r="K782" i="18"/>
  <c r="K635" i="18"/>
  <c r="K452" i="18"/>
  <c r="K71" i="18"/>
  <c r="K1793" i="18"/>
  <c r="K1695" i="18"/>
  <c r="K1575" i="18"/>
  <c r="K1470" i="18"/>
  <c r="K1336" i="18"/>
  <c r="K1221" i="18"/>
  <c r="K1035" i="18"/>
  <c r="K912" i="18"/>
  <c r="K819" i="18"/>
  <c r="K792" i="18"/>
  <c r="K702" i="18"/>
  <c r="K655" i="18"/>
  <c r="K556" i="18"/>
  <c r="K473" i="18"/>
  <c r="K294" i="18"/>
  <c r="K207" i="18"/>
  <c r="K80" i="18"/>
  <c r="K17" i="18"/>
  <c r="K1784" i="18"/>
  <c r="K1702" i="18"/>
  <c r="K1603" i="18"/>
  <c r="K1467" i="18"/>
  <c r="K1346" i="18"/>
  <c r="K1267" i="18"/>
  <c r="K1179" i="18"/>
  <c r="K1115" i="18"/>
  <c r="K1031" i="18"/>
  <c r="K942" i="18"/>
  <c r="K870" i="18"/>
  <c r="K779" i="18"/>
  <c r="K679" i="18"/>
  <c r="K491" i="18"/>
  <c r="K407" i="18"/>
  <c r="K299" i="18"/>
  <c r="K226" i="18"/>
  <c r="K131" i="18"/>
  <c r="K38" i="18"/>
  <c r="K1772" i="18"/>
  <c r="K1698" i="18"/>
  <c r="K1608" i="18"/>
  <c r="K1532" i="18"/>
  <c r="K1451" i="18"/>
  <c r="K1340" i="18"/>
  <c r="K1186" i="18"/>
  <c r="K1549" i="18"/>
  <c r="K1285" i="18"/>
  <c r="K1033" i="18"/>
  <c r="K881" i="18"/>
  <c r="K657" i="18"/>
  <c r="K367" i="18"/>
  <c r="K134" i="18"/>
  <c r="K1821" i="18"/>
  <c r="K1705" i="18"/>
  <c r="K1584" i="18"/>
  <c r="K1502" i="18"/>
  <c r="K1424" i="18"/>
  <c r="J742" i="18"/>
  <c r="J593" i="18"/>
  <c r="J453" i="18"/>
  <c r="J106" i="18"/>
  <c r="J1641" i="18"/>
  <c r="J1513" i="18"/>
  <c r="J1348" i="18"/>
  <c r="J1175" i="18"/>
  <c r="J1015" i="18"/>
  <c r="J835" i="18"/>
  <c r="J626" i="18"/>
  <c r="J429" i="18"/>
  <c r="J266" i="18"/>
  <c r="J50" i="18"/>
  <c r="J1728" i="18"/>
  <c r="J1479" i="18"/>
  <c r="J1249" i="18"/>
  <c r="J1026" i="18"/>
  <c r="J925" i="18"/>
  <c r="J715" i="18"/>
  <c r="J516" i="18"/>
  <c r="J329" i="18"/>
  <c r="J180" i="18"/>
  <c r="J127" i="18"/>
  <c r="J1613" i="18"/>
  <c r="J840" i="18"/>
  <c r="J470" i="18"/>
  <c r="J1815" i="18"/>
  <c r="J1669" i="18"/>
  <c r="J1499" i="18"/>
  <c r="J1235" i="18"/>
  <c r="J1008" i="18"/>
  <c r="J747" i="18"/>
  <c r="J472" i="18"/>
  <c r="J216" i="18"/>
  <c r="J1719" i="18"/>
  <c r="J1447" i="18"/>
  <c r="J1076" i="18"/>
  <c r="J869" i="18"/>
  <c r="J613" i="18"/>
  <c r="J396" i="18"/>
  <c r="J146" i="18"/>
  <c r="J1675" i="18"/>
  <c r="J1277" i="18"/>
  <c r="J1049" i="18"/>
  <c r="J756" i="18"/>
  <c r="J430" i="18"/>
  <c r="J45" i="18"/>
  <c r="J1604" i="18"/>
  <c r="J1105" i="18"/>
  <c r="J678" i="18"/>
  <c r="J82" i="18"/>
  <c r="J1682" i="18"/>
  <c r="J1475" i="18"/>
  <c r="J1823" i="18"/>
  <c r="J1670" i="18"/>
  <c r="J1483" i="18"/>
  <c r="J1271" i="18"/>
  <c r="J1178" i="18"/>
  <c r="J1048" i="18"/>
  <c r="J935" i="18"/>
  <c r="J746" i="18"/>
  <c r="J589" i="18"/>
  <c r="J409" i="18"/>
  <c r="J196" i="18"/>
  <c r="J37" i="18"/>
  <c r="J1691" i="18"/>
  <c r="J1486" i="18"/>
  <c r="J1136" i="18"/>
  <c r="J976" i="18"/>
  <c r="J752" i="18"/>
  <c r="J475" i="18"/>
  <c r="J301" i="18"/>
  <c r="J77" i="18"/>
  <c r="J1775" i="18"/>
  <c r="J1668" i="18"/>
  <c r="J1556" i="18"/>
  <c r="J1464" i="18"/>
  <c r="J1392" i="18"/>
  <c r="J1329" i="18"/>
  <c r="J1236" i="18"/>
  <c r="J1111" i="18"/>
  <c r="J1021" i="18"/>
  <c r="J957" i="18"/>
  <c r="J874" i="18"/>
  <c r="J691" i="18"/>
  <c r="J597" i="18"/>
  <c r="J474" i="18"/>
  <c r="J395" i="18"/>
  <c r="J330" i="18"/>
  <c r="J237" i="18"/>
  <c r="J158" i="18"/>
  <c r="J57" i="18"/>
  <c r="J1711" i="18"/>
  <c r="J1599" i="18"/>
  <c r="J1409" i="18"/>
  <c r="J1297" i="18"/>
  <c r="J1067" i="18"/>
  <c r="J696" i="18"/>
  <c r="J511" i="18"/>
  <c r="J262" i="18"/>
  <c r="J121" i="18"/>
  <c r="J1774" i="18"/>
  <c r="J1606" i="18"/>
  <c r="J1472" i="18"/>
  <c r="J1374" i="18"/>
  <c r="J1268" i="18"/>
  <c r="J1160" i="18"/>
  <c r="J985" i="18"/>
  <c r="J855" i="18"/>
  <c r="J723" i="18"/>
  <c r="J628" i="18"/>
  <c r="J530" i="18"/>
  <c r="J442" i="18"/>
  <c r="J314" i="18"/>
  <c r="J160" i="18"/>
  <c r="J46" i="18"/>
  <c r="J1676" i="18"/>
  <c r="J1493" i="18"/>
  <c r="J1363" i="18"/>
  <c r="J1220" i="18"/>
  <c r="J1085" i="18"/>
  <c r="J836" i="18"/>
  <c r="J642" i="18"/>
  <c r="J459" i="18"/>
  <c r="J336" i="18"/>
  <c r="J212" i="18"/>
  <c r="J12" i="18"/>
  <c r="J1566" i="18"/>
  <c r="J1161" i="18"/>
  <c r="J908" i="18"/>
  <c r="J749" i="18"/>
  <c r="J566" i="18"/>
  <c r="J191" i="18"/>
  <c r="J1822" i="18"/>
  <c r="J1749" i="18"/>
  <c r="J1651" i="18"/>
  <c r="J1511" i="18"/>
  <c r="J1426" i="18"/>
  <c r="J1313" i="18"/>
  <c r="J1130" i="18"/>
  <c r="J983" i="18"/>
  <c r="J880" i="18"/>
  <c r="J796" i="18"/>
  <c r="J722" i="18"/>
  <c r="J669" i="18"/>
  <c r="J590" i="18"/>
  <c r="J522" i="18"/>
  <c r="J402" i="18"/>
  <c r="J270" i="18"/>
  <c r="J115" i="18"/>
  <c r="J33" i="18"/>
  <c r="J1810" i="18"/>
  <c r="J1761" i="18"/>
  <c r="J1656" i="18"/>
  <c r="J1560" i="18"/>
  <c r="J1421" i="18"/>
  <c r="J1291" i="18"/>
  <c r="J1238" i="18"/>
  <c r="J1154" i="18"/>
  <c r="J1075" i="18"/>
  <c r="J956" i="18"/>
  <c r="J914" i="18"/>
  <c r="J822" i="18"/>
  <c r="J751" i="18"/>
  <c r="J622" i="18"/>
  <c r="J433" i="18"/>
  <c r="J375" i="18"/>
  <c r="J272" i="18"/>
  <c r="J199" i="18"/>
  <c r="J84" i="18"/>
  <c r="J23" i="18"/>
  <c r="J1737" i="18"/>
  <c r="J1623" i="18"/>
  <c r="J1580" i="18"/>
  <c r="J1500" i="18"/>
  <c r="J1375" i="18"/>
  <c r="J1233" i="18"/>
  <c r="J1124" i="18"/>
  <c r="J1481" i="18"/>
  <c r="J1121" i="18"/>
  <c r="J958" i="18"/>
  <c r="J717" i="18"/>
  <c r="J468" i="18"/>
  <c r="J295" i="18"/>
  <c r="J49" i="18"/>
  <c r="J1754" i="18"/>
  <c r="J1663" i="18"/>
  <c r="J1545" i="18"/>
  <c r="J1458" i="18"/>
  <c r="J1385" i="18"/>
  <c r="J1328" i="18"/>
  <c r="J1223" i="18"/>
  <c r="J1089" i="18"/>
  <c r="J1009" i="18"/>
  <c r="J936" i="18"/>
  <c r="J843" i="18"/>
  <c r="J680" i="18"/>
  <c r="J548" i="18"/>
  <c r="J464" i="18"/>
  <c r="J386" i="18"/>
  <c r="J328" i="18"/>
  <c r="J235" i="18"/>
  <c r="J153" i="18"/>
  <c r="J40" i="18"/>
  <c r="J1710" i="18"/>
  <c r="J1567" i="18"/>
  <c r="J1393" i="18"/>
  <c r="J1293" i="18"/>
  <c r="J1045" i="18"/>
  <c r="J682" i="18"/>
  <c r="J458" i="18"/>
  <c r="J259" i="18"/>
  <c r="J108" i="18"/>
  <c r="J1693" i="18"/>
  <c r="J1591" i="18"/>
  <c r="J1466" i="18"/>
  <c r="J1353" i="18"/>
  <c r="J1262" i="18"/>
  <c r="J1147" i="18"/>
  <c r="J972" i="18"/>
  <c r="J853" i="18"/>
  <c r="J718" i="18"/>
  <c r="J608" i="18"/>
  <c r="J486" i="18"/>
  <c r="J440" i="18"/>
  <c r="J277" i="18"/>
  <c r="J135" i="18"/>
  <c r="J25" i="18"/>
  <c r="J1658" i="18"/>
  <c r="J1468" i="18"/>
  <c r="J1347" i="18"/>
  <c r="J1172" i="18"/>
  <c r="J1081" i="18"/>
  <c r="J791" i="18"/>
  <c r="J607" i="18"/>
  <c r="J422" i="18"/>
  <c r="J316" i="18"/>
  <c r="J206" i="18"/>
  <c r="J9" i="18"/>
  <c r="J1485" i="18"/>
  <c r="J1114" i="18"/>
  <c r="J888" i="18"/>
  <c r="J734" i="18"/>
  <c r="J551" i="18"/>
  <c r="J186" i="18"/>
  <c r="J1814" i="18"/>
  <c r="J1730" i="18"/>
  <c r="J1637" i="18"/>
  <c r="J1504" i="18"/>
  <c r="J1391" i="18"/>
  <c r="J1301" i="18"/>
  <c r="J1110" i="18"/>
  <c r="J967" i="18"/>
  <c r="J867" i="18"/>
  <c r="J795" i="18"/>
  <c r="J720" i="18"/>
  <c r="J664" i="18"/>
  <c r="J569" i="18"/>
  <c r="J521" i="18"/>
  <c r="J356" i="18"/>
  <c r="J220" i="18"/>
  <c r="J100" i="18"/>
  <c r="J21" i="18"/>
  <c r="J1806" i="18"/>
  <c r="J1757" i="18"/>
  <c r="J1647" i="18"/>
  <c r="J1544" i="18"/>
  <c r="J1417" i="18"/>
  <c r="J1286" i="18"/>
  <c r="J1226" i="18"/>
  <c r="J1150" i="18"/>
  <c r="J1070" i="18"/>
  <c r="J949" i="18"/>
  <c r="J911" i="18"/>
  <c r="J815" i="18"/>
  <c r="J729" i="18"/>
  <c r="J610" i="18"/>
  <c r="J432" i="18"/>
  <c r="J373" i="18"/>
  <c r="J261" i="18"/>
  <c r="J195" i="18"/>
  <c r="J53" i="18"/>
  <c r="J7" i="18"/>
  <c r="J1734" i="18"/>
  <c r="J1618" i="18"/>
  <c r="K1662" i="18"/>
  <c r="K785" i="18"/>
  <c r="J1050" i="18"/>
  <c r="J842" i="18"/>
  <c r="J766" i="18"/>
  <c r="J647" i="18"/>
  <c r="J489" i="18"/>
  <c r="J389" i="18"/>
  <c r="J313" i="18"/>
  <c r="J248" i="18"/>
  <c r="J99" i="18"/>
  <c r="J1787" i="18"/>
  <c r="J1733" i="18"/>
  <c r="J1653" i="18"/>
  <c r="J1579" i="18"/>
  <c r="J1506" i="18"/>
  <c r="J1430" i="18"/>
  <c r="J1357" i="18"/>
  <c r="J1260" i="18"/>
  <c r="J1183" i="18"/>
  <c r="J1013" i="18"/>
  <c r="J952" i="18"/>
  <c r="J910" i="18"/>
  <c r="J799" i="18"/>
  <c r="J736" i="18"/>
  <c r="J686" i="18"/>
  <c r="J577" i="18"/>
  <c r="J497" i="18"/>
  <c r="J437" i="18"/>
  <c r="J238" i="18"/>
  <c r="J75" i="18"/>
  <c r="J1765" i="18"/>
  <c r="J1684" i="18"/>
  <c r="J1602" i="18"/>
  <c r="J1541" i="18"/>
  <c r="J1412" i="18"/>
  <c r="J1367" i="18"/>
  <c r="J1246" i="18"/>
  <c r="J1201" i="18"/>
  <c r="J1092" i="18"/>
  <c r="J1028" i="18"/>
  <c r="J950" i="18"/>
  <c r="J863" i="18"/>
  <c r="J731" i="18"/>
  <c r="J598" i="18"/>
  <c r="J500" i="18"/>
  <c r="J384" i="18"/>
  <c r="J320" i="18"/>
  <c r="J246" i="18"/>
  <c r="J105" i="18"/>
  <c r="J31" i="18"/>
  <c r="J1795" i="18"/>
  <c r="J1704" i="18"/>
  <c r="J1638" i="18"/>
  <c r="J1454" i="18"/>
  <c r="K742" i="18"/>
  <c r="K593" i="18"/>
  <c r="K453" i="18"/>
  <c r="K106" i="18"/>
  <c r="K1641" i="18"/>
  <c r="K1513" i="18"/>
  <c r="K1348" i="18"/>
  <c r="K1175" i="18"/>
  <c r="K1015" i="18"/>
  <c r="K835" i="18"/>
  <c r="K626" i="18"/>
  <c r="K429" i="18"/>
  <c r="K266" i="18"/>
  <c r="K50" i="18"/>
  <c r="K1728" i="18"/>
  <c r="K1479" i="18"/>
  <c r="K1249" i="18"/>
  <c r="K1026" i="18"/>
  <c r="K925" i="18"/>
  <c r="K715" i="18"/>
  <c r="K516" i="18"/>
  <c r="K329" i="18"/>
  <c r="K180" i="18"/>
  <c r="K127" i="18"/>
  <c r="K1613" i="18"/>
  <c r="K840" i="18"/>
  <c r="K470" i="18"/>
  <c r="K1815" i="18"/>
  <c r="K1669" i="18"/>
  <c r="K1499" i="18"/>
  <c r="K1235" i="18"/>
  <c r="K1008" i="18"/>
  <c r="K747" i="18"/>
  <c r="K472" i="18"/>
  <c r="K216" i="18"/>
  <c r="K1719" i="18"/>
  <c r="K1447" i="18"/>
  <c r="K1076" i="18"/>
  <c r="K869" i="18"/>
  <c r="K613" i="18"/>
  <c r="K396" i="18"/>
  <c r="K146" i="18"/>
  <c r="K1675" i="18"/>
  <c r="K1277" i="18"/>
  <c r="K1049" i="18"/>
  <c r="K756" i="18"/>
  <c r="K430" i="18"/>
  <c r="K45" i="18"/>
  <c r="K1604" i="18"/>
  <c r="K1105" i="18"/>
  <c r="K678" i="18"/>
  <c r="K82" i="18"/>
  <c r="K1682" i="18"/>
  <c r="K1475" i="18"/>
  <c r="K1823" i="18"/>
  <c r="K1670" i="18"/>
  <c r="K1483" i="18"/>
  <c r="K1271" i="18"/>
  <c r="K1178" i="18"/>
  <c r="K1048" i="18"/>
  <c r="K935" i="18"/>
  <c r="K746" i="18"/>
  <c r="K589" i="18"/>
  <c r="K409" i="18"/>
  <c r="K196" i="18"/>
  <c r="K37" i="18"/>
  <c r="K1691" i="18"/>
  <c r="K1486" i="18"/>
  <c r="K1136" i="18"/>
  <c r="K976" i="18"/>
  <c r="K752" i="18"/>
  <c r="K475" i="18"/>
  <c r="K301" i="18"/>
  <c r="K77" i="18"/>
  <c r="K1775" i="18"/>
  <c r="K1668" i="18"/>
  <c r="K1556" i="18"/>
  <c r="K1464" i="18"/>
  <c r="K1392" i="18"/>
  <c r="K1329" i="18"/>
  <c r="K1236" i="18"/>
  <c r="K1111" i="18"/>
  <c r="K1021" i="18"/>
  <c r="K957" i="18"/>
  <c r="K874" i="18"/>
  <c r="K691" i="18"/>
  <c r="K597" i="18"/>
  <c r="K474" i="18"/>
  <c r="K395" i="18"/>
  <c r="K330" i="18"/>
  <c r="K237" i="18"/>
  <c r="K158" i="18"/>
  <c r="K57" i="18"/>
  <c r="K1711" i="18"/>
  <c r="K1599" i="18"/>
  <c r="K1409" i="18"/>
  <c r="K1297" i="18"/>
  <c r="K1067" i="18"/>
  <c r="K696" i="18"/>
  <c r="K511" i="18"/>
  <c r="K262" i="18"/>
  <c r="K121" i="18"/>
  <c r="K1774" i="18"/>
  <c r="K1606" i="18"/>
  <c r="K1472" i="18"/>
  <c r="K1374" i="18"/>
  <c r="K1268" i="18"/>
  <c r="K1160" i="18"/>
  <c r="K985" i="18"/>
  <c r="K855" i="18"/>
  <c r="K723" i="18"/>
  <c r="K628" i="18"/>
  <c r="K530" i="18"/>
  <c r="K442" i="18"/>
  <c r="K314" i="18"/>
  <c r="K160" i="18"/>
  <c r="K46" i="18"/>
  <c r="K1676" i="18"/>
  <c r="K1493" i="18"/>
  <c r="K1363" i="18"/>
  <c r="K1220" i="18"/>
  <c r="K1085" i="18"/>
  <c r="K836" i="18"/>
  <c r="K642" i="18"/>
  <c r="K459" i="18"/>
  <c r="K336" i="18"/>
  <c r="K212" i="18"/>
  <c r="K12" i="18"/>
  <c r="K1566" i="18"/>
  <c r="K1161" i="18"/>
  <c r="K908" i="18"/>
  <c r="K749" i="18"/>
  <c r="K566" i="18"/>
  <c r="K191" i="18"/>
  <c r="K1822" i="18"/>
  <c r="K1749" i="18"/>
  <c r="K1651" i="18"/>
  <c r="K1511" i="18"/>
  <c r="K1426" i="18"/>
  <c r="K1313" i="18"/>
  <c r="K1130" i="18"/>
  <c r="K983" i="18"/>
  <c r="K880" i="18"/>
  <c r="K796" i="18"/>
  <c r="K722" i="18"/>
  <c r="K669" i="18"/>
  <c r="K590" i="18"/>
  <c r="K522" i="18"/>
  <c r="K402" i="18"/>
  <c r="K270" i="18"/>
  <c r="K115" i="18"/>
  <c r="K33" i="18"/>
  <c r="K1810" i="18"/>
  <c r="K1761" i="18"/>
  <c r="K1656" i="18"/>
  <c r="K1560" i="18"/>
  <c r="K1421" i="18"/>
  <c r="K1291" i="18"/>
  <c r="K1238" i="18"/>
  <c r="K1154" i="18"/>
  <c r="K1075" i="18"/>
  <c r="K956" i="18"/>
  <c r="K914" i="18"/>
  <c r="K822" i="18"/>
  <c r="K751" i="18"/>
  <c r="K622" i="18"/>
  <c r="K433" i="18"/>
  <c r="K375" i="18"/>
  <c r="K272" i="18"/>
  <c r="K199" i="18"/>
  <c r="K84" i="18"/>
  <c r="K23" i="18"/>
  <c r="K1737" i="18"/>
  <c r="K1623" i="18"/>
  <c r="K1580" i="18"/>
  <c r="K1500" i="18"/>
  <c r="K1375" i="18"/>
  <c r="K1233" i="18"/>
  <c r="K1124" i="18"/>
  <c r="K1481" i="18"/>
  <c r="K1121" i="18"/>
  <c r="K958" i="18"/>
  <c r="K717" i="18"/>
  <c r="K468" i="18"/>
  <c r="K295" i="18"/>
  <c r="K49" i="18"/>
  <c r="K1754" i="18"/>
  <c r="K1663" i="18"/>
  <c r="K1545" i="18"/>
  <c r="K1458" i="18"/>
  <c r="K1385" i="18"/>
  <c r="K1328" i="18"/>
  <c r="K1223" i="18"/>
  <c r="K1089" i="18"/>
  <c r="K1009" i="18"/>
  <c r="K936" i="18"/>
  <c r="K843" i="18"/>
  <c r="K680" i="18"/>
  <c r="K548" i="18"/>
  <c r="K464" i="18"/>
  <c r="K386" i="18"/>
  <c r="K328" i="18"/>
  <c r="K235" i="18"/>
  <c r="K153" i="18"/>
  <c r="K40" i="18"/>
  <c r="K1710" i="18"/>
  <c r="K1567" i="18"/>
  <c r="K1393" i="18"/>
  <c r="K1293" i="18"/>
  <c r="K1045" i="18"/>
  <c r="K682" i="18"/>
  <c r="K458" i="18"/>
  <c r="K259" i="18"/>
  <c r="K108" i="18"/>
  <c r="K1693" i="18"/>
  <c r="K1591" i="18"/>
  <c r="K1466" i="18"/>
  <c r="K1353" i="18"/>
  <c r="K1262" i="18"/>
  <c r="K1147" i="18"/>
  <c r="K972" i="18"/>
  <c r="K853" i="18"/>
  <c r="K718" i="18"/>
  <c r="K608" i="18"/>
  <c r="K486" i="18"/>
  <c r="K440" i="18"/>
  <c r="K277" i="18"/>
  <c r="K135" i="18"/>
  <c r="K25" i="18"/>
  <c r="K1658" i="18"/>
  <c r="K1468" i="18"/>
  <c r="K1347" i="18"/>
  <c r="K1172" i="18"/>
  <c r="K1081" i="18"/>
  <c r="K791" i="18"/>
  <c r="K607" i="18"/>
  <c r="K422" i="18"/>
  <c r="K316" i="18"/>
  <c r="K206" i="18"/>
  <c r="K9" i="18"/>
  <c r="K1485" i="18"/>
  <c r="K1114" i="18"/>
  <c r="K888" i="18"/>
  <c r="K734" i="18"/>
  <c r="K551" i="18"/>
  <c r="K186" i="18"/>
  <c r="K1814" i="18"/>
  <c r="K1730" i="18"/>
  <c r="K1637" i="18"/>
  <c r="K1504" i="18"/>
  <c r="K1391" i="18"/>
  <c r="K1301" i="18"/>
  <c r="K1110" i="18"/>
  <c r="K967" i="18"/>
  <c r="K867" i="18"/>
  <c r="K795" i="18"/>
  <c r="K720" i="18"/>
  <c r="K664" i="18"/>
  <c r="K569" i="18"/>
  <c r="K521" i="18"/>
  <c r="K356" i="18"/>
  <c r="K220" i="18"/>
  <c r="K100" i="18"/>
  <c r="K21" i="18"/>
  <c r="K1806" i="18"/>
  <c r="K1757" i="18"/>
  <c r="K1647" i="18"/>
  <c r="K1544" i="18"/>
  <c r="K1417" i="18"/>
  <c r="K1286" i="18"/>
  <c r="K1226" i="18"/>
  <c r="K1150" i="18"/>
  <c r="K1070" i="18"/>
  <c r="K949" i="18"/>
  <c r="K911" i="18"/>
  <c r="K815" i="18"/>
  <c r="K729" i="18"/>
  <c r="K610" i="18"/>
  <c r="K432" i="18"/>
  <c r="K373" i="18"/>
  <c r="K261" i="18"/>
  <c r="K195" i="18"/>
  <c r="K53" i="18"/>
  <c r="K7" i="18"/>
  <c r="K1734" i="18"/>
  <c r="K1618" i="18"/>
  <c r="J825" i="18"/>
  <c r="J671" i="18"/>
  <c r="K1050" i="18"/>
  <c r="K842" i="18"/>
  <c r="K766" i="18"/>
  <c r="K647" i="18"/>
  <c r="K489" i="18"/>
  <c r="K389" i="18"/>
  <c r="K313" i="18"/>
  <c r="K248" i="18"/>
  <c r="K99" i="18"/>
  <c r="K1787" i="18"/>
  <c r="K1733" i="18"/>
  <c r="K1653" i="18"/>
  <c r="K1579" i="18"/>
  <c r="K1506" i="18"/>
  <c r="K1430" i="18"/>
  <c r="K1357" i="18"/>
  <c r="K1260" i="18"/>
  <c r="K1183" i="18"/>
  <c r="K1013" i="18"/>
  <c r="K952" i="18"/>
  <c r="K910" i="18"/>
  <c r="K799" i="18"/>
  <c r="K736" i="18"/>
  <c r="K686" i="18"/>
  <c r="K577" i="18"/>
  <c r="K497" i="18"/>
  <c r="K437" i="18"/>
  <c r="K238" i="18"/>
  <c r="K75" i="18"/>
  <c r="K1765" i="18"/>
  <c r="K1684" i="18"/>
  <c r="K1602" i="18"/>
  <c r="K1541" i="18"/>
  <c r="K1412" i="18"/>
  <c r="K1367" i="18"/>
  <c r="K1246" i="18"/>
  <c r="K1201" i="18"/>
  <c r="K1092" i="18"/>
  <c r="K1028" i="18"/>
  <c r="K950" i="18"/>
  <c r="K863" i="18"/>
  <c r="K731" i="18"/>
  <c r="K598" i="18"/>
  <c r="K500" i="18"/>
  <c r="K384" i="18"/>
  <c r="K320" i="18"/>
  <c r="K246" i="18"/>
  <c r="K105" i="18"/>
  <c r="K31" i="18"/>
  <c r="K1795" i="18"/>
  <c r="K1704" i="18"/>
  <c r="K1638" i="18"/>
  <c r="K1454" i="18"/>
  <c r="J710" i="18"/>
  <c r="J507" i="18"/>
  <c r="J280" i="18"/>
  <c r="J1779" i="18"/>
  <c r="J1568" i="18"/>
  <c r="J1408" i="18"/>
  <c r="J1244" i="18"/>
  <c r="J1083" i="18"/>
  <c r="J937" i="18"/>
  <c r="J748" i="18"/>
  <c r="J529" i="18"/>
  <c r="J347" i="18"/>
  <c r="J119" i="18"/>
  <c r="J1809" i="18"/>
  <c r="J1664" i="18"/>
  <c r="J1372" i="18"/>
  <c r="J1142" i="18"/>
  <c r="J1003" i="18"/>
  <c r="J833" i="18"/>
  <c r="J591" i="18"/>
  <c r="J404" i="18"/>
  <c r="J263" i="18"/>
  <c r="J172" i="18"/>
  <c r="J93" i="18"/>
  <c r="J1153" i="18"/>
  <c r="J600" i="18"/>
  <c r="J298" i="18"/>
  <c r="J1745" i="18"/>
  <c r="J1570" i="18"/>
  <c r="J1338" i="18"/>
  <c r="J1157" i="18"/>
  <c r="J858" i="18"/>
  <c r="J621" i="18"/>
  <c r="J331" i="18"/>
  <c r="J83" i="18"/>
  <c r="J1550" i="18"/>
  <c r="J1187" i="18"/>
  <c r="J940" i="18"/>
  <c r="J721" i="18"/>
  <c r="J483" i="18"/>
  <c r="J194" i="18"/>
  <c r="J91" i="18"/>
  <c r="J1487" i="18"/>
  <c r="J1184" i="18"/>
  <c r="J938" i="18"/>
  <c r="J638" i="18"/>
  <c r="J198" i="18"/>
  <c r="J1722" i="18"/>
  <c r="J1386" i="18"/>
  <c r="J895" i="18"/>
  <c r="J325" i="18"/>
  <c r="J1777" i="18"/>
  <c r="J1597" i="18"/>
  <c r="J1119" i="18"/>
  <c r="J1731" i="18"/>
  <c r="J1519" i="18"/>
  <c r="J1319" i="18"/>
  <c r="J1219" i="18"/>
  <c r="J1064" i="18"/>
  <c r="J984" i="18"/>
  <c r="J883" i="18"/>
  <c r="J698" i="18"/>
  <c r="J542" i="18"/>
  <c r="J332" i="18"/>
  <c r="J141" i="18"/>
  <c r="J1796" i="18"/>
  <c r="J1574" i="18"/>
  <c r="J1296" i="18"/>
  <c r="J1047" i="18"/>
  <c r="J890" i="18"/>
  <c r="J660" i="18"/>
  <c r="J399" i="18"/>
  <c r="J148" i="18"/>
  <c r="J1826" i="18"/>
  <c r="J1712" i="18"/>
  <c r="J1590" i="18"/>
  <c r="J1505" i="18"/>
  <c r="J1440" i="18"/>
  <c r="J1345" i="18"/>
  <c r="J1287" i="18"/>
  <c r="J1166" i="18"/>
  <c r="J1071" i="18"/>
  <c r="J978" i="18"/>
  <c r="J901" i="18"/>
  <c r="J761" i="18"/>
  <c r="J640" i="18"/>
  <c r="J504" i="18"/>
  <c r="J435" i="18"/>
  <c r="J368" i="18"/>
  <c r="J275" i="18"/>
  <c r="J210" i="18"/>
  <c r="J88" i="18"/>
  <c r="J1825" i="18"/>
  <c r="J1652" i="18"/>
  <c r="J1473" i="18"/>
  <c r="J1360" i="18"/>
  <c r="J1134" i="18"/>
  <c r="J971" i="18"/>
  <c r="J596" i="18"/>
  <c r="J427" i="18"/>
  <c r="J197" i="18"/>
  <c r="J34" i="18"/>
  <c r="J1640" i="18"/>
  <c r="J1501" i="18"/>
  <c r="J1415" i="18"/>
  <c r="J1339" i="18"/>
  <c r="J1227" i="18"/>
  <c r="J1128" i="18"/>
  <c r="J905" i="18"/>
  <c r="J754" i="18"/>
  <c r="J693" i="18"/>
  <c r="J583" i="18"/>
  <c r="J471" i="18"/>
  <c r="J370" i="18"/>
  <c r="J241" i="18"/>
  <c r="J79" i="18"/>
  <c r="J1801" i="18"/>
  <c r="J1565" i="18"/>
  <c r="J1425" i="18"/>
  <c r="J1298" i="18"/>
  <c r="J1135" i="18"/>
  <c r="J945" i="18"/>
  <c r="J727" i="18"/>
  <c r="J552" i="18"/>
  <c r="J374" i="18"/>
  <c r="J249" i="18"/>
  <c r="J85" i="18"/>
  <c r="J1755" i="18"/>
  <c r="J1350" i="18"/>
  <c r="J1079" i="18"/>
  <c r="J782" i="18"/>
  <c r="J635" i="18"/>
  <c r="J452" i="18"/>
  <c r="J71" i="18"/>
  <c r="J1793" i="18"/>
  <c r="J1695" i="18"/>
  <c r="J1575" i="18"/>
  <c r="J1470" i="18"/>
  <c r="J1336" i="18"/>
  <c r="J1221" i="18"/>
  <c r="J1035" i="18"/>
  <c r="J912" i="18"/>
  <c r="J819" i="18"/>
  <c r="J792" i="18"/>
  <c r="J702" i="18"/>
  <c r="J655" i="18"/>
  <c r="J556" i="18"/>
  <c r="J473" i="18"/>
  <c r="J294" i="18"/>
  <c r="J207" i="18"/>
  <c r="J80" i="18"/>
  <c r="J17" i="18"/>
  <c r="J1784" i="18"/>
  <c r="J1702" i="18"/>
  <c r="J1603" i="18"/>
  <c r="J1467" i="18"/>
  <c r="J1346" i="18"/>
  <c r="J1267" i="18"/>
  <c r="J1179" i="18"/>
  <c r="J1115" i="18"/>
  <c r="J1031" i="18"/>
  <c r="J942" i="18"/>
  <c r="J870" i="18"/>
  <c r="J779" i="18"/>
  <c r="J679" i="18"/>
  <c r="J491" i="18"/>
  <c r="J407" i="18"/>
  <c r="J299" i="18"/>
  <c r="J226" i="18"/>
  <c r="J131" i="18"/>
  <c r="J38" i="18"/>
  <c r="J1772" i="18"/>
  <c r="J1698" i="18"/>
  <c r="J1608" i="18"/>
  <c r="J1532" i="18"/>
  <c r="J1451" i="18"/>
  <c r="J1340" i="18"/>
  <c r="J1186" i="18"/>
  <c r="J1549" i="18"/>
  <c r="J1285" i="18"/>
  <c r="J1033" i="18"/>
  <c r="J881" i="18"/>
  <c r="J657" i="18"/>
  <c r="J367" i="18"/>
  <c r="J134" i="18"/>
  <c r="J1821" i="18"/>
  <c r="J1705" i="18"/>
  <c r="J1584" i="18"/>
  <c r="J1502" i="18"/>
  <c r="J1424" i="18"/>
  <c r="J1333" i="18"/>
  <c r="J1273" i="18"/>
  <c r="J1158" i="18"/>
  <c r="J1051" i="18"/>
  <c r="J977" i="18"/>
  <c r="J894" i="18"/>
  <c r="J759" i="18"/>
  <c r="J627" i="18"/>
  <c r="J498" i="18"/>
  <c r="J418" i="18"/>
  <c r="J365" i="18"/>
  <c r="J271" i="18"/>
  <c r="J203" i="18"/>
  <c r="J72" i="18"/>
  <c r="J1811" i="18"/>
  <c r="J1627" i="18"/>
  <c r="J1449" i="18"/>
  <c r="J1352" i="18"/>
  <c r="J1102" i="18"/>
  <c r="J889" i="18"/>
  <c r="J587" i="18"/>
  <c r="J398" i="18"/>
  <c r="J182" i="18"/>
  <c r="J1819" i="18"/>
  <c r="J1639" i="18"/>
  <c r="J1494" i="18"/>
  <c r="J1411" i="18"/>
  <c r="J1303" i="18"/>
  <c r="J1215" i="18"/>
  <c r="J1056" i="18"/>
  <c r="J873" i="18"/>
  <c r="J741" i="18"/>
  <c r="J673" i="18"/>
  <c r="J571" i="18"/>
  <c r="J446" i="18"/>
  <c r="J351" i="18"/>
  <c r="J231" i="18"/>
  <c r="J73" i="18"/>
  <c r="J1800" i="18"/>
  <c r="J1553" i="18"/>
  <c r="J1399" i="18"/>
  <c r="J1294" i="18"/>
  <c r="J1129" i="18"/>
  <c r="J933" i="18"/>
  <c r="J681" i="18"/>
  <c r="J502" i="18"/>
  <c r="J372" i="18"/>
  <c r="J234" i="18"/>
  <c r="J70" i="18"/>
  <c r="J1717" i="18"/>
  <c r="J1289" i="18"/>
  <c r="J1077" i="18"/>
  <c r="J765" i="18"/>
  <c r="J624" i="18"/>
  <c r="J410" i="18"/>
  <c r="J69" i="18"/>
  <c r="J1789" i="18"/>
  <c r="J1694" i="18"/>
  <c r="J1558" i="18"/>
  <c r="J1438" i="18"/>
  <c r="J1322" i="18"/>
  <c r="J1209" i="18"/>
  <c r="J1029" i="18"/>
  <c r="J897" i="18"/>
  <c r="J817" i="18"/>
  <c r="J762" i="18"/>
  <c r="J700" i="18"/>
  <c r="J654" i="18"/>
  <c r="J555" i="18"/>
  <c r="J419" i="18"/>
  <c r="J288" i="18"/>
  <c r="J185" i="18"/>
  <c r="J64" i="18"/>
  <c r="J1824" i="18"/>
  <c r="J1780" i="18"/>
  <c r="J1667" i="18"/>
  <c r="J1589" i="18"/>
  <c r="J1436" i="18"/>
  <c r="J1327" i="18"/>
  <c r="J1266" i="18"/>
  <c r="J1174" i="18"/>
  <c r="J1091" i="18"/>
  <c r="J992" i="18"/>
  <c r="J931" i="18"/>
  <c r="J859" i="18"/>
  <c r="J771" i="18"/>
  <c r="J665" i="18"/>
  <c r="J457" i="18"/>
  <c r="J401" i="18"/>
  <c r="J291" i="18"/>
  <c r="J219" i="18"/>
  <c r="J130" i="18"/>
  <c r="J32" i="18"/>
  <c r="J1763" i="18"/>
  <c r="J1686" i="18"/>
  <c r="J1600" i="18"/>
  <c r="K825" i="18"/>
  <c r="K671" i="18"/>
  <c r="J951" i="18"/>
  <c r="J789" i="18"/>
  <c r="J645" i="18"/>
  <c r="J528" i="18"/>
  <c r="J463" i="18"/>
  <c r="J348" i="18"/>
  <c r="J279" i="18"/>
  <c r="J189" i="18"/>
  <c r="J11" i="18"/>
  <c r="J1756" i="18"/>
  <c r="J1678" i="18"/>
  <c r="J1601" i="18"/>
  <c r="J1538" i="18"/>
  <c r="J1456" i="18"/>
  <c r="J1371" i="18"/>
  <c r="J1302" i="18"/>
  <c r="J1217" i="18"/>
  <c r="J1088" i="18"/>
  <c r="J1000" i="18"/>
  <c r="J930" i="18"/>
  <c r="J862" i="18"/>
  <c r="J774" i="18"/>
  <c r="J714" i="18"/>
  <c r="J620" i="18"/>
  <c r="J525" i="18"/>
  <c r="J478" i="18"/>
  <c r="J405" i="18"/>
  <c r="J137" i="18"/>
  <c r="J1785" i="18"/>
  <c r="J1723" i="18"/>
  <c r="J1621" i="18"/>
  <c r="J1551" i="18"/>
  <c r="J1463" i="18"/>
  <c r="J1400" i="18"/>
  <c r="J1305" i="18"/>
  <c r="J1216" i="18"/>
  <c r="J1122" i="18"/>
  <c r="J1062" i="18"/>
  <c r="J998" i="18"/>
  <c r="J909" i="18"/>
  <c r="J753" i="18"/>
  <c r="J675" i="18"/>
  <c r="J557" i="18"/>
  <c r="J455" i="18"/>
  <c r="J357" i="18"/>
  <c r="J297" i="18"/>
  <c r="J211" i="18"/>
  <c r="J54" i="18"/>
  <c r="J1834" i="18"/>
  <c r="J1739" i="18"/>
  <c r="J1672" i="18"/>
  <c r="J1582" i="18"/>
  <c r="J1403" i="18"/>
  <c r="K1333" i="18"/>
  <c r="K977" i="18"/>
  <c r="K498" i="18"/>
  <c r="K203" i="18"/>
  <c r="K1449" i="18"/>
  <c r="K587" i="18"/>
  <c r="K1639" i="18"/>
  <c r="K1215" i="18"/>
  <c r="K673" i="18"/>
  <c r="K231" i="18"/>
  <c r="K1399" i="18"/>
  <c r="K681" i="18"/>
  <c r="K70" i="18"/>
  <c r="K765" i="18"/>
  <c r="K1789" i="18"/>
  <c r="K1322" i="18"/>
  <c r="K817" i="18"/>
  <c r="K555" i="18"/>
  <c r="K64" i="18"/>
  <c r="K1589" i="18"/>
  <c r="K1174" i="18"/>
  <c r="K859" i="18"/>
  <c r="K401" i="18"/>
  <c r="K32" i="18"/>
  <c r="J785" i="18"/>
  <c r="K645" i="18"/>
  <c r="K279" i="18"/>
  <c r="K1678" i="18"/>
  <c r="K1371" i="18"/>
  <c r="K1000" i="18"/>
  <c r="K714" i="18"/>
  <c r="K405" i="18"/>
  <c r="K1621" i="18"/>
  <c r="K1305" i="18"/>
  <c r="K998" i="18"/>
  <c r="K557" i="18"/>
  <c r="K211" i="18"/>
  <c r="K1672" i="18"/>
  <c r="K1335" i="18"/>
  <c r="K1276" i="18"/>
  <c r="K1168" i="18"/>
  <c r="K1052" i="18"/>
  <c r="K980" i="18"/>
  <c r="K903" i="18"/>
  <c r="K804" i="18"/>
  <c r="K1529" i="18"/>
  <c r="K1320" i="18"/>
  <c r="K1164" i="18"/>
  <c r="K1066" i="18"/>
  <c r="K860" i="18"/>
  <c r="K784" i="18"/>
  <c r="K674" i="18"/>
  <c r="K562" i="18"/>
  <c r="K487" i="18"/>
  <c r="K387" i="18"/>
  <c r="K306" i="18"/>
  <c r="K229" i="18"/>
  <c r="K66" i="18"/>
  <c r="K1783" i="18"/>
  <c r="K1727" i="18"/>
  <c r="K1649" i="18"/>
  <c r="K1572" i="18"/>
  <c r="K1469" i="18"/>
  <c r="K1405" i="18"/>
  <c r="K1356" i="18"/>
  <c r="K1228" i="18"/>
  <c r="K1182" i="18"/>
  <c r="K1005" i="18"/>
  <c r="K943" i="18"/>
  <c r="K898" i="18"/>
  <c r="K788" i="18"/>
  <c r="K732" i="18"/>
  <c r="K685" i="18"/>
  <c r="K541" i="18"/>
  <c r="K495" i="18"/>
  <c r="K424" i="18"/>
  <c r="K214" i="18"/>
  <c r="K36" i="18"/>
  <c r="K1748" i="18"/>
  <c r="K1650" i="18"/>
  <c r="K1592" i="18"/>
  <c r="K1531" i="18"/>
  <c r="K1410" i="18"/>
  <c r="K1358" i="18"/>
  <c r="K1245" i="18"/>
  <c r="K1200" i="18"/>
  <c r="K1084" i="18"/>
  <c r="K1027" i="18"/>
  <c r="K947" i="18"/>
  <c r="K846" i="18"/>
  <c r="K709" i="18"/>
  <c r="K582" i="18"/>
  <c r="K492" i="18"/>
  <c r="K379" i="18"/>
  <c r="K318" i="18"/>
  <c r="K242" i="18"/>
  <c r="K78" i="18"/>
  <c r="K30" i="18"/>
  <c r="K1769" i="18"/>
  <c r="K1697" i="18"/>
  <c r="K1610" i="18"/>
  <c r="K1452" i="18"/>
  <c r="K1334" i="18"/>
  <c r="K1259" i="18"/>
  <c r="K1143" i="18"/>
  <c r="K1036" i="18"/>
  <c r="K979" i="18"/>
  <c r="K893" i="18"/>
  <c r="K808" i="18"/>
  <c r="K616" i="18"/>
  <c r="K573" i="18"/>
  <c r="K499" i="18"/>
  <c r="K377" i="18"/>
  <c r="K311" i="18"/>
  <c r="K225" i="18"/>
  <c r="K177" i="18"/>
  <c r="K159" i="18"/>
  <c r="K124" i="18"/>
  <c r="K42" i="18"/>
  <c r="K1496" i="18"/>
  <c r="K1123" i="18"/>
  <c r="K806" i="18"/>
  <c r="K561" i="18"/>
  <c r="K344" i="18"/>
  <c r="K239" i="18"/>
  <c r="K1764" i="18"/>
  <c r="K1718" i="18"/>
  <c r="K1624" i="18"/>
  <c r="K1530" i="18"/>
  <c r="K1439" i="18"/>
  <c r="K1307" i="18"/>
  <c r="K1198" i="18"/>
  <c r="K1097" i="18"/>
  <c r="K955" i="18"/>
  <c r="K828" i="18"/>
  <c r="K768" i="18"/>
  <c r="K625" i="18"/>
  <c r="K503" i="18"/>
  <c r="K343" i="18"/>
  <c r="K224" i="18"/>
  <c r="K87" i="18"/>
  <c r="K1830" i="18"/>
  <c r="K1498" i="18"/>
  <c r="K1382" i="18"/>
  <c r="K1188" i="18"/>
  <c r="K1106" i="18"/>
  <c r="K969" i="18"/>
  <c r="K834" i="18"/>
  <c r="K683" i="18"/>
  <c r="K537" i="18"/>
  <c r="K408" i="18"/>
  <c r="K204" i="18"/>
  <c r="K97" i="18"/>
  <c r="J554" i="18"/>
  <c r="J450" i="18"/>
  <c r="J361" i="18"/>
  <c r="J289" i="18"/>
  <c r="J190" i="18"/>
  <c r="J175" i="18"/>
  <c r="J143" i="18"/>
  <c r="J118" i="18"/>
  <c r="J4" i="18"/>
  <c r="J1387" i="18"/>
  <c r="J968" i="18"/>
  <c r="J745" i="18"/>
  <c r="J544" i="18"/>
  <c r="J326" i="18"/>
  <c r="J170" i="18"/>
  <c r="J1760" i="18"/>
  <c r="J1692" i="18"/>
  <c r="J1583" i="18"/>
  <c r="J1524" i="18"/>
  <c r="J1355" i="18"/>
  <c r="J1263" i="18"/>
  <c r="J1189" i="18"/>
  <c r="J1042" i="18"/>
  <c r="J917" i="18"/>
  <c r="J824" i="18"/>
  <c r="J733" i="18"/>
  <c r="J604" i="18"/>
  <c r="J466" i="18"/>
  <c r="J308" i="18"/>
  <c r="J209" i="18"/>
  <c r="J58" i="18"/>
  <c r="J1707" i="18"/>
  <c r="J1476" i="18"/>
  <c r="J1368" i="18"/>
  <c r="J1181" i="18"/>
  <c r="J1072" i="18"/>
  <c r="J939" i="18"/>
  <c r="J802" i="18"/>
  <c r="J652" i="18"/>
  <c r="J524" i="18"/>
  <c r="J352" i="18"/>
  <c r="J187" i="18"/>
  <c r="J89" i="18"/>
  <c r="J575" i="18"/>
  <c r="J508" i="18"/>
  <c r="J388" i="18"/>
  <c r="J312" i="18"/>
  <c r="J243" i="18"/>
  <c r="J178" i="18"/>
  <c r="J169" i="18"/>
  <c r="J125" i="18"/>
  <c r="J59" i="18"/>
  <c r="J1512" i="18"/>
  <c r="J1149" i="18"/>
  <c r="J807" i="18"/>
  <c r="J581" i="18"/>
  <c r="J393" i="18"/>
  <c r="J252" i="18"/>
  <c r="J1786" i="18"/>
  <c r="J1721" i="18"/>
  <c r="J1633" i="18"/>
  <c r="J1540" i="18"/>
  <c r="J1442" i="18"/>
  <c r="J1310" i="18"/>
  <c r="J1231" i="18"/>
  <c r="J1113" i="18"/>
  <c r="J960" i="18"/>
  <c r="J829" i="18"/>
  <c r="J777" i="18"/>
  <c r="J629" i="18"/>
  <c r="J535" i="18"/>
  <c r="J353" i="18"/>
  <c r="J236" i="18"/>
  <c r="J98" i="18"/>
  <c r="J6" i="18"/>
  <c r="J1510" i="18"/>
  <c r="J1407" i="18"/>
  <c r="J1208" i="18"/>
  <c r="J1109" i="18"/>
  <c r="J1019" i="18"/>
  <c r="J850" i="18"/>
  <c r="J706" i="18"/>
  <c r="J546" i="18"/>
  <c r="J420" i="18"/>
  <c r="J221" i="18"/>
  <c r="J103" i="18"/>
  <c r="K758" i="18"/>
  <c r="K627" i="18"/>
  <c r="K1303" i="18"/>
  <c r="K1553" i="18"/>
  <c r="K1077" i="18"/>
  <c r="K654" i="18"/>
  <c r="K931" i="18"/>
  <c r="K1600" i="18"/>
  <c r="K348" i="18"/>
  <c r="K774" i="18"/>
  <c r="K1400" i="18"/>
  <c r="K297" i="18"/>
  <c r="J1276" i="18"/>
  <c r="J980" i="18"/>
  <c r="J1529" i="18"/>
  <c r="J1066" i="18"/>
  <c r="J674" i="18"/>
  <c r="J387" i="18"/>
  <c r="J66" i="18"/>
  <c r="J1649" i="18"/>
  <c r="J1356" i="18"/>
  <c r="J1005" i="18"/>
  <c r="J788" i="18"/>
  <c r="J541" i="18"/>
  <c r="J214" i="18"/>
  <c r="J1650" i="18"/>
  <c r="J1531" i="18"/>
  <c r="J1245" i="18"/>
  <c r="J1027" i="18"/>
  <c r="J709" i="18"/>
  <c r="J379" i="18"/>
  <c r="J78" i="18"/>
  <c r="J1697" i="18"/>
  <c r="J1334" i="18"/>
  <c r="J1036" i="18"/>
  <c r="J808" i="18"/>
  <c r="J499" i="18"/>
  <c r="J225" i="18"/>
  <c r="J124" i="18"/>
  <c r="J1123" i="18"/>
  <c r="J344" i="18"/>
  <c r="J1718" i="18"/>
  <c r="J1439" i="18"/>
  <c r="J955" i="18"/>
  <c r="J625" i="18"/>
  <c r="J224" i="18"/>
  <c r="J1498" i="18"/>
  <c r="J1188" i="18"/>
  <c r="J834" i="18"/>
  <c r="J408" i="18"/>
  <c r="K588" i="18"/>
  <c r="K323" i="18"/>
  <c r="K171" i="18"/>
  <c r="K1523" i="18"/>
  <c r="K599" i="18"/>
  <c r="K1803" i="18"/>
  <c r="K1555" i="18"/>
  <c r="K1232" i="18"/>
  <c r="K851" i="18"/>
  <c r="K549" i="18"/>
  <c r="K133" i="18"/>
  <c r="K1427" i="18"/>
  <c r="K868" i="18"/>
  <c r="K451" i="18"/>
  <c r="K632" i="18"/>
  <c r="K360" i="18"/>
  <c r="K174" i="18"/>
  <c r="K1661" i="18"/>
  <c r="K744" i="18"/>
  <c r="K74" i="18"/>
  <c r="K1578" i="18"/>
  <c r="K1242" i="18"/>
  <c r="K904" i="18"/>
  <c r="K601" i="18"/>
  <c r="K140" i="18"/>
  <c r="K1265" i="18"/>
  <c r="K923" i="18"/>
  <c r="K520" i="18"/>
  <c r="K81" i="18"/>
  <c r="K1273" i="18"/>
  <c r="K894" i="18"/>
  <c r="K418" i="18"/>
  <c r="K72" i="18"/>
  <c r="K1352" i="18"/>
  <c r="K398" i="18"/>
  <c r="K1494" i="18"/>
  <c r="K1056" i="18"/>
  <c r="K571" i="18"/>
  <c r="K73" i="18"/>
  <c r="K1294" i="18"/>
  <c r="K502" i="18"/>
  <c r="K1717" i="18"/>
  <c r="K624" i="18"/>
  <c r="K1694" i="18"/>
  <c r="K1209" i="18"/>
  <c r="K762" i="18"/>
  <c r="K419" i="18"/>
  <c r="K1824" i="18"/>
  <c r="K1436" i="18"/>
  <c r="K1091" i="18"/>
  <c r="K771" i="18"/>
  <c r="K291" i="18"/>
  <c r="K1763" i="18"/>
  <c r="K864" i="18"/>
  <c r="K528" i="18"/>
  <c r="K189" i="18"/>
  <c r="K1601" i="18"/>
  <c r="K1302" i="18"/>
  <c r="K930" i="18"/>
  <c r="K620" i="18"/>
  <c r="K137" i="18"/>
  <c r="K1551" i="18"/>
  <c r="K1216" i="18"/>
  <c r="K909" i="18"/>
  <c r="K455" i="18"/>
  <c r="K54" i="18"/>
  <c r="K1582" i="18"/>
  <c r="J1306" i="18"/>
  <c r="J1239" i="18"/>
  <c r="J1093" i="18"/>
  <c r="J1018" i="18"/>
  <c r="J941" i="18"/>
  <c r="J848" i="18"/>
  <c r="K1573" i="18"/>
  <c r="J1437" i="18"/>
  <c r="J1195" i="18"/>
  <c r="J1112" i="18"/>
  <c r="J1044" i="18"/>
  <c r="J837" i="18"/>
  <c r="J740" i="18"/>
  <c r="J643" i="18"/>
  <c r="J517" i="18"/>
  <c r="J447" i="18"/>
  <c r="J333" i="18"/>
  <c r="J273" i="18"/>
  <c r="J149" i="18"/>
  <c r="J2" i="18"/>
  <c r="J1753" i="18"/>
  <c r="J1674" i="18"/>
  <c r="J1598" i="18"/>
  <c r="J1536" i="18"/>
  <c r="J1455" i="18"/>
  <c r="J1366" i="18"/>
  <c r="J1275" i="18"/>
  <c r="J1204" i="18"/>
  <c r="J1087" i="18"/>
  <c r="J999" i="18"/>
  <c r="J926" i="18"/>
  <c r="J857" i="18"/>
  <c r="J772" i="18"/>
  <c r="J711" i="18"/>
  <c r="J614" i="18"/>
  <c r="J513" i="18"/>
  <c r="J467" i="18"/>
  <c r="J376" i="18"/>
  <c r="J120" i="18"/>
  <c r="J1781" i="18"/>
  <c r="J1715" i="18"/>
  <c r="J1620" i="18"/>
  <c r="J1548" i="18"/>
  <c r="J1453" i="18"/>
  <c r="J1383" i="18"/>
  <c r="J1282" i="18"/>
  <c r="J1214" i="18"/>
  <c r="J1118" i="18"/>
  <c r="J1054" i="18"/>
  <c r="J982" i="18"/>
  <c r="J885" i="18"/>
  <c r="J750" i="18"/>
  <c r="J661" i="18"/>
  <c r="J540" i="18"/>
  <c r="J436" i="18"/>
  <c r="J350" i="18"/>
  <c r="J290" i="18"/>
  <c r="J154" i="18"/>
  <c r="J51" i="18"/>
  <c r="J1816" i="18"/>
  <c r="J1736" i="18"/>
  <c r="J1665" i="18"/>
  <c r="J1571" i="18"/>
  <c r="J1397" i="18"/>
  <c r="J1295" i="18"/>
  <c r="J1203" i="18"/>
  <c r="J1059" i="18"/>
  <c r="J1007" i="18"/>
  <c r="J929" i="18"/>
  <c r="J844" i="18"/>
  <c r="J719" i="18"/>
  <c r="J595" i="18"/>
  <c r="J527" i="18"/>
  <c r="J406" i="18"/>
  <c r="J335" i="18"/>
  <c r="J269" i="18"/>
  <c r="J181" i="18"/>
  <c r="J173" i="18"/>
  <c r="J128" i="18"/>
  <c r="J111" i="18"/>
  <c r="J1635" i="18"/>
  <c r="J1171" i="18"/>
  <c r="J841" i="18"/>
  <c r="J743" i="18"/>
  <c r="J485" i="18"/>
  <c r="J307" i="18"/>
  <c r="J1829" i="18"/>
  <c r="J1750" i="18"/>
  <c r="J1685" i="18"/>
  <c r="J1576" i="18"/>
  <c r="J1507" i="18"/>
  <c r="J1341" i="18"/>
  <c r="J1237" i="18"/>
  <c r="J1167" i="18"/>
  <c r="J1017" i="18"/>
  <c r="J878" i="18"/>
  <c r="J805" i="18"/>
  <c r="J666" i="18"/>
  <c r="J584" i="18"/>
  <c r="J366" i="18"/>
  <c r="J287" i="18"/>
  <c r="J139" i="18"/>
  <c r="J28" i="18"/>
  <c r="J1588" i="18"/>
  <c r="J1461" i="18"/>
  <c r="J1251" i="18"/>
  <c r="J1146" i="18"/>
  <c r="J1060" i="18"/>
  <c r="J919" i="18"/>
  <c r="J769" i="18"/>
  <c r="J623" i="18"/>
  <c r="J519" i="18"/>
  <c r="J292" i="18"/>
  <c r="J156" i="18"/>
  <c r="K1492" i="18"/>
  <c r="K554" i="18"/>
  <c r="K450" i="18"/>
  <c r="K361" i="18"/>
  <c r="K289" i="18"/>
  <c r="K190" i="18"/>
  <c r="K175" i="18"/>
  <c r="K143" i="18"/>
  <c r="K118" i="18"/>
  <c r="K4" i="18"/>
  <c r="K1387" i="18"/>
  <c r="K968" i="18"/>
  <c r="K745" i="18"/>
  <c r="K544" i="18"/>
  <c r="K326" i="18"/>
  <c r="K170" i="18"/>
  <c r="K1760" i="18"/>
  <c r="K1692" i="18"/>
  <c r="K1583" i="18"/>
  <c r="K1524" i="18"/>
  <c r="K1355" i="18"/>
  <c r="K1263" i="18"/>
  <c r="K1189" i="18"/>
  <c r="K1042" i="18"/>
  <c r="K917" i="18"/>
  <c r="K824" i="18"/>
  <c r="K733" i="18"/>
  <c r="K604" i="18"/>
  <c r="K466" i="18"/>
  <c r="K308" i="18"/>
  <c r="K209" i="18"/>
  <c r="K58" i="18"/>
  <c r="K1707" i="18"/>
  <c r="K1476" i="18"/>
  <c r="K1368" i="18"/>
  <c r="K1181" i="18"/>
  <c r="K1072" i="18"/>
  <c r="K939" i="18"/>
  <c r="K802" i="18"/>
  <c r="K652" i="18"/>
  <c r="K524" i="18"/>
  <c r="K352" i="18"/>
  <c r="K187" i="18"/>
  <c r="K89" i="18"/>
  <c r="K575" i="18"/>
  <c r="K508" i="18"/>
  <c r="K388" i="18"/>
  <c r="K312" i="18"/>
  <c r="K243" i="18"/>
  <c r="K178" i="18"/>
  <c r="K169" i="18"/>
  <c r="K125" i="18"/>
  <c r="K59" i="18"/>
  <c r="K1512" i="18"/>
  <c r="K1149" i="18"/>
  <c r="K807" i="18"/>
  <c r="K581" i="18"/>
  <c r="K393" i="18"/>
  <c r="K252" i="18"/>
  <c r="K1786" i="18"/>
  <c r="K1721" i="18"/>
  <c r="K1633" i="18"/>
  <c r="K1540" i="18"/>
  <c r="K1442" i="18"/>
  <c r="K1310" i="18"/>
  <c r="K1231" i="18"/>
  <c r="K1113" i="18"/>
  <c r="K960" i="18"/>
  <c r="K829" i="18"/>
  <c r="K777" i="18"/>
  <c r="K629" i="18"/>
  <c r="K535" i="18"/>
  <c r="K353" i="18"/>
  <c r="K236" i="18"/>
  <c r="K98" i="18"/>
  <c r="K6" i="18"/>
  <c r="K1510" i="18"/>
  <c r="K1407" i="18"/>
  <c r="K1208" i="18"/>
  <c r="K1109" i="18"/>
  <c r="K1019" i="18"/>
  <c r="K850" i="18"/>
  <c r="K706" i="18"/>
  <c r="K546" i="18"/>
  <c r="K420" i="18"/>
  <c r="K221" i="18"/>
  <c r="K103" i="18"/>
  <c r="K1051" i="18"/>
  <c r="K741" i="18"/>
  <c r="K933" i="18"/>
  <c r="K69" i="18"/>
  <c r="K897" i="18"/>
  <c r="K1667" i="18"/>
  <c r="K457" i="18"/>
  <c r="K789" i="18"/>
  <c r="K1456" i="18"/>
  <c r="K478" i="18"/>
  <c r="K1062" i="18"/>
  <c r="K1739" i="18"/>
  <c r="J1052" i="18"/>
  <c r="J804" i="18"/>
  <c r="J1164" i="18"/>
  <c r="J784" i="18"/>
  <c r="J487" i="18"/>
  <c r="J229" i="18"/>
  <c r="J1727" i="18"/>
  <c r="J1469" i="18"/>
  <c r="J1228" i="18"/>
  <c r="J943" i="18"/>
  <c r="J685" i="18"/>
  <c r="J424" i="18"/>
  <c r="J1748" i="18"/>
  <c r="J1410" i="18"/>
  <c r="J1200" i="18"/>
  <c r="J947" i="18"/>
  <c r="J492" i="18"/>
  <c r="J242" i="18"/>
  <c r="J1769" i="18"/>
  <c r="J1452" i="18"/>
  <c r="J1143" i="18"/>
  <c r="J893" i="18"/>
  <c r="J573" i="18"/>
  <c r="J311" i="18"/>
  <c r="J159" i="18"/>
  <c r="J1496" i="18"/>
  <c r="J561" i="18"/>
  <c r="J1764" i="18"/>
  <c r="J1530" i="18"/>
  <c r="J1198" i="18"/>
  <c r="J768" i="18"/>
  <c r="J343" i="18"/>
  <c r="J1830" i="18"/>
  <c r="J1106" i="18"/>
  <c r="J683" i="18"/>
  <c r="J204" i="18"/>
  <c r="K510" i="18"/>
  <c r="K245" i="18"/>
  <c r="K126" i="18"/>
  <c r="K1152" i="18"/>
  <c r="K465" i="18"/>
  <c r="K1726" i="18"/>
  <c r="K1477" i="18"/>
  <c r="K981" i="18"/>
  <c r="K634" i="18"/>
  <c r="K260" i="18"/>
  <c r="K1537" i="18"/>
  <c r="K1117" i="18"/>
  <c r="K712" i="18"/>
  <c r="K230" i="18"/>
  <c r="K547" i="18"/>
  <c r="K276" i="18"/>
  <c r="K129" i="18"/>
  <c r="K877" i="18"/>
  <c r="K310" i="18"/>
  <c r="K1690" i="18"/>
  <c r="K1343" i="18"/>
  <c r="K1038" i="18"/>
  <c r="K689" i="18"/>
  <c r="K305" i="18"/>
  <c r="K1595" i="18"/>
  <c r="K1162" i="18"/>
  <c r="K781" i="18"/>
  <c r="K300" i="18"/>
  <c r="K1158" i="18"/>
  <c r="K759" i="18"/>
  <c r="K365" i="18"/>
  <c r="K1811" i="18"/>
  <c r="K1102" i="18"/>
  <c r="K182" i="18"/>
  <c r="K1411" i="18"/>
  <c r="K873" i="18"/>
  <c r="K446" i="18"/>
  <c r="K1800" i="18"/>
  <c r="K1129" i="18"/>
  <c r="K372" i="18"/>
  <c r="K1289" i="18"/>
  <c r="K410" i="18"/>
  <c r="K1558" i="18"/>
  <c r="K1029" i="18"/>
  <c r="K700" i="18"/>
  <c r="K288" i="18"/>
  <c r="K1780" i="18"/>
  <c r="K1327" i="18"/>
  <c r="K992" i="18"/>
  <c r="K665" i="18"/>
  <c r="K219" i="18"/>
  <c r="K1686" i="18"/>
  <c r="K951" i="18"/>
  <c r="K463" i="18"/>
  <c r="K11" i="18"/>
  <c r="K1538" i="18"/>
  <c r="K1217" i="18"/>
  <c r="K862" i="18"/>
  <c r="K525" i="18"/>
  <c r="K1785" i="18"/>
  <c r="K1463" i="18"/>
  <c r="K1122" i="18"/>
  <c r="K753" i="18"/>
  <c r="K357" i="18"/>
  <c r="K1834" i="18"/>
  <c r="K1403" i="18"/>
  <c r="K1306" i="18"/>
  <c r="K1239" i="18"/>
  <c r="K1093" i="18"/>
  <c r="K1018" i="18"/>
  <c r="K941" i="18"/>
  <c r="K848" i="18"/>
  <c r="K1068" i="18"/>
  <c r="K1437" i="18"/>
  <c r="K1195" i="18"/>
  <c r="K1112" i="18"/>
  <c r="K1044" i="18"/>
  <c r="K837" i="18"/>
  <c r="K740" i="18"/>
  <c r="K643" i="18"/>
  <c r="K517" i="18"/>
  <c r="K447" i="18"/>
  <c r="K333" i="18"/>
  <c r="K273" i="18"/>
  <c r="K149" i="18"/>
  <c r="K2" i="18"/>
  <c r="K1753" i="18"/>
  <c r="K1674" i="18"/>
  <c r="K1598" i="18"/>
  <c r="K1536" i="18"/>
  <c r="K1455" i="18"/>
  <c r="K1366" i="18"/>
  <c r="K1275" i="18"/>
  <c r="K1204" i="18"/>
  <c r="K1087" i="18"/>
  <c r="K999" i="18"/>
  <c r="K926" i="18"/>
  <c r="K857" i="18"/>
  <c r="K772" i="18"/>
  <c r="K711" i="18"/>
  <c r="K614" i="18"/>
  <c r="K513" i="18"/>
  <c r="K467" i="18"/>
  <c r="K376" i="18"/>
  <c r="K120" i="18"/>
  <c r="K1781" i="18"/>
  <c r="K1715" i="18"/>
  <c r="K1620" i="18"/>
  <c r="K1548" i="18"/>
  <c r="K1453" i="18"/>
  <c r="K1383" i="18"/>
  <c r="K1282" i="18"/>
  <c r="K1214" i="18"/>
  <c r="K1118" i="18"/>
  <c r="K1054" i="18"/>
  <c r="K982" i="18"/>
  <c r="K885" i="18"/>
  <c r="K750" i="18"/>
  <c r="K661" i="18"/>
  <c r="K540" i="18"/>
  <c r="K436" i="18"/>
  <c r="K350" i="18"/>
  <c r="K290" i="18"/>
  <c r="K154" i="18"/>
  <c r="K51" i="18"/>
  <c r="K1816" i="18"/>
  <c r="K1736" i="18"/>
  <c r="K1665" i="18"/>
  <c r="K1571" i="18"/>
  <c r="K1397" i="18"/>
  <c r="K1295" i="18"/>
  <c r="K1203" i="18"/>
  <c r="K1059" i="18"/>
  <c r="K1007" i="18"/>
  <c r="K929" i="18"/>
  <c r="K844" i="18"/>
  <c r="K719" i="18"/>
  <c r="K595" i="18"/>
  <c r="K527" i="18"/>
  <c r="K406" i="18"/>
  <c r="K335" i="18"/>
  <c r="K269" i="18"/>
  <c r="K181" i="18"/>
  <c r="K173" i="18"/>
  <c r="K128" i="18"/>
  <c r="K111" i="18"/>
  <c r="K1635" i="18"/>
  <c r="K1171" i="18"/>
  <c r="K841" i="18"/>
  <c r="K743" i="18"/>
  <c r="K485" i="18"/>
  <c r="K307" i="18"/>
  <c r="K1829" i="18"/>
  <c r="K1750" i="18"/>
  <c r="K1685" i="18"/>
  <c r="K1576" i="18"/>
  <c r="K1507" i="18"/>
  <c r="K1341" i="18"/>
  <c r="K1237" i="18"/>
  <c r="K1167" i="18"/>
  <c r="K1017" i="18"/>
  <c r="K878" i="18"/>
  <c r="K805" i="18"/>
  <c r="K666" i="18"/>
  <c r="K584" i="18"/>
  <c r="K366" i="18"/>
  <c r="K287" i="18"/>
  <c r="K139" i="18"/>
  <c r="K28" i="18"/>
  <c r="K1588" i="18"/>
  <c r="K1461" i="18"/>
  <c r="K1251" i="18"/>
  <c r="K1146" i="18"/>
  <c r="K1060" i="18"/>
  <c r="K919" i="18"/>
  <c r="K769" i="18"/>
  <c r="K623" i="18"/>
  <c r="K519" i="18"/>
  <c r="K292" i="18"/>
  <c r="K156" i="18"/>
  <c r="J588" i="18"/>
  <c r="J510" i="18"/>
  <c r="J391" i="18"/>
  <c r="J323" i="18"/>
  <c r="J245" i="18"/>
  <c r="J179" i="18"/>
  <c r="J171" i="18"/>
  <c r="J126" i="18"/>
  <c r="J60" i="18"/>
  <c r="J1523" i="18"/>
  <c r="J1152" i="18"/>
  <c r="J830" i="18"/>
  <c r="J599" i="18"/>
  <c r="J465" i="18"/>
  <c r="J264" i="18"/>
  <c r="J1803" i="18"/>
  <c r="J1726" i="18"/>
  <c r="J1636" i="18"/>
  <c r="J1555" i="18"/>
  <c r="J1477" i="18"/>
  <c r="J1315" i="18"/>
  <c r="J1232" i="18"/>
  <c r="J1131" i="18"/>
  <c r="J981" i="18"/>
  <c r="J851" i="18"/>
  <c r="J786" i="18"/>
  <c r="J634" i="18"/>
  <c r="J549" i="18"/>
  <c r="J354" i="18"/>
  <c r="J260" i="18"/>
  <c r="J133" i="18"/>
  <c r="J13" i="18"/>
  <c r="J1537" i="18"/>
  <c r="J1427" i="18"/>
  <c r="J1211" i="18"/>
  <c r="J1117" i="18"/>
  <c r="J1025" i="18"/>
  <c r="J868" i="18"/>
  <c r="J712" i="18"/>
  <c r="J609" i="18"/>
  <c r="J451" i="18"/>
  <c r="J230" i="18"/>
  <c r="J122" i="18"/>
  <c r="J632" i="18"/>
  <c r="J547" i="18"/>
  <c r="J439" i="18"/>
  <c r="J360" i="18"/>
  <c r="J276" i="18"/>
  <c r="J188" i="18"/>
  <c r="J174" i="18"/>
  <c r="J129" i="18"/>
  <c r="J114" i="18"/>
  <c r="J1661" i="18"/>
  <c r="J1318" i="18"/>
  <c r="J877" i="18"/>
  <c r="J744" i="18"/>
  <c r="J533" i="18"/>
  <c r="J310" i="18"/>
  <c r="J74" i="18"/>
  <c r="J1752" i="18"/>
  <c r="J1690" i="18"/>
  <c r="J1578" i="18"/>
  <c r="J1514" i="18"/>
  <c r="J1343" i="18"/>
  <c r="J1242" i="18"/>
  <c r="J1176" i="18"/>
  <c r="J1038" i="18"/>
  <c r="J904" i="18"/>
  <c r="J823" i="18"/>
  <c r="J689" i="18"/>
  <c r="J601" i="18"/>
  <c r="J378" i="18"/>
  <c r="J305" i="18"/>
  <c r="J140" i="18"/>
  <c r="J47" i="18"/>
  <c r="J1595" i="18"/>
  <c r="J1465" i="18"/>
  <c r="J1265" i="18"/>
  <c r="J1162" i="18"/>
  <c r="J1069" i="18"/>
  <c r="J923" i="18"/>
  <c r="J781" i="18"/>
  <c r="J631" i="18"/>
  <c r="J520" i="18"/>
  <c r="J300" i="18"/>
  <c r="J163" i="18"/>
  <c r="J81" i="18"/>
  <c r="K271" i="18"/>
  <c r="K1627" i="18"/>
  <c r="K889" i="18"/>
  <c r="K1819" i="18"/>
  <c r="K351" i="18"/>
  <c r="K234" i="18"/>
  <c r="K1438" i="18"/>
  <c r="K185" i="18"/>
  <c r="K1266" i="18"/>
  <c r="K130" i="18"/>
  <c r="K1756" i="18"/>
  <c r="K1088" i="18"/>
  <c r="K1723" i="18"/>
  <c r="K675" i="18"/>
  <c r="J1335" i="18"/>
  <c r="J1168" i="18"/>
  <c r="J903" i="18"/>
  <c r="J1320" i="18"/>
  <c r="J860" i="18"/>
  <c r="J562" i="18"/>
  <c r="J306" i="18"/>
  <c r="J1783" i="18"/>
  <c r="J1572" i="18"/>
  <c r="J1405" i="18"/>
  <c r="J1182" i="18"/>
  <c r="J898" i="18"/>
  <c r="J732" i="18"/>
  <c r="J495" i="18"/>
  <c r="J36" i="18"/>
  <c r="J1592" i="18"/>
  <c r="J1358" i="18"/>
  <c r="J1084" i="18"/>
  <c r="J846" i="18"/>
  <c r="J582" i="18"/>
  <c r="J318" i="18"/>
  <c r="J30" i="18"/>
  <c r="J1610" i="18"/>
  <c r="J1259" i="18"/>
  <c r="J979" i="18"/>
  <c r="J616" i="18"/>
  <c r="J377" i="18"/>
  <c r="J177" i="18"/>
  <c r="J42" i="18"/>
  <c r="J806" i="18"/>
  <c r="J239" i="18"/>
  <c r="J1624" i="18"/>
  <c r="J1307" i="18"/>
  <c r="J1097" i="18"/>
  <c r="J828" i="18"/>
  <c r="J503" i="18"/>
  <c r="J87" i="18"/>
  <c r="J1382" i="18"/>
  <c r="J969" i="18"/>
  <c r="J537" i="18"/>
  <c r="J97" i="18"/>
  <c r="K391" i="18"/>
  <c r="K179" i="18"/>
  <c r="K60" i="18"/>
  <c r="K830" i="18"/>
  <c r="K264" i="18"/>
  <c r="K1636" i="18"/>
  <c r="K1315" i="18"/>
  <c r="K1131" i="18"/>
  <c r="K786" i="18"/>
  <c r="K354" i="18"/>
  <c r="K13" i="18"/>
  <c r="K1211" i="18"/>
  <c r="K1025" i="18"/>
  <c r="K609" i="18"/>
  <c r="K122" i="18"/>
  <c r="K439" i="18"/>
  <c r="K188" i="18"/>
  <c r="K114" i="18"/>
  <c r="K1318" i="18"/>
  <c r="K533" i="18"/>
  <c r="K1752" i="18"/>
  <c r="K1514" i="18"/>
  <c r="K1176" i="18"/>
  <c r="K823" i="18"/>
  <c r="K378" i="18"/>
  <c r="K47" i="18"/>
  <c r="K1465" i="18"/>
  <c r="K1069" i="18"/>
  <c r="K631" i="18"/>
  <c r="K163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<sst xmlns="http://schemas.openxmlformats.org/spreadsheetml/2006/main" count="25675" uniqueCount="6759">
  <si>
    <t>Name</t>
  </si>
  <si>
    <t>Native</t>
  </si>
  <si>
    <t>Status</t>
  </si>
  <si>
    <t>City / District / County</t>
  </si>
  <si>
    <t>Population</t>
  </si>
  <si>
    <t>Bĕizhèn Jiēdào</t>
  </si>
  <si>
    <t>北镇街道</t>
  </si>
  <si>
    <t>Urban Subdistrict</t>
  </si>
  <si>
    <t>Bīnchéng Qū</t>
  </si>
  <si>
    <t>Bīnbĕi Jiēdào</t>
  </si>
  <si>
    <t>滨北街道</t>
  </si>
  <si>
    <t>Bīnhăi Zhèn</t>
  </si>
  <si>
    <t>滨海镇</t>
  </si>
  <si>
    <t>Town</t>
  </si>
  <si>
    <t>Zhānhuà Qū</t>
  </si>
  <si>
    <t>Bóchāng Jiēdào</t>
  </si>
  <si>
    <t>博昌街道</t>
  </si>
  <si>
    <t>Bóxīng Xiàn</t>
  </si>
  <si>
    <t>Bótóu Zhèn</t>
  </si>
  <si>
    <t>泊头镇</t>
  </si>
  <si>
    <t>Cáowáng Zhèn</t>
  </si>
  <si>
    <t>曹王镇</t>
  </si>
  <si>
    <t>Chángshān Zhèn</t>
  </si>
  <si>
    <t>长山镇</t>
  </si>
  <si>
    <t>Zōupíng Shì</t>
  </si>
  <si>
    <t>Chéngdōng Jiēdào</t>
  </si>
  <si>
    <t>城东街道</t>
  </si>
  <si>
    <t>Chéngkŏu Zhèn</t>
  </si>
  <si>
    <t>埕口镇</t>
  </si>
  <si>
    <t>Wúdì Xiàn</t>
  </si>
  <si>
    <t>Chénhù Zhèn</t>
  </si>
  <si>
    <t>陈户镇</t>
  </si>
  <si>
    <t>Chēwáng Zhèn</t>
  </si>
  <si>
    <t>车王镇</t>
  </si>
  <si>
    <t>Chúnhuà Zhèn</t>
  </si>
  <si>
    <t>纯化镇</t>
  </si>
  <si>
    <t>Dàgāo Zhèn</t>
  </si>
  <si>
    <t>大高镇</t>
  </si>
  <si>
    <t>Dàixī Jiēdào</t>
  </si>
  <si>
    <t>黛溪街道</t>
  </si>
  <si>
    <t>Dàniánchén Zhèn</t>
  </si>
  <si>
    <t>大年陈镇</t>
  </si>
  <si>
    <t>Huìmín Xiàn</t>
  </si>
  <si>
    <t>Diànzi Zhèn</t>
  </si>
  <si>
    <t>店子镇</t>
  </si>
  <si>
    <t>Dìfēng Jiēdào</t>
  </si>
  <si>
    <t>棣丰街道</t>
  </si>
  <si>
    <t>Dùdiàn Jiēdào</t>
  </si>
  <si>
    <t>杜店街道</t>
  </si>
  <si>
    <t>Féngjiā Zhèn</t>
  </si>
  <si>
    <t>冯家镇</t>
  </si>
  <si>
    <t>Fùguó Jiēdào</t>
  </si>
  <si>
    <t>富国街道</t>
  </si>
  <si>
    <t>Fùyuán Jiēdào</t>
  </si>
  <si>
    <t>富源街道</t>
  </si>
  <si>
    <t>Gāoxīn Jiēdào</t>
  </si>
  <si>
    <t>高新街道</t>
  </si>
  <si>
    <t>Gŭchéng Zhèn</t>
  </si>
  <si>
    <t>古城镇</t>
  </si>
  <si>
    <t>Hăifáng Xiāng</t>
  </si>
  <si>
    <t>海防办事处乡</t>
  </si>
  <si>
    <t>Rural Township</t>
  </si>
  <si>
    <t>Hăifēng Jiēdào</t>
  </si>
  <si>
    <t>海丰街道</t>
  </si>
  <si>
    <t>Hándiàn Zhèn</t>
  </si>
  <si>
    <t>韩店镇</t>
  </si>
  <si>
    <t>Hăoshēng Jiēdào</t>
  </si>
  <si>
    <t>好生街道</t>
  </si>
  <si>
    <t>Héfāng Jiēdào</t>
  </si>
  <si>
    <t>何坊街道</t>
  </si>
  <si>
    <t>Héliú Zhèn</t>
  </si>
  <si>
    <t>河流镇</t>
  </si>
  <si>
    <t>Yángxìn Xiàn</t>
  </si>
  <si>
    <t>Huángshān Jiēdào</t>
  </si>
  <si>
    <t>黄山街道</t>
  </si>
  <si>
    <t>Huángshēng Zhèn</t>
  </si>
  <si>
    <t>黄升镇</t>
  </si>
  <si>
    <t>Húbīn Zhèn</t>
  </si>
  <si>
    <t>湖滨镇</t>
  </si>
  <si>
    <t>Hújí Zhèn</t>
  </si>
  <si>
    <t>胡集镇</t>
  </si>
  <si>
    <t>Jiānglóu Zhèn</t>
  </si>
  <si>
    <t>姜楼镇</t>
  </si>
  <si>
    <t>Jiāoqiáo Zhèn</t>
  </si>
  <si>
    <t>焦桥镇</t>
  </si>
  <si>
    <t>Jiéshíshān Zhèn</t>
  </si>
  <si>
    <t>碣石山镇</t>
  </si>
  <si>
    <t>Jĭnqiū Jiēdào</t>
  </si>
  <si>
    <t>锦秋街道</t>
  </si>
  <si>
    <t>Jīnyáng Jiēdào</t>
  </si>
  <si>
    <t>金阳街道</t>
  </si>
  <si>
    <t>Jiŭhù Zhèn</t>
  </si>
  <si>
    <t>九户镇</t>
  </si>
  <si>
    <t>Láodiàn Zhèn</t>
  </si>
  <si>
    <t>劳店镇</t>
  </si>
  <si>
    <t>Liángcái Jiēdào</t>
  </si>
  <si>
    <t>梁才街道</t>
  </si>
  <si>
    <t>Lìguó Xiāng</t>
  </si>
  <si>
    <t>利国乡</t>
  </si>
  <si>
    <t>Línchí Zhèn</t>
  </si>
  <si>
    <t>临池镇</t>
  </si>
  <si>
    <t>Liŭbăo Zhèn</t>
  </si>
  <si>
    <t>柳堡镇</t>
  </si>
  <si>
    <t>Liúpōwù Zhèn</t>
  </si>
  <si>
    <t>流坡坞镇</t>
  </si>
  <si>
    <t>Lĭzé Jiēdào</t>
  </si>
  <si>
    <t>里则街道</t>
  </si>
  <si>
    <t>Lĭzhuāng Zhèn</t>
  </si>
  <si>
    <t>李庄镇</t>
  </si>
  <si>
    <t>Lǚyì Zhèn</t>
  </si>
  <si>
    <t>吕艺镇</t>
  </si>
  <si>
    <t>Mádiàn Zhèn</t>
  </si>
  <si>
    <t>麻店镇</t>
  </si>
  <si>
    <t>Măshānzi Zhèn</t>
  </si>
  <si>
    <t>马山子镇</t>
  </si>
  <si>
    <t>Mătóu Zhèn</t>
  </si>
  <si>
    <t>码头镇</t>
  </si>
  <si>
    <t>Míngjí Zhèn</t>
  </si>
  <si>
    <t>明集镇</t>
  </si>
  <si>
    <t>Pángjiā Zhèn</t>
  </si>
  <si>
    <t>庞家镇</t>
  </si>
  <si>
    <t>Pénglĭ Jiēdào</t>
  </si>
  <si>
    <t>彭李街道</t>
  </si>
  <si>
    <t>Qiáozhuāng Zhèn</t>
  </si>
  <si>
    <t>乔庄镇</t>
  </si>
  <si>
    <t>Qīnghé Zhèn</t>
  </si>
  <si>
    <t>清河镇</t>
  </si>
  <si>
    <t>Qīngtián Jiēdào</t>
  </si>
  <si>
    <t>青田街道</t>
  </si>
  <si>
    <t>Qīngyáng Zhèn</t>
  </si>
  <si>
    <t>青阳镇</t>
  </si>
  <si>
    <t>Qínhuángtái Xiāng</t>
  </si>
  <si>
    <t>秦皇台乡</t>
  </si>
  <si>
    <t>Sāngluòshù Zhèn</t>
  </si>
  <si>
    <t>桑落墅镇</t>
  </si>
  <si>
    <t>Sānhéhú Zhèn</t>
  </si>
  <si>
    <t>三河湖镇</t>
  </si>
  <si>
    <t>Shāhé Jiēdào</t>
  </si>
  <si>
    <t>沙河街道</t>
  </si>
  <si>
    <t>Shāngdiàn Zhèn</t>
  </si>
  <si>
    <t>商店镇</t>
  </si>
  <si>
    <t>Shéjiā Zhèn [Shéjiāxiàng Xiāng]</t>
  </si>
  <si>
    <t>佘家镇</t>
  </si>
  <si>
    <t>Shìdōng Jiēdào</t>
  </si>
  <si>
    <t>市东街道</t>
  </si>
  <si>
    <t>Shímiào Zhèn</t>
  </si>
  <si>
    <t>石庙镇</t>
  </si>
  <si>
    <t>Shìxī Jiēdào</t>
  </si>
  <si>
    <t>市西街道</t>
  </si>
  <si>
    <t>Shìzhōng Jiēdào</t>
  </si>
  <si>
    <t>市中街道</t>
  </si>
  <si>
    <t>Shuĭluòpō Zhèn</t>
  </si>
  <si>
    <t>水落坡镇</t>
  </si>
  <si>
    <t>Shuĭwān Zhèn</t>
  </si>
  <si>
    <t>水湾镇</t>
  </si>
  <si>
    <t>Sūnwŭ Jiēdào</t>
  </si>
  <si>
    <t>孙武街道</t>
  </si>
  <si>
    <t>Sūnzhèn Zhèn</t>
  </si>
  <si>
    <t>孙镇镇</t>
  </si>
  <si>
    <t>Táizi Zhèn</t>
  </si>
  <si>
    <t>台子镇</t>
  </si>
  <si>
    <t>Wèijí Zhèn</t>
  </si>
  <si>
    <t>魏集镇</t>
  </si>
  <si>
    <t>Wèiqiáo Zhèn</t>
  </si>
  <si>
    <t>魏桥镇</t>
  </si>
  <si>
    <t>Wēndiàn Zhèn</t>
  </si>
  <si>
    <t>温店镇</t>
  </si>
  <si>
    <t>Wŭdìngfŭ Jiēdào</t>
  </si>
  <si>
    <t>武定府街道</t>
  </si>
  <si>
    <t>Xiàhé Xiāng</t>
  </si>
  <si>
    <t>下河乡</t>
  </si>
  <si>
    <t>Xiăobótóu Zhèn</t>
  </si>
  <si>
    <t>小泊头镇</t>
  </si>
  <si>
    <t>Xiăoyíng Jiēdào</t>
  </si>
  <si>
    <t>小营街道</t>
  </si>
  <si>
    <t>Xiàwā Zhèn</t>
  </si>
  <si>
    <t>下洼镇</t>
  </si>
  <si>
    <t>Xīdŏng Jiēdào</t>
  </si>
  <si>
    <t>西董街道</t>
  </si>
  <si>
    <t>Xìnchéng Jiēdào</t>
  </si>
  <si>
    <t>信城街道</t>
  </si>
  <si>
    <t>Xīndiàn Zhèn</t>
  </si>
  <si>
    <t>辛店镇</t>
  </si>
  <si>
    <t>Xīngfú Zhèn</t>
  </si>
  <si>
    <t>兴福镇</t>
  </si>
  <si>
    <t>Xìnyáng Zhèn</t>
  </si>
  <si>
    <t>信阳镇</t>
  </si>
  <si>
    <t>Xīxiăowáng Zhèn</t>
  </si>
  <si>
    <t>西小王镇</t>
  </si>
  <si>
    <t>Yánghú Xiāng</t>
  </si>
  <si>
    <t>洋湖乡</t>
  </si>
  <si>
    <t>Yángliŭxuĕ Zhèn</t>
  </si>
  <si>
    <t>杨柳雪镇</t>
  </si>
  <si>
    <t>Zàohùlĭ Zhèn</t>
  </si>
  <si>
    <t>皂户李镇</t>
  </si>
  <si>
    <t>Zháiwáng Zhèn</t>
  </si>
  <si>
    <t>翟王镇</t>
  </si>
  <si>
    <t>Zījiăo Zhèn</t>
  </si>
  <si>
    <t>淄角镇</t>
  </si>
  <si>
    <t>Āndé Jiēdào</t>
  </si>
  <si>
    <t>安德街道</t>
  </si>
  <si>
    <t>Língchéng Qū</t>
  </si>
  <si>
    <t>Ānrén Zhèn</t>
  </si>
  <si>
    <t>安仁镇</t>
  </si>
  <si>
    <t>Yŭchéng Shì</t>
  </si>
  <si>
    <t>Āntóu Xiāng</t>
  </si>
  <si>
    <t>安头乡</t>
  </si>
  <si>
    <t>Qíhé Xiàn</t>
  </si>
  <si>
    <t>Báimăhú Zhèn</t>
  </si>
  <si>
    <t>白马湖镇</t>
  </si>
  <si>
    <t>Xiàjīn Xiàn</t>
  </si>
  <si>
    <t>Băodiàn Zhèn</t>
  </si>
  <si>
    <t>保店镇</t>
  </si>
  <si>
    <t>Níngjīn Xiàn</t>
  </si>
  <si>
    <t>Bĕichéng Jiēdào</t>
  </si>
  <si>
    <t>北城街道</t>
  </si>
  <si>
    <t>Biānlín Zhèn</t>
  </si>
  <si>
    <t>边临镇</t>
  </si>
  <si>
    <t>Biăobáisì Zhèn</t>
  </si>
  <si>
    <t>表白寺镇</t>
  </si>
  <si>
    <t>Bóhăilù Jiēdào</t>
  </si>
  <si>
    <t>渤海路街道</t>
  </si>
  <si>
    <t>Qìngyún Xiàn</t>
  </si>
  <si>
    <t>Cháihúdiàn Zhèn</t>
  </si>
  <si>
    <t>柴胡店镇</t>
  </si>
  <si>
    <t>Chángguān Zhèn</t>
  </si>
  <si>
    <t>长官镇</t>
  </si>
  <si>
    <t>Chánghé Jiēdào</t>
  </si>
  <si>
    <t>长河街道</t>
  </si>
  <si>
    <t>Déchéng Qū</t>
  </si>
  <si>
    <t>Chángjiā Zhèn</t>
  </si>
  <si>
    <t>常家镇</t>
  </si>
  <si>
    <t>Cuīkŏu Zhèn</t>
  </si>
  <si>
    <t>崔口镇</t>
  </si>
  <si>
    <t>Dàcáo Zhèn</t>
  </si>
  <si>
    <t>大曹镇</t>
  </si>
  <si>
    <t>Dàhuáng Xiāng</t>
  </si>
  <si>
    <t>大黄乡</t>
  </si>
  <si>
    <t>Dàliŭ Zhèn</t>
  </si>
  <si>
    <t>大柳镇</t>
  </si>
  <si>
    <t>Dàsūn Xiāng</t>
  </si>
  <si>
    <t>大孙乡</t>
  </si>
  <si>
    <t>Lèlíng Shì</t>
  </si>
  <si>
    <t>Dépíng Zhèn</t>
  </si>
  <si>
    <t>德平镇</t>
  </si>
  <si>
    <t>Línyì Xiàn</t>
  </si>
  <si>
    <t>Déyuán Jiēdào [Fāngzi Xiāng]</t>
  </si>
  <si>
    <t>德原街道</t>
  </si>
  <si>
    <t>Píngyuán Xiàn</t>
  </si>
  <si>
    <t>Dīngwù Zhèn</t>
  </si>
  <si>
    <t>丁坞镇</t>
  </si>
  <si>
    <t>Dīngzhuāng Zhèn</t>
  </si>
  <si>
    <t>丁庄镇</t>
  </si>
  <si>
    <t>Dōnglĭ Guāntún Zhèn</t>
  </si>
  <si>
    <t>东李官屯镇</t>
  </si>
  <si>
    <t>Dōngxīndiàn Zhèn</t>
  </si>
  <si>
    <t>东辛店镇</t>
  </si>
  <si>
    <t>Dùjí Zhèn</t>
  </si>
  <si>
    <t>杜集镇</t>
  </si>
  <si>
    <t>Dùkŏuyì Xiāng</t>
  </si>
  <si>
    <t>渡口驿乡</t>
  </si>
  <si>
    <t>Ēnchéng Zhèn</t>
  </si>
  <si>
    <t>恩城镇</t>
  </si>
  <si>
    <t>Èrtún Zhèn</t>
  </si>
  <si>
    <t>二屯镇</t>
  </si>
  <si>
    <t>Fángsì Zhèn</t>
  </si>
  <si>
    <t>房寺镇</t>
  </si>
  <si>
    <t>Guăngchuān Jiēdào</t>
  </si>
  <si>
    <t>广川街道</t>
  </si>
  <si>
    <t>Guăngyùn Jiēdào</t>
  </si>
  <si>
    <t>广运街道</t>
  </si>
  <si>
    <t>Wŭchéng Xiàn</t>
  </si>
  <si>
    <t>Guōjiā Jiēdào</t>
  </si>
  <si>
    <t>郭家街道</t>
  </si>
  <si>
    <t>Hăowángzhuāng Zhèn</t>
  </si>
  <si>
    <t>郝王庄镇</t>
  </si>
  <si>
    <t>Héngyuán Jiēdào</t>
  </si>
  <si>
    <t>恒源街道</t>
  </si>
  <si>
    <t>Huádiàn Zhèn</t>
  </si>
  <si>
    <t>华店镇</t>
  </si>
  <si>
    <t>Huàlóu Zhèn</t>
  </si>
  <si>
    <t>化楼镇</t>
  </si>
  <si>
    <t>Huánghéyá Zhèn</t>
  </si>
  <si>
    <t>黄河涯镇</t>
  </si>
  <si>
    <t>Huángjiā Zhèn</t>
  </si>
  <si>
    <t>黄夹镇</t>
  </si>
  <si>
    <t>Huāyuán Zhèn</t>
  </si>
  <si>
    <t>花园镇</t>
  </si>
  <si>
    <t>Húguāntún Zhèn</t>
  </si>
  <si>
    <t>胡官屯镇</t>
  </si>
  <si>
    <t>Huīwángzhuāng Zhèn</t>
  </si>
  <si>
    <t>徽王庄镇</t>
  </si>
  <si>
    <t>Hújiā Jiēdào</t>
  </si>
  <si>
    <t>胡家街道</t>
  </si>
  <si>
    <t>Jiămăyíng Zhèn</t>
  </si>
  <si>
    <t>甲马营镇</t>
  </si>
  <si>
    <t>Jiāomiào Zhèn</t>
  </si>
  <si>
    <t>焦庙镇</t>
  </si>
  <si>
    <t>Jīnchéng Jiēdào</t>
  </si>
  <si>
    <t>津城街道</t>
  </si>
  <si>
    <t>Jŭ Zhèn [incl. Jŭzhèn Xiāng, Lĭtún Xiāng]</t>
  </si>
  <si>
    <t>莒镇</t>
  </si>
  <si>
    <t>Kŏng Zhèn</t>
  </si>
  <si>
    <t>孔镇</t>
  </si>
  <si>
    <t>Lăochéng Zhèn [incl. Yángzhuāng Zhèn]</t>
  </si>
  <si>
    <t>老城镇</t>
  </si>
  <si>
    <t>Léijí Zhèn</t>
  </si>
  <si>
    <t>雷集镇</t>
  </si>
  <si>
    <t>Liángjiā Zhèn</t>
  </si>
  <si>
    <t>梁家镇</t>
  </si>
  <si>
    <t>Lĭhéwù Zhèn</t>
  </si>
  <si>
    <t>理合务镇</t>
  </si>
  <si>
    <t>Lĭjiāhù Zhèn</t>
  </si>
  <si>
    <t>李家户镇</t>
  </si>
  <si>
    <t>Línnán Zhèn</t>
  </si>
  <si>
    <t>临南镇</t>
  </si>
  <si>
    <t>Línpán Jiēdào</t>
  </si>
  <si>
    <t>临盘街道</t>
  </si>
  <si>
    <t>Línqí Jiēdào</t>
  </si>
  <si>
    <t>临齐街道</t>
  </si>
  <si>
    <t>Línyì Zhèn</t>
  </si>
  <si>
    <t>临邑镇</t>
  </si>
  <si>
    <t>Línzi Zhèn</t>
  </si>
  <si>
    <t>林子镇</t>
  </si>
  <si>
    <t>Liúqiáo Zhèn</t>
  </si>
  <si>
    <t>刘桥镇</t>
  </si>
  <si>
    <t>Liúyíngwŭ Xiāng</t>
  </si>
  <si>
    <t>刘营伍乡</t>
  </si>
  <si>
    <t>Lóngmén Jiēdào</t>
  </si>
  <si>
    <t>龙门街道</t>
  </si>
  <si>
    <t>Lún Zhèn</t>
  </si>
  <si>
    <t>伦镇</t>
  </si>
  <si>
    <t>Lŭquántún Zhèn [incl. Sìnǚsì Zhèn]</t>
  </si>
  <si>
    <t>鲁权屯镇</t>
  </si>
  <si>
    <t>Măjí Zhèn</t>
  </si>
  <si>
    <t>马集镇</t>
  </si>
  <si>
    <t>Mèngsì Zhèn</t>
  </si>
  <si>
    <t>孟寺镇</t>
  </si>
  <si>
    <t>Mí Zhèn</t>
  </si>
  <si>
    <t>糜镇</t>
  </si>
  <si>
    <t>Nánchéng Zhèn</t>
  </si>
  <si>
    <t>南城镇</t>
  </si>
  <si>
    <t>Níngchéng Jiēdào</t>
  </si>
  <si>
    <t>宁城街道</t>
  </si>
  <si>
    <t>Pāndiàn Zhèn</t>
  </si>
  <si>
    <t>潘店镇</t>
  </si>
  <si>
    <t>Qiáncáo Zhèn</t>
  </si>
  <si>
    <t>前曹镇</t>
  </si>
  <si>
    <t>Qiánsūn Zhèn</t>
  </si>
  <si>
    <t>前孙镇</t>
  </si>
  <si>
    <t>Qìngyún Zhèn</t>
  </si>
  <si>
    <t>庆云镇</t>
  </si>
  <si>
    <t>Rénlĭjí Zhèn</t>
  </si>
  <si>
    <t>仁里集镇</t>
  </si>
  <si>
    <t>Sāntáng Xiāng</t>
  </si>
  <si>
    <t>三唐乡</t>
  </si>
  <si>
    <t>Shàngtáng Zhèn</t>
  </si>
  <si>
    <t>尚堂镇</t>
  </si>
  <si>
    <t>Shéntóu Zhèn</t>
  </si>
  <si>
    <t>神头镇</t>
  </si>
  <si>
    <t>Shíjí Zhèn</t>
  </si>
  <si>
    <t>时集镇</t>
  </si>
  <si>
    <t>Shílĭwàng Huízú Zhèn</t>
  </si>
  <si>
    <t>十里望回族镇</t>
  </si>
  <si>
    <t>Shìzhōng Jiēdào [incl. Yǔxìng Jiēdào]</t>
  </si>
  <si>
    <t>Shuāngmiào Zhèn</t>
  </si>
  <si>
    <t>双庙镇</t>
  </si>
  <si>
    <t>Sòngguāntún Jiēdào</t>
  </si>
  <si>
    <t>宋官屯街道</t>
  </si>
  <si>
    <t>Sòngjiā Zhèn</t>
  </si>
  <si>
    <t>宋家镇</t>
  </si>
  <si>
    <t>Sònglóu Zhèn</t>
  </si>
  <si>
    <t>宋楼镇</t>
  </si>
  <si>
    <t>Sù'ān Xiāng</t>
  </si>
  <si>
    <t>宿安乡</t>
  </si>
  <si>
    <t>Sūliúzhuāng Zhèn</t>
  </si>
  <si>
    <t>苏留庄镇</t>
  </si>
  <si>
    <t>Táitóusì Zhèn</t>
  </si>
  <si>
    <t>抬头寺镇</t>
  </si>
  <si>
    <t>Táoyuán Jiēdào</t>
  </si>
  <si>
    <t>桃园街道</t>
  </si>
  <si>
    <t>Tiānqú Jiēdào</t>
  </si>
  <si>
    <t>天衢街道</t>
  </si>
  <si>
    <t>Tiánzhuāng Xiāng</t>
  </si>
  <si>
    <t>田庄乡</t>
  </si>
  <si>
    <t>Tiĕyíng Zhèn</t>
  </si>
  <si>
    <t>铁营镇</t>
  </si>
  <si>
    <t>Wángdăguà Zhèn</t>
  </si>
  <si>
    <t>王打卦镇</t>
  </si>
  <si>
    <t>Wángfènglóu Zhèn</t>
  </si>
  <si>
    <t>王凤楼镇</t>
  </si>
  <si>
    <t>Wánggăopū Zhèn</t>
  </si>
  <si>
    <t>王杲铺镇</t>
  </si>
  <si>
    <t>Wángmiào Zhèn</t>
  </si>
  <si>
    <t>王庙镇</t>
  </si>
  <si>
    <t>Wŭchéng Zhèn</t>
  </si>
  <si>
    <t>武城镇</t>
  </si>
  <si>
    <t>Xiāngyá Zhèn</t>
  </si>
  <si>
    <t>相衙镇</t>
  </si>
  <si>
    <t>Xiāngzhàozhuāng Zhèn</t>
  </si>
  <si>
    <t>香赵庄镇</t>
  </si>
  <si>
    <t>Xīduàn Xiāng</t>
  </si>
  <si>
    <t>西段乡</t>
  </si>
  <si>
    <t>Xíngdòng Jiēdào</t>
  </si>
  <si>
    <t>邢侗街道</t>
  </si>
  <si>
    <t>Xīnglóng Zhèn</t>
  </si>
  <si>
    <t>兴隆镇</t>
  </si>
  <si>
    <t>Xīnhuá Jiēdào</t>
  </si>
  <si>
    <t>新华街道</t>
  </si>
  <si>
    <t>Xīnhú Jiēdào</t>
  </si>
  <si>
    <t>新湖街道</t>
  </si>
  <si>
    <t>Xīnshèngdiàn Zhèn</t>
  </si>
  <si>
    <t>新盛店镇</t>
  </si>
  <si>
    <t>Xīnzhài Zhèn</t>
  </si>
  <si>
    <t>辛寨镇</t>
  </si>
  <si>
    <t>Xuānzhāngtún Zhèn</t>
  </si>
  <si>
    <t>宣章屯镇</t>
  </si>
  <si>
    <t>Xúyuánzi Xiāng</t>
  </si>
  <si>
    <t>徐园子乡</t>
  </si>
  <si>
    <t>Yànbĕi Jiēdào</t>
  </si>
  <si>
    <t>晏北街道</t>
  </si>
  <si>
    <t>Yànchéng Jiēdào</t>
  </si>
  <si>
    <t>晏城街道</t>
  </si>
  <si>
    <t>Yáng'ān Zhèn</t>
  </si>
  <si>
    <t>杨安镇</t>
  </si>
  <si>
    <t>Yánwù Xiāng</t>
  </si>
  <si>
    <t>严务乡</t>
  </si>
  <si>
    <t>Yāozhàn Zhèn</t>
  </si>
  <si>
    <t>腰站镇</t>
  </si>
  <si>
    <t>Yìdùkŏu Zhèn</t>
  </si>
  <si>
    <t>义渡口镇</t>
  </si>
  <si>
    <t>Yínchéng Jiēdào</t>
  </si>
  <si>
    <t>银城街道</t>
  </si>
  <si>
    <t>Yuánqiáo Zhèn</t>
  </si>
  <si>
    <t>袁桥镇</t>
  </si>
  <si>
    <t>Yújí Xiāng</t>
  </si>
  <si>
    <t>于集乡</t>
  </si>
  <si>
    <t>Yùnhé Jiēdào</t>
  </si>
  <si>
    <t>运河街道</t>
  </si>
  <si>
    <t>Yúnhóng Jiēdào</t>
  </si>
  <si>
    <t>云红街道</t>
  </si>
  <si>
    <t>Zháijiā Zhèn</t>
  </si>
  <si>
    <t>翟家镇</t>
  </si>
  <si>
    <t>Zhàitóubăo Xiāng</t>
  </si>
  <si>
    <t>寨头堡乡</t>
  </si>
  <si>
    <t>Zhāngdàzhuāng Zhèn</t>
  </si>
  <si>
    <t>张大庄镇</t>
  </si>
  <si>
    <t>Zhānghuá Zhèn</t>
  </si>
  <si>
    <t>张华镇</t>
  </si>
  <si>
    <t>Zhāngzhuāng Zhèn</t>
  </si>
  <si>
    <t>张庄镇</t>
  </si>
  <si>
    <t>Zhàoguān Zhèn</t>
  </si>
  <si>
    <t>赵官镇</t>
  </si>
  <si>
    <t>Zhàohŭ Zhèn</t>
  </si>
  <si>
    <t>赵虎镇</t>
  </si>
  <si>
    <t>Zhèngbăotún Zhèn</t>
  </si>
  <si>
    <t>郑保屯镇</t>
  </si>
  <si>
    <t>Zhèngdiàn Zhèn</t>
  </si>
  <si>
    <t>郑店镇</t>
  </si>
  <si>
    <t>Zhèngjiāzhài Zhèn</t>
  </si>
  <si>
    <t>郑家寨镇</t>
  </si>
  <si>
    <t>Zhōngdīng Xiāng</t>
  </si>
  <si>
    <t>中丁乡</t>
  </si>
  <si>
    <t>Zhù'ā Zhèn</t>
  </si>
  <si>
    <t>祝阿镇</t>
  </si>
  <si>
    <t>Zhūjí Zhèn</t>
  </si>
  <si>
    <t>朱集镇</t>
  </si>
  <si>
    <t>Zī Zhèn</t>
  </si>
  <si>
    <t>滋镇</t>
  </si>
  <si>
    <t>Bĕisòng Zhèn</t>
  </si>
  <si>
    <t>北宋镇</t>
  </si>
  <si>
    <t>Lìjīn Xiàn</t>
  </si>
  <si>
    <t>Chénguān Zhèn</t>
  </si>
  <si>
    <t>陈官镇</t>
  </si>
  <si>
    <t>Guăngráo Xiàn</t>
  </si>
  <si>
    <t>Chénzhuāng Zhèn</t>
  </si>
  <si>
    <t>陈庄镇</t>
  </si>
  <si>
    <t>Dàmătóu Zhèn</t>
  </si>
  <si>
    <t>大码头镇</t>
  </si>
  <si>
    <t>Dàozhuāng Zhèn</t>
  </si>
  <si>
    <t>稻庄镇</t>
  </si>
  <si>
    <t>Dàwáng Zhèn</t>
  </si>
  <si>
    <t>大王镇</t>
  </si>
  <si>
    <t>Diāokŏu Xiāng</t>
  </si>
  <si>
    <t>刁口乡</t>
  </si>
  <si>
    <t>Dīngzhuāng Jiēdào</t>
  </si>
  <si>
    <t>丁庄街道</t>
  </si>
  <si>
    <t>Dōngchéng Jiēdào</t>
  </si>
  <si>
    <t>东城街道</t>
  </si>
  <si>
    <t>Dōngyíng Qū</t>
  </si>
  <si>
    <t>Dŏngjí Zhèn</t>
  </si>
  <si>
    <t>董集镇</t>
  </si>
  <si>
    <t>Kĕnlì Qū</t>
  </si>
  <si>
    <t>Dōngyínggăng Jīngjì Kāifāqū</t>
  </si>
  <si>
    <t>东营港经济开发区</t>
  </si>
  <si>
    <t>Township-like Area</t>
  </si>
  <si>
    <t>Hékŏu Qū</t>
  </si>
  <si>
    <t>Dōngyíng Jīngjì Kāifāqū</t>
  </si>
  <si>
    <t>东营经济开发区</t>
  </si>
  <si>
    <t>Fènghuángchéng Jiēdào</t>
  </si>
  <si>
    <t>凤凰城街道</t>
  </si>
  <si>
    <t>Guăngbĕi Nóngchăng Zŏngchăng</t>
  </si>
  <si>
    <t>广北农场总厂</t>
  </si>
  <si>
    <t>Guăngráo Jiēdào</t>
  </si>
  <si>
    <t>广饶街道</t>
  </si>
  <si>
    <t>Gūdăo Zhèn</t>
  </si>
  <si>
    <t>孤岛镇</t>
  </si>
  <si>
    <t>Hăojiā Zhèn</t>
  </si>
  <si>
    <t>郝家镇</t>
  </si>
  <si>
    <t>Hékŏu Jiēdào</t>
  </si>
  <si>
    <t>河口街道</t>
  </si>
  <si>
    <t>Hékŏu Jīngjì Kāifāqū</t>
  </si>
  <si>
    <t>河口经济开发区</t>
  </si>
  <si>
    <t>Hóngguāng Lèisì Xiāngjí Dānwèi</t>
  </si>
  <si>
    <t>红光类似乡级单位</t>
  </si>
  <si>
    <t>Huāguān Zhèn</t>
  </si>
  <si>
    <t>花官镇</t>
  </si>
  <si>
    <t>Huánghékŏu Zhèn</t>
  </si>
  <si>
    <t>黄河口镇</t>
  </si>
  <si>
    <t>Huánghélù Jiēdào</t>
  </si>
  <si>
    <t>黄河路街道</t>
  </si>
  <si>
    <t>Kĕndōng Lèisì Xiāngjí Dānwèi</t>
  </si>
  <si>
    <t>垦东类似乡级单位</t>
  </si>
  <si>
    <t>Kĕnlì Jiēdào</t>
  </si>
  <si>
    <t>垦利街道</t>
  </si>
  <si>
    <t>Kĕnlìxiàn Shèqū</t>
  </si>
  <si>
    <t>垦利县社区</t>
  </si>
  <si>
    <t>Lè'ān Jiēdào</t>
  </si>
  <si>
    <t>乐安街道</t>
  </si>
  <si>
    <t>Lìjīn Jiēdào</t>
  </si>
  <si>
    <t>利津街道</t>
  </si>
  <si>
    <t>Lìjīn Xiàn Jīngjì Kāifāqū</t>
  </si>
  <si>
    <t>利津县经济开发区</t>
  </si>
  <si>
    <t>Lĭquè Zhèn</t>
  </si>
  <si>
    <t>李鹊镇</t>
  </si>
  <si>
    <t>Liùhé Jiēdào</t>
  </si>
  <si>
    <t>六合街道</t>
  </si>
  <si>
    <t>Liùhù Zhèn</t>
  </si>
  <si>
    <t>六户镇</t>
  </si>
  <si>
    <t>Lóngjū Zhèn</t>
  </si>
  <si>
    <t>龙居镇</t>
  </si>
  <si>
    <t>Míngjí Xiāng</t>
  </si>
  <si>
    <t>明集乡</t>
  </si>
  <si>
    <t>Niúzhuāng Zhèn</t>
  </si>
  <si>
    <t>牛庄镇</t>
  </si>
  <si>
    <t>Shāndōng Shĕng Kĕnlì Jīngjì Kāifāqū</t>
  </si>
  <si>
    <t>山东省垦利经济开发区</t>
  </si>
  <si>
    <t>Shènglì Jiēdào</t>
  </si>
  <si>
    <t>胜利街道</t>
  </si>
  <si>
    <t>Shèngtuó Zhèn</t>
  </si>
  <si>
    <t>胜坨镇</t>
  </si>
  <si>
    <t>Shèngyuán Jiēdào</t>
  </si>
  <si>
    <t>胜园街道</t>
  </si>
  <si>
    <t>Shĭkŏu Zhèn</t>
  </si>
  <si>
    <t>史口镇</t>
  </si>
  <si>
    <t>Tīngluó Zhèn</t>
  </si>
  <si>
    <t>汀罗镇</t>
  </si>
  <si>
    <t>Wénhuì Jiēdào</t>
  </si>
  <si>
    <t>文汇街道</t>
  </si>
  <si>
    <t>Xiānhé Zhèn</t>
  </si>
  <si>
    <t>仙河镇</t>
  </si>
  <si>
    <t>Xīndiàn Jiēdào</t>
  </si>
  <si>
    <t>辛店街道</t>
  </si>
  <si>
    <t>Xīnglóng Jiēdào</t>
  </si>
  <si>
    <t>兴隆街道</t>
  </si>
  <si>
    <t>Xīnhù Zhèn</t>
  </si>
  <si>
    <t>新户镇</t>
  </si>
  <si>
    <t>Yánwō Zhèn</t>
  </si>
  <si>
    <t>盐窝镇</t>
  </si>
  <si>
    <t>Yìhé Zhèn</t>
  </si>
  <si>
    <t>义和镇</t>
  </si>
  <si>
    <t>Yŏng'ān Zhèn</t>
  </si>
  <si>
    <t>永安镇</t>
  </si>
  <si>
    <t>Āncáilóu Zhèn</t>
  </si>
  <si>
    <t>安才楼镇</t>
  </si>
  <si>
    <t>Cáo Xiàn</t>
  </si>
  <si>
    <t>Ānxīng Zhèn</t>
  </si>
  <si>
    <t>安兴镇</t>
  </si>
  <si>
    <t>Mŭdān Qū</t>
  </si>
  <si>
    <t>Bàndī Zhèn</t>
  </si>
  <si>
    <t>半堤镇</t>
  </si>
  <si>
    <t>Dìngtáo Qū</t>
  </si>
  <si>
    <t>Shàn Xiàn</t>
  </si>
  <si>
    <t>Bīnhé Jiēdào</t>
  </si>
  <si>
    <t>滨河街道</t>
  </si>
  <si>
    <t>Càitáng Zhèn</t>
  </si>
  <si>
    <t>蔡堂镇</t>
  </si>
  <si>
    <t>Càiyuánjí Zhèn</t>
  </si>
  <si>
    <t>菜园集镇</t>
  </si>
  <si>
    <t>Dōngmíng Xiàn</t>
  </si>
  <si>
    <t>Cáochéng Jiēdào</t>
  </si>
  <si>
    <t>曹城街道</t>
  </si>
  <si>
    <t>Cáoxiàn Dàjí Zhèn</t>
  </si>
  <si>
    <t>曹县大集镇</t>
  </si>
  <si>
    <t>Cáoxiàn Lóuzhuāng Zhèn</t>
  </si>
  <si>
    <t>曹县楼庄镇</t>
  </si>
  <si>
    <t>Cáoxiàn Shàozhuāng Zhèn</t>
  </si>
  <si>
    <t>曹县邵庄镇</t>
  </si>
  <si>
    <t>Cáoxiàn Wángjí Zhèn</t>
  </si>
  <si>
    <t>曹县王集镇</t>
  </si>
  <si>
    <t>Cáoxiàn Wŭlóu Zhèn</t>
  </si>
  <si>
    <t>曹县仵楼镇</t>
  </si>
  <si>
    <t>Cáoxiàn Zhūhóngmiào Zhèn</t>
  </si>
  <si>
    <t>曹县朱洪庙镇</t>
  </si>
  <si>
    <t>Cáozhuāng Xiāng</t>
  </si>
  <si>
    <t>曹庄乡</t>
  </si>
  <si>
    <t>Chánglèjí Zhèn</t>
  </si>
  <si>
    <t>常乐集镇</t>
  </si>
  <si>
    <t>Chángxīngjí Xiāng</t>
  </si>
  <si>
    <t>长兴集乡</t>
  </si>
  <si>
    <t>Chéngguān Jiēdào</t>
  </si>
  <si>
    <t>城关街道</t>
  </si>
  <si>
    <t>Chéngtún Zhèn</t>
  </si>
  <si>
    <t>程屯镇</t>
  </si>
  <si>
    <t>Yùnchéng Xiàn</t>
  </si>
  <si>
    <t>Chéngwŭ Xiàn Báifútú Zhèn</t>
  </si>
  <si>
    <t>成武县白浮图镇</t>
  </si>
  <si>
    <t>Chéngwŭ Xiàn</t>
  </si>
  <si>
    <t>Chéngwŭ Xiàn Bólèjí Zhèn</t>
  </si>
  <si>
    <t>成武县伯乐集镇</t>
  </si>
  <si>
    <t>Chéngwŭ Xiàn Dăngjí Zhèn</t>
  </si>
  <si>
    <t>成武县党集镇</t>
  </si>
  <si>
    <t>Chéngwŭ Xiàn Dàtiánjí Zhèn</t>
  </si>
  <si>
    <t>成武县大田集镇</t>
  </si>
  <si>
    <t>Chéngwŭ Xiàn Gŏucūnjí Zhèn</t>
  </si>
  <si>
    <t>成武县苟村集镇</t>
  </si>
  <si>
    <t>Chéngwŭ Xiàn Jiŭnǚjí Zhèn</t>
  </si>
  <si>
    <t>成武县九女集镇</t>
  </si>
  <si>
    <t>Chéngwŭ Xiàn Nánlŭjí Zhèn</t>
  </si>
  <si>
    <t>成武县南鲁集镇</t>
  </si>
  <si>
    <t>Chéngwŭ Xiàn Sūnsì Zhèn</t>
  </si>
  <si>
    <t>成武县孙寺镇</t>
  </si>
  <si>
    <t>Chéngwŭ Xiàn Tiāngōngmiào Zhèn</t>
  </si>
  <si>
    <t>成武县天宫庙镇</t>
  </si>
  <si>
    <t>Chéngwŭ Xiàn Wènshàngjí Zhèn</t>
  </si>
  <si>
    <t>成武县汶上集镇</t>
  </si>
  <si>
    <t>Chéngwŭ Xiàn Zhānglóu Zhèn</t>
  </si>
  <si>
    <t>成武县张楼镇</t>
  </si>
  <si>
    <t>Chénjí Zhèn</t>
  </si>
  <si>
    <t>陈集镇</t>
  </si>
  <si>
    <t>Chénpō Xiāng</t>
  </si>
  <si>
    <t>陈坡乡</t>
  </si>
  <si>
    <t>Chénwáng Jiēdào</t>
  </si>
  <si>
    <t>陈王街道</t>
  </si>
  <si>
    <t>Juànchéng Xiàn</t>
  </si>
  <si>
    <t>Dàhuángjí Zhèn</t>
  </si>
  <si>
    <t>大黄集镇</t>
  </si>
  <si>
    <t>Dàniàn Zhèn</t>
  </si>
  <si>
    <t>大埝镇</t>
  </si>
  <si>
    <t>Dānyáng Jiēdào</t>
  </si>
  <si>
    <t>丹阳街道</t>
  </si>
  <si>
    <t>Dàtún Zhèn</t>
  </si>
  <si>
    <t>大屯镇</t>
  </si>
  <si>
    <t>Dàxièjí Zhèn</t>
  </si>
  <si>
    <t>大谢集镇</t>
  </si>
  <si>
    <t>Jùyĕ Xiàn</t>
  </si>
  <si>
    <t>Dàyì Zhèn</t>
  </si>
  <si>
    <t>大义镇</t>
  </si>
  <si>
    <t>Diànhùtún Jiēdào</t>
  </si>
  <si>
    <t>佃户屯街道</t>
  </si>
  <si>
    <t>Dīnglĭcháng Zhèn</t>
  </si>
  <si>
    <t>丁里长街道</t>
  </si>
  <si>
    <t>Dŏngguāntún Zhèn</t>
  </si>
  <si>
    <t>董官屯镇</t>
  </si>
  <si>
    <t>Dŏngkŏu Zhèn</t>
  </si>
  <si>
    <t>董口镇</t>
  </si>
  <si>
    <t>Dōngmíngjí Zhèn</t>
  </si>
  <si>
    <t>东明集镇</t>
  </si>
  <si>
    <t>Dúshān Zhèn</t>
  </si>
  <si>
    <t>独山镇</t>
  </si>
  <si>
    <t>Dūsī Zhèn</t>
  </si>
  <si>
    <t>都司镇</t>
  </si>
  <si>
    <t>Dùtáng Zhèn</t>
  </si>
  <si>
    <t>杜堂镇</t>
  </si>
  <si>
    <t>Făngshān Zhèn</t>
  </si>
  <si>
    <t>仿山镇</t>
  </si>
  <si>
    <t>Fènghuáng Jiēdào</t>
  </si>
  <si>
    <t>凤凰街道</t>
  </si>
  <si>
    <t>Fènghuáng Zhèn</t>
  </si>
  <si>
    <t>凤凰镇</t>
  </si>
  <si>
    <t>Fùchūn Zhèn</t>
  </si>
  <si>
    <t>富春镇</t>
  </si>
  <si>
    <t>Fúgăng Zhèn</t>
  </si>
  <si>
    <t>浮岗镇</t>
  </si>
  <si>
    <t>Gāolăojiā Xiāng</t>
  </si>
  <si>
    <t>高老家乡</t>
  </si>
  <si>
    <t>Gāowéizhuāng Zhèn</t>
  </si>
  <si>
    <t>高韦庄镇</t>
  </si>
  <si>
    <t>Gāozhuāng Zhèn</t>
  </si>
  <si>
    <t>高庄镇</t>
  </si>
  <si>
    <t>Guōcūn Zhèn</t>
  </si>
  <si>
    <t>郭村镇</t>
  </si>
  <si>
    <t>Guōtún Zhèn</t>
  </si>
  <si>
    <t>郭屯镇</t>
  </si>
  <si>
    <t>Gŭquán Jiēdào</t>
  </si>
  <si>
    <t>古泉街道</t>
  </si>
  <si>
    <t>Gŭyíngjí Zhèn</t>
  </si>
  <si>
    <t>古营集镇</t>
  </si>
  <si>
    <t>Hánjí Zhèn</t>
  </si>
  <si>
    <t>韩集镇</t>
  </si>
  <si>
    <t>Hélóu Jiēdào</t>
  </si>
  <si>
    <t>何楼街道</t>
  </si>
  <si>
    <t>Hétáoyuán Zhèn</t>
  </si>
  <si>
    <t>核桃园镇</t>
  </si>
  <si>
    <t>Hóngchuán Zhèn</t>
  </si>
  <si>
    <t>红船镇</t>
  </si>
  <si>
    <t>Hòují Huízú Zhèn</t>
  </si>
  <si>
    <t>侯集回族镇</t>
  </si>
  <si>
    <t>Hòuyānjí Zhèn</t>
  </si>
  <si>
    <t>侯咽集镇</t>
  </si>
  <si>
    <t>Huáng'ān Zhèn</t>
  </si>
  <si>
    <t>黄安镇</t>
  </si>
  <si>
    <t>Huángdiàn Zhèn</t>
  </si>
  <si>
    <t>黄店镇</t>
  </si>
  <si>
    <t>Huánggāng Zhèn</t>
  </si>
  <si>
    <t>黄堽镇</t>
  </si>
  <si>
    <t>Huánggăng Zhèn</t>
  </si>
  <si>
    <t>黄岗镇</t>
  </si>
  <si>
    <t>Huángjí Zhèn</t>
  </si>
  <si>
    <t>黄集镇</t>
  </si>
  <si>
    <t>Huángnígāng Zhèn [Huángduījí Zhèn]</t>
  </si>
  <si>
    <t>黄泥冈镇</t>
  </si>
  <si>
    <t>Huángzhèn Xiāng</t>
  </si>
  <si>
    <t>皇镇街道</t>
  </si>
  <si>
    <t>Jiāoyuán Xiāng</t>
  </si>
  <si>
    <t>焦园乡</t>
  </si>
  <si>
    <t>Jīshān Zhèn</t>
  </si>
  <si>
    <t>箕山镇</t>
  </si>
  <si>
    <t>Jiùchéng Zhèn</t>
  </si>
  <si>
    <t>旧城镇</t>
  </si>
  <si>
    <t>Láihé Zhèn</t>
  </si>
  <si>
    <t>莱河镇</t>
  </si>
  <si>
    <t>Liángdītóu Zhèn</t>
  </si>
  <si>
    <t>梁堤头镇</t>
  </si>
  <si>
    <t>Lĭcūn Zhèn</t>
  </si>
  <si>
    <t>李村镇</t>
  </si>
  <si>
    <t>Lĭjìnshìtáng Zhèn</t>
  </si>
  <si>
    <t>李进士堂镇</t>
  </si>
  <si>
    <t>Lĭjí Zhèn</t>
  </si>
  <si>
    <t>李集镇</t>
  </si>
  <si>
    <t>Línpú Zhèn</t>
  </si>
  <si>
    <t>临濮镇</t>
  </si>
  <si>
    <t>Lĭtiánlóu Zhèn</t>
  </si>
  <si>
    <t>李田楼镇</t>
  </si>
  <si>
    <t>Liŭlín Zhèn</t>
  </si>
  <si>
    <t>柳林镇</t>
  </si>
  <si>
    <t>Liúlóu Zhèn</t>
  </si>
  <si>
    <t>刘楼镇</t>
  </si>
  <si>
    <t>Lĭxīnzhuāng Zhèn</t>
  </si>
  <si>
    <t>李新庄镇</t>
  </si>
  <si>
    <t>Lónggù Zhèn</t>
  </si>
  <si>
    <t>龙固镇</t>
  </si>
  <si>
    <t>Lóngwángmiào Zhèn</t>
  </si>
  <si>
    <t>龙王庙镇</t>
  </si>
  <si>
    <t>Lǚlíng Zhèn</t>
  </si>
  <si>
    <t>吕陵镇</t>
  </si>
  <si>
    <t>Lùquān Zhèn</t>
  </si>
  <si>
    <t>陆圈镇</t>
  </si>
  <si>
    <t>Mălĭnggăng Zhèn</t>
  </si>
  <si>
    <t>马岭岗镇</t>
  </si>
  <si>
    <t>马头镇</t>
  </si>
  <si>
    <t>Mènghăi Zhèn</t>
  </si>
  <si>
    <t>孟海镇</t>
  </si>
  <si>
    <t>Mŭdān Jiēdào</t>
  </si>
  <si>
    <t>牡丹街道</t>
  </si>
  <si>
    <t>Nánchéng Jiēdào</t>
  </si>
  <si>
    <t>南城街道</t>
  </si>
  <si>
    <t>Nánwángdiàn Zhèn</t>
  </si>
  <si>
    <t>南王店镇</t>
  </si>
  <si>
    <t>Nánzhàolóu Zhèn</t>
  </si>
  <si>
    <t>南赵楼镇</t>
  </si>
  <si>
    <t>Níjí Xiāng</t>
  </si>
  <si>
    <t>倪集街道</t>
  </si>
  <si>
    <t>Pāndù Zhèn</t>
  </si>
  <si>
    <t>潘渡镇</t>
  </si>
  <si>
    <t>Pánshí Jiēdào</t>
  </si>
  <si>
    <t>磐石街道</t>
  </si>
  <si>
    <t>Pénglóu Zhèn</t>
  </si>
  <si>
    <t>彭楼镇</t>
  </si>
  <si>
    <t>Pŭliánjí Zhèn</t>
  </si>
  <si>
    <t>普连集镇</t>
  </si>
  <si>
    <t>Qílín Zhèn</t>
  </si>
  <si>
    <t>麒麟镇</t>
  </si>
  <si>
    <t>Qīnggăngjí Zhèn</t>
  </si>
  <si>
    <t>青岗集镇</t>
  </si>
  <si>
    <t>Qīnggùjí Zhèn</t>
  </si>
  <si>
    <t>青固集镇</t>
  </si>
  <si>
    <t>Qīnghé Jiēdào</t>
  </si>
  <si>
    <t>青菏街道</t>
  </si>
  <si>
    <t>Răngù Zhèn</t>
  </si>
  <si>
    <t>冉固镇</t>
  </si>
  <si>
    <t>Sānchūnjí Zhèn</t>
  </si>
  <si>
    <t>三春集镇</t>
  </si>
  <si>
    <t>Shātŭ Zhèn</t>
  </si>
  <si>
    <t>沙土镇</t>
  </si>
  <si>
    <t>Shāwō Zhèn</t>
  </si>
  <si>
    <t>沙窝镇</t>
  </si>
  <si>
    <t>什集镇</t>
  </si>
  <si>
    <t>Shílóu Zhèn</t>
  </si>
  <si>
    <t>时楼镇</t>
  </si>
  <si>
    <t>Shuāngqiáo Zhèn</t>
  </si>
  <si>
    <t>双桥镇</t>
  </si>
  <si>
    <t>Shuĭbăo Xiāng</t>
  </si>
  <si>
    <t>水堡乡</t>
  </si>
  <si>
    <t>Suíguāntún Zhèn</t>
  </si>
  <si>
    <t>随官屯镇</t>
  </si>
  <si>
    <t>Sūjí Zhèn</t>
  </si>
  <si>
    <t>苏集镇</t>
  </si>
  <si>
    <t>Sūnlăojiā Zhèn</t>
  </si>
  <si>
    <t>孙老家镇</t>
  </si>
  <si>
    <t>Tàipíng Zhèn</t>
  </si>
  <si>
    <t>太平镇</t>
  </si>
  <si>
    <t>Tángmiào Zhèn</t>
  </si>
  <si>
    <t>唐庙镇</t>
  </si>
  <si>
    <t>Tángtă Jiēdào</t>
  </si>
  <si>
    <t>唐塔街道</t>
  </si>
  <si>
    <t>Táomiào Zhèn</t>
  </si>
  <si>
    <t>陶庙镇</t>
  </si>
  <si>
    <t>Táoyuánjí Zhèn</t>
  </si>
  <si>
    <t>桃源集镇</t>
  </si>
  <si>
    <t>Tiánqiáo Zhèn</t>
  </si>
  <si>
    <t>田桥镇</t>
  </si>
  <si>
    <t>Tiānzhōng Jiēdào</t>
  </si>
  <si>
    <t>天中街道</t>
  </si>
  <si>
    <t>Tiánzhuāng Zhèn</t>
  </si>
  <si>
    <t>田庄镇</t>
  </si>
  <si>
    <t>Wànfēng Zhèn</t>
  </si>
  <si>
    <t>万丰镇</t>
  </si>
  <si>
    <t>Wànfú Jiēdào</t>
  </si>
  <si>
    <t>万福街道</t>
  </si>
  <si>
    <t>Wánghàotún Zhèn</t>
  </si>
  <si>
    <t>王浩屯镇</t>
  </si>
  <si>
    <t>Wèiwān Zhèn</t>
  </si>
  <si>
    <t>魏湾镇</t>
  </si>
  <si>
    <t>Wéntíng Jiēdào</t>
  </si>
  <si>
    <t>文亭街道</t>
  </si>
  <si>
    <t>Wŭ'ān Zhèn</t>
  </si>
  <si>
    <t>武安镇</t>
  </si>
  <si>
    <t>Wúdiàn Zhèn</t>
  </si>
  <si>
    <t>吴店镇</t>
  </si>
  <si>
    <t>Wŭshèngqiáo Zhèn</t>
  </si>
  <si>
    <t>武胜桥镇</t>
  </si>
  <si>
    <t>Xiăojĭng Zhèn</t>
  </si>
  <si>
    <t>小井镇</t>
  </si>
  <si>
    <t>Xiăoliú Zhèn</t>
  </si>
  <si>
    <t>小留镇</t>
  </si>
  <si>
    <t>Xīchéng Jiēdào</t>
  </si>
  <si>
    <t>西城街道</t>
  </si>
  <si>
    <t>Xièjí Zhèn</t>
  </si>
  <si>
    <t>谢集镇</t>
  </si>
  <si>
    <t>Xúzhài Zhèn</t>
  </si>
  <si>
    <t>徐寨镇</t>
  </si>
  <si>
    <t>Yándiànlóu Zhèn</t>
  </si>
  <si>
    <t>阎店楼镇</t>
  </si>
  <si>
    <t>Yánglóu Zhèn</t>
  </si>
  <si>
    <t>杨楼镇</t>
  </si>
  <si>
    <t>Yángzhuāngjí Zhèn</t>
  </si>
  <si>
    <t>杨庄集镇</t>
  </si>
  <si>
    <t>Yánshí Zhèn</t>
  </si>
  <si>
    <t>闫什镇</t>
  </si>
  <si>
    <t>Yínglĭ Zhèn</t>
  </si>
  <si>
    <t>营里镇</t>
  </si>
  <si>
    <t>Yĭnmă Zhèn</t>
  </si>
  <si>
    <t>引马镇</t>
  </si>
  <si>
    <t>Yŏngchāng Jiēdào</t>
  </si>
  <si>
    <t>永昌街道</t>
  </si>
  <si>
    <t>Yŏngfēng Jiēdào</t>
  </si>
  <si>
    <t>永丰街道</t>
  </si>
  <si>
    <t>Yuányì Jiēdào</t>
  </si>
  <si>
    <t>园艺街道</t>
  </si>
  <si>
    <t>Yuèchéng Jiēdào</t>
  </si>
  <si>
    <t>岳程街道</t>
  </si>
  <si>
    <t>Yùhuángmiào Zhèn</t>
  </si>
  <si>
    <t>玉皇庙镇</t>
  </si>
  <si>
    <t>Yùnzhōu Jiēdào</t>
  </si>
  <si>
    <t>郓州街道</t>
  </si>
  <si>
    <t>Yúwò Jiēdào</t>
  </si>
  <si>
    <t>渔沃街道</t>
  </si>
  <si>
    <t>Zhāngféng Zhèn</t>
  </si>
  <si>
    <t>章缝镇</t>
  </si>
  <si>
    <t>Zhāngjí Zhèn</t>
  </si>
  <si>
    <t>张集镇</t>
  </si>
  <si>
    <t>Zhānglŭjí Zhèn</t>
  </si>
  <si>
    <t>张鲁集镇</t>
  </si>
  <si>
    <t>Zhāngwān Zhèn</t>
  </si>
  <si>
    <t>张湾镇</t>
  </si>
  <si>
    <t>Zhāngyíng Zhèn</t>
  </si>
  <si>
    <t>张营街道</t>
  </si>
  <si>
    <t>Zhèngyíng Zhèn</t>
  </si>
  <si>
    <t>郑营镇</t>
  </si>
  <si>
    <t>Zhèngzhuāng Jiēdào</t>
  </si>
  <si>
    <t>郑庄街道</t>
  </si>
  <si>
    <t>Zhōngxīng Zhèn</t>
  </si>
  <si>
    <t>终兴镇</t>
  </si>
  <si>
    <t>Zhuāngzhài Zhèn</t>
  </si>
  <si>
    <t>庄寨镇</t>
  </si>
  <si>
    <t>Zhuānmiào Zhèn</t>
  </si>
  <si>
    <t>砖庙镇</t>
  </si>
  <si>
    <t>Zuŏyíng Zhèn</t>
  </si>
  <si>
    <t>左营镇</t>
  </si>
  <si>
    <t>Àishān Jiēdào</t>
  </si>
  <si>
    <t>艾山街道</t>
  </si>
  <si>
    <t>Gāngchéng Qū</t>
  </si>
  <si>
    <t>Ānchéng Zhèn</t>
  </si>
  <si>
    <t>安城镇</t>
  </si>
  <si>
    <t>Píngyīn Xiàn</t>
  </si>
  <si>
    <t>Báimăshān Jiēdào</t>
  </si>
  <si>
    <t>白马山街道</t>
  </si>
  <si>
    <t>Shìzhōng Qū</t>
  </si>
  <si>
    <t>Báiqiáo Zhèn</t>
  </si>
  <si>
    <t>白桥镇</t>
  </si>
  <si>
    <t>Shānghé Xiàn</t>
  </si>
  <si>
    <t>Báiyúnhú Jiēdào</t>
  </si>
  <si>
    <t>白云湖街道</t>
  </si>
  <si>
    <t>Zhāngqiū Qū</t>
  </si>
  <si>
    <t>Băohuá Jiēdào</t>
  </si>
  <si>
    <t>宝华街道</t>
  </si>
  <si>
    <t>Tiānqiáo Qū</t>
  </si>
  <si>
    <t>Bàoshān Jiēdào</t>
  </si>
  <si>
    <t>鲍山街道</t>
  </si>
  <si>
    <t>Lìchéng Qū</t>
  </si>
  <si>
    <t>Bàotūquán Jiēdào</t>
  </si>
  <si>
    <t>趵突泉街道</t>
  </si>
  <si>
    <t>Lìxià Qū</t>
  </si>
  <si>
    <t>Bĕicūn Jiēdào</t>
  </si>
  <si>
    <t>北村街道</t>
  </si>
  <si>
    <t>Bĕităn Jiēdào</t>
  </si>
  <si>
    <t>北坦街道</t>
  </si>
  <si>
    <t>Bĕiyuán Jiēdào</t>
  </si>
  <si>
    <t>北园街道</t>
  </si>
  <si>
    <t>Bùcūn Jiēdào</t>
  </si>
  <si>
    <t>埠村街道</t>
  </si>
  <si>
    <t>Căishí Jiēdào</t>
  </si>
  <si>
    <t>彩石街道</t>
  </si>
  <si>
    <t>Cáofàn Jiēdào</t>
  </si>
  <si>
    <t>曹范街道</t>
  </si>
  <si>
    <t>Cháyèkŏu Zhèn</t>
  </si>
  <si>
    <t>茶业口镇</t>
  </si>
  <si>
    <t>Láiwú Qū</t>
  </si>
  <si>
    <t>Cuīzhài Jiēdào</t>
  </si>
  <si>
    <t>崔寨街道</t>
  </si>
  <si>
    <t>Jìyáng Qū</t>
  </si>
  <si>
    <t>Dàguānyuán Jiēdào</t>
  </si>
  <si>
    <t>大观园街道</t>
  </si>
  <si>
    <t>Dàmínghú Jiēdào</t>
  </si>
  <si>
    <t>大明湖街道</t>
  </si>
  <si>
    <t>Dăngjiā Jiēdào</t>
  </si>
  <si>
    <t>党家街道</t>
  </si>
  <si>
    <t>Dàodéjiē Jiēdào</t>
  </si>
  <si>
    <t>道德街街道</t>
  </si>
  <si>
    <t>Huáiyìn Qū</t>
  </si>
  <si>
    <t>Dàqiáo Jiēdào</t>
  </si>
  <si>
    <t>大桥街道</t>
  </si>
  <si>
    <t>Dàwángzhuāng Zhèn</t>
  </si>
  <si>
    <t>大王庄镇</t>
  </si>
  <si>
    <t>Diànliŭ Jiēdào</t>
  </si>
  <si>
    <t>甸柳街道</t>
  </si>
  <si>
    <t>Diāo Jiēdào</t>
  </si>
  <si>
    <t>刁镇街道</t>
  </si>
  <si>
    <t>Dīkŏulù Jiēdào</t>
  </si>
  <si>
    <t>堤口路街道</t>
  </si>
  <si>
    <t>Dōng'ā Zhèn</t>
  </si>
  <si>
    <t>东阿镇</t>
  </si>
  <si>
    <t>Dōngfēng Jiēdào</t>
  </si>
  <si>
    <t>东风街道</t>
  </si>
  <si>
    <t>Dōngguān Jiēdào</t>
  </si>
  <si>
    <t>东关街道</t>
  </si>
  <si>
    <t>Dŏngjiā Jiēdào</t>
  </si>
  <si>
    <t>董家街道</t>
  </si>
  <si>
    <t>Dŏugōu Jiēdào</t>
  </si>
  <si>
    <t>陡沟街道</t>
  </si>
  <si>
    <t>Duàndiàn Bĕilù Jiēdào</t>
  </si>
  <si>
    <t>段店北路街道</t>
  </si>
  <si>
    <t>Duŏshí Jiēdào</t>
  </si>
  <si>
    <t>垛石街道</t>
  </si>
  <si>
    <t>Duŏzhuāng Zhèn</t>
  </si>
  <si>
    <t>垛庄镇</t>
  </si>
  <si>
    <t>Èrqī Jiēdào</t>
  </si>
  <si>
    <t>二七街道</t>
  </si>
  <si>
    <t>Fāngxià Jiēdào</t>
  </si>
  <si>
    <t>方下街道</t>
  </si>
  <si>
    <t>Fèngchéng Jiēdào</t>
  </si>
  <si>
    <t>凤城街道</t>
  </si>
  <si>
    <t>Gănggōu Jiēdào</t>
  </si>
  <si>
    <t>港沟街道</t>
  </si>
  <si>
    <t>Gānshíqiáo Jiēdào</t>
  </si>
  <si>
    <t>杆石桥街道</t>
  </si>
  <si>
    <t>Gāoguānzhài Jiēdào</t>
  </si>
  <si>
    <t>高官寨街道</t>
  </si>
  <si>
    <t>Gāozhuāng Jiēdào</t>
  </si>
  <si>
    <t>高庄街道</t>
  </si>
  <si>
    <t>Guānzhāyíng Jiēdào</t>
  </si>
  <si>
    <t>官扎营街道</t>
  </si>
  <si>
    <t>Guānzhuāng Jiēdào</t>
  </si>
  <si>
    <t>官庄街道</t>
  </si>
  <si>
    <t>Guīdé Jiēdào</t>
  </si>
  <si>
    <t>归德街道</t>
  </si>
  <si>
    <t>Chángqīng Qū</t>
  </si>
  <si>
    <t>Guōdiàn Jiēdào</t>
  </si>
  <si>
    <t>郭店街道</t>
  </si>
  <si>
    <t>Gùyúnhú Jiēdào</t>
  </si>
  <si>
    <t>崮云湖街道</t>
  </si>
  <si>
    <t>Hánmiào Zhèn</t>
  </si>
  <si>
    <t>韩庙镇</t>
  </si>
  <si>
    <t>Héhuālù Jiēdào</t>
  </si>
  <si>
    <t>荷花路街道</t>
  </si>
  <si>
    <t>Hézhuāng Zhèn</t>
  </si>
  <si>
    <t>和庄镇</t>
  </si>
  <si>
    <t>Hóngfànchí Zhèn</t>
  </si>
  <si>
    <t>洪范池镇</t>
  </si>
  <si>
    <t>Hóngjiālóu Jiēdào</t>
  </si>
  <si>
    <t>洪家楼街道</t>
  </si>
  <si>
    <t>Huáirén Zhèn</t>
  </si>
  <si>
    <t>怀仁镇</t>
  </si>
  <si>
    <t>Huánghé Jiēdào</t>
  </si>
  <si>
    <t>黄河街道</t>
  </si>
  <si>
    <t>Huáshān Jiēdào</t>
  </si>
  <si>
    <t>华山街道</t>
  </si>
  <si>
    <t>Huíhé Jiēdào</t>
  </si>
  <si>
    <t>回河街道</t>
  </si>
  <si>
    <t>Jiànxīn Jiēdào</t>
  </si>
  <si>
    <t>建新街道</t>
  </si>
  <si>
    <t>Jiăzhuāng Zhèn</t>
  </si>
  <si>
    <t>贾庄镇</t>
  </si>
  <si>
    <t>Jìbĕi Jiēdào</t>
  </si>
  <si>
    <t>济北街道</t>
  </si>
  <si>
    <t>Jiĕfànglù Jiēdào</t>
  </si>
  <si>
    <t>解放路街道</t>
  </si>
  <si>
    <t>Jĭnshuĭ Jiēdào</t>
  </si>
  <si>
    <t>锦水街道</t>
  </si>
  <si>
    <t>Jìyáng Jiēdào</t>
  </si>
  <si>
    <t>济阳街道</t>
  </si>
  <si>
    <t>Jùyĕhé Jiēdào</t>
  </si>
  <si>
    <t>巨野河街道</t>
  </si>
  <si>
    <t>Kŏngcūn Zhèn</t>
  </si>
  <si>
    <t>孔村镇</t>
  </si>
  <si>
    <t>Kǒuzhèn Jiēdào</t>
  </si>
  <si>
    <t>口镇街道</t>
  </si>
  <si>
    <t>Kuāngshān Jiēdào</t>
  </si>
  <si>
    <t>匡山街道</t>
  </si>
  <si>
    <t>Língăng Jiēdào</t>
  </si>
  <si>
    <t>临港街道</t>
  </si>
  <si>
    <t>Liŭbù Jiēdào</t>
  </si>
  <si>
    <t>柳埠街道</t>
  </si>
  <si>
    <t>Liùlĭshān Jiēdào</t>
  </si>
  <si>
    <t>六里山街道</t>
  </si>
  <si>
    <t>Lĭxīn Jiēdào</t>
  </si>
  <si>
    <t>里辛街道</t>
  </si>
  <si>
    <t>Lóngdòng Jiēdào</t>
  </si>
  <si>
    <t>龙洞街道</t>
  </si>
  <si>
    <t>Lóngsāngsì Zhèn</t>
  </si>
  <si>
    <t>龙桑寺镇</t>
  </si>
  <si>
    <t>Lóngshān Jiēdào</t>
  </si>
  <si>
    <t>龙山街道</t>
  </si>
  <si>
    <t>Luòkŏu Jiēdào</t>
  </si>
  <si>
    <t>泺口街道</t>
  </si>
  <si>
    <t>Luòyuán Jiēdào</t>
  </si>
  <si>
    <t>泺源街道</t>
  </si>
  <si>
    <t>Măshān Zhèn</t>
  </si>
  <si>
    <t>马山镇</t>
  </si>
  <si>
    <t>Méiguī Zhèn</t>
  </si>
  <si>
    <t>玫瑰镇</t>
  </si>
  <si>
    <t>Mĕilĭhú Jiēdào</t>
  </si>
  <si>
    <t>美里湖街道</t>
  </si>
  <si>
    <t>Miáoshān Zhèn</t>
  </si>
  <si>
    <t>苗山镇</t>
  </si>
  <si>
    <t>Míngshuĭ Jiēdào</t>
  </si>
  <si>
    <t>明水街道</t>
  </si>
  <si>
    <t>Náncūn Jiēdào</t>
  </si>
  <si>
    <t>南村街道</t>
  </si>
  <si>
    <t>Nánxīnzhuāng Jiēdào</t>
  </si>
  <si>
    <t>南辛庄街道</t>
  </si>
  <si>
    <t>Níngjiābù Jiēdào</t>
  </si>
  <si>
    <t>宁家埠街道</t>
  </si>
  <si>
    <t>Niúquán Zhèn</t>
  </si>
  <si>
    <t>牛泉镇</t>
  </si>
  <si>
    <t>Péngquán Jiēdào</t>
  </si>
  <si>
    <t>鹏泉街道</t>
  </si>
  <si>
    <t>Píng'ān Jiēdào</t>
  </si>
  <si>
    <t>平安街道</t>
  </si>
  <si>
    <t>Pŭjí Jiēdào</t>
  </si>
  <si>
    <t>普集街道</t>
  </si>
  <si>
    <t>Qiānfóshān Jiēdào</t>
  </si>
  <si>
    <t>千佛山街道</t>
  </si>
  <si>
    <t>Qīlĭshān Jiēdào</t>
  </si>
  <si>
    <t>七里山街道</t>
  </si>
  <si>
    <t>Qīngnián Gōngyuán Jiēdào</t>
  </si>
  <si>
    <t>青年公园街道</t>
  </si>
  <si>
    <t>Qīxián Jiēdào</t>
  </si>
  <si>
    <t>七贤街道</t>
  </si>
  <si>
    <t>Quánchénglù Jiēdào</t>
  </si>
  <si>
    <t>泉城路街道</t>
  </si>
  <si>
    <t>Quánfú Jiēdào</t>
  </si>
  <si>
    <t>全福街道</t>
  </si>
  <si>
    <t>Qŭdī Jiēdào</t>
  </si>
  <si>
    <t>曲堤街道</t>
  </si>
  <si>
    <t>Rénfēng Zhèn</t>
  </si>
  <si>
    <t>仁风镇</t>
  </si>
  <si>
    <t>Sāngzĭdiàn Jiēdào</t>
  </si>
  <si>
    <t>桑梓店街道</t>
  </si>
  <si>
    <t>Shāhé Zhèn</t>
  </si>
  <si>
    <t>沙河镇</t>
  </si>
  <si>
    <t>Shāndàlù Jiēdào</t>
  </si>
  <si>
    <t>山大路街道</t>
  </si>
  <si>
    <t>Shèngjĭng Jiēdào</t>
  </si>
  <si>
    <t>圣井街道</t>
  </si>
  <si>
    <t>Shíliùlĭhé Jiēdào</t>
  </si>
  <si>
    <t>十六里河街道</t>
  </si>
  <si>
    <t>Shuāngquán Zhèn</t>
  </si>
  <si>
    <t>双泉镇</t>
  </si>
  <si>
    <t>Shuāngshān Jiēdào</t>
  </si>
  <si>
    <t>双山街道</t>
  </si>
  <si>
    <t>Shuĭzhài Zhèn</t>
  </si>
  <si>
    <t>水寨镇</t>
  </si>
  <si>
    <t>Shùngēng Jiēdào</t>
  </si>
  <si>
    <t>舜耕街道</t>
  </si>
  <si>
    <t>Shùnhuálù Jiēdào</t>
  </si>
  <si>
    <t>舜华路街道</t>
  </si>
  <si>
    <t>Shùnyùlù Jiēdào</t>
  </si>
  <si>
    <t>舜玉路街道</t>
  </si>
  <si>
    <t>Sìlĭcūn Jiēdào</t>
  </si>
  <si>
    <t>四里村街道</t>
  </si>
  <si>
    <t>Sūncūn Jiēdào</t>
  </si>
  <si>
    <t>孙村街道</t>
  </si>
  <si>
    <t>Sūngĕng Jiēdào</t>
  </si>
  <si>
    <t>孙耿街道</t>
  </si>
  <si>
    <t>Sūnjí Zhèn</t>
  </si>
  <si>
    <t>孙集镇</t>
  </si>
  <si>
    <t>Tàipíng Jiēdào</t>
  </si>
  <si>
    <t>太平街道</t>
  </si>
  <si>
    <t>Tángwáng Jiēdào</t>
  </si>
  <si>
    <t>唐王街道</t>
  </si>
  <si>
    <t>Tángyĕ Jiēdào</t>
  </si>
  <si>
    <t>唐冶街道</t>
  </si>
  <si>
    <t>Tiānqiáo Dōngjiē Jiēdào</t>
  </si>
  <si>
    <t>天桥东街街道</t>
  </si>
  <si>
    <t>Wàndé Jiēdào</t>
  </si>
  <si>
    <t>万德街道</t>
  </si>
  <si>
    <t>Wángguānzhuāng Jiēdào</t>
  </si>
  <si>
    <t>王官庄街道</t>
  </si>
  <si>
    <t>Wángshèrén Jiēdào</t>
  </si>
  <si>
    <t>王舍人街道</t>
  </si>
  <si>
    <t>Wĕibĕilù Jiēdào</t>
  </si>
  <si>
    <t>纬北路街道</t>
  </si>
  <si>
    <t>Wèijiāzhuāng Jiēdào</t>
  </si>
  <si>
    <t>魏家庄街道</t>
  </si>
  <si>
    <t>Wénchāng Jiēdào</t>
  </si>
  <si>
    <t>文昌街道</t>
  </si>
  <si>
    <t>Wéndōng Jiēdào</t>
  </si>
  <si>
    <t>文东街道</t>
  </si>
  <si>
    <t>Wènyuán Jiēdào [Huángzhuāng Zhèn]</t>
  </si>
  <si>
    <t>汶源街道</t>
  </si>
  <si>
    <t>Wénzŭ Jiēdào</t>
  </si>
  <si>
    <t>文祖街道</t>
  </si>
  <si>
    <t>Wŭfēngshān Jiēdào</t>
  </si>
  <si>
    <t>五峰山街道</t>
  </si>
  <si>
    <t>Wújiābăo Jiēdào</t>
  </si>
  <si>
    <t>吴家堡街道</t>
  </si>
  <si>
    <t>Wŭlĭgōu Jiēdào</t>
  </si>
  <si>
    <t>五里沟街道</t>
  </si>
  <si>
    <t>Wúyĭngshān Jiēdào</t>
  </si>
  <si>
    <t>无影山街道</t>
  </si>
  <si>
    <t>Xiānggōngzhuāng Jiēdào</t>
  </si>
  <si>
    <t>相公庄街道</t>
  </si>
  <si>
    <t>Xiàolĭ Jiēdào</t>
  </si>
  <si>
    <t>孝里街道</t>
  </si>
  <si>
    <t>Xiàozhí Zhèn</t>
  </si>
  <si>
    <t>孝直镇</t>
  </si>
  <si>
    <t>Xìngfú Jiēdào [Duàndiàn Zhèn]</t>
  </si>
  <si>
    <t>兴福街道</t>
  </si>
  <si>
    <t>Xīnshì Zhèn</t>
  </si>
  <si>
    <t>新市镇</t>
  </si>
  <si>
    <t>Xīnzhuāng Jiēdào</t>
  </si>
  <si>
    <t>辛庄街道</t>
  </si>
  <si>
    <t>Xīshìchăng Jiēdào</t>
  </si>
  <si>
    <t>西市场街道</t>
  </si>
  <si>
    <t>Xiùhuì Jiēdào</t>
  </si>
  <si>
    <t>绣惠街道</t>
  </si>
  <si>
    <t>Xīyíng Jiēdào</t>
  </si>
  <si>
    <t>西营街道</t>
  </si>
  <si>
    <t>Xuĕyĕ Jiēdào</t>
  </si>
  <si>
    <t>雪野街道</t>
  </si>
  <si>
    <t>Xŭshāng Jiēdào</t>
  </si>
  <si>
    <t>许商街道</t>
  </si>
  <si>
    <t>Yánglĭ Jiēdào</t>
  </si>
  <si>
    <t>羊里街道</t>
  </si>
  <si>
    <t>Yángzhuāng Zhèn</t>
  </si>
  <si>
    <t>杨庄镇</t>
  </si>
  <si>
    <t>Yànshān Jiēdào</t>
  </si>
  <si>
    <t>燕山街道</t>
  </si>
  <si>
    <t>Yánzhuāng Jiēdào</t>
  </si>
  <si>
    <t>颜庄街道</t>
  </si>
  <si>
    <t>Yáojiā Jiēdào</t>
  </si>
  <si>
    <t>姚家街道</t>
  </si>
  <si>
    <t>Yáoqiáng Jiēdào</t>
  </si>
  <si>
    <t>遥墙街道</t>
  </si>
  <si>
    <t>Yàoshān Jiēdào</t>
  </si>
  <si>
    <t>药山街道</t>
  </si>
  <si>
    <t>Yíngshìjiē Jiēdào</t>
  </si>
  <si>
    <t>营市街街道</t>
  </si>
  <si>
    <t>Yīnxiàng Zhèn</t>
  </si>
  <si>
    <t>殷巷镇</t>
  </si>
  <si>
    <t>Yúshān Jiēdào</t>
  </si>
  <si>
    <t>榆山街道</t>
  </si>
  <si>
    <t>Zăoyuán Jiēdào</t>
  </si>
  <si>
    <t>枣园街道</t>
  </si>
  <si>
    <t>Zhàilĭ Zhèn</t>
  </si>
  <si>
    <t>寨里镇</t>
  </si>
  <si>
    <t>Zhāngfāng Zhèn</t>
  </si>
  <si>
    <t>张坊镇</t>
  </si>
  <si>
    <t>Zhāngjiāwā Jiēdào</t>
  </si>
  <si>
    <t>张家洼街道</t>
  </si>
  <si>
    <t>Zhāngxià Jiēdào</t>
  </si>
  <si>
    <t>张夏街道</t>
  </si>
  <si>
    <t>Zhāngzhuānglù Jiēdào</t>
  </si>
  <si>
    <t>张庄路街道</t>
  </si>
  <si>
    <t>Zhènglù Zhèn</t>
  </si>
  <si>
    <t>郑路镇</t>
  </si>
  <si>
    <t>Zhènxīngjiē Jiēdào</t>
  </si>
  <si>
    <t>振兴街街道</t>
  </si>
  <si>
    <t>Zhìjĭnshì Jiēdào</t>
  </si>
  <si>
    <t>制锦市街道</t>
  </si>
  <si>
    <t>Zhìyuăn Jiēdào</t>
  </si>
  <si>
    <t>智远街道</t>
  </si>
  <si>
    <t>Zhōngdà Huáishù Jiēdào</t>
  </si>
  <si>
    <t>中大槐树街道</t>
  </si>
  <si>
    <t>Zhònggōng Jiēdào</t>
  </si>
  <si>
    <t>仲宫街道</t>
  </si>
  <si>
    <t>Ānjū Jiēdào</t>
  </si>
  <si>
    <t>安居街道</t>
  </si>
  <si>
    <t>Rènchéng Qū</t>
  </si>
  <si>
    <t>Báishí Zhèn</t>
  </si>
  <si>
    <t>白石镇</t>
  </si>
  <si>
    <t>Wènshàng Xiàn</t>
  </si>
  <si>
    <t>Bĕisù Zhèn</t>
  </si>
  <si>
    <t>北宿镇</t>
  </si>
  <si>
    <t>Zōuchéng Shì</t>
  </si>
  <si>
    <t>Bīnhú Jiēdào</t>
  </si>
  <si>
    <t>滨湖街道</t>
  </si>
  <si>
    <t>Yútái Xiàn</t>
  </si>
  <si>
    <t>Bŭjí Zhèn</t>
  </si>
  <si>
    <t>卜集镇</t>
  </si>
  <si>
    <t>Jīnxiāng Xiàn</t>
  </si>
  <si>
    <t>Cáohé Zhèn</t>
  </si>
  <si>
    <t>漕河镇</t>
  </si>
  <si>
    <t>Yănzhōu Qū</t>
  </si>
  <si>
    <t>Chánggōu Zhèn</t>
  </si>
  <si>
    <t>长沟镇</t>
  </si>
  <si>
    <t>Chéngqián Zhèn</t>
  </si>
  <si>
    <t>城前镇</t>
  </si>
  <si>
    <t>Cìqiū Zhèn</t>
  </si>
  <si>
    <t>次丘镇</t>
  </si>
  <si>
    <t>Dà'ān Zhèn</t>
  </si>
  <si>
    <t>大安镇</t>
  </si>
  <si>
    <t>Dàlùkŏu Xiāng</t>
  </si>
  <si>
    <t>大路口乡</t>
  </si>
  <si>
    <t>Liángshān Xiàn</t>
  </si>
  <si>
    <t>Dàshù Zhèn</t>
  </si>
  <si>
    <t>大束镇</t>
  </si>
  <si>
    <t>Dàzhānglóu Zhèn</t>
  </si>
  <si>
    <t>大张楼镇</t>
  </si>
  <si>
    <t>Jiāxiáng Xiàn</t>
  </si>
  <si>
    <t>Fángshān Zhèn</t>
  </si>
  <si>
    <t>防山镇</t>
  </si>
  <si>
    <t>Qŭfù Shì</t>
  </si>
  <si>
    <t>Fùcūn Jiēdào</t>
  </si>
  <si>
    <t>傅村街道</t>
  </si>
  <si>
    <t>Wēishān Xiàn</t>
  </si>
  <si>
    <t>Fùqiáo Jiēdào</t>
  </si>
  <si>
    <t>阜桥街道</t>
  </si>
  <si>
    <t>Fúshān Jiēdào</t>
  </si>
  <si>
    <t>凫山街道</t>
  </si>
  <si>
    <t>Gāngshān Jiēdào</t>
  </si>
  <si>
    <t>钢山街道</t>
  </si>
  <si>
    <t>Gāohé Jiēdào</t>
  </si>
  <si>
    <t>高河街道</t>
  </si>
  <si>
    <t>Gāolóu Xiāng</t>
  </si>
  <si>
    <t>高楼乡</t>
  </si>
  <si>
    <t>Gāoyù Zhèn</t>
  </si>
  <si>
    <t>高峪镇</t>
  </si>
  <si>
    <t>Sìshuĭ Xiàn</t>
  </si>
  <si>
    <t>Guānghé Jiēdào</t>
  </si>
  <si>
    <t>洸河街道</t>
  </si>
  <si>
    <t>Guānyīngé Jiēdào</t>
  </si>
  <si>
    <t>观音阁街道</t>
  </si>
  <si>
    <t>Guănyì Zhèn</t>
  </si>
  <si>
    <t>馆驿镇</t>
  </si>
  <si>
    <t>Gŭhuái Jiēdào</t>
  </si>
  <si>
    <t>古槐街道</t>
  </si>
  <si>
    <t>Gŭlóu Jiēdào</t>
  </si>
  <si>
    <t>鼓楼街道</t>
  </si>
  <si>
    <t>Guōcāng Zhèn</t>
  </si>
  <si>
    <t>郭仓镇</t>
  </si>
  <si>
    <t>Guōlĭ Zhèn</t>
  </si>
  <si>
    <t>郭里镇</t>
  </si>
  <si>
    <t>Guōlóu Zhèn</t>
  </si>
  <si>
    <t>郭楼镇</t>
  </si>
  <si>
    <t>Gŭtíng Jiēdào</t>
  </si>
  <si>
    <t>谷亭街道</t>
  </si>
  <si>
    <t>Hángāi Zhèn</t>
  </si>
  <si>
    <t>韩垓镇</t>
  </si>
  <si>
    <t>Hángăng Zhèn</t>
  </si>
  <si>
    <t>韩岗镇</t>
  </si>
  <si>
    <t>Hánzhuāng Zhèn</t>
  </si>
  <si>
    <t>韩庄镇</t>
  </si>
  <si>
    <t>Hēihŭmiào Zhèn</t>
  </si>
  <si>
    <t>黑虎庙镇</t>
  </si>
  <si>
    <t>Huácūn Zhèn [Dàhuánggōu Xiāng]</t>
  </si>
  <si>
    <t>华村镇</t>
  </si>
  <si>
    <t>Huānchéng Zhèn</t>
  </si>
  <si>
    <t>欢城镇</t>
  </si>
  <si>
    <t>Huánggāi Zhèn</t>
  </si>
  <si>
    <t>黄垓镇</t>
  </si>
  <si>
    <t>Huángtún Jiēdào</t>
  </si>
  <si>
    <t>黄屯街道</t>
  </si>
  <si>
    <t>Huàyŭ Zhèn</t>
  </si>
  <si>
    <t>化雨镇</t>
  </si>
  <si>
    <t>Jiāxiángzhèn Jiēdào</t>
  </si>
  <si>
    <t>嘉祥镇街道</t>
  </si>
  <si>
    <t>Jiēzhuāng Jiēdào</t>
  </si>
  <si>
    <t>接庄街道</t>
  </si>
  <si>
    <t>Jìhé Jiēdào</t>
  </si>
  <si>
    <t>济河街道</t>
  </si>
  <si>
    <t>金城街道</t>
  </si>
  <si>
    <t>Jīntún Zhèn</t>
  </si>
  <si>
    <t>金屯镇</t>
  </si>
  <si>
    <t>Jīnxiāng Jiēdào</t>
  </si>
  <si>
    <t>金乡街道</t>
  </si>
  <si>
    <t>Jīnzhuāng Zhèn</t>
  </si>
  <si>
    <t>金庄镇</t>
  </si>
  <si>
    <t>Jīshŭ Zhèn</t>
  </si>
  <si>
    <t>鸡黍镇</t>
  </si>
  <si>
    <t>Jiŭxiānqiáo Jiēdào</t>
  </si>
  <si>
    <t>酒仙桥街道</t>
  </si>
  <si>
    <t>Jūntún Xiāng</t>
  </si>
  <si>
    <t>军屯乡</t>
  </si>
  <si>
    <t>Kāngyì Zhèn</t>
  </si>
  <si>
    <t>康驿镇</t>
  </si>
  <si>
    <t>Kànzhuāng Zhèn</t>
  </si>
  <si>
    <t>看庄镇</t>
  </si>
  <si>
    <t>Lăosēngtáng Zhèn</t>
  </si>
  <si>
    <t>老僧堂镇</t>
  </si>
  <si>
    <t>Lăozhài Zhèn</t>
  </si>
  <si>
    <t>老砦镇</t>
  </si>
  <si>
    <t>Liángbăosì Zhèn</t>
  </si>
  <si>
    <t>梁宝寺镇</t>
  </si>
  <si>
    <t>Liăngchéng Zhèn</t>
  </si>
  <si>
    <t>两城镇</t>
  </si>
  <si>
    <t>Liángshān Jiēdào</t>
  </si>
  <si>
    <t>梁山街道</t>
  </si>
  <si>
    <t>Lĭgé Zhèn</t>
  </si>
  <si>
    <t>李阁镇</t>
  </si>
  <si>
    <t>Língchéng Zhèn</t>
  </si>
  <si>
    <t>陵城镇</t>
  </si>
  <si>
    <t>Liŭxíng Jiēdào</t>
  </si>
  <si>
    <t>柳行街道</t>
  </si>
  <si>
    <t>Liúzhuāng Zhèn</t>
  </si>
  <si>
    <t>留庄镇</t>
  </si>
  <si>
    <t>Lĭyíng Jiēdào</t>
  </si>
  <si>
    <t>李营街道</t>
  </si>
  <si>
    <t>Lóngqiáo Jiēdào</t>
  </si>
  <si>
    <t>龙桥街道</t>
  </si>
  <si>
    <t>Lŭchéng Jiēdào</t>
  </si>
  <si>
    <t>鲁城街道</t>
  </si>
  <si>
    <t>Luótún Zhèn</t>
  </si>
  <si>
    <t>罗屯镇</t>
  </si>
  <si>
    <t>Lŭqiáo Zhèn</t>
  </si>
  <si>
    <t>鲁桥镇</t>
  </si>
  <si>
    <t>Măcūn Zhèn</t>
  </si>
  <si>
    <t>马村镇</t>
  </si>
  <si>
    <t>Mămiào Zhèn</t>
  </si>
  <si>
    <t>马庙镇</t>
  </si>
  <si>
    <t>Măndòng Zhèn</t>
  </si>
  <si>
    <t>满硐镇</t>
  </si>
  <si>
    <t>Măpō Zhèn</t>
  </si>
  <si>
    <t>马坡镇</t>
  </si>
  <si>
    <t>Măyíng Zhèn</t>
  </si>
  <si>
    <t>马营镇</t>
  </si>
  <si>
    <t>Mènggūjí Zhèn</t>
  </si>
  <si>
    <t>孟姑集镇</t>
  </si>
  <si>
    <t>Miáoguăn Zhèn</t>
  </si>
  <si>
    <t>苗馆镇</t>
  </si>
  <si>
    <t>Nánwàng Zhèn</t>
  </si>
  <si>
    <t>南旺镇</t>
  </si>
  <si>
    <t>Nányáng Zhèn</t>
  </si>
  <si>
    <t>南阳镇</t>
  </si>
  <si>
    <t>Nányuàn Jiēdào</t>
  </si>
  <si>
    <t>南苑街道</t>
  </si>
  <si>
    <t>Nánzhāng Jiēdào</t>
  </si>
  <si>
    <t>南张街道</t>
  </si>
  <si>
    <t>Nánzhàn Jiēdào</t>
  </si>
  <si>
    <t>南站街道</t>
  </si>
  <si>
    <t>Niànlĭpū Jiēdào</t>
  </si>
  <si>
    <t>廿里铺街道</t>
  </si>
  <si>
    <t>Níshān Zhèn [Nánxīn Zhèn]</t>
  </si>
  <si>
    <t>尼山镇</t>
  </si>
  <si>
    <t>Qiānquán Jiēdào</t>
  </si>
  <si>
    <t>千泉街道</t>
  </si>
  <si>
    <t>Quánlín Zhèn</t>
  </si>
  <si>
    <t>泉林镇</t>
  </si>
  <si>
    <t>Quánpū Zhèn</t>
  </si>
  <si>
    <t>拳铺镇</t>
  </si>
  <si>
    <t>Shèngshuĭyù Zhèn</t>
  </si>
  <si>
    <t>圣水峪镇</t>
  </si>
  <si>
    <t>Shíménshān Zhèn [Dŏngzhuāng Xiāng]</t>
  </si>
  <si>
    <t>石门山镇</t>
  </si>
  <si>
    <t>Shíqiáng Zhèn</t>
  </si>
  <si>
    <t>石墙镇</t>
  </si>
  <si>
    <t>Shíqiáo Zhèn</t>
  </si>
  <si>
    <t>石桥镇</t>
  </si>
  <si>
    <t>Shízhuāng Jiēdào</t>
  </si>
  <si>
    <t>时庄街道</t>
  </si>
  <si>
    <t>Shòuzhāngjí Zhèn</t>
  </si>
  <si>
    <t>寿张集镇</t>
  </si>
  <si>
    <t>Shuĭbó Jiēdào</t>
  </si>
  <si>
    <t>水泊街道</t>
  </si>
  <si>
    <t>Shūyuàn Jiēdào</t>
  </si>
  <si>
    <t>书院街道</t>
  </si>
  <si>
    <t>Sìhé Jiēdào</t>
  </si>
  <si>
    <t>泗河街道</t>
  </si>
  <si>
    <t>Sīmă Zhèn</t>
  </si>
  <si>
    <t>司马镇</t>
  </si>
  <si>
    <t>Sìzhāng Zhèn</t>
  </si>
  <si>
    <t>泗张镇</t>
  </si>
  <si>
    <t>Tángcūn Zhèn</t>
  </si>
  <si>
    <t>唐村镇</t>
  </si>
  <si>
    <t>Tángkŏu Jiēdào</t>
  </si>
  <si>
    <t>唐口街道</t>
  </si>
  <si>
    <t>Tángmă Zhèn</t>
  </si>
  <si>
    <t>唐马镇</t>
  </si>
  <si>
    <t>Tiánhuáng Zhèn</t>
  </si>
  <si>
    <t>田黄镇</t>
  </si>
  <si>
    <t>Tuănlĭ Zhèn</t>
  </si>
  <si>
    <t>疃里镇</t>
  </si>
  <si>
    <t>Wánglŭ Zhèn</t>
  </si>
  <si>
    <t>王鲁镇</t>
  </si>
  <si>
    <t>Wángpī Jiēdào</t>
  </si>
  <si>
    <t>王丕街道</t>
  </si>
  <si>
    <t>Wángyīn Jiēdào</t>
  </si>
  <si>
    <t>王因街道</t>
  </si>
  <si>
    <t>Wángzhuāng Zhèn</t>
  </si>
  <si>
    <t>王庄镇</t>
  </si>
  <si>
    <t>Wànzhāng Jiēdào</t>
  </si>
  <si>
    <t>万张街道</t>
  </si>
  <si>
    <t>Wēishāndăo Zhèn</t>
  </si>
  <si>
    <t>微山岛镇</t>
  </si>
  <si>
    <t>Wènshàng Jiēdào</t>
  </si>
  <si>
    <t>汶上街道</t>
  </si>
  <si>
    <t>Wòlóngshān Jiēdào</t>
  </si>
  <si>
    <t>卧龙山街道</t>
  </si>
  <si>
    <t>Wúcūn Zhèn</t>
  </si>
  <si>
    <t>吴村镇</t>
  </si>
  <si>
    <t>Xiāngchéng Zhèn</t>
  </si>
  <si>
    <t>香城镇</t>
  </si>
  <si>
    <t>Xiānyíng Jiēdào</t>
  </si>
  <si>
    <t>仙营街道</t>
  </si>
  <si>
    <t>Xiăo'ānshān Zhèn</t>
  </si>
  <si>
    <t>小安山镇</t>
  </si>
  <si>
    <t>Xiăolùkŏu Zhèn</t>
  </si>
  <si>
    <t>小路口镇</t>
  </si>
  <si>
    <t>Xiăomèng Zhèn</t>
  </si>
  <si>
    <t>小孟镇</t>
  </si>
  <si>
    <t>Xiăoxuĕ Jiēdào</t>
  </si>
  <si>
    <t>小雪街道</t>
  </si>
  <si>
    <t>Xiāoyún Zhèn</t>
  </si>
  <si>
    <t>霄云镇</t>
  </si>
  <si>
    <t>Xiàzhèn Jiēdào</t>
  </si>
  <si>
    <t>夏镇街道</t>
  </si>
  <si>
    <t>Xīngcūn Zhèn</t>
  </si>
  <si>
    <t>星村镇</t>
  </si>
  <si>
    <t>Xīnglóngzhuāng Jiēdào</t>
  </si>
  <si>
    <t>兴隆庄街道</t>
  </si>
  <si>
    <t>Xīnyăn Zhèn</t>
  </si>
  <si>
    <t>新兖镇</t>
  </si>
  <si>
    <t>Xīnyì Zhèn</t>
  </si>
  <si>
    <t>新驿镇</t>
  </si>
  <si>
    <t>Xīpíng Zhèn</t>
  </si>
  <si>
    <t>西平镇</t>
  </si>
  <si>
    <t>Xīzōu Zhèn</t>
  </si>
  <si>
    <t>息陬镇</t>
  </si>
  <si>
    <t>Xŭzhuāng Jiēdào</t>
  </si>
  <si>
    <t>许庄街道</t>
  </si>
  <si>
    <t>Yándiàn Zhèn</t>
  </si>
  <si>
    <t>颜店镇</t>
  </si>
  <si>
    <t>Yángdiàn Zhèn</t>
  </si>
  <si>
    <t>杨店镇</t>
  </si>
  <si>
    <t>Yángliŭ Zhèn</t>
  </si>
  <si>
    <t>杨柳镇</t>
  </si>
  <si>
    <t>Yángshān Zhèn</t>
  </si>
  <si>
    <t>羊山镇</t>
  </si>
  <si>
    <t>Yángyíng Zhèn</t>
  </si>
  <si>
    <t>杨营镇</t>
  </si>
  <si>
    <t>Yănkuàng Jítuán Jìdōng Xīncūn</t>
  </si>
  <si>
    <t>兖矿集团济东新村</t>
  </si>
  <si>
    <t>Yáocūn Zhèn</t>
  </si>
  <si>
    <t>姚村镇</t>
  </si>
  <si>
    <t>Yínsì Zhèn</t>
  </si>
  <si>
    <t>寅寺镇</t>
  </si>
  <si>
    <t>Yìqiáo Zhèn</t>
  </si>
  <si>
    <t>义桥镇</t>
  </si>
  <si>
    <t>Yìshān Zhèn</t>
  </si>
  <si>
    <t>峄山镇</t>
  </si>
  <si>
    <t>Yuànzhuāng Zhèn</t>
  </si>
  <si>
    <t>苑庄镇</t>
  </si>
  <si>
    <t>Yúchéng Zhèn</t>
  </si>
  <si>
    <t>鱼城镇</t>
  </si>
  <si>
    <t>Yuèhé Jiēdào</t>
  </si>
  <si>
    <t>越河街道</t>
  </si>
  <si>
    <t>鱼山街道</t>
  </si>
  <si>
    <t>Yùtún Zhèn</t>
  </si>
  <si>
    <t>喻屯镇</t>
  </si>
  <si>
    <t>Zhānghuáng Zhèn</t>
  </si>
  <si>
    <t>张黄镇</t>
  </si>
  <si>
    <t>Zhānglóu Zhèn</t>
  </si>
  <si>
    <t>张楼镇</t>
  </si>
  <si>
    <t>Zhàogùduī Xiāng</t>
  </si>
  <si>
    <t>赵堌堆乡</t>
  </si>
  <si>
    <t>Zhàomiào Zhèn</t>
  </si>
  <si>
    <t>赵庙镇</t>
  </si>
  <si>
    <t>Zhāoyáng Jiēdào</t>
  </si>
  <si>
    <t>昭阳街道</t>
  </si>
  <si>
    <t>Zhègōu Zhèn</t>
  </si>
  <si>
    <t>柘沟镇</t>
  </si>
  <si>
    <t>Zhĭfāng Zhèn</t>
  </si>
  <si>
    <t>纸坊镇</t>
  </si>
  <si>
    <t>Zhōngcè Zhèn</t>
  </si>
  <si>
    <t>中册镇</t>
  </si>
  <si>
    <t>Zhōngdū Jiēdào</t>
  </si>
  <si>
    <t>中都街道</t>
  </si>
  <si>
    <t>Zhòngshān Zhèn</t>
  </si>
  <si>
    <t>仲山镇</t>
  </si>
  <si>
    <t>Zhōngxīndiàn Zhèn</t>
  </si>
  <si>
    <t>中心店镇</t>
  </si>
  <si>
    <t>Āchéng Zhèn</t>
  </si>
  <si>
    <t>阿城镇</t>
  </si>
  <si>
    <t>Yánggŭ Xiàn</t>
  </si>
  <si>
    <t>Ānlè Zhèn</t>
  </si>
  <si>
    <t>安乐镇</t>
  </si>
  <si>
    <t>Bāchàlù Zhèn</t>
  </si>
  <si>
    <t>八岔路镇</t>
  </si>
  <si>
    <t>Línqīng Shì</t>
  </si>
  <si>
    <t>Dōngchāngfŭ Qū</t>
  </si>
  <si>
    <t>Bĕiguăntáo Zhèn</t>
  </si>
  <si>
    <t>北馆陶镇</t>
  </si>
  <si>
    <t>Guān Xiàn</t>
  </si>
  <si>
    <t>Bójìqiáo Jiēdào</t>
  </si>
  <si>
    <t>博济桥街道</t>
  </si>
  <si>
    <t>Bópíng Zhèn</t>
  </si>
  <si>
    <t>博平镇</t>
  </si>
  <si>
    <t>Chípíng Qū</t>
  </si>
  <si>
    <t>Càitún Zhèn</t>
  </si>
  <si>
    <t>菜屯镇</t>
  </si>
  <si>
    <t>Cháochéng Zhèn</t>
  </si>
  <si>
    <t>朝城镇</t>
  </si>
  <si>
    <t>Shēn Xiàn</t>
  </si>
  <si>
    <t>Dōng'ē Xiàn</t>
  </si>
  <si>
    <t>Chóngwén Jiēdào</t>
  </si>
  <si>
    <t>崇文街道</t>
  </si>
  <si>
    <t>Dàbù Xiāng</t>
  </si>
  <si>
    <t>大布乡</t>
  </si>
  <si>
    <t>Dàiwān Zhèn</t>
  </si>
  <si>
    <t>戴湾镇</t>
  </si>
  <si>
    <t>Dàokŏupū Jiēdào</t>
  </si>
  <si>
    <t>道口铺街道</t>
  </si>
  <si>
    <t>Dàqiáo Zhèn</t>
  </si>
  <si>
    <t>大桥镇</t>
  </si>
  <si>
    <t>Dàwángzhài Zhèn</t>
  </si>
  <si>
    <t>大王寨镇</t>
  </si>
  <si>
    <t>Dàxīnzhuāng Jiēdào</t>
  </si>
  <si>
    <t>大辛庄街道</t>
  </si>
  <si>
    <t>Dàzhāngjiā Zhèn</t>
  </si>
  <si>
    <t>大张家镇</t>
  </si>
  <si>
    <t>Dìngshuĭ Zhèn</t>
  </si>
  <si>
    <t>定水镇</t>
  </si>
  <si>
    <t>Dìngyuănzhài Zhèn</t>
  </si>
  <si>
    <t>定远寨镇</t>
  </si>
  <si>
    <t>Dŏngdùzhuāng Zhèn</t>
  </si>
  <si>
    <t>董杜庄镇</t>
  </si>
  <si>
    <t>Dōnggŭchéng Zhèn</t>
  </si>
  <si>
    <t>东古城镇</t>
  </si>
  <si>
    <t>Dōnglŭ Jiēdào</t>
  </si>
  <si>
    <t>东鲁街道</t>
  </si>
  <si>
    <t>Dòuhŭtún Zhèn</t>
  </si>
  <si>
    <t>斗虎屯镇</t>
  </si>
  <si>
    <t>Dùlángkŏu Zhèn</t>
  </si>
  <si>
    <t>杜郎口镇</t>
  </si>
  <si>
    <t>Fànzhài Zhèn</t>
  </si>
  <si>
    <t>范寨镇</t>
  </si>
  <si>
    <t>Féngguāntún Zhèn</t>
  </si>
  <si>
    <t>冯官屯镇</t>
  </si>
  <si>
    <t>Gānguāntún Zhèn</t>
  </si>
  <si>
    <t>甘官屯镇</t>
  </si>
  <si>
    <t>Gāojí Zhèn</t>
  </si>
  <si>
    <t>高集镇</t>
  </si>
  <si>
    <t>Gāomiàowáng Zhèn</t>
  </si>
  <si>
    <t>高庙王镇</t>
  </si>
  <si>
    <t>Guānchéng Zhèn</t>
  </si>
  <si>
    <t>观城镇</t>
  </si>
  <si>
    <t>Guăngpíng Zhèn</t>
  </si>
  <si>
    <t>广平镇</t>
  </si>
  <si>
    <t>Gùguāntún Zhèn</t>
  </si>
  <si>
    <t>顾官屯镇</t>
  </si>
  <si>
    <t>Gùhé Zhèn</t>
  </si>
  <si>
    <t>固河镇</t>
  </si>
  <si>
    <t>Gāotáng Xiàn</t>
  </si>
  <si>
    <t>古楼街道</t>
  </si>
  <si>
    <t>Guōdiàntún Zhèn</t>
  </si>
  <si>
    <t>郭店屯镇</t>
  </si>
  <si>
    <t>Gŭyún Zhèn</t>
  </si>
  <si>
    <t>古云镇</t>
  </si>
  <si>
    <t>Hántún Zhèn</t>
  </si>
  <si>
    <t>韩屯镇</t>
  </si>
  <si>
    <t>Hédiàn Zhèn</t>
  </si>
  <si>
    <t>河店镇</t>
  </si>
  <si>
    <t>Hóngguāntún Zhèn</t>
  </si>
  <si>
    <t>洪官屯镇</t>
  </si>
  <si>
    <t>Hòuyíng Zhèn</t>
  </si>
  <si>
    <t>侯营镇</t>
  </si>
  <si>
    <t>Huìxīn Jiēdào</t>
  </si>
  <si>
    <t>汇鑫街道</t>
  </si>
  <si>
    <t>Hútún Zhèn</t>
  </si>
  <si>
    <t>胡屯镇</t>
  </si>
  <si>
    <t>Húxī Jiēdào</t>
  </si>
  <si>
    <t>湖西街道</t>
  </si>
  <si>
    <t>Jiāngdiàn Zhèn</t>
  </si>
  <si>
    <t>姜店镇</t>
  </si>
  <si>
    <t>Jiăngguāntún Jiēdào</t>
  </si>
  <si>
    <t>蒋官屯街道</t>
  </si>
  <si>
    <t>Jiăzhài Zhèn</t>
  </si>
  <si>
    <t>贾寨镇</t>
  </si>
  <si>
    <t>Jiă Zhèn</t>
  </si>
  <si>
    <t>贾镇</t>
  </si>
  <si>
    <t>Jīndòuyíng Zhèn</t>
  </si>
  <si>
    <t>金斗营镇</t>
  </si>
  <si>
    <t>Jīnhăozhuāng Zhèn</t>
  </si>
  <si>
    <t>金郝庄镇</t>
  </si>
  <si>
    <t>Kāngzhuāng Zhèn</t>
  </si>
  <si>
    <t>康庄镇</t>
  </si>
  <si>
    <t>Lánwò Xiāng</t>
  </si>
  <si>
    <t>兰沃乡</t>
  </si>
  <si>
    <t>Lăozhàozhuāng Zhèn</t>
  </si>
  <si>
    <t>老赵庄镇</t>
  </si>
  <si>
    <t>Lèpíngpū Zhèn</t>
  </si>
  <si>
    <t>乐平铺镇</t>
  </si>
  <si>
    <t>Liángcūn Zhèn</t>
  </si>
  <si>
    <t>梁村镇</t>
  </si>
  <si>
    <t>Liángshuĭ Zhèn</t>
  </si>
  <si>
    <t>梁水镇</t>
  </si>
  <si>
    <t>Liángtáng Zhèn</t>
  </si>
  <si>
    <t>梁堂镇</t>
  </si>
  <si>
    <t>Lĭtái Zhèn</t>
  </si>
  <si>
    <t>李台镇</t>
  </si>
  <si>
    <t>Liúgāizi Zhèn</t>
  </si>
  <si>
    <t>刘垓子镇</t>
  </si>
  <si>
    <t>Liújí Zhèn</t>
  </si>
  <si>
    <t>刘集镇</t>
  </si>
  <si>
    <t>Liúlísì Zhèn</t>
  </si>
  <si>
    <t>琉璃寺镇</t>
  </si>
  <si>
    <t>Liŭyuán Jiēdào</t>
  </si>
  <si>
    <t>柳园街道</t>
  </si>
  <si>
    <t>Mèizhŏng Zhèn</t>
  </si>
  <si>
    <t>妹冢镇</t>
  </si>
  <si>
    <t>Niújiăodiàn Zhèn</t>
  </si>
  <si>
    <t>牛角店镇</t>
  </si>
  <si>
    <t>Pānzhuāng Zhèn</t>
  </si>
  <si>
    <t>潘庄镇</t>
  </si>
  <si>
    <t>Qiáorùn Jiēdào</t>
  </si>
  <si>
    <t>侨润街道</t>
  </si>
  <si>
    <t>Qījí Zhèn</t>
  </si>
  <si>
    <t>七级镇</t>
  </si>
  <si>
    <t>Qīngniánlù Jiēdào</t>
  </si>
  <si>
    <t>青年路街道</t>
  </si>
  <si>
    <t>Qīngpíng Zhèn</t>
  </si>
  <si>
    <t>清平镇</t>
  </si>
  <si>
    <t>Qīngquán Jiēdào</t>
  </si>
  <si>
    <t>清泉街道</t>
  </si>
  <si>
    <t>Qīngshuĭ Zhèn</t>
  </si>
  <si>
    <t>清水镇</t>
  </si>
  <si>
    <t>Rénhé Jiēdào</t>
  </si>
  <si>
    <t>人和街道</t>
  </si>
  <si>
    <t>Sāng'ā Zhèn</t>
  </si>
  <si>
    <t>桑阿镇</t>
  </si>
  <si>
    <t>Sānshílĭpū Zhèn</t>
  </si>
  <si>
    <t>三十里铺镇</t>
  </si>
  <si>
    <t>Shàngdiàn Zhèn</t>
  </si>
  <si>
    <t>尚店镇</t>
  </si>
  <si>
    <t>Shāzhèn Zhèn</t>
  </si>
  <si>
    <t>沙镇镇</t>
  </si>
  <si>
    <t>Shíbālĭpū Zhèn</t>
  </si>
  <si>
    <t>十八里铺镇</t>
  </si>
  <si>
    <t>Shífó Zhèn</t>
  </si>
  <si>
    <t>石佛镇</t>
  </si>
  <si>
    <t>Shíwŭlĭyuán Zhèn</t>
  </si>
  <si>
    <t>十五里园镇</t>
  </si>
  <si>
    <t>Shīzilóu Jiēdào</t>
  </si>
  <si>
    <t>狮子楼街道</t>
  </si>
  <si>
    <t>Shìziyuán Zhèn</t>
  </si>
  <si>
    <t>柿子园镇</t>
  </si>
  <si>
    <t>Shòuzhāng Zhèn</t>
  </si>
  <si>
    <t>寿张镇</t>
  </si>
  <si>
    <t>Sōnglín Zhèn</t>
  </si>
  <si>
    <t>松林镇</t>
  </si>
  <si>
    <t>Tángyì Zhèn</t>
  </si>
  <si>
    <t>堂邑镇</t>
  </si>
  <si>
    <t>Tángyuán Zhèn</t>
  </si>
  <si>
    <t>唐园镇</t>
  </si>
  <si>
    <t>Tóngchéng Jiēdào</t>
  </si>
  <si>
    <t>铜城街道</t>
  </si>
  <si>
    <t>Wángfèng Zhèn</t>
  </si>
  <si>
    <t>王奉镇</t>
  </si>
  <si>
    <t>Wángzhuāngjí Zhèn</t>
  </si>
  <si>
    <t>王庄集镇</t>
  </si>
  <si>
    <t>Wànshàn Xiāng</t>
  </si>
  <si>
    <t>万善乡</t>
  </si>
  <si>
    <t>Wèizhuāng Zhèn</t>
  </si>
  <si>
    <t>魏庄镇</t>
  </si>
  <si>
    <t>Wēnchén Jiēdào</t>
  </si>
  <si>
    <t>温陈街道</t>
  </si>
  <si>
    <t>Xiānfēnglù Jiēdào</t>
  </si>
  <si>
    <t>先锋路街道</t>
  </si>
  <si>
    <t>Xiāngjiāng Guănwĕihuì</t>
  </si>
  <si>
    <t>香江管委会</t>
  </si>
  <si>
    <t>Xiàojiāzhuāng Zhèn [Xiàozhuāng Zhèn]</t>
  </si>
  <si>
    <t>肖家庄镇</t>
  </si>
  <si>
    <t>Xiédiàn Xiāng</t>
  </si>
  <si>
    <t>斜店乡</t>
  </si>
  <si>
    <t>Xīhú Zhèn</t>
  </si>
  <si>
    <t>西湖镇</t>
  </si>
  <si>
    <t>Xīnchéng Jiēdào</t>
  </si>
  <si>
    <t>新城街道</t>
  </si>
  <si>
    <t>Xìnfā Jiēdào</t>
  </si>
  <si>
    <t>信发街道</t>
  </si>
  <si>
    <t>Xīnhuálù Jiēdào</t>
  </si>
  <si>
    <t>新华路街道</t>
  </si>
  <si>
    <t>Xīnjí Zhèn</t>
  </si>
  <si>
    <t>辛集镇</t>
  </si>
  <si>
    <t>Xīnqū Jiēdào</t>
  </si>
  <si>
    <t>新区街道</t>
  </si>
  <si>
    <t>Xīntíng Jiēdào</t>
  </si>
  <si>
    <t>莘亭街道</t>
  </si>
  <si>
    <t>Xīnzhōu Jiēdào</t>
  </si>
  <si>
    <t>莘州街道</t>
  </si>
  <si>
    <t>Xŭyíng Zhèn</t>
  </si>
  <si>
    <t>许营镇</t>
  </si>
  <si>
    <t>Xúzhuāng Zhèn</t>
  </si>
  <si>
    <t>徐庄镇</t>
  </si>
  <si>
    <t>Yàndiàn Zhèn</t>
  </si>
  <si>
    <t>燕店镇</t>
  </si>
  <si>
    <t>Yāndiàn Zhèn</t>
  </si>
  <si>
    <t>烟店镇</t>
  </si>
  <si>
    <t>Yángguāntún Xiāng</t>
  </si>
  <si>
    <t>杨官屯乡</t>
  </si>
  <si>
    <t>Yángtún Zhèn</t>
  </si>
  <si>
    <t>杨屯镇</t>
  </si>
  <si>
    <t>Yánlóu Zhèn</t>
  </si>
  <si>
    <t>阎楼镇</t>
  </si>
  <si>
    <t>Yánsì Jiēdào</t>
  </si>
  <si>
    <t>闫寺街道</t>
  </si>
  <si>
    <t>Yàntă Jiēdào</t>
  </si>
  <si>
    <t>燕塔街道</t>
  </si>
  <si>
    <t>Yānzhuāng Jiēdào</t>
  </si>
  <si>
    <t>烟庄街道</t>
  </si>
  <si>
    <t>Yáozhài Zhèn</t>
  </si>
  <si>
    <t>姚寨镇</t>
  </si>
  <si>
    <t>Yīngtáoyuán Zhèn</t>
  </si>
  <si>
    <t>樱桃园镇</t>
  </si>
  <si>
    <t>Yĭnjí Zhèn</t>
  </si>
  <si>
    <t>尹集镇</t>
  </si>
  <si>
    <t>Yújí Zhèn</t>
  </si>
  <si>
    <t>于集镇</t>
  </si>
  <si>
    <t>Yúqiūhú Jiēdào</t>
  </si>
  <si>
    <t>鱼邱湖街道</t>
  </si>
  <si>
    <t>Yúshān Zhèn</t>
  </si>
  <si>
    <t>鱼山镇</t>
  </si>
  <si>
    <t>Zhānglújí Zhèn</t>
  </si>
  <si>
    <t>张炉集镇</t>
  </si>
  <si>
    <t>Zhānglŭ Zhèn</t>
  </si>
  <si>
    <t>张鲁镇</t>
  </si>
  <si>
    <t>Zhāngqiū Zhèn</t>
  </si>
  <si>
    <t>张秋镇</t>
  </si>
  <si>
    <t>Zhāngzhài Zhèn</t>
  </si>
  <si>
    <t>张寨镇</t>
  </si>
  <si>
    <t>Zhàozhàizi Zhèn</t>
  </si>
  <si>
    <t>赵寨子镇</t>
  </si>
  <si>
    <t>Zhèngjiā Zhèn</t>
  </si>
  <si>
    <t>郑家镇</t>
  </si>
  <si>
    <t>Zhènxīng Jiēdào</t>
  </si>
  <si>
    <t>振兴街道</t>
  </si>
  <si>
    <t>Zhūlăozhuāng Zhèn</t>
  </si>
  <si>
    <t>朱老庄镇</t>
  </si>
  <si>
    <t>Zŭdiàn Zhèn</t>
  </si>
  <si>
    <t>俎店镇</t>
  </si>
  <si>
    <t>Àndī Zhèn</t>
  </si>
  <si>
    <t>岸堤镇</t>
  </si>
  <si>
    <t>Yínán Xiàn</t>
  </si>
  <si>
    <t>Bāhú Zhèn [incl. Liúdiànzi Xiāng]</t>
  </si>
  <si>
    <t>八湖镇</t>
  </si>
  <si>
    <t>Hédōng Qū</t>
  </si>
  <si>
    <t>Bǎilín Zhèn</t>
  </si>
  <si>
    <t>柏林镇</t>
  </si>
  <si>
    <t>Píngyì Xiàn</t>
  </si>
  <si>
    <t>Báimáo Zhèn</t>
  </si>
  <si>
    <t>白旄镇</t>
  </si>
  <si>
    <t>Línshù Xiàn</t>
  </si>
  <si>
    <t>Báishābù Zhèn</t>
  </si>
  <si>
    <t>白沙埠镇</t>
  </si>
  <si>
    <t>Lánshān Qū</t>
  </si>
  <si>
    <t>Báiyàn Zhèn</t>
  </si>
  <si>
    <t>白彦镇</t>
  </si>
  <si>
    <t>Bànchéng Zhèn</t>
  </si>
  <si>
    <t>半程镇</t>
  </si>
  <si>
    <t>Bănquán Zhèn</t>
  </si>
  <si>
    <t>板泉镇</t>
  </si>
  <si>
    <t>Jŭnán Xiàn</t>
  </si>
  <si>
    <t>Băotài Zhèn</t>
  </si>
  <si>
    <t>保太镇</t>
  </si>
  <si>
    <t>Biànqiáo Zhèn [incl. Zīqiū Zhèn]</t>
  </si>
  <si>
    <t>卞桥镇</t>
  </si>
  <si>
    <t>Biànzhuāng Jiēdào</t>
  </si>
  <si>
    <t>卞庄街道</t>
  </si>
  <si>
    <t>Lánlíng Xiàn</t>
  </si>
  <si>
    <t>Cāngshān Jiēdào [Jiăzhuāng Xiāng]</t>
  </si>
  <si>
    <t>苍山街道</t>
  </si>
  <si>
    <t>Cáozhuāng Zhèn</t>
  </si>
  <si>
    <t>曹庄镇</t>
  </si>
  <si>
    <t>Cèshān Jiēdào</t>
  </si>
  <si>
    <t>册山街道</t>
  </si>
  <si>
    <t>Luózhuāng Qū</t>
  </si>
  <si>
    <t>Chángchéng Zhèn [incl. Èrmiào Xiāng]</t>
  </si>
  <si>
    <t>长城镇</t>
  </si>
  <si>
    <t>Chánglù Zhèn</t>
  </si>
  <si>
    <t>常路镇</t>
  </si>
  <si>
    <t>Mĕngyīn Xiàn</t>
  </si>
  <si>
    <t>Chēwăng Zhèn</t>
  </si>
  <si>
    <t>车辋镇</t>
  </si>
  <si>
    <t>Chóngfāng Zhèn [incl. Xīncūn Xiāng]</t>
  </si>
  <si>
    <t>重坊镇</t>
  </si>
  <si>
    <t>Tánchéng Xiàn</t>
  </si>
  <si>
    <t>Chŭdūn Zhèn</t>
  </si>
  <si>
    <t>褚墩镇</t>
  </si>
  <si>
    <t>Cuījiāyù Zhèn</t>
  </si>
  <si>
    <t>崔家峪镇</t>
  </si>
  <si>
    <t>Yíshuĭ Xiàn</t>
  </si>
  <si>
    <t>Dàdiàn Zhèn</t>
  </si>
  <si>
    <t>大店镇</t>
  </si>
  <si>
    <t>Dàigù Zhèn</t>
  </si>
  <si>
    <t>岱崮镇</t>
  </si>
  <si>
    <t>Dàokŏu Zhèn</t>
  </si>
  <si>
    <t>道口镇</t>
  </si>
  <si>
    <t>Dàotuō Zhèn</t>
  </si>
  <si>
    <t>道托镇</t>
  </si>
  <si>
    <t>Dàtiánzhuāng Xiāng</t>
  </si>
  <si>
    <t>大田庄乡</t>
  </si>
  <si>
    <t>Fèi Xiàn</t>
  </si>
  <si>
    <t>Dàxīng Zhèn</t>
  </si>
  <si>
    <t>大兴镇</t>
  </si>
  <si>
    <t>Dàzhòngcūn Zhèn</t>
  </si>
  <si>
    <t>大仲村镇</t>
  </si>
  <si>
    <t>Dàzhuāng Zhèn [incl. Yángjiāpō Zhèn]</t>
  </si>
  <si>
    <t>大庄镇</t>
  </si>
  <si>
    <t>Diàntóu Zhèn</t>
  </si>
  <si>
    <t>店头镇</t>
  </si>
  <si>
    <t>Dìfāng Zhèn</t>
  </si>
  <si>
    <t>地方镇</t>
  </si>
  <si>
    <t>Dōngméng Zhèn [Nánzhāngzhuāng Xiāng]</t>
  </si>
  <si>
    <t>东蒙镇</t>
  </si>
  <si>
    <t>Duŏzhuāng Zhèn [incl. Jièpái Zhèn]</t>
  </si>
  <si>
    <t>Fāngchéng Zhèn [incl. Xīnqiáo Zhèn]</t>
  </si>
  <si>
    <t>方城镇</t>
  </si>
  <si>
    <t>Fāngqián Zhèn [incl. Xiāngdĭ Zhèn]</t>
  </si>
  <si>
    <t>坊前镇</t>
  </si>
  <si>
    <t>Fèichéng Jiēdào [incl. Chéngbĕi Zhèn]</t>
  </si>
  <si>
    <t>费城街道</t>
  </si>
  <si>
    <t>Fènghuánglĭng Jiēdào</t>
  </si>
  <si>
    <t>凤凰岭街道</t>
  </si>
  <si>
    <t>Fēngyáng Zhèn</t>
  </si>
  <si>
    <t>丰阳镇</t>
  </si>
  <si>
    <t>Fùguānzhuāng Zhèn</t>
  </si>
  <si>
    <t>富官庄镇</t>
  </si>
  <si>
    <t>Fùzhuāng Jiēdào [incl. Tāngzhuāng Jiēdào]</t>
  </si>
  <si>
    <t>傅庄街道</t>
  </si>
  <si>
    <t>Găngshàng Zhèn</t>
  </si>
  <si>
    <t>港上镇</t>
  </si>
  <si>
    <t>Gāodū Jiēdào</t>
  </si>
  <si>
    <t>高都街道</t>
  </si>
  <si>
    <t>Gāodū Zhèn</t>
  </si>
  <si>
    <t>高都镇</t>
  </si>
  <si>
    <t>Gāofēngtóu Zhèn</t>
  </si>
  <si>
    <t>高峰头镇</t>
  </si>
  <si>
    <t>Gāoqiáo Zhèn</t>
  </si>
  <si>
    <t>高桥镇</t>
  </si>
  <si>
    <t>Guīchāng Xiāng</t>
  </si>
  <si>
    <t>归昌乡</t>
  </si>
  <si>
    <t>Hónghuā Zhèn</t>
  </si>
  <si>
    <t>红花镇</t>
  </si>
  <si>
    <t>Huángshānpū Zhèn</t>
  </si>
  <si>
    <t>黄山铺镇</t>
  </si>
  <si>
    <t>Huángshān Zhèn</t>
  </si>
  <si>
    <t>黄山镇</t>
  </si>
  <si>
    <t>Hútóu Zhèn</t>
  </si>
  <si>
    <t>湖头镇</t>
  </si>
  <si>
    <t>Húyáng Zhèn</t>
  </si>
  <si>
    <t>胡阳镇</t>
  </si>
  <si>
    <t>Jiāolóng Zhèn</t>
  </si>
  <si>
    <t>蛟龙镇</t>
  </si>
  <si>
    <t>Jièhú Jiēdào</t>
  </si>
  <si>
    <t>界湖街道</t>
  </si>
  <si>
    <t>Jīnquèshān Jiēdào</t>
  </si>
  <si>
    <t>金雀山街道</t>
  </si>
  <si>
    <t>Jiŭqŭ Jiēdào</t>
  </si>
  <si>
    <t>九曲街道</t>
  </si>
  <si>
    <t>Jiùzhài Xiāng</t>
  </si>
  <si>
    <t>旧寨乡</t>
  </si>
  <si>
    <t>Kuàngkēng Zhèn</t>
  </si>
  <si>
    <t>矿坑镇</t>
  </si>
  <si>
    <t>Lánlíng Zhèn</t>
  </si>
  <si>
    <t>兰陵镇</t>
  </si>
  <si>
    <t>Lánshān Jiēdào [incl. Dàlǐng Zhèn]</t>
  </si>
  <si>
    <t>兰山街道</t>
  </si>
  <si>
    <t>Làopō Zhèn</t>
  </si>
  <si>
    <t>涝坡镇</t>
  </si>
  <si>
    <t>Liánchéng Zhèn</t>
  </si>
  <si>
    <t>联城镇</t>
  </si>
  <si>
    <t>Liángqiū Zhèn</t>
  </si>
  <si>
    <t>梁邱镇</t>
  </si>
  <si>
    <t>Lĭguān Zhèn</t>
  </si>
  <si>
    <t>李官镇</t>
  </si>
  <si>
    <t>Lĭngquán Zhèn</t>
  </si>
  <si>
    <t>岭泉镇</t>
  </si>
  <si>
    <t>Línjiàn Zhèn</t>
  </si>
  <si>
    <t>临涧镇</t>
  </si>
  <si>
    <t>Línshù Jiēdào</t>
  </si>
  <si>
    <t>临沭街道</t>
  </si>
  <si>
    <t>Liǔqīng Jiēdào [Nánfāng Jiēdào]</t>
  </si>
  <si>
    <t>柳青街道</t>
  </si>
  <si>
    <t>Liúyù Zhèn</t>
  </si>
  <si>
    <t>流峪镇</t>
  </si>
  <si>
    <t>Lĭzhuāng Zhèn [incl. Shādūn Zhèn]</t>
  </si>
  <si>
    <t>Lóngjiāquān Jiēdào</t>
  </si>
  <si>
    <t>龙家圈街道</t>
  </si>
  <si>
    <t>Lŭchéng Zhèn</t>
  </si>
  <si>
    <t>鲁城镇</t>
  </si>
  <si>
    <t>Luóxī Jiēdào</t>
  </si>
  <si>
    <t>罗西街道</t>
  </si>
  <si>
    <t>Luózhuāng Jiēdào</t>
  </si>
  <si>
    <t>罗庄街道</t>
  </si>
  <si>
    <t>Lúzhà Zhèn [Sānhé Xiāng]</t>
  </si>
  <si>
    <t>芦柞镇</t>
  </si>
  <si>
    <t>Măchănghú Zhèn</t>
  </si>
  <si>
    <t>马厂湖镇</t>
  </si>
  <si>
    <t>Mămùchí Xiāng</t>
  </si>
  <si>
    <t>马牧池乡</t>
  </si>
  <si>
    <t>Măzhàn Zhèn</t>
  </si>
  <si>
    <t>马站镇</t>
  </si>
  <si>
    <t>Măzhuāng Zhèn [incl. Sháoyàoshān Xiāng]</t>
  </si>
  <si>
    <t>马庄镇</t>
  </si>
  <si>
    <t>Méijiābù Jiēdào [Méibù Jiēdào]</t>
  </si>
  <si>
    <t>梅家埠街道</t>
  </si>
  <si>
    <t>Mĕngyīn Jiēdào</t>
  </si>
  <si>
    <t>蒙阴街道</t>
  </si>
  <si>
    <t>Miàoshān Zhèn</t>
  </si>
  <si>
    <t>庙山镇</t>
  </si>
  <si>
    <t>Móshān Zhèn</t>
  </si>
  <si>
    <t>磨山镇</t>
  </si>
  <si>
    <t>Nánqiáo Zhèn</t>
  </si>
  <si>
    <t>南桥镇</t>
  </si>
  <si>
    <t>Píngshàng Zhèn</t>
  </si>
  <si>
    <t>坪上镇</t>
  </si>
  <si>
    <t>Píngyì Jiēdào</t>
  </si>
  <si>
    <t>平邑街道</t>
  </si>
  <si>
    <t>Púwāng Zhèn</t>
  </si>
  <si>
    <t>蒲汪镇</t>
  </si>
  <si>
    <t>Qīngtuó Zhèn</t>
  </si>
  <si>
    <t>青驼镇</t>
  </si>
  <si>
    <t>Qīngyún Zhèn</t>
  </si>
  <si>
    <t>青云镇</t>
  </si>
  <si>
    <t>Quānlĭ Xiāng</t>
  </si>
  <si>
    <t>圈里乡</t>
  </si>
  <si>
    <t>Quányuán Zhèn</t>
  </si>
  <si>
    <t>泉源镇</t>
  </si>
  <si>
    <t>Quánzhuāng Zhèn</t>
  </si>
  <si>
    <t>泉庄镇</t>
  </si>
  <si>
    <t>Shāgōu Zhèn</t>
  </si>
  <si>
    <t>沙沟镇</t>
  </si>
  <si>
    <t>Shàngyán Zhèn</t>
  </si>
  <si>
    <t>尚岩镇</t>
  </si>
  <si>
    <t>Shàngyĕ Zhèn</t>
  </si>
  <si>
    <t>上冶镇</t>
  </si>
  <si>
    <t>Shènglì Zhèn</t>
  </si>
  <si>
    <t>胜利镇</t>
  </si>
  <si>
    <t>Shèngzhuāng Jiēdào [incl. Shuāngyuèhú Jiēdào]</t>
  </si>
  <si>
    <t>盛庄街道</t>
  </si>
  <si>
    <t>Shénshān Zhèn</t>
  </si>
  <si>
    <t>神山镇</t>
  </si>
  <si>
    <t>Shíjĭng Zhèn</t>
  </si>
  <si>
    <t>石井镇</t>
  </si>
  <si>
    <t>Shíliánzi Zhèn [incl. Tīngshuĭ Zhèn]</t>
  </si>
  <si>
    <t>石莲子镇</t>
  </si>
  <si>
    <t>Shímén Zhèn</t>
  </si>
  <si>
    <t>石门镇</t>
  </si>
  <si>
    <t>Shízìlù Jiēdào</t>
  </si>
  <si>
    <t>十字路街道</t>
  </si>
  <si>
    <t>Shuānghòu Zhèn</t>
  </si>
  <si>
    <t>双堠镇</t>
  </si>
  <si>
    <t>Sìshílĭbăo Zhèn</t>
  </si>
  <si>
    <t>四十里堡镇</t>
  </si>
  <si>
    <t>Sūcūn Zhèn</t>
  </si>
  <si>
    <t>苏村镇</t>
  </si>
  <si>
    <t>Sūnzŭ Zhèn</t>
  </si>
  <si>
    <t>孙祖镇</t>
  </si>
  <si>
    <t>Tănbù Zhèn</t>
  </si>
  <si>
    <t>坦埠镇</t>
  </si>
  <si>
    <t>Tánchéng Jiēdào</t>
  </si>
  <si>
    <t>郯城街道</t>
  </si>
  <si>
    <t>Tānghé Zhèn</t>
  </si>
  <si>
    <t>汤河镇</t>
  </si>
  <si>
    <t>Tāngtóu Jiēdào [incl. Gĕgōu Zhèn]</t>
  </si>
  <si>
    <t>汤头街道</t>
  </si>
  <si>
    <t>Tànyí Zhèn [incl. Liúzhuāng Zhèn]</t>
  </si>
  <si>
    <t>探沂镇</t>
  </si>
  <si>
    <t>Táoxū Zhèn</t>
  </si>
  <si>
    <t>桃墟镇</t>
  </si>
  <si>
    <t>Tóngjĭng Zhèn</t>
  </si>
  <si>
    <t>铜井镇</t>
  </si>
  <si>
    <t>Tóngshí Zhèn</t>
  </si>
  <si>
    <t>铜石镇</t>
  </si>
  <si>
    <t>Tuánlín Zhèn</t>
  </si>
  <si>
    <t>团林镇</t>
  </si>
  <si>
    <t>Wānggōu Zhèn</t>
  </si>
  <si>
    <t>汪沟镇</t>
  </si>
  <si>
    <t>Wēnshuĭ Zhèn</t>
  </si>
  <si>
    <t>温水镇</t>
  </si>
  <si>
    <t>Wéntuăn Zhèn</t>
  </si>
  <si>
    <t>文疃镇</t>
  </si>
  <si>
    <t>Wŭtái Zhèn</t>
  </si>
  <si>
    <t>武台镇</t>
  </si>
  <si>
    <t>Xiàcūn Xiāng</t>
  </si>
  <si>
    <t>下村乡</t>
  </si>
  <si>
    <t>Xiàngchéng Zhèn [incl. Xīngmíng Xiāng]</t>
  </si>
  <si>
    <t>向城镇</t>
  </si>
  <si>
    <t>Xiānggōng Jiēdào</t>
  </si>
  <si>
    <t>相公街道</t>
  </si>
  <si>
    <t>Xiānggōu Zhèn</t>
  </si>
  <si>
    <t>相沟镇</t>
  </si>
  <si>
    <t>Xiàyù Zhèn</t>
  </si>
  <si>
    <t>夏蔚镇</t>
  </si>
  <si>
    <t>Xīnxīng Zhèn</t>
  </si>
  <si>
    <t>新兴镇</t>
  </si>
  <si>
    <t>Xīnzhuāng Zhèn</t>
  </si>
  <si>
    <t>新庄镇</t>
  </si>
  <si>
    <t>Xuēzhuāng Zhèn</t>
  </si>
  <si>
    <t>薛庄镇</t>
  </si>
  <si>
    <t>Xŭjiāhú Zhèn [incl. Yáodiànzi Zhèn]</t>
  </si>
  <si>
    <t>许家湖镇</t>
  </si>
  <si>
    <t>Yánbīn Zhèn</t>
  </si>
  <si>
    <t>筵宾镇</t>
  </si>
  <si>
    <t>Yángjí Zhèn</t>
  </si>
  <si>
    <t>杨集镇</t>
  </si>
  <si>
    <t>Yĕdiàn Zhèn</t>
  </si>
  <si>
    <t>野店镇</t>
  </si>
  <si>
    <t>Yíchéng Jiēdào</t>
  </si>
  <si>
    <t>沂城街道</t>
  </si>
  <si>
    <t>Yínquèshān Jiēdào</t>
  </si>
  <si>
    <t>银雀山街道</t>
  </si>
  <si>
    <t>Yìtáng Zhèn [incl. Zhūbăo Zhèn]</t>
  </si>
  <si>
    <t>义堂镇</t>
  </si>
  <si>
    <t>Yítáng Zhèn</t>
  </si>
  <si>
    <t>沂堂镇</t>
  </si>
  <si>
    <t>Yīwèn Zhèn</t>
  </si>
  <si>
    <t>依汶镇</t>
  </si>
  <si>
    <t>Yuàndōngtóu Zhèn</t>
  </si>
  <si>
    <t>院东头镇</t>
  </si>
  <si>
    <t>Yùshān Zhèn [incl. Zhūcāng Xiāng]</t>
  </si>
  <si>
    <t>玉山镇</t>
  </si>
  <si>
    <t>Zǎoyuán Zhèn [Zăogōutóu Zhèn]</t>
  </si>
  <si>
    <t>枣园镇</t>
  </si>
  <si>
    <t>Zhāoyáng Jiēdào [Chónggōu Jiēdào]</t>
  </si>
  <si>
    <t>朝阳街道</t>
  </si>
  <si>
    <t>Zhèngchéng Zhèn [incl. Wèizhuāng Xiāng]</t>
  </si>
  <si>
    <t>郑城镇</t>
  </si>
  <si>
    <t>Zhèngshān Jiēdào [incl. Nángŭ Zhèn]</t>
  </si>
  <si>
    <t>郑山街道</t>
  </si>
  <si>
    <t>Zhèngwàng Zhèn</t>
  </si>
  <si>
    <t>郑旺镇</t>
  </si>
  <si>
    <t>Zhīmádūn Jiēdào</t>
  </si>
  <si>
    <t>芝麻墩街道</t>
  </si>
  <si>
    <t>Zhòngcūn Zhèn</t>
  </si>
  <si>
    <t>仲村镇</t>
  </si>
  <si>
    <t>Zhuānbù Zhèn</t>
  </si>
  <si>
    <t>砖埠镇</t>
  </si>
  <si>
    <t>Zhuànggăng Zhèn</t>
  </si>
  <si>
    <t>壮岗镇</t>
  </si>
  <si>
    <t>Zhuāngwù Zhèn [incl. Céngshān Zhèn]</t>
  </si>
  <si>
    <t>庄坞镇</t>
  </si>
  <si>
    <t>Zhūbiān Zhèn</t>
  </si>
  <si>
    <t>洙边镇</t>
  </si>
  <si>
    <t>Zhūgĕ Zhèn</t>
  </si>
  <si>
    <t>诸葛镇</t>
  </si>
  <si>
    <t>Zhūlú Zhèn</t>
  </si>
  <si>
    <t>朱芦镇</t>
  </si>
  <si>
    <t>Zhūtián Zhèn</t>
  </si>
  <si>
    <t>朱田镇</t>
  </si>
  <si>
    <t>Áoshānwèi Jiēdào</t>
  </si>
  <si>
    <t>鳌山卫街道</t>
  </si>
  <si>
    <t>Jímò Qū</t>
  </si>
  <si>
    <t>Bādàguān Jiēdào</t>
  </si>
  <si>
    <t>八大关街道</t>
  </si>
  <si>
    <t>Shìnán Qū</t>
  </si>
  <si>
    <t>Bādàhú Jiēdào</t>
  </si>
  <si>
    <t>八大湖街道</t>
  </si>
  <si>
    <t>Bādàxiá Jiēdào</t>
  </si>
  <si>
    <t>八大峡街道</t>
  </si>
  <si>
    <t>Báishāhé Jiēdào [incl. Málán Zhèn, Zhānggēzhuāng Zhèn]</t>
  </si>
  <si>
    <t>白沙河街道</t>
  </si>
  <si>
    <t>Píngdù Shì</t>
  </si>
  <si>
    <t>Băoshān Zhèn</t>
  </si>
  <si>
    <t>宝山镇</t>
  </si>
  <si>
    <t>Huángdăo Qū</t>
  </si>
  <si>
    <t>Bĕi'ān Jiēdào</t>
  </si>
  <si>
    <t>北安街道</t>
  </si>
  <si>
    <t>Bĕiguān Jiēdào</t>
  </si>
  <si>
    <t>北关街道</t>
  </si>
  <si>
    <t>Jiāozhōu Shì</t>
  </si>
  <si>
    <t>Bĕizhái Jiēdào</t>
  </si>
  <si>
    <t>北宅街道</t>
  </si>
  <si>
    <t>Láoshān Qū</t>
  </si>
  <si>
    <t>Bīnhăi Jiēdào</t>
  </si>
  <si>
    <t>滨海街道</t>
  </si>
  <si>
    <t>Bīnhélù Jiēdào</t>
  </si>
  <si>
    <t>滨河路街道</t>
  </si>
  <si>
    <t>Láixī Shì</t>
  </si>
  <si>
    <t>Bólĭ Zhèn</t>
  </si>
  <si>
    <t>泊里镇</t>
  </si>
  <si>
    <t>Cāngkǒu Jiēdào [Yŏng'ānlù Jiēdào]</t>
  </si>
  <si>
    <t>沧口街道</t>
  </si>
  <si>
    <t>Lĭcāng Qū</t>
  </si>
  <si>
    <t>Chángjiānglù Jiēdào</t>
  </si>
  <si>
    <t>长江路街道</t>
  </si>
  <si>
    <t>Cháohăi Jiēdào</t>
  </si>
  <si>
    <t>潮海街道</t>
  </si>
  <si>
    <t>Chéngyáng Jiēdào</t>
  </si>
  <si>
    <t>城阳街道</t>
  </si>
  <si>
    <t>Chéngyáng Qū</t>
  </si>
  <si>
    <t>Cuījiājí Zhèn</t>
  </si>
  <si>
    <t>崔家集镇</t>
  </si>
  <si>
    <t>Dàchăng Zhèn</t>
  </si>
  <si>
    <t>大场镇</t>
  </si>
  <si>
    <t>Dàcūn Zhèn [incl. Lĭwùguān Zhèn]</t>
  </si>
  <si>
    <t>大村镇</t>
  </si>
  <si>
    <t>Dàgăng Jiēdào [incl. Huáyánglù Jiēdào]</t>
  </si>
  <si>
    <t>大港街道</t>
  </si>
  <si>
    <t>Shìbĕi Qū</t>
  </si>
  <si>
    <t>Dàxìn Jiēdào [incl. Pŭdōng Zhèn]</t>
  </si>
  <si>
    <t>大信街道</t>
  </si>
  <si>
    <t>Dàzéshān Zhèn [incl. Chánglè Zhèn]</t>
  </si>
  <si>
    <t>大泽山镇</t>
  </si>
  <si>
    <t>Dēngzhōulù Jiēdào</t>
  </si>
  <si>
    <t>登州路街道</t>
  </si>
  <si>
    <t>Diànbù Zhèn</t>
  </si>
  <si>
    <t>店埠镇</t>
  </si>
  <si>
    <t>Dōnggé Jiēdào [Chéngguān Jiēdào; incl. Cuīzhào Zhèn, Măgēzhuāng Zhèn]</t>
  </si>
  <si>
    <t>东阁街道</t>
  </si>
  <si>
    <t>Duànbólán Zhèn [incl. Liújiāzhuāng Zhèn]</t>
  </si>
  <si>
    <t>段泊岚镇</t>
  </si>
  <si>
    <t>Dūnhuàlù Jiēdào</t>
  </si>
  <si>
    <t>敦化路街道</t>
  </si>
  <si>
    <t>Fù'ān Jiēdào</t>
  </si>
  <si>
    <t>阜安街道</t>
  </si>
  <si>
    <t>Fúshānlù Jiēdào</t>
  </si>
  <si>
    <t>浮山路街道</t>
  </si>
  <si>
    <t>Fúshān Xīnqū Jiēdào [incl. Tóng'ānlù Jiēdào]</t>
  </si>
  <si>
    <t>浮山新区街道</t>
  </si>
  <si>
    <t>Fùxīnlù Jiēdào</t>
  </si>
  <si>
    <t>阜新路街道</t>
  </si>
  <si>
    <t>Guānhăilù Jiēdào</t>
  </si>
  <si>
    <t>观海路街道</t>
  </si>
  <si>
    <t>Gūhé Jiēdào [incl. Sūnshòu Zhèn]</t>
  </si>
  <si>
    <t>沽河街道</t>
  </si>
  <si>
    <t>Gŭxiàn Zhèn</t>
  </si>
  <si>
    <t>古岘镇</t>
  </si>
  <si>
    <t>Hăilúnlù Jiēdào</t>
  </si>
  <si>
    <t>海伦路街道</t>
  </si>
  <si>
    <t>Hăiqīng Zhèn</t>
  </si>
  <si>
    <t>海青镇</t>
  </si>
  <si>
    <t>Héféilù Jiēdào</t>
  </si>
  <si>
    <t>合肥路街道</t>
  </si>
  <si>
    <t>Hétào Jiēdào</t>
  </si>
  <si>
    <t>河套街道</t>
  </si>
  <si>
    <t>Hétóudiàn Zhèn</t>
  </si>
  <si>
    <t>河头店镇</t>
  </si>
  <si>
    <t>Héxī Jiēdào</t>
  </si>
  <si>
    <t>河西街道</t>
  </si>
  <si>
    <t>Hóngdăo Jiēdào</t>
  </si>
  <si>
    <t>红岛街道</t>
  </si>
  <si>
    <t>Hóngshānpō Jiēdào</t>
  </si>
  <si>
    <t>洪山坡街道</t>
  </si>
  <si>
    <t>Hóngshíyá Jiēdào</t>
  </si>
  <si>
    <t>红石崖街道</t>
  </si>
  <si>
    <t>Huángdăo Jiēdào</t>
  </si>
  <si>
    <t>黄岛街道</t>
  </si>
  <si>
    <t>Huánxiù Jiēdào</t>
  </si>
  <si>
    <t>环秀街道</t>
  </si>
  <si>
    <t>Hŭshānlù Jiēdào</t>
  </si>
  <si>
    <t>虎山路街道</t>
  </si>
  <si>
    <t>Jiāngshān Zhèn [incl. Lĭquánzhuāng Zhèn]</t>
  </si>
  <si>
    <t>姜山镇</t>
  </si>
  <si>
    <t>Jiāngsūlù Jiēdào</t>
  </si>
  <si>
    <t>江苏路街道</t>
  </si>
  <si>
    <t>Jiāobĕi Jiēdào</t>
  </si>
  <si>
    <t>胶北街道</t>
  </si>
  <si>
    <t>Jiāodōng Jiēdào</t>
  </si>
  <si>
    <t>胶东街道</t>
  </si>
  <si>
    <t>Jiāolái Jiēdào [incl. Mădiàn Zhèn]</t>
  </si>
  <si>
    <t>胶莱街道</t>
  </si>
  <si>
    <t>Jiāoxī Jiēdào [incl. Dùcūn Zhèn]</t>
  </si>
  <si>
    <t>胶西街道</t>
  </si>
  <si>
    <t>Jíhóngtān Jiēdào</t>
  </si>
  <si>
    <t>棘洪滩街道</t>
  </si>
  <si>
    <t>Jímòlù Jiēdào [incl. Xiăogăng Jiēdào]</t>
  </si>
  <si>
    <t>即墨路街道</t>
  </si>
  <si>
    <t>Jīnhúlù Jiēdào</t>
  </si>
  <si>
    <t>金湖路街道</t>
  </si>
  <si>
    <t>Jīnkŏulù Jiēdào</t>
  </si>
  <si>
    <t>金口路街道</t>
  </si>
  <si>
    <t>Jīnkŏu Zhèn [incl. Diànjí Zhèn]</t>
  </si>
  <si>
    <t>金口镇</t>
  </si>
  <si>
    <t>Jīnménlù Jiēdào</t>
  </si>
  <si>
    <t>金门路街道</t>
  </si>
  <si>
    <t>Jiùdiàn Zhèn [incl. Dàtián Zhèn, Zhùgōu Zhèn]</t>
  </si>
  <si>
    <t>旧店镇</t>
  </si>
  <si>
    <t>Jiŭlóng Jiēdào</t>
  </si>
  <si>
    <t>九龙街道</t>
  </si>
  <si>
    <t>Jiŭshuĭ Jiēdào [incl. Shìyuán Jiēdào]</t>
  </si>
  <si>
    <t>九水街道</t>
  </si>
  <si>
    <t>Láncūn Jiēdào [incl. Nánquán Zhèn]</t>
  </si>
  <si>
    <t>蓝村街道</t>
  </si>
  <si>
    <t>Lángyá Zhèn</t>
  </si>
  <si>
    <t>琅琊镇</t>
  </si>
  <si>
    <t>Liăolán Zhèn [incl. Wànjiā Zhèn]</t>
  </si>
  <si>
    <t>蓼兰镇</t>
  </si>
  <si>
    <t>Liáonínglù Jiēdào</t>
  </si>
  <si>
    <t>辽宁路街道</t>
  </si>
  <si>
    <t>Liáoyuánlù Jiēdào</t>
  </si>
  <si>
    <t>辽源路街道</t>
  </si>
  <si>
    <t>Lĭchà Zhèn [incl. Zhāngyīng Zhèn]</t>
  </si>
  <si>
    <t>里岔镇</t>
  </si>
  <si>
    <t>Lĭcūn Jiēdào</t>
  </si>
  <si>
    <t>李村街道</t>
  </si>
  <si>
    <t>Lĭgēzhuāng Zhèn</t>
  </si>
  <si>
    <t>李哥庄镇</t>
  </si>
  <si>
    <t>Língshān Jiēdào [incl. Huáshān Zhèn]</t>
  </si>
  <si>
    <t>灵山街道</t>
  </si>
  <si>
    <t>Língshānwèi Jiēdào</t>
  </si>
  <si>
    <t>灵山卫街道</t>
  </si>
  <si>
    <t>Língzhūshān Jiēdào [Liŭhuābó Jiēdào]</t>
  </si>
  <si>
    <t>灵珠山街道</t>
  </si>
  <si>
    <t>Liútíng Jiēdào</t>
  </si>
  <si>
    <t>流亭街道</t>
  </si>
  <si>
    <t>Liùwāng Zhèn</t>
  </si>
  <si>
    <t>六汪镇</t>
  </si>
  <si>
    <t>Lĭyuán Jiēdào [incl. Méncūn Zhèn]</t>
  </si>
  <si>
    <t>李园街道</t>
  </si>
  <si>
    <t>Lóngquán Jiēdào</t>
  </si>
  <si>
    <t>龙泉街道</t>
  </si>
  <si>
    <t>Lóngshuĭ Jiēdào</t>
  </si>
  <si>
    <t>龙水街道</t>
  </si>
  <si>
    <t>Lóushān Jiēdào</t>
  </si>
  <si>
    <t>楼山街道</t>
  </si>
  <si>
    <t>Luòyánglù Jiēdào</t>
  </si>
  <si>
    <t>洛阳路街道</t>
  </si>
  <si>
    <t>Măliánzhuāng Zhèn</t>
  </si>
  <si>
    <t>马连庄镇</t>
  </si>
  <si>
    <t>Méihuāshān Jiēdào</t>
  </si>
  <si>
    <t>梅花山街道</t>
  </si>
  <si>
    <t>Míngcūn Zhèn</t>
  </si>
  <si>
    <t>明村镇</t>
  </si>
  <si>
    <t>Náncūn Zhèn [incl. Lándĭ Zhèn, Guōzhuāng Zhèn]</t>
  </si>
  <si>
    <t>南村镇</t>
  </si>
  <si>
    <t>Nánshù Zhèn</t>
  </si>
  <si>
    <t>南墅镇</t>
  </si>
  <si>
    <t>Níngxiàlù Jiēdào</t>
  </si>
  <si>
    <t>宁夏路街道</t>
  </si>
  <si>
    <t>Píngdù Jīngjì Kāifāqū</t>
  </si>
  <si>
    <t>平度经济开发区</t>
  </si>
  <si>
    <t>Pūjí Zhèn</t>
  </si>
  <si>
    <t>铺集镇</t>
  </si>
  <si>
    <t>Rénzhào Zhèn</t>
  </si>
  <si>
    <t>仁兆镇</t>
  </si>
  <si>
    <t>Rìzhuāng Zhèn</t>
  </si>
  <si>
    <t>日庄镇</t>
  </si>
  <si>
    <t>Sānlĭhé Jiēdào</t>
  </si>
  <si>
    <t>三里河街道</t>
  </si>
  <si>
    <t>Shàngmă Jiēdào</t>
  </si>
  <si>
    <t>上马街道</t>
  </si>
  <si>
    <t>Shāzikŏu Jiēdào</t>
  </si>
  <si>
    <t>沙子口街道</t>
  </si>
  <si>
    <t>Shuĭjí Jiēdào</t>
  </si>
  <si>
    <t>水集街道</t>
  </si>
  <si>
    <t>Shuĭqīnggōu Jiēdào</t>
  </si>
  <si>
    <t>水清沟街道</t>
  </si>
  <si>
    <t>Sìfāng Jiēdào [Jiāxīnglù Jiēdào]</t>
  </si>
  <si>
    <t>四方街道</t>
  </si>
  <si>
    <t>Táidōng Jiēdào</t>
  </si>
  <si>
    <t>台东街道</t>
  </si>
  <si>
    <t>Táixī Jiēdào</t>
  </si>
  <si>
    <t>台西街道</t>
  </si>
  <si>
    <t>Tiánhéng Zhèn [incl. Wángcūn Zhèn, Fēngchéng Zhèn]</t>
  </si>
  <si>
    <t>田横镇</t>
  </si>
  <si>
    <t>Tiánzhuāng Zhèn [incl. Zhāngshè Zhèn]</t>
  </si>
  <si>
    <t>Tiĕshān Jiēdào</t>
  </si>
  <si>
    <t>铁山街道</t>
  </si>
  <si>
    <t>Tónghé Jiēdào [incl. Báibù Zhèn]</t>
  </si>
  <si>
    <t>同和街道</t>
  </si>
  <si>
    <t>Tōngjì Jiēdào</t>
  </si>
  <si>
    <t>通济街道</t>
  </si>
  <si>
    <t>Wàngchéng Jiēdào</t>
  </si>
  <si>
    <t>望城街道</t>
  </si>
  <si>
    <t>Wánggēzhuāng Jiēdào</t>
  </si>
  <si>
    <t>王哥庄街道</t>
  </si>
  <si>
    <t>Wángtái Jiēdào</t>
  </si>
  <si>
    <t>王台街道</t>
  </si>
  <si>
    <t>Wēnquán Jiēdào</t>
  </si>
  <si>
    <t>温泉街道</t>
  </si>
  <si>
    <t>Xiàgézhuāng Zhèn</t>
  </si>
  <si>
    <t>夏格庄镇</t>
  </si>
  <si>
    <t>Xiāngdiàn Jiēdào</t>
  </si>
  <si>
    <t>香店街道</t>
  </si>
  <si>
    <t>Xiānggăng Zhōnglù Jiēdào</t>
  </si>
  <si>
    <t>香港中路街道</t>
  </si>
  <si>
    <t>Xiāngtánlù Jiēdào</t>
  </si>
  <si>
    <t>湘潭路街道</t>
  </si>
  <si>
    <t>Xiàzhuāng Jiēdào</t>
  </si>
  <si>
    <t>夏庄街道</t>
  </si>
  <si>
    <t>Xīfúzhèn Jiēdào</t>
  </si>
  <si>
    <t>惜福镇街道</t>
  </si>
  <si>
    <t>Xīn'ān Jiēdào</t>
  </si>
  <si>
    <t>辛安街道</t>
  </si>
  <si>
    <t>Xīngchénglù Jiēdào</t>
  </si>
  <si>
    <t>兴城路街道</t>
  </si>
  <si>
    <t>Xīnghuálù Jiēdào</t>
  </si>
  <si>
    <t>兴华路街道</t>
  </si>
  <si>
    <t>Xīnglónglù Jiēdào</t>
  </si>
  <si>
    <t>兴隆路街道</t>
  </si>
  <si>
    <t>Xīnhé Zhèn [incl. Huībù Zhèn]</t>
  </si>
  <si>
    <t>新河镇</t>
  </si>
  <si>
    <t>Xuējiādăo Jiēdào</t>
  </si>
  <si>
    <t>薛家岛街道</t>
  </si>
  <si>
    <t>Yán'ānlù Jiēdào</t>
  </si>
  <si>
    <t>延安路街道</t>
  </si>
  <si>
    <t>Yánghé Zhèn</t>
  </si>
  <si>
    <t>洋河镇</t>
  </si>
  <si>
    <t>Yífēngdiàn Zhèn [incl. Qījí Zhèn]</t>
  </si>
  <si>
    <t>移风店镇</t>
  </si>
  <si>
    <t>Yínghăi Jiēdào</t>
  </si>
  <si>
    <t>营海街道</t>
  </si>
  <si>
    <t>Yĭnzhū Jiēdào</t>
  </si>
  <si>
    <t>隐珠街道</t>
  </si>
  <si>
    <t>Yŏngqīnglù Jiēdào</t>
  </si>
  <si>
    <t>永清路街道</t>
  </si>
  <si>
    <t>Yuànshàng Zhèn [incl. Wŭbèi Zhèn]</t>
  </si>
  <si>
    <t>院上镇</t>
  </si>
  <si>
    <t>Yúnnánlù Jiēdào</t>
  </si>
  <si>
    <t>云南路街道</t>
  </si>
  <si>
    <t>Yúnshān Zhèn</t>
  </si>
  <si>
    <t>云山镇</t>
  </si>
  <si>
    <t>Yúnxī Jiēdào</t>
  </si>
  <si>
    <t>云溪街道</t>
  </si>
  <si>
    <t>Zàngnán Zhèn</t>
  </si>
  <si>
    <t>藏南镇</t>
  </si>
  <si>
    <t>Zhāngjiālóu Jiēdào</t>
  </si>
  <si>
    <t>张家楼街道</t>
  </si>
  <si>
    <t>Zhànshān Jiēdào</t>
  </si>
  <si>
    <t>湛山街道</t>
  </si>
  <si>
    <t>Zhènhuálù Jiēdào</t>
  </si>
  <si>
    <t>振华路街道</t>
  </si>
  <si>
    <t>Zhènjiānglù Jiēdào</t>
  </si>
  <si>
    <t>镇江路街道</t>
  </si>
  <si>
    <t>Zhōnghán Jiēdào [incl. Jīnjiālǐng Jiēdào]</t>
  </si>
  <si>
    <t>中韩街道</t>
  </si>
  <si>
    <t>Zhōngshānlù Jiēdào</t>
  </si>
  <si>
    <t>中山路街道</t>
  </si>
  <si>
    <t>Zhōngyún Jiēdào</t>
  </si>
  <si>
    <t>中云街道</t>
  </si>
  <si>
    <t>Zhūhăi Jiēdào</t>
  </si>
  <si>
    <t>珠海街道</t>
  </si>
  <si>
    <t>Zhūhăilù Jiēdào</t>
  </si>
  <si>
    <t>珠海路街道</t>
  </si>
  <si>
    <t>Zhūshān Jiēdào</t>
  </si>
  <si>
    <t>珠山街道</t>
  </si>
  <si>
    <t>Āndōngwèi Jiēdào</t>
  </si>
  <si>
    <t>安东卫街道</t>
  </si>
  <si>
    <t>Ānzhuāng Zhèn</t>
  </si>
  <si>
    <t>安庄镇</t>
  </si>
  <si>
    <t>Jŭ Xiàn</t>
  </si>
  <si>
    <t>Bĕijīnglù Jiēdào</t>
  </si>
  <si>
    <t>北京路街道</t>
  </si>
  <si>
    <t>Dōnggăng Qū</t>
  </si>
  <si>
    <t>Bēikuò Zhèn</t>
  </si>
  <si>
    <t>碑廓镇</t>
  </si>
  <si>
    <t>Chánglĭng Zhèn</t>
  </si>
  <si>
    <t>长岭镇</t>
  </si>
  <si>
    <t>Cháohé Zhèn</t>
  </si>
  <si>
    <t>潮河镇</t>
  </si>
  <si>
    <t>Wŭlián Xiàn</t>
  </si>
  <si>
    <t>Chéntuăn Zhèn</t>
  </si>
  <si>
    <t>陈疃镇</t>
  </si>
  <si>
    <t>Diànzijí Jiēdào</t>
  </si>
  <si>
    <t>店子集街道</t>
  </si>
  <si>
    <t>Dōngguān Zhèn</t>
  </si>
  <si>
    <t>东莞镇</t>
  </si>
  <si>
    <t>Fúláishān Jiēdào</t>
  </si>
  <si>
    <t>浮来山街道</t>
  </si>
  <si>
    <t>Gāoxīng Zhèn</t>
  </si>
  <si>
    <t>高兴镇</t>
  </si>
  <si>
    <t>Gāozé Jiēdào</t>
  </si>
  <si>
    <t>高泽街道</t>
  </si>
  <si>
    <t>Guŏzhuāng Zhèn</t>
  </si>
  <si>
    <t>果庄镇</t>
  </si>
  <si>
    <t>Héshān Zhèn</t>
  </si>
  <si>
    <t>河山镇</t>
  </si>
  <si>
    <t>Hóngníng Jiēdào</t>
  </si>
  <si>
    <t>洪凝街道</t>
  </si>
  <si>
    <t>Hòucūn Zhèn</t>
  </si>
  <si>
    <t>后村镇</t>
  </si>
  <si>
    <t>Huángdūn Zhèn</t>
  </si>
  <si>
    <t>黄墩镇</t>
  </si>
  <si>
    <t>Hùbù Xiāng</t>
  </si>
  <si>
    <t>户部乡</t>
  </si>
  <si>
    <t>Hŭshān Zhèn</t>
  </si>
  <si>
    <t>虎山镇</t>
  </si>
  <si>
    <t>Jiàoshān Zhèn</t>
  </si>
  <si>
    <t>峤山镇</t>
  </si>
  <si>
    <t>Jiētóu Zhèn</t>
  </si>
  <si>
    <t>街头镇</t>
  </si>
  <si>
    <t>Jùfēng Zhèn</t>
  </si>
  <si>
    <t>巨峰镇</t>
  </si>
  <si>
    <t>Kòuguān Zhèn</t>
  </si>
  <si>
    <t>叩官镇</t>
  </si>
  <si>
    <t>Kuíshān Jiēdào</t>
  </si>
  <si>
    <t>奎山街道</t>
  </si>
  <si>
    <t>Kùshān Xiāng</t>
  </si>
  <si>
    <t>库山乡</t>
  </si>
  <si>
    <t>Lánshāntóu Jiēdào</t>
  </si>
  <si>
    <t>岚山头街道</t>
  </si>
  <si>
    <t>Liăngchéng Jiēdào</t>
  </si>
  <si>
    <t>两城街道</t>
  </si>
  <si>
    <t>Língyáng Jiēdào</t>
  </si>
  <si>
    <t>陵阳街道</t>
  </si>
  <si>
    <t>Liúguānzhuāng Zhèn</t>
  </si>
  <si>
    <t>刘官庄镇</t>
  </si>
  <si>
    <t>Lóngshān Zhèn</t>
  </si>
  <si>
    <t>龙山镇</t>
  </si>
  <si>
    <t>Luòhé Zhèn</t>
  </si>
  <si>
    <t>洛河镇</t>
  </si>
  <si>
    <t>Nánhú Zhèn</t>
  </si>
  <si>
    <t>南湖镇</t>
  </si>
  <si>
    <t>Qiánsāndăo Xiāng</t>
  </si>
  <si>
    <t>前三岛乡</t>
  </si>
  <si>
    <t>Qínlóu Jiēdào [incl. Wòlóngshān Jiēdào]</t>
  </si>
  <si>
    <t>秦楼街道</t>
  </si>
  <si>
    <t>Qíshān Zhèn</t>
  </si>
  <si>
    <t>棋山镇</t>
  </si>
  <si>
    <t>Rìzhào Jiēdào</t>
  </si>
  <si>
    <t>日照街道</t>
  </si>
  <si>
    <t>Sāngyuán Zhèn</t>
  </si>
  <si>
    <t>桑园镇</t>
  </si>
  <si>
    <t>Sānzhuāng Zhèn</t>
  </si>
  <si>
    <t>三庄镇</t>
  </si>
  <si>
    <t>Shíchăng Xiāng</t>
  </si>
  <si>
    <t>石场乡</t>
  </si>
  <si>
    <t>Shíjiù Jiēdào</t>
  </si>
  <si>
    <t>石臼街道</t>
  </si>
  <si>
    <t>Sōngbǎi Zhèn</t>
  </si>
  <si>
    <t>松柏镇</t>
  </si>
  <si>
    <t>Tāoluò Zhèn</t>
  </si>
  <si>
    <t>涛雒镇</t>
  </si>
  <si>
    <t>Wānghú Zhèn</t>
  </si>
  <si>
    <t>汪湖镇</t>
  </si>
  <si>
    <t>Xiăodiàn Zhèn</t>
  </si>
  <si>
    <t>小店镇</t>
  </si>
  <si>
    <t>Xiàzhuāng Zhèn</t>
  </si>
  <si>
    <t>夏庄镇</t>
  </si>
  <si>
    <t>Xŭmèng Zhèn</t>
  </si>
  <si>
    <t>许孟镇</t>
  </si>
  <si>
    <t>阎庄街道</t>
  </si>
  <si>
    <t>Yúlĭ Zhèn</t>
  </si>
  <si>
    <t>于里镇</t>
  </si>
  <si>
    <t>Zhàilĭhé Zhèn</t>
  </si>
  <si>
    <t>寨里河镇</t>
  </si>
  <si>
    <t>Zhāoxián Zhèn</t>
  </si>
  <si>
    <t>招贤镇</t>
  </si>
  <si>
    <t>Zhōnglóu Zhèn</t>
  </si>
  <si>
    <t>中楼镇</t>
  </si>
  <si>
    <t>Zhōngzhì Zhèn</t>
  </si>
  <si>
    <t>中至镇</t>
  </si>
  <si>
    <t>Ānjiàzhuāng Zhèn</t>
  </si>
  <si>
    <t>安驾庄镇</t>
  </si>
  <si>
    <t>Féichéng Shì</t>
  </si>
  <si>
    <t>Ānlínzhàn Zhèn</t>
  </si>
  <si>
    <t>安临站镇</t>
  </si>
  <si>
    <t>Bānjiūdiàn Zhèn</t>
  </si>
  <si>
    <t>斑鸠店镇</t>
  </si>
  <si>
    <t>Dōngpíng Xiàn</t>
  </si>
  <si>
    <t>Bāxiānqiáo Jiēdào</t>
  </si>
  <si>
    <t>八仙桥街道</t>
  </si>
  <si>
    <t>Níngyáng Xiàn</t>
  </si>
  <si>
    <t>Bĕijípō Jiēdào</t>
  </si>
  <si>
    <t>北集坡街道</t>
  </si>
  <si>
    <t>Dàiyuè Qū</t>
  </si>
  <si>
    <t>Biānyuàn Zhèn</t>
  </si>
  <si>
    <t>边院镇</t>
  </si>
  <si>
    <t>Cáiyuán Jiēdào</t>
  </si>
  <si>
    <t>财源街道</t>
  </si>
  <si>
    <t>Tàishān Qū</t>
  </si>
  <si>
    <t>Cháoquán Zhèn</t>
  </si>
  <si>
    <t>潮泉镇</t>
  </si>
  <si>
    <t>Cíyáo Zhèn</t>
  </si>
  <si>
    <t>磁窑镇</t>
  </si>
  <si>
    <t>Cúlái Zhèn</t>
  </si>
  <si>
    <t>徂徕镇</t>
  </si>
  <si>
    <t>Dàimiào Jiēdào</t>
  </si>
  <si>
    <t>岱庙街道</t>
  </si>
  <si>
    <t>Dàimiào Zhèn</t>
  </si>
  <si>
    <t>戴庙镇</t>
  </si>
  <si>
    <t>Dàjīnkŏu Xiāng</t>
  </si>
  <si>
    <t>大津口乡</t>
  </si>
  <si>
    <t>Dàolăng Zhèn</t>
  </si>
  <si>
    <t>道朗镇</t>
  </si>
  <si>
    <t>Dàwènkŏu Zhèn</t>
  </si>
  <si>
    <t>大汶口镇</t>
  </si>
  <si>
    <t>Dàyáng Zhèn</t>
  </si>
  <si>
    <t>大羊镇</t>
  </si>
  <si>
    <t>Dōngdū Zhèn</t>
  </si>
  <si>
    <t>东都镇</t>
  </si>
  <si>
    <t>Xīntài Shì</t>
  </si>
  <si>
    <t>Dōngpíng Jiēdào Dìqū</t>
  </si>
  <si>
    <t>东平街道地区</t>
  </si>
  <si>
    <t>Dōngshū Zhèn</t>
  </si>
  <si>
    <t>东疏镇</t>
  </si>
  <si>
    <t>Dōngzhuāng Zhèn</t>
  </si>
  <si>
    <t>东庄镇</t>
  </si>
  <si>
    <t>Fàngchéng Zhèn</t>
  </si>
  <si>
    <t>放城镇</t>
  </si>
  <si>
    <t>Fángcūn Zhèn</t>
  </si>
  <si>
    <t>房村镇</t>
  </si>
  <si>
    <t>Fàn Zhèn</t>
  </si>
  <si>
    <t>范镇</t>
  </si>
  <si>
    <t>Fúshān Zhèn</t>
  </si>
  <si>
    <t>伏山镇</t>
  </si>
  <si>
    <t>Gāngchéng Zhèn</t>
  </si>
  <si>
    <t>堽城镇</t>
  </si>
  <si>
    <t>Gĕshí Zhèn</t>
  </si>
  <si>
    <t>葛石镇</t>
  </si>
  <si>
    <t>Gōnglĭ Zhèn</t>
  </si>
  <si>
    <t>宫里镇</t>
  </si>
  <si>
    <t>Gŭlĭ Zhèn</t>
  </si>
  <si>
    <t>谷里镇</t>
  </si>
  <si>
    <t>Guŏdū Zhèn</t>
  </si>
  <si>
    <t>果都镇</t>
  </si>
  <si>
    <t>Hèshān Zhèn</t>
  </si>
  <si>
    <t>鹤山镇</t>
  </si>
  <si>
    <t>Huáfēng Zhèn</t>
  </si>
  <si>
    <t>华丰镇</t>
  </si>
  <si>
    <t>Huàmăwān Xiāng</t>
  </si>
  <si>
    <t>化马湾乡</t>
  </si>
  <si>
    <t>Huángqián Zhèn</t>
  </si>
  <si>
    <t>黄前镇</t>
  </si>
  <si>
    <t>湖屯镇</t>
  </si>
  <si>
    <t>Jiăngjí Zhèn</t>
  </si>
  <si>
    <t>蒋集镇</t>
  </si>
  <si>
    <t>Jiăoyù Zhèn</t>
  </si>
  <si>
    <t>角峪镇</t>
  </si>
  <si>
    <t>Jiēshān Zhèn</t>
  </si>
  <si>
    <t>接山镇</t>
  </si>
  <si>
    <t>Jiùxiàn Xiāng</t>
  </si>
  <si>
    <t>旧县乡</t>
  </si>
  <si>
    <t>Lăochéng Jiēdào</t>
  </si>
  <si>
    <t>老城街道</t>
  </si>
  <si>
    <t>Lăohú Zhèn</t>
  </si>
  <si>
    <t>老湖镇</t>
  </si>
  <si>
    <t>Liángzhuāng Zhèn</t>
  </si>
  <si>
    <t>良庄镇</t>
  </si>
  <si>
    <t>Liúdù Zhèn</t>
  </si>
  <si>
    <t>刘杜镇</t>
  </si>
  <si>
    <t>Lóngtíng Zhèn</t>
  </si>
  <si>
    <t>龙廷镇</t>
  </si>
  <si>
    <t>Lóudé Zhèn</t>
  </si>
  <si>
    <t>楼德镇</t>
  </si>
  <si>
    <t>Mănzhuāng Zhèn</t>
  </si>
  <si>
    <t>满庄镇</t>
  </si>
  <si>
    <t>Măzhuāng Zhèn</t>
  </si>
  <si>
    <t>Péngjí Jiēdào Dìqū</t>
  </si>
  <si>
    <t>彭集街道地区</t>
  </si>
  <si>
    <t>Qīngyún Jiēdào [incl. Xīnfǔ Jiēdào]</t>
  </si>
  <si>
    <t>青云街道</t>
  </si>
  <si>
    <t>Qiūjiādiàn Zhèn</t>
  </si>
  <si>
    <t>邱家店镇</t>
  </si>
  <si>
    <t>Quángōu Zhèn</t>
  </si>
  <si>
    <t>泉沟镇</t>
  </si>
  <si>
    <t>Shāhézhàn Zhèn</t>
  </si>
  <si>
    <t>沙河站镇</t>
  </si>
  <si>
    <t>Shànggāo Jiēdào</t>
  </si>
  <si>
    <t>上高街道</t>
  </si>
  <si>
    <t>Shānglăozhuāng Xiāng</t>
  </si>
  <si>
    <t>商老庄乡</t>
  </si>
  <si>
    <t>Shānkŏu Zhèn</t>
  </si>
  <si>
    <t>山口镇</t>
  </si>
  <si>
    <t>Shĕngzhuāng Zhèn</t>
  </si>
  <si>
    <t>省庄镇</t>
  </si>
  <si>
    <t>Shíhéng Zhèn</t>
  </si>
  <si>
    <t>石横镇</t>
  </si>
  <si>
    <t>Shílái Zhèn</t>
  </si>
  <si>
    <t>石莱镇</t>
  </si>
  <si>
    <t>Sìdiàn Zhèn</t>
  </si>
  <si>
    <t>泗店镇</t>
  </si>
  <si>
    <t>Sūnbó Zhèn</t>
  </si>
  <si>
    <t>孙伯镇</t>
  </si>
  <si>
    <t>Tàiqián Jiēdào</t>
  </si>
  <si>
    <t>泰前街道</t>
  </si>
  <si>
    <t>Táoyuán Zhèn</t>
  </si>
  <si>
    <t>桃园镇</t>
  </si>
  <si>
    <t>Tiānbăo Zhèn</t>
  </si>
  <si>
    <t>天宝镇</t>
  </si>
  <si>
    <t>Tiānpíng Jiēdào</t>
  </si>
  <si>
    <t>天平街道</t>
  </si>
  <si>
    <t>Tīmén Zhèn</t>
  </si>
  <si>
    <t>梯门镇</t>
  </si>
  <si>
    <t>Wángguādiàn Jiēdào</t>
  </si>
  <si>
    <t>王瓜店街道</t>
  </si>
  <si>
    <t>Wénmiào Jiēdào</t>
  </si>
  <si>
    <t>文庙街道</t>
  </si>
  <si>
    <t>Wènnán Zhèn</t>
  </si>
  <si>
    <t>汶南镇</t>
  </si>
  <si>
    <t>Wènyáng Zhèn</t>
  </si>
  <si>
    <t>汶阳镇</t>
  </si>
  <si>
    <t>Xiàgăng Zhèn</t>
  </si>
  <si>
    <t>下港镇</t>
  </si>
  <si>
    <t>Xiāngyĭn Xiāng</t>
  </si>
  <si>
    <t>乡饮乡</t>
  </si>
  <si>
    <t>Xiăoxié Zhèn</t>
  </si>
  <si>
    <t>小协镇</t>
  </si>
  <si>
    <t>Xiàzhāng Zhèn</t>
  </si>
  <si>
    <t>夏张镇</t>
  </si>
  <si>
    <t>Xīnhú Zhèn</t>
  </si>
  <si>
    <t>新湖镇</t>
  </si>
  <si>
    <t>Xīnwèn Jiēdào</t>
  </si>
  <si>
    <t>新汶街道</t>
  </si>
  <si>
    <t>Xīzhāngzhuāng Zhèn</t>
  </si>
  <si>
    <t>西张庄镇</t>
  </si>
  <si>
    <t>Xújiālóu Jiēdào</t>
  </si>
  <si>
    <t>徐家楼街道</t>
  </si>
  <si>
    <t>Yángliú Zhèn</t>
  </si>
  <si>
    <t>羊流镇</t>
  </si>
  <si>
    <t>Yínshān Zhèn</t>
  </si>
  <si>
    <t>银山镇</t>
  </si>
  <si>
    <t>Yíyáng Jiēdào</t>
  </si>
  <si>
    <t>仪阳街道</t>
  </si>
  <si>
    <t>Yŭcūn Zhèn</t>
  </si>
  <si>
    <t>禹村镇</t>
  </si>
  <si>
    <t>Yuèjiāzhuāng Xiāng</t>
  </si>
  <si>
    <t>岳家庄乡</t>
  </si>
  <si>
    <t>Zhái Zhèn</t>
  </si>
  <si>
    <t>翟镇</t>
  </si>
  <si>
    <t>Zhōuchéng Jiēdào Dìqū</t>
  </si>
  <si>
    <t>州城街道地区</t>
  </si>
  <si>
    <t>Zhōudiàn Jiēdào</t>
  </si>
  <si>
    <t>粥店街道</t>
  </si>
  <si>
    <t>Zhùyáng Zhèn</t>
  </si>
  <si>
    <t>祝阳镇</t>
  </si>
  <si>
    <t>Bǎichéng Zhèn</t>
  </si>
  <si>
    <t>柏城镇</t>
  </si>
  <si>
    <t>Gāomì Shì</t>
  </si>
  <si>
    <t>Băichĭhé Zhèn</t>
  </si>
  <si>
    <t>百尺河镇</t>
  </si>
  <si>
    <t>Zhūchéng Shì</t>
  </si>
  <si>
    <t>Băochéng Jiēdào</t>
  </si>
  <si>
    <t>宝城街道</t>
  </si>
  <si>
    <t>Chānglè Xiàn</t>
  </si>
  <si>
    <t>Bǎodōu Jiēdào [Chéngguān Jiēdào]</t>
  </si>
  <si>
    <t>宝都街道</t>
  </si>
  <si>
    <t>Wéichéng Qū</t>
  </si>
  <si>
    <t>Bĕimèng Zhèn</t>
  </si>
  <si>
    <t>北孟镇</t>
  </si>
  <si>
    <t>Chāngyì Shì</t>
  </si>
  <si>
    <t>Bĕiyuàn Jiēdào</t>
  </si>
  <si>
    <t>北苑街道</t>
  </si>
  <si>
    <t>Kuíwén Qū</t>
  </si>
  <si>
    <t>Bŭzhuāng Zhèn</t>
  </si>
  <si>
    <t>卜庄镇</t>
  </si>
  <si>
    <t>Cháigōu Zhèn</t>
  </si>
  <si>
    <t>柴沟镇</t>
  </si>
  <si>
    <t>Chāngchéng Zhèn</t>
  </si>
  <si>
    <t>昌城镇</t>
  </si>
  <si>
    <t>Línqú Xiàn</t>
  </si>
  <si>
    <t>Chéngnán Jiēdào</t>
  </si>
  <si>
    <t>城南街道</t>
  </si>
  <si>
    <t>Dàjiāwā Jiēdào</t>
  </si>
  <si>
    <t>大家洼街道</t>
  </si>
  <si>
    <t>Hántíng Qū</t>
  </si>
  <si>
    <t>Dàmóujiā Zhèn</t>
  </si>
  <si>
    <t>大牟家镇</t>
  </si>
  <si>
    <t>Dàotián Zhèn</t>
  </si>
  <si>
    <t>稻田镇</t>
  </si>
  <si>
    <t>Shòuguāng Shì</t>
  </si>
  <si>
    <t>Dàshèng Zhèn</t>
  </si>
  <si>
    <t>大盛镇</t>
  </si>
  <si>
    <t>Ānqiū Shì</t>
  </si>
  <si>
    <t>Dàyú Jiēdào</t>
  </si>
  <si>
    <t>大虞街道</t>
  </si>
  <si>
    <t>Dōngxià Zhèn</t>
  </si>
  <si>
    <t>东夏镇</t>
  </si>
  <si>
    <t>Qīngzhōu Shì</t>
  </si>
  <si>
    <t>Dūchāng Jiēdào</t>
  </si>
  <si>
    <t>都昌街道</t>
  </si>
  <si>
    <t>Fāng'ān Jiēdào</t>
  </si>
  <si>
    <t>坊安街道</t>
  </si>
  <si>
    <t>Fāngzi Qū</t>
  </si>
  <si>
    <t>Fāngchéng Jiēdào</t>
  </si>
  <si>
    <t>坊城街道</t>
  </si>
  <si>
    <t>Gāolĭ Jiēdào</t>
  </si>
  <si>
    <t>高里街道</t>
  </si>
  <si>
    <t>Gāoliŭ Zhèn</t>
  </si>
  <si>
    <t>高柳镇</t>
  </si>
  <si>
    <t>Gāomì Shì Cháoyáng Jiēdào</t>
  </si>
  <si>
    <t>高密市朝阳街道</t>
  </si>
  <si>
    <t>Gāomì Shì Lĭquán Jiēdào</t>
  </si>
  <si>
    <t>高密市醴泉街道</t>
  </si>
  <si>
    <t>Gāomì Shì Mìshuĭ Jiēdào</t>
  </si>
  <si>
    <t>高密市密水街道</t>
  </si>
  <si>
    <t>Guăngwén Jiēdào</t>
  </si>
  <si>
    <t>广文街道</t>
  </si>
  <si>
    <t>Guānzhuāng Zhèn</t>
  </si>
  <si>
    <t>官庄镇</t>
  </si>
  <si>
    <t>Gŭchéng Jiēdào</t>
  </si>
  <si>
    <t>古城街道</t>
  </si>
  <si>
    <t>Gùdī Jiēdào</t>
  </si>
  <si>
    <t>固堤街道</t>
  </si>
  <si>
    <t>Hántíng Jiēdào</t>
  </si>
  <si>
    <t>寒亭街道</t>
  </si>
  <si>
    <t>Héguān Zhèn</t>
  </si>
  <si>
    <t>何官镇</t>
  </si>
  <si>
    <t>Hónghé Zhèn</t>
  </si>
  <si>
    <t>红河镇</t>
  </si>
  <si>
    <t>Hòu Zhèn</t>
  </si>
  <si>
    <t>侯镇</t>
  </si>
  <si>
    <t>Huàlóng Zhèn</t>
  </si>
  <si>
    <t>化龙镇</t>
  </si>
  <si>
    <t>Huánghuá Zhèn</t>
  </si>
  <si>
    <t>皇华镇</t>
  </si>
  <si>
    <t>Huánglóu Jiēdào</t>
  </si>
  <si>
    <t>黄楼街道</t>
  </si>
  <si>
    <t>Huángqíbăo Jiēdào</t>
  </si>
  <si>
    <t>黄旗堡街道</t>
  </si>
  <si>
    <t>Huīqú Zhèn</t>
  </si>
  <si>
    <t>辉渠镇</t>
  </si>
  <si>
    <t>Jiǎngyù Zhèn [Yíshān Zhèn]</t>
  </si>
  <si>
    <t>蒋峪镇</t>
  </si>
  <si>
    <t>Jiāngzhuāng Zhèn</t>
  </si>
  <si>
    <t>姜庄镇</t>
  </si>
  <si>
    <t>Jiăyuè Zhèn</t>
  </si>
  <si>
    <t>贾悦镇</t>
  </si>
  <si>
    <t>Jĭnggōu Zhèn</t>
  </si>
  <si>
    <t>井沟镇</t>
  </si>
  <si>
    <t>Jĭngzhī Zhèn</t>
  </si>
  <si>
    <t>景芝镇</t>
  </si>
  <si>
    <t>Jīnzhŏngzi Zhèn</t>
  </si>
  <si>
    <t>金冢子镇</t>
  </si>
  <si>
    <t>Jìtái Zhèn</t>
  </si>
  <si>
    <t>纪台镇</t>
  </si>
  <si>
    <t>Jiŭshān Zhèn</t>
  </si>
  <si>
    <t>九山镇</t>
  </si>
  <si>
    <t>Kāiyuán Jiēdào</t>
  </si>
  <si>
    <t>开元街道</t>
  </si>
  <si>
    <t>Kànjiā Zhèn</t>
  </si>
  <si>
    <t>阚家镇</t>
  </si>
  <si>
    <t>Kuíjù Jiēdào</t>
  </si>
  <si>
    <t>奎聚街道</t>
  </si>
  <si>
    <t>Línghé Jiēdào</t>
  </si>
  <si>
    <t>凌河街道</t>
  </si>
  <si>
    <t>Línjiācūn Zhèn</t>
  </si>
  <si>
    <t>林家村镇</t>
  </si>
  <si>
    <t>Liŭshān Zhèn</t>
  </si>
  <si>
    <t>柳山镇</t>
  </si>
  <si>
    <t>Liŭtuăn Zhèn</t>
  </si>
  <si>
    <t>柳疃镇</t>
  </si>
  <si>
    <t>Líyuán Jiēdào</t>
  </si>
  <si>
    <t>梨园街道</t>
  </si>
  <si>
    <t>Lóngchí Zhèn</t>
  </si>
  <si>
    <t>龙池镇</t>
  </si>
  <si>
    <t>Lóngdū Jiēdào</t>
  </si>
  <si>
    <t>龙都街道</t>
  </si>
  <si>
    <t>Luòchéng Jiēdào</t>
  </si>
  <si>
    <t>洛城街道</t>
  </si>
  <si>
    <t>Miàozi Zhèn</t>
  </si>
  <si>
    <t>庙子镇</t>
  </si>
  <si>
    <t>Míhé Zhèn</t>
  </si>
  <si>
    <t>弥河镇</t>
  </si>
  <si>
    <t>Mìzhōu Jiēdào</t>
  </si>
  <si>
    <t>密州街道</t>
  </si>
  <si>
    <t>Nánguān Jiēdào</t>
  </si>
  <si>
    <t>南关街道</t>
  </si>
  <si>
    <t>Niànlĭbăo Jiēdào</t>
  </si>
  <si>
    <t>廿里堡街道</t>
  </si>
  <si>
    <t>Qiáoguān Zhèn</t>
  </si>
  <si>
    <t>乔官镇</t>
  </si>
  <si>
    <t>Qīngchí Jiēdào</t>
  </si>
  <si>
    <t>清池街道</t>
  </si>
  <si>
    <t>Shàngkŏu Zhèn</t>
  </si>
  <si>
    <t>上口镇</t>
  </si>
  <si>
    <t>Shānwàng Zhèn [Lónggăng Zhèn]</t>
  </si>
  <si>
    <t>山旺镇</t>
  </si>
  <si>
    <t>Shàozhuāng Zhèn</t>
  </si>
  <si>
    <t>邵庄镇</t>
  </si>
  <si>
    <t>Shèngchéng Jiēdào</t>
  </si>
  <si>
    <t>圣城街道</t>
  </si>
  <si>
    <t>Shíbùzi Zhèn</t>
  </si>
  <si>
    <t>石埠子镇</t>
  </si>
  <si>
    <t>Shíduī Zhèn</t>
  </si>
  <si>
    <t>石堆镇</t>
  </si>
  <si>
    <t>Shíqiáozi Zhèn</t>
  </si>
  <si>
    <t>石桥子镇</t>
  </si>
  <si>
    <t>Shùnwáng Jiēdào</t>
  </si>
  <si>
    <t>舜王街道</t>
  </si>
  <si>
    <t>Sìtóu Zhèn</t>
  </si>
  <si>
    <t>寺头镇</t>
  </si>
  <si>
    <t>Sūnjiājí Jiēdào</t>
  </si>
  <si>
    <t>孙家集街道</t>
  </si>
  <si>
    <t>Tàibăozhuāng Jiēdào</t>
  </si>
  <si>
    <t>太保庄街道</t>
  </si>
  <si>
    <t>Táitóu Zhèn</t>
  </si>
  <si>
    <t>台头镇</t>
  </si>
  <si>
    <t>Tánfāng Zhèn</t>
  </si>
  <si>
    <t>谭坊镇</t>
  </si>
  <si>
    <t>Tángwú Zhèn</t>
  </si>
  <si>
    <t>唐吾镇</t>
  </si>
  <si>
    <t>Táolín Zhèn</t>
  </si>
  <si>
    <t>桃林镇</t>
  </si>
  <si>
    <t>Tiánliŭ Zhèn</t>
  </si>
  <si>
    <t>田柳镇</t>
  </si>
  <si>
    <t>Wángfén Zhèn</t>
  </si>
  <si>
    <t>王坟镇</t>
  </si>
  <si>
    <t>Wángfŭ Jiēdào</t>
  </si>
  <si>
    <t>王府街道</t>
  </si>
  <si>
    <t>Wángjiāzhuāng Jiēdào [Zhàogē Zhèn]</t>
  </si>
  <si>
    <t>王家庄街道</t>
  </si>
  <si>
    <t>Wàngliú Jiēdào</t>
  </si>
  <si>
    <t>望留街道</t>
  </si>
  <si>
    <t>Wéizhōulù Jiēdào</t>
  </si>
  <si>
    <t>潍州路街道</t>
  </si>
  <si>
    <t>Wéizi Jiēdào</t>
  </si>
  <si>
    <t>围子街道</t>
  </si>
  <si>
    <t>Wénjiā Jiēdào</t>
  </si>
  <si>
    <t>文家街道</t>
  </si>
  <si>
    <t>Wŭjĭng Zhèn</t>
  </si>
  <si>
    <t>五井镇</t>
  </si>
  <si>
    <t>Wúshān Zhèn</t>
  </si>
  <si>
    <t>吾山镇</t>
  </si>
  <si>
    <t>Wŭtú Jiēdào</t>
  </si>
  <si>
    <t>五图街道</t>
  </si>
  <si>
    <t>Xiāngzhōu Zhèn</t>
  </si>
  <si>
    <t>相州镇</t>
  </si>
  <si>
    <t>Xiàyíng Zhèn</t>
  </si>
  <si>
    <t>下营镇</t>
  </si>
  <si>
    <t>Xīguān Jiēdào</t>
  </si>
  <si>
    <t>西关街道</t>
  </si>
  <si>
    <t>新安街道</t>
  </si>
  <si>
    <t>Xīng'ān Jiēdào</t>
  </si>
  <si>
    <t>兴安街道</t>
  </si>
  <si>
    <t>辛兴镇</t>
  </si>
  <si>
    <t>Xīnzhài Jiēdào</t>
  </si>
  <si>
    <t>辛寨街道</t>
  </si>
  <si>
    <t>Yángkŏu Zhèn</t>
  </si>
  <si>
    <t>羊口镇</t>
  </si>
  <si>
    <t>Yāngzi Jiēdào</t>
  </si>
  <si>
    <t>央子街道</t>
  </si>
  <si>
    <t>Yĕyuán Jiēdào</t>
  </si>
  <si>
    <t>冶源街道</t>
  </si>
  <si>
    <t>Yìdū Jiēdào</t>
  </si>
  <si>
    <t>益都街道</t>
  </si>
  <si>
    <t>Yíngqiū Zhèn</t>
  </si>
  <si>
    <t>营丘镇</t>
  </si>
  <si>
    <t>饮马镇</t>
  </si>
  <si>
    <t>Yúhé Jiēdào</t>
  </si>
  <si>
    <t>于河街道</t>
  </si>
  <si>
    <t>Yúnménshān Jiēdào</t>
  </si>
  <si>
    <t>云门山街道</t>
  </si>
  <si>
    <t>Zhèshān Zhèn</t>
  </si>
  <si>
    <t>柘山镇</t>
  </si>
  <si>
    <t>Zhĭgōu Zhèn</t>
  </si>
  <si>
    <t>枳沟镇</t>
  </si>
  <si>
    <t>Zhūlĭ Jiēdào</t>
  </si>
  <si>
    <t>朱里街道</t>
  </si>
  <si>
    <t>Zhūliú Jiēdào</t>
  </si>
  <si>
    <t>朱刘街道</t>
  </si>
  <si>
    <t>Báishātān Zhèn</t>
  </si>
  <si>
    <t>白沙滩镇</t>
  </si>
  <si>
    <t>Rŭshān Shì</t>
  </si>
  <si>
    <t>Bóyú Zhèn</t>
  </si>
  <si>
    <t>泊于镇</t>
  </si>
  <si>
    <t>Huáncuì Qū</t>
  </si>
  <si>
    <t>Bùkŏugăng Guănlĭ Wĕiyuánhuì</t>
  </si>
  <si>
    <t>埠口港管理委员会</t>
  </si>
  <si>
    <t>Wéndēng Qū</t>
  </si>
  <si>
    <t>Bùliŭ Zhèn</t>
  </si>
  <si>
    <t>埠柳镇</t>
  </si>
  <si>
    <t>Róngchéng Shì</t>
  </si>
  <si>
    <t>Căomiàozi Zhèn</t>
  </si>
  <si>
    <t>草庙子镇</t>
  </si>
  <si>
    <t>Chéngqū Jiēdào</t>
  </si>
  <si>
    <t>城区街道</t>
  </si>
  <si>
    <t>Chéngshān Zhèn</t>
  </si>
  <si>
    <t>成山镇</t>
  </si>
  <si>
    <t>Chéngxī Jiēdào</t>
  </si>
  <si>
    <t>城西街道</t>
  </si>
  <si>
    <t>Chìshān Jiēdào</t>
  </si>
  <si>
    <t>斥山街道</t>
  </si>
  <si>
    <t>Chūcūn Zhèn</t>
  </si>
  <si>
    <t>初村镇</t>
  </si>
  <si>
    <t>Dàgūshān Zhèn</t>
  </si>
  <si>
    <t>大孤山镇</t>
  </si>
  <si>
    <t>Dàshuĭbó Zhèn</t>
  </si>
  <si>
    <t>大水泊镇</t>
  </si>
  <si>
    <t>Dàtuăn Zhèn</t>
  </si>
  <si>
    <t>大疃镇</t>
  </si>
  <si>
    <t>Dōngshān Jiēdào</t>
  </si>
  <si>
    <t>东山街道</t>
  </si>
  <si>
    <t>Fènglín Jiēdào</t>
  </si>
  <si>
    <t>凤林街道</t>
  </si>
  <si>
    <t>Găngwān Jiēdào</t>
  </si>
  <si>
    <t>港湾街道</t>
  </si>
  <si>
    <t>Găngxī Zhèn</t>
  </si>
  <si>
    <t>港西镇</t>
  </si>
  <si>
    <t>Gāocūn Zhèn</t>
  </si>
  <si>
    <t>高村镇</t>
  </si>
  <si>
    <t>Gĕjiā Zhèn</t>
  </si>
  <si>
    <t>葛家镇</t>
  </si>
  <si>
    <t>Gùshān Zhèn</t>
  </si>
  <si>
    <t>崮山镇</t>
  </si>
  <si>
    <t>Hăiyángsuŏ Zhèn</t>
  </si>
  <si>
    <t>海阳所镇</t>
  </si>
  <si>
    <t>Hòujiā Zhèn</t>
  </si>
  <si>
    <t>侯家镇</t>
  </si>
  <si>
    <t>Huáncuìlóu Jiēdào</t>
  </si>
  <si>
    <t>环翠楼街道</t>
  </si>
  <si>
    <t>Huángguān Jiēdào</t>
  </si>
  <si>
    <t>皇冠街道</t>
  </si>
  <si>
    <t>Huánshānlù Jiēdào</t>
  </si>
  <si>
    <t>环山路街道</t>
  </si>
  <si>
    <t>Jièshí Zhèn</t>
  </si>
  <si>
    <t>界石镇</t>
  </si>
  <si>
    <t>Jīngyuán Jiēdào</t>
  </si>
  <si>
    <t>鲸园街道</t>
  </si>
  <si>
    <t>Láoshān Jiēdào</t>
  </si>
  <si>
    <t>崂山街道</t>
  </si>
  <si>
    <t>Lĭdăo Zhèn</t>
  </si>
  <si>
    <t>俚岛镇</t>
  </si>
  <si>
    <t>Lóngshānlù Jiēdào</t>
  </si>
  <si>
    <t>龙山路街道</t>
  </si>
  <si>
    <t>Mĭshān Zhèn</t>
  </si>
  <si>
    <t>米山镇</t>
  </si>
  <si>
    <t>Nánhuáng Zhèn</t>
  </si>
  <si>
    <t>南黄镇</t>
  </si>
  <si>
    <t>Níngjīn Jiēdào</t>
  </si>
  <si>
    <t>宁津街道</t>
  </si>
  <si>
    <t>Qiáotóu Zhèn</t>
  </si>
  <si>
    <t>桥头镇</t>
  </si>
  <si>
    <t>Qĭngshān Zhèn</t>
  </si>
  <si>
    <t>苘山镇</t>
  </si>
  <si>
    <t>Rénhé Zhèn</t>
  </si>
  <si>
    <t>人和镇</t>
  </si>
  <si>
    <t>Rŭshānkŏu Zhèn</t>
  </si>
  <si>
    <t>乳山口镇</t>
  </si>
  <si>
    <t>Rŭshānzhài Zhèn</t>
  </si>
  <si>
    <t>乳山寨镇</t>
  </si>
  <si>
    <t>Shàngzhuāng Zhèn</t>
  </si>
  <si>
    <t>上庄镇</t>
  </si>
  <si>
    <t>Sòngcūn Zhèn</t>
  </si>
  <si>
    <t>宋村镇</t>
  </si>
  <si>
    <t>Sūnjiātuăn Jiēdào</t>
  </si>
  <si>
    <t>孙家疃街道</t>
  </si>
  <si>
    <t>Téngjiā Zhèn</t>
  </si>
  <si>
    <t>滕家镇</t>
  </si>
  <si>
    <t>Tiānfúlù Jiēdào</t>
  </si>
  <si>
    <t>天福路街道</t>
  </si>
  <si>
    <t>Tiánhé Jiēdào</t>
  </si>
  <si>
    <t>田和街道</t>
  </si>
  <si>
    <t>Wánglián Jiēdào</t>
  </si>
  <si>
    <t>王连街道</t>
  </si>
  <si>
    <t>Wāngtuăn Zhèn</t>
  </si>
  <si>
    <t>汪疃镇</t>
  </si>
  <si>
    <t>Wéndēng Jīngjì Kāifāqū</t>
  </si>
  <si>
    <t>文登经济开发区</t>
  </si>
  <si>
    <t>Wéndēngyíng Zhèn</t>
  </si>
  <si>
    <t>文登营镇</t>
  </si>
  <si>
    <t>Wēnquán Zhèn</t>
  </si>
  <si>
    <t>温泉镇</t>
  </si>
  <si>
    <t>Wŭjí Zhèn</t>
  </si>
  <si>
    <t>午极镇</t>
  </si>
  <si>
    <t>Xiàchū Zhèn</t>
  </si>
  <si>
    <t>下初镇</t>
  </si>
  <si>
    <t>Xiàcūn Zhèn</t>
  </si>
  <si>
    <t>夏村镇</t>
  </si>
  <si>
    <t>Xiăoguān Zhèn</t>
  </si>
  <si>
    <t>小观镇</t>
  </si>
  <si>
    <t>Xīyuàn Jiēdào</t>
  </si>
  <si>
    <t>西苑街道</t>
  </si>
  <si>
    <t>Xújiā Zhèn</t>
  </si>
  <si>
    <t>徐家镇</t>
  </si>
  <si>
    <t>Xúnshān Jiēdào</t>
  </si>
  <si>
    <t>寻山街道</t>
  </si>
  <si>
    <t>Yángtíng Zhèn</t>
  </si>
  <si>
    <t>羊亭镇</t>
  </si>
  <si>
    <t>Yátóu Jiēdào</t>
  </si>
  <si>
    <t>崖头街道</t>
  </si>
  <si>
    <t>Yáxī Zhèn</t>
  </si>
  <si>
    <t>崖西镇</t>
  </si>
  <si>
    <t>Yázi Zhèn</t>
  </si>
  <si>
    <t>崖子镇</t>
  </si>
  <si>
    <t>Yìnzi Zhèn</t>
  </si>
  <si>
    <t>荫子镇</t>
  </si>
  <si>
    <t>Yíyuán Jiēdào</t>
  </si>
  <si>
    <t>怡园街道</t>
  </si>
  <si>
    <t>Yùlí Zhèn</t>
  </si>
  <si>
    <t>育黎镇</t>
  </si>
  <si>
    <t>Zékù Zhèn</t>
  </si>
  <si>
    <t>泽库镇</t>
  </si>
  <si>
    <t>Zétóu Zhèn</t>
  </si>
  <si>
    <t>泽头镇</t>
  </si>
  <si>
    <t>Zhāngcūn Zhèn</t>
  </si>
  <si>
    <t>张村镇</t>
  </si>
  <si>
    <t>Zhāngjiāchăn Zhèn</t>
  </si>
  <si>
    <t>张家产镇</t>
  </si>
  <si>
    <t>Zhúdăo Jiēdào</t>
  </si>
  <si>
    <t>竹岛街道</t>
  </si>
  <si>
    <t>Zhūwăng Zhèn</t>
  </si>
  <si>
    <t>诸往镇</t>
  </si>
  <si>
    <t>Bǎilínzhuāng Jiēdào</t>
  </si>
  <si>
    <t>柏林庄街道</t>
  </si>
  <si>
    <t>Láiyáng Shì</t>
  </si>
  <si>
    <t>Báishí Jiēdào</t>
  </si>
  <si>
    <t>白石街道</t>
  </si>
  <si>
    <t>Zhīfú Qū</t>
  </si>
  <si>
    <t>Bājiăo Jiēdào</t>
  </si>
  <si>
    <t>八角街道</t>
  </si>
  <si>
    <t>Fúshān Qū</t>
  </si>
  <si>
    <t>Bĕichángshān Xiāng</t>
  </si>
  <si>
    <t>北长山乡</t>
  </si>
  <si>
    <t>Pénglái Qū</t>
  </si>
  <si>
    <t>Bĕigōu Zhèn</t>
  </si>
  <si>
    <t>北沟镇</t>
  </si>
  <si>
    <t>Bĕihuángchéng Xiāng</t>
  </si>
  <si>
    <t>北隍城乡</t>
  </si>
  <si>
    <t>Bĕimă Zhèn</t>
  </si>
  <si>
    <t>北马镇</t>
  </si>
  <si>
    <t>Lóngkŏu Shì</t>
  </si>
  <si>
    <t>Bìguō Zhèn</t>
  </si>
  <si>
    <t>毕郭镇</t>
  </si>
  <si>
    <t>Zhāoyuăn Shì</t>
  </si>
  <si>
    <t>Bīnhăilù Jiēdào</t>
  </si>
  <si>
    <t>滨海路街道</t>
  </si>
  <si>
    <t>Láishān Qū</t>
  </si>
  <si>
    <t>Cánzhuāng Zhèn</t>
  </si>
  <si>
    <t>蚕庄镇</t>
  </si>
  <si>
    <t>Cháoshuĭ Zhèn</t>
  </si>
  <si>
    <t>潮水镇</t>
  </si>
  <si>
    <t>Chénggănglù Jiēdào</t>
  </si>
  <si>
    <t>城港路街道</t>
  </si>
  <si>
    <t>Láizhōu Shì</t>
  </si>
  <si>
    <t>Chéngguō Zhèn</t>
  </si>
  <si>
    <t>程郭镇</t>
  </si>
  <si>
    <t>Chéngxiāng Jiēdào</t>
  </si>
  <si>
    <t>城厢街道</t>
  </si>
  <si>
    <t>Chūjiā Jiēdào</t>
  </si>
  <si>
    <t>初家街道</t>
  </si>
  <si>
    <t>Cuìpíng Jiēdào</t>
  </si>
  <si>
    <t>翠屏街道</t>
  </si>
  <si>
    <t>Qīxiá Shì</t>
  </si>
  <si>
    <t>Cūnlĭjí Zhèn</t>
  </si>
  <si>
    <t>村里集镇</t>
  </si>
  <si>
    <t>Dàjìjiā Jiēdào</t>
  </si>
  <si>
    <t>大季家街道</t>
  </si>
  <si>
    <t>Dàkuăng Zhèn</t>
  </si>
  <si>
    <t>大夼镇</t>
  </si>
  <si>
    <t>Dàliŭxíng Zhèn</t>
  </si>
  <si>
    <t>大柳行镇</t>
  </si>
  <si>
    <t>Dàqīndăo Xiāng</t>
  </si>
  <si>
    <t>大钦岛乡</t>
  </si>
  <si>
    <t>Dàqínjiā Jiēdào</t>
  </si>
  <si>
    <t>大秦家街道</t>
  </si>
  <si>
    <t>Dàxīndiàn Zhèn</t>
  </si>
  <si>
    <t>大辛店镇</t>
  </si>
  <si>
    <t>Dàyáo Jiēdào</t>
  </si>
  <si>
    <t>大窑街道</t>
  </si>
  <si>
    <t>Mùpíng Qū</t>
  </si>
  <si>
    <t>Dēngzhōu Jiēdào</t>
  </si>
  <si>
    <t>登州街道</t>
  </si>
  <si>
    <t>Dōngcūn Jiēdào</t>
  </si>
  <si>
    <t>东村街道</t>
  </si>
  <si>
    <t>Hăiyáng Shì</t>
  </si>
  <si>
    <t>Dōngjiāng Jiēdào</t>
  </si>
  <si>
    <t>东江街道</t>
  </si>
  <si>
    <t>Dōnglái Jiēdào</t>
  </si>
  <si>
    <t>东莱街道</t>
  </si>
  <si>
    <t>Dōngtīng Jiēdào</t>
  </si>
  <si>
    <t>东厅街道</t>
  </si>
  <si>
    <t>Èrshílĭdiàn Zhèn</t>
  </si>
  <si>
    <t>二十里店镇</t>
  </si>
  <si>
    <t>Fāchéng Zhèn</t>
  </si>
  <si>
    <t>发城镇</t>
  </si>
  <si>
    <t>Fāngyuán Jiēdào</t>
  </si>
  <si>
    <t>方圆街道</t>
  </si>
  <si>
    <t>Fénggézhuāng Jiēdào</t>
  </si>
  <si>
    <t>冯格庄街道</t>
  </si>
  <si>
    <t>Fènghuángtái Jiēdào</t>
  </si>
  <si>
    <t>凤凰台街道</t>
  </si>
  <si>
    <t>Fúláishān Jiēdào [incl. Hăihé Shèqū, Chángjiāng Shèqū]</t>
  </si>
  <si>
    <t>福莱山街道</t>
  </si>
  <si>
    <t>Fùshān Zhèn</t>
  </si>
  <si>
    <t>阜山镇</t>
  </si>
  <si>
    <t>Fúxīn Jiēdào</t>
  </si>
  <si>
    <t>福新街道</t>
  </si>
  <si>
    <t>Gāogézhuāng Zhèn</t>
  </si>
  <si>
    <t>高格庄镇</t>
  </si>
  <si>
    <t>Gāolíng Zhèn</t>
  </si>
  <si>
    <t>高陵镇</t>
  </si>
  <si>
    <t>Gāotuăn Zhèn</t>
  </si>
  <si>
    <t>高疃镇</t>
  </si>
  <si>
    <t>Guāndào Zhèn</t>
  </si>
  <si>
    <t>官道镇</t>
  </si>
  <si>
    <t>Guānlĭ Zhèn</t>
  </si>
  <si>
    <t>观里镇</t>
  </si>
  <si>
    <t>Guānshuĭ Zhèn</t>
  </si>
  <si>
    <t>观水镇</t>
  </si>
  <si>
    <t>Gŭliŭ Jiēdào</t>
  </si>
  <si>
    <t>古柳街道</t>
  </si>
  <si>
    <t>Guōchéng Zhèn</t>
  </si>
  <si>
    <t>郭城镇</t>
  </si>
  <si>
    <t>Guōjiādiàn Zhèn</t>
  </si>
  <si>
    <t>郭家店镇</t>
  </si>
  <si>
    <t>Gŭxiàn Jiēdào</t>
  </si>
  <si>
    <t>古现街道</t>
  </si>
  <si>
    <t>Hēishān Xiāng</t>
  </si>
  <si>
    <t>黑山乡</t>
  </si>
  <si>
    <t>Héluò Zhèn</t>
  </si>
  <si>
    <t>河洛镇</t>
  </si>
  <si>
    <t>Huánghăilù Jiēdào</t>
  </si>
  <si>
    <t>黄海路街道</t>
  </si>
  <si>
    <t>Huángshānguăn Zhèn</t>
  </si>
  <si>
    <t>黄山馆镇</t>
  </si>
  <si>
    <t>Huángwù Jiēdào</t>
  </si>
  <si>
    <t>黄务街道</t>
  </si>
  <si>
    <t>Huílĭ Zhèn</t>
  </si>
  <si>
    <t>回里镇</t>
  </si>
  <si>
    <t>Hŭtóuyá Zhèn</t>
  </si>
  <si>
    <t>虎头崖镇</t>
  </si>
  <si>
    <t>Jiānggézhuāng Jiēdào</t>
  </si>
  <si>
    <t>姜格庄街道</t>
  </si>
  <si>
    <t>Jiāngtuăn Zhèn</t>
  </si>
  <si>
    <t>姜疃镇</t>
  </si>
  <si>
    <t>Jiĕjiăzhuāng Jiēdào</t>
  </si>
  <si>
    <t>解甲庄街道</t>
  </si>
  <si>
    <t>Jīnchéng Zhèn</t>
  </si>
  <si>
    <t>金城镇</t>
  </si>
  <si>
    <t>Jīnlĭng Zhèn</t>
  </si>
  <si>
    <t>金岭镇</t>
  </si>
  <si>
    <t>Jŭgézhuāng Zhèn</t>
  </si>
  <si>
    <t>莒格庄镇</t>
  </si>
  <si>
    <t>Láishān Jiēdào</t>
  </si>
  <si>
    <t>莱山街道</t>
  </si>
  <si>
    <t>Lángāo Zhèn</t>
  </si>
  <si>
    <t>兰高镇</t>
  </si>
  <si>
    <t>Línglóng Zhèn</t>
  </si>
  <si>
    <t>玲珑镇</t>
  </si>
  <si>
    <t>Liúgézhuāng Zhèn</t>
  </si>
  <si>
    <t>留格庄镇</t>
  </si>
  <si>
    <t>Liújiāgōu Zhèn</t>
  </si>
  <si>
    <t>刘家沟镇</t>
  </si>
  <si>
    <t>Lónggăng Jiēdào</t>
  </si>
  <si>
    <t>龙港街道</t>
  </si>
  <si>
    <t>Lóngquán Zhèn</t>
  </si>
  <si>
    <t>龙泉镇</t>
  </si>
  <si>
    <t>Lóngshān Jiēdào [Dàyánjiā Zhèn]</t>
  </si>
  <si>
    <t>Lóngwàngzhuāng Jiēdào</t>
  </si>
  <si>
    <t>龙旺庄街道</t>
  </si>
  <si>
    <t>Lǚgézhuāng Zhèn</t>
  </si>
  <si>
    <t>吕格庄镇</t>
  </si>
  <si>
    <t>Luófēng Jiēdào</t>
  </si>
  <si>
    <t>罗峰街道</t>
  </si>
  <si>
    <t>Lútóu Zhèn</t>
  </si>
  <si>
    <t>芦头镇</t>
  </si>
  <si>
    <t>Măshān Jiēdào</t>
  </si>
  <si>
    <t>马山街道</t>
  </si>
  <si>
    <t>Mèngzhī Jiēdào</t>
  </si>
  <si>
    <t>梦芝街道</t>
  </si>
  <si>
    <t>Ménlóu Jiēdào</t>
  </si>
  <si>
    <t>门楼街道</t>
  </si>
  <si>
    <t>Miàohòu Zhèn</t>
  </si>
  <si>
    <t>庙后镇</t>
  </si>
  <si>
    <t>Mùyùdiàn Zhèn</t>
  </si>
  <si>
    <t>沐浴店镇</t>
  </si>
  <si>
    <t>Nánchángshān Jiēdào</t>
  </si>
  <si>
    <t>南长山街道</t>
  </si>
  <si>
    <t>Nánhuángchéng Xiāng</t>
  </si>
  <si>
    <t>南隍城乡</t>
  </si>
  <si>
    <t>Nánwáng Jiēdào</t>
  </si>
  <si>
    <t>南王街道</t>
  </si>
  <si>
    <t>Nínghăi Jiēdào</t>
  </si>
  <si>
    <t>宁海街道</t>
  </si>
  <si>
    <t>Pánshídiàn Zhèn</t>
  </si>
  <si>
    <t>盘石店镇</t>
  </si>
  <si>
    <t>Péngláigé Jiēdào</t>
  </si>
  <si>
    <t>蓬莱阁街道</t>
  </si>
  <si>
    <t>Pínglĭdiàn Zhèn</t>
  </si>
  <si>
    <t>平里店镇</t>
  </si>
  <si>
    <t>Qījiă Zhèn</t>
  </si>
  <si>
    <t>七甲镇</t>
  </si>
  <si>
    <t>Qīngyáng Jiēdào</t>
  </si>
  <si>
    <t>清洋街道</t>
  </si>
  <si>
    <t>Qíshān Jiēdào</t>
  </si>
  <si>
    <t>奇山街道</t>
  </si>
  <si>
    <t>齐山镇</t>
  </si>
  <si>
    <t>Quánshān Jiēdào</t>
  </si>
  <si>
    <t>泉山街道</t>
  </si>
  <si>
    <t>Sānshāndăo Jiēdào</t>
  </si>
  <si>
    <t>三山岛街道</t>
  </si>
  <si>
    <t>Shānqiándiàn Zhèn</t>
  </si>
  <si>
    <t>山前店镇</t>
  </si>
  <si>
    <t>Shéwōbó Zhèn</t>
  </si>
  <si>
    <t>蛇窝泊镇</t>
  </si>
  <si>
    <t>Shìhuíyáo Jiēdào</t>
  </si>
  <si>
    <t>世回尧街道</t>
  </si>
  <si>
    <t>Shíliáng Zhèn</t>
  </si>
  <si>
    <t>石良镇</t>
  </si>
  <si>
    <t>Shuĭdào Zhèn</t>
  </si>
  <si>
    <t>水道镇</t>
  </si>
  <si>
    <t>Sìkŏu Zhèn</t>
  </si>
  <si>
    <t>寺口镇</t>
  </si>
  <si>
    <t>Sōngshān Jiēdào</t>
  </si>
  <si>
    <t>松山街道</t>
  </si>
  <si>
    <t>Sūjiādiàn Zhèn</t>
  </si>
  <si>
    <t>苏家店镇</t>
  </si>
  <si>
    <t>Tángézhuāng Zhèn</t>
  </si>
  <si>
    <t>谭格庄镇</t>
  </si>
  <si>
    <t>Tángjiābó Zhèn</t>
  </si>
  <si>
    <t>唐家泊镇</t>
  </si>
  <si>
    <t>Táocūn Zhèn</t>
  </si>
  <si>
    <t>桃村镇</t>
  </si>
  <si>
    <t>Tíngkŏu Zhèn</t>
  </si>
  <si>
    <t>亭口镇</t>
  </si>
  <si>
    <t>Tōngshēn Jiēdào</t>
  </si>
  <si>
    <t>通伸街道</t>
  </si>
  <si>
    <t>Tuánwàng Zhèn</t>
  </si>
  <si>
    <t>团旺镇</t>
  </si>
  <si>
    <t>Tuójī Zhèn</t>
  </si>
  <si>
    <t>砣矶镇</t>
  </si>
  <si>
    <t>Tŭshān Zhèn</t>
  </si>
  <si>
    <t>土山镇</t>
  </si>
  <si>
    <t>Wàixiàng Xínggōngyè Jiāgōngqū</t>
  </si>
  <si>
    <t>外向型工业加工区</t>
  </si>
  <si>
    <t>Wàndì Zhèn</t>
  </si>
  <si>
    <t>万第镇</t>
  </si>
  <si>
    <t>Wánggézhuāng Zhèn</t>
  </si>
  <si>
    <t>王格庄镇</t>
  </si>
  <si>
    <t>Wénchānglù Jiēdào</t>
  </si>
  <si>
    <t>文昌路街道</t>
  </si>
  <si>
    <t>Wénfēnglù Jiēdào</t>
  </si>
  <si>
    <t>文峰路街道</t>
  </si>
  <si>
    <t>Wénhuà Jiēdào</t>
  </si>
  <si>
    <t>文化街道</t>
  </si>
  <si>
    <t>Wŭníng Jiēdào</t>
  </si>
  <si>
    <t>武宁街道</t>
  </si>
  <si>
    <t>Xiàdiàn Zhèn</t>
  </si>
  <si>
    <t>夏甸镇</t>
  </si>
  <si>
    <t>Xiàdīngjiā Zhèn</t>
  </si>
  <si>
    <t>下丁家镇</t>
  </si>
  <si>
    <t>Xiàngyáng Jiēdào</t>
  </si>
  <si>
    <t>向阳街道</t>
  </si>
  <si>
    <t>Xiăojì Zhèn</t>
  </si>
  <si>
    <t>小纪镇</t>
  </si>
  <si>
    <t>Xiăoménjiā Zhèn</t>
  </si>
  <si>
    <t>小门家镇</t>
  </si>
  <si>
    <t>Xiăoqīndăo Xiāng</t>
  </si>
  <si>
    <t>小钦岛乡</t>
  </si>
  <si>
    <t>Xiàqiū Zhèn</t>
  </si>
  <si>
    <t>夏邱镇</t>
  </si>
  <si>
    <t>Xīchéng Zhèn</t>
  </si>
  <si>
    <t>西城镇</t>
  </si>
  <si>
    <t>Xīn'ān Zhèn</t>
  </si>
  <si>
    <t>辛安镇</t>
  </si>
  <si>
    <t>Xīngăng Jiēdào</t>
  </si>
  <si>
    <t>新港街道</t>
  </si>
  <si>
    <t>Xíngcūn Zhèn</t>
  </si>
  <si>
    <t>行村镇</t>
  </si>
  <si>
    <t>Xìngfú Jiēdào</t>
  </si>
  <si>
    <t>幸福街道</t>
  </si>
  <si>
    <t>Xīnjiā Jiēdào</t>
  </si>
  <si>
    <t>新嘉街道</t>
  </si>
  <si>
    <t>辛庄镇</t>
  </si>
  <si>
    <t>Xuéfāng Zhèn</t>
  </si>
  <si>
    <t>穴坊镇</t>
  </si>
  <si>
    <t>Xúfú Jiēdào</t>
  </si>
  <si>
    <t>徐福街道</t>
  </si>
  <si>
    <t>Xújiādiàn Zhèn</t>
  </si>
  <si>
    <t>徐家店镇</t>
  </si>
  <si>
    <t>Yángchŭ Zhèn</t>
  </si>
  <si>
    <t>杨础镇</t>
  </si>
  <si>
    <t>Yángjùn Zhèn</t>
  </si>
  <si>
    <t>羊郡镇</t>
  </si>
  <si>
    <t>Yăngmădăo Jiēdào</t>
  </si>
  <si>
    <t>养马岛街道</t>
  </si>
  <si>
    <t>Yìdào Zhèn</t>
  </si>
  <si>
    <t>驿道镇</t>
  </si>
  <si>
    <t>Yŏng'ānlù Jiēdào</t>
  </si>
  <si>
    <t>永安路街道</t>
  </si>
  <si>
    <t>Yuàngézhuāng Jiēdào</t>
  </si>
  <si>
    <t>院格庄街道</t>
  </si>
  <si>
    <t>Yùhuángdĭng Jiēdào</t>
  </si>
  <si>
    <t>毓璜顶街道</t>
  </si>
  <si>
    <t>Yùlíndiàn Zhèn</t>
  </si>
  <si>
    <t>玉林店镇</t>
  </si>
  <si>
    <t>Zāngjiāzhuāng Zhèn</t>
  </si>
  <si>
    <t>臧家庄镇</t>
  </si>
  <si>
    <t>Zhàcūn Zhèn</t>
  </si>
  <si>
    <t>柞村镇</t>
  </si>
  <si>
    <t>Zhānggézhuāng Zhèn</t>
  </si>
  <si>
    <t>张格庄镇</t>
  </si>
  <si>
    <t>Zhāngxīng Zhèn</t>
  </si>
  <si>
    <t>张星镇</t>
  </si>
  <si>
    <t>Zhàowàngzhuāng Zhèn</t>
  </si>
  <si>
    <t>照旺庄镇</t>
  </si>
  <si>
    <t>Zhĭchŭ Jiēdào</t>
  </si>
  <si>
    <t>只楚街道</t>
  </si>
  <si>
    <t>Zhīfúdăo Jiēdào</t>
  </si>
  <si>
    <t>芝罘岛街道</t>
  </si>
  <si>
    <t>Zhuāngyuán Jiēdào</t>
  </si>
  <si>
    <t>庄园街道</t>
  </si>
  <si>
    <t>Zhūqiáo Zhèn</t>
  </si>
  <si>
    <t>朱桥镇</t>
  </si>
  <si>
    <t>Zhūwú Zhèn</t>
  </si>
  <si>
    <t>朱吴镇</t>
  </si>
  <si>
    <t>Zhūyóuguān Zhèn</t>
  </si>
  <si>
    <t>诸由观镇</t>
  </si>
  <si>
    <t>Zĭjīngshān Jiēdào</t>
  </si>
  <si>
    <t>紫荆山街道</t>
  </si>
  <si>
    <t>Bàogōu Zhèn</t>
  </si>
  <si>
    <t>鲍沟镇</t>
  </si>
  <si>
    <t>Téngzhōu Shì</t>
  </si>
  <si>
    <t>Bĕixīn Jiēdào</t>
  </si>
  <si>
    <t>北辛街道</t>
  </si>
  <si>
    <t>Bĕizhuāng Zhèn</t>
  </si>
  <si>
    <t>北庄镇</t>
  </si>
  <si>
    <t>Shāntíng Qū</t>
  </si>
  <si>
    <t>Bīnhú Zhèn</t>
  </si>
  <si>
    <t>滨湖镇</t>
  </si>
  <si>
    <t>Chángzhuāng Jiēdào</t>
  </si>
  <si>
    <t>常庄街道</t>
  </si>
  <si>
    <t>Xuēchéng Qū</t>
  </si>
  <si>
    <t>Chéngtóu Zhèn</t>
  </si>
  <si>
    <t>城头镇</t>
  </si>
  <si>
    <t>Dàwù Zhèn</t>
  </si>
  <si>
    <t>大坞镇</t>
  </si>
  <si>
    <t>Dĭgé Zhèn</t>
  </si>
  <si>
    <t>底阁镇</t>
  </si>
  <si>
    <t>Yìchéng Qū</t>
  </si>
  <si>
    <t>Dōngguō Zhèn</t>
  </si>
  <si>
    <t>东郭镇</t>
  </si>
  <si>
    <t>Dōngshāhé Jiēdào</t>
  </si>
  <si>
    <t>东沙河街道</t>
  </si>
  <si>
    <t>Éshān Zhèn</t>
  </si>
  <si>
    <t>峨山镇</t>
  </si>
  <si>
    <t>Féngmăo Zhèn</t>
  </si>
  <si>
    <t>冯卯镇</t>
  </si>
  <si>
    <t>Fúchéng Zhèn</t>
  </si>
  <si>
    <t>凫城镇</t>
  </si>
  <si>
    <t>Gètăbù Jiēdào</t>
  </si>
  <si>
    <t>各塔埠街道</t>
  </si>
  <si>
    <t>Guāngmínglù Jiēdào</t>
  </si>
  <si>
    <t>光明路街道</t>
  </si>
  <si>
    <t>Guānqiáo Zhèn</t>
  </si>
  <si>
    <t>官桥镇</t>
  </si>
  <si>
    <t>Gŭshào Zhèn</t>
  </si>
  <si>
    <t>古邵镇</t>
  </si>
  <si>
    <t>Hóngxù Zhèn</t>
  </si>
  <si>
    <t>洪绪镇</t>
  </si>
  <si>
    <t>Jiāngtún Zhèn</t>
  </si>
  <si>
    <t>姜屯镇</t>
  </si>
  <si>
    <t>Jiàntóují Zhèn</t>
  </si>
  <si>
    <t>涧头集镇</t>
  </si>
  <si>
    <t>Tái'érzhuāng Qū</t>
  </si>
  <si>
    <t>Jièhé Zhèn</t>
  </si>
  <si>
    <t>界河镇</t>
  </si>
  <si>
    <t>Jīnghé Jiēdào</t>
  </si>
  <si>
    <t>荆河街道</t>
  </si>
  <si>
    <t>Jísuŏ Zhèn</t>
  </si>
  <si>
    <t>级索镇</t>
  </si>
  <si>
    <t>Kuàngqū Jiēdào</t>
  </si>
  <si>
    <t>矿区街道</t>
  </si>
  <si>
    <t>Línchéng Jiēdào</t>
  </si>
  <si>
    <t>临城街道</t>
  </si>
  <si>
    <t>Liúyuán Zhèn</t>
  </si>
  <si>
    <t>榴园镇</t>
  </si>
  <si>
    <t>Lóngyáng Zhèn</t>
  </si>
  <si>
    <t>龙阳镇</t>
  </si>
  <si>
    <t>Mălántún Zhèn</t>
  </si>
  <si>
    <t>马兰屯镇</t>
  </si>
  <si>
    <t>Mèngzhuāng Zhèn</t>
  </si>
  <si>
    <t>孟庄镇</t>
  </si>
  <si>
    <t>Mùshí Zhèn</t>
  </si>
  <si>
    <t>木石镇</t>
  </si>
  <si>
    <t>Nánshāhé Zhèn</t>
  </si>
  <si>
    <t>南沙河镇</t>
  </si>
  <si>
    <t>Nígōu Zhèn</t>
  </si>
  <si>
    <t>泥沟镇</t>
  </si>
  <si>
    <t>Pīzhuāng Zhèn</t>
  </si>
  <si>
    <t>邳庄镇</t>
  </si>
  <si>
    <t>Qícūn Zhèn</t>
  </si>
  <si>
    <t>齐村镇</t>
  </si>
  <si>
    <t>Sāngcūn Zhèn</t>
  </si>
  <si>
    <t>桑村镇</t>
  </si>
  <si>
    <t>Shānchéng Jiēdào</t>
  </si>
  <si>
    <t>山城街道</t>
  </si>
  <si>
    <t>Shànnán Jiēdào</t>
  </si>
  <si>
    <t>善南街道</t>
  </si>
  <si>
    <t>Shuìguō Zhèn</t>
  </si>
  <si>
    <t>税郭镇</t>
  </si>
  <si>
    <t>Shuĭquán Zhèn</t>
  </si>
  <si>
    <t>水泉镇</t>
  </si>
  <si>
    <t>Tánshān Jiēdào</t>
  </si>
  <si>
    <t>坛山街道</t>
  </si>
  <si>
    <t>Táozhuāng Zhèn</t>
  </si>
  <si>
    <t>陶庄镇</t>
  </si>
  <si>
    <t>Wénhuàlù Jiēdào</t>
  </si>
  <si>
    <t>文化路街道</t>
  </si>
  <si>
    <t>Wúlín Jiēdào</t>
  </si>
  <si>
    <t>吴林街道</t>
  </si>
  <si>
    <t>Xīgăng Zhèn</t>
  </si>
  <si>
    <t>西岗镇</t>
  </si>
  <si>
    <t>Xījí Zhèn</t>
  </si>
  <si>
    <t>西集镇</t>
  </si>
  <si>
    <t>Xīngchéng Jiēdào</t>
  </si>
  <si>
    <t>兴城街道</t>
  </si>
  <si>
    <t>Xīngrén Jiēdào</t>
  </si>
  <si>
    <t>兴仁街道</t>
  </si>
  <si>
    <t>Xīwángzhuāng Zhèn</t>
  </si>
  <si>
    <t>西王庄镇</t>
  </si>
  <si>
    <t>羊庄镇</t>
  </si>
  <si>
    <t>Yīnpíng Zhèn</t>
  </si>
  <si>
    <t>阴平镇</t>
  </si>
  <si>
    <t>Zhāngfàn Jiēdào</t>
  </si>
  <si>
    <t>张范街道</t>
  </si>
  <si>
    <t>Zhāngshānzi Zhèn</t>
  </si>
  <si>
    <t>张山子镇</t>
  </si>
  <si>
    <t>Zhāngwāng Zhèn</t>
  </si>
  <si>
    <t>张汪镇</t>
  </si>
  <si>
    <t>Zhōngxīnjiē Jiēdào</t>
  </si>
  <si>
    <t>中心街街道</t>
  </si>
  <si>
    <t>Zhōuyíng Zhèn</t>
  </si>
  <si>
    <t>周营镇</t>
  </si>
  <si>
    <t>Zōuwù Zhèn</t>
  </si>
  <si>
    <t>邹坞镇</t>
  </si>
  <si>
    <t>Bādŏu Zhèn</t>
  </si>
  <si>
    <t>八陡镇</t>
  </si>
  <si>
    <t>Bóshān Qū</t>
  </si>
  <si>
    <t>Báită Zhèn</t>
  </si>
  <si>
    <t>白塔镇</t>
  </si>
  <si>
    <t>Bānyánglù Jiēdào</t>
  </si>
  <si>
    <t>般阳路街道</t>
  </si>
  <si>
    <t>Zīchuān Qū</t>
  </si>
  <si>
    <t>Bĕijiāo Zhèn</t>
  </si>
  <si>
    <t>北郊镇</t>
  </si>
  <si>
    <t>Zhōucūn Qū</t>
  </si>
  <si>
    <t>Bóshān Zhèn [incl. Bĕibóshān Zhèn, Nánbóshān Zhèn]</t>
  </si>
  <si>
    <t>博山镇</t>
  </si>
  <si>
    <t>Gāoqīng Xiàn</t>
  </si>
  <si>
    <t>Chéngbĕilù Jiēdào</t>
  </si>
  <si>
    <t>城北路街道</t>
  </si>
  <si>
    <t>Chēzhàn Jiēdào</t>
  </si>
  <si>
    <t>车站街道</t>
  </si>
  <si>
    <t>Zhāngdiàn Qū</t>
  </si>
  <si>
    <t>Chíshàng Zhèn</t>
  </si>
  <si>
    <t>池上镇</t>
  </si>
  <si>
    <t>Dàjiē Jiēdào</t>
  </si>
  <si>
    <t>大街街道</t>
  </si>
  <si>
    <t>Dàzhāngzhuāng Zhèn</t>
  </si>
  <si>
    <t>大张庄镇</t>
  </si>
  <si>
    <t>Yíyuán Xiàn</t>
  </si>
  <si>
    <t>Dōnglĭ Zhèn</t>
  </si>
  <si>
    <t>东里镇</t>
  </si>
  <si>
    <t>Fángzhèn Zhèn</t>
  </si>
  <si>
    <t>房镇镇</t>
  </si>
  <si>
    <t>Fènghuáng Zhèn [incl. Wútái Zhèn]</t>
  </si>
  <si>
    <t>Línzī Qū</t>
  </si>
  <si>
    <t>Fēngshuĭ Zhèn</t>
  </si>
  <si>
    <t>沣水镇</t>
  </si>
  <si>
    <t>Fùjiā Zhèn</t>
  </si>
  <si>
    <t>傅家镇</t>
  </si>
  <si>
    <t>Gāochéng Zhèn</t>
  </si>
  <si>
    <t>高城镇</t>
  </si>
  <si>
    <t>Gōngyuán Jiēdào</t>
  </si>
  <si>
    <t>公园街道</t>
  </si>
  <si>
    <t>Guŏlĭ Zhèn [incl. Zhōujiā Zhèn]</t>
  </si>
  <si>
    <t>果里镇</t>
  </si>
  <si>
    <t>Huántái Xiàn</t>
  </si>
  <si>
    <t>Hēilĭzhài Zhèn</t>
  </si>
  <si>
    <t>黑里寨镇</t>
  </si>
  <si>
    <t>Hépíng Jiēdào</t>
  </si>
  <si>
    <t>和平街道</t>
  </si>
  <si>
    <t>Hóngshān Zhèn</t>
  </si>
  <si>
    <t>洪山镇</t>
  </si>
  <si>
    <t>Huāgōu Zhèn</t>
  </si>
  <si>
    <t>花沟镇</t>
  </si>
  <si>
    <t>Huángchéng Zhèn</t>
  </si>
  <si>
    <t>皇城镇</t>
  </si>
  <si>
    <t>Hútián Jiēdào</t>
  </si>
  <si>
    <t>湖田街道</t>
  </si>
  <si>
    <t>Jiāngjūnlù Jiēdào [incl. Shāngchénglù Jiēdào, Chéngnán Zhèn]</t>
  </si>
  <si>
    <t>将军路街道</t>
  </si>
  <si>
    <t>Jīngjiā Zhèn</t>
  </si>
  <si>
    <t>荆家镇</t>
  </si>
  <si>
    <t>Jìngzhòng Zhèn</t>
  </si>
  <si>
    <t>敬仲镇</t>
  </si>
  <si>
    <t>Jīnshān Zhèn [incl. Nánwáng Zhèn, Biānhé Zhèn]</t>
  </si>
  <si>
    <t>金山镇</t>
  </si>
  <si>
    <t>Jìxià Jiēdào</t>
  </si>
  <si>
    <t>稷下街道</t>
  </si>
  <si>
    <t>Kēyuàn Jiēdào</t>
  </si>
  <si>
    <t>科苑街道</t>
  </si>
  <si>
    <t>Kūnlún Zhèn [incl. Cícūn Zhèn]</t>
  </si>
  <si>
    <t>昆仑镇</t>
  </si>
  <si>
    <t>Lĭngzi Zhèn</t>
  </si>
  <si>
    <t>岭子镇</t>
  </si>
  <si>
    <t>Lìshān Jiēdào</t>
  </si>
  <si>
    <t>历山街道</t>
  </si>
  <si>
    <t>Lŭcūn Zhèn [incl. Xújiāzhuāng Xiāng]</t>
  </si>
  <si>
    <t>鲁村镇</t>
  </si>
  <si>
    <t>Lúhú Jiēdào [incl. Zhàodiàn Zhèn]</t>
  </si>
  <si>
    <t>芦湖街道</t>
  </si>
  <si>
    <t>Luócūn Zhèn</t>
  </si>
  <si>
    <t>罗村镇</t>
  </si>
  <si>
    <t>Măqiáo Zhèn [incl. Chénzhuāng Zhèn]</t>
  </si>
  <si>
    <t>马桥镇</t>
  </si>
  <si>
    <t>Măshàng Jiēdào</t>
  </si>
  <si>
    <t>马尚街道</t>
  </si>
  <si>
    <t>Méngshuĭ Zhèn</t>
  </si>
  <si>
    <t>萌水镇</t>
  </si>
  <si>
    <t>Mùlĭ Zhèn</t>
  </si>
  <si>
    <t>木李镇</t>
  </si>
  <si>
    <t>Nándìng Zhèn</t>
  </si>
  <si>
    <t>南定镇</t>
  </si>
  <si>
    <t>Nánjiāo Zhèn</t>
  </si>
  <si>
    <t>南郊镇</t>
  </si>
  <si>
    <t>Nánlǔshān Zhèn [incl. Sānchà Xiāng]</t>
  </si>
  <si>
    <t>南鲁山镇</t>
  </si>
  <si>
    <t>Nánmá Jiēdào</t>
  </si>
  <si>
    <t>南麻街道</t>
  </si>
  <si>
    <t>Qídū Zhèn</t>
  </si>
  <si>
    <t>齐都镇</t>
  </si>
  <si>
    <t>Qĭfèng Zhèn</t>
  </si>
  <si>
    <t>起凤镇</t>
  </si>
  <si>
    <t>Qílíng Jiēdào</t>
  </si>
  <si>
    <t>齐陵街道</t>
  </si>
  <si>
    <t>Qīngchéng Zhèn</t>
  </si>
  <si>
    <t>青城镇</t>
  </si>
  <si>
    <t>Shāngjiā Zhèn</t>
  </si>
  <si>
    <t>商家镇</t>
  </si>
  <si>
    <t>Shāntóu Jiēdào</t>
  </si>
  <si>
    <t>山头街道</t>
  </si>
  <si>
    <t>Shăohăi Jiēdào</t>
  </si>
  <si>
    <t>少海街道</t>
  </si>
  <si>
    <t>Shímă Zhèn</t>
  </si>
  <si>
    <t>石马镇</t>
  </si>
  <si>
    <t>Shuāngyáng Zhèn</t>
  </si>
  <si>
    <t>双杨镇</t>
  </si>
  <si>
    <t>Sìbăoshān Jiēdào [incl. Shíqiáo Jiēdào]</t>
  </si>
  <si>
    <t>四宝山街道</t>
  </si>
  <si>
    <t>Sīchóulù Jiēdào</t>
  </si>
  <si>
    <t>丝绸路街道</t>
  </si>
  <si>
    <t>Sōnglínglù Jiēdào</t>
  </si>
  <si>
    <t>松龄路街道</t>
  </si>
  <si>
    <t>Suŏzhèn Jiēdào</t>
  </si>
  <si>
    <t>索镇街道</t>
  </si>
  <si>
    <t>Tàihé Zhèn [incl. Zīhé Zhèn]</t>
  </si>
  <si>
    <t>太河镇</t>
  </si>
  <si>
    <t>Tángfāng Zhèn</t>
  </si>
  <si>
    <t>唐坊镇</t>
  </si>
  <si>
    <t>Tángshān Zhèn [incl. Xíngjiā Zhèn]</t>
  </si>
  <si>
    <t>唐山镇</t>
  </si>
  <si>
    <t>Tiánzhèn Jiēdào</t>
  </si>
  <si>
    <t>田镇街道</t>
  </si>
  <si>
    <t>Tĭyùchăng Jiēdào</t>
  </si>
  <si>
    <t>体育场街道</t>
  </si>
  <si>
    <t>Wángcūn Zhèn</t>
  </si>
  <si>
    <t>王村镇</t>
  </si>
  <si>
    <t>Wénsháo Jiēdào</t>
  </si>
  <si>
    <t>闻韶街道</t>
  </si>
  <si>
    <t>Xiàjiāzhuāng Jiēdào</t>
  </si>
  <si>
    <t>夏家庄街道</t>
  </si>
  <si>
    <t>Xīhé Zhèn [incl. Dōngpíng Zhèn, Zhāngzhuāng Xiāng]</t>
  </si>
  <si>
    <t>西河镇</t>
  </si>
  <si>
    <t>Xīlĭ Zhèn</t>
  </si>
  <si>
    <t>西里镇</t>
  </si>
  <si>
    <t>Xīnchéng Zhèn</t>
  </si>
  <si>
    <t>新城镇</t>
  </si>
  <si>
    <t>Xìngyuán Jiēdào</t>
  </si>
  <si>
    <t>杏园街道</t>
  </si>
  <si>
    <t>Xuĕgōng Jiēdào</t>
  </si>
  <si>
    <t>雪宫街道</t>
  </si>
  <si>
    <t>Yànyá Zhèn</t>
  </si>
  <si>
    <t>燕崖镇</t>
  </si>
  <si>
    <t>Yŏng'ān Jiēdào</t>
  </si>
  <si>
    <t>永安街道</t>
  </si>
  <si>
    <t>Yuánquán Zhèn [incl. Gùshān Zhèn]</t>
  </si>
  <si>
    <t>源泉镇</t>
  </si>
  <si>
    <t>Yùchéng Zhèn</t>
  </si>
  <si>
    <t>域城镇</t>
  </si>
  <si>
    <t>Yuèzhuāng Zhèn</t>
  </si>
  <si>
    <t>悦庄镇</t>
  </si>
  <si>
    <t>Zhàilĭ Zhèn [incl. Hēiwàng Zhèn]</t>
  </si>
  <si>
    <t>Zhāngjiāpō Zhèn</t>
  </si>
  <si>
    <t>张家坡镇</t>
  </si>
  <si>
    <t>Zhōngbù Zhèn</t>
  </si>
  <si>
    <t>中埠镇</t>
  </si>
  <si>
    <t>Zhōnglóu Jiēdào</t>
  </si>
  <si>
    <t>钟楼街道</t>
  </si>
  <si>
    <t>Zhōngzhuāng Zhèn</t>
  </si>
  <si>
    <t>中庄镇</t>
  </si>
  <si>
    <t>Zhūtái Zhèn</t>
  </si>
  <si>
    <t>朱台镇</t>
  </si>
  <si>
    <t>Bīnzhōu Shì</t>
  </si>
  <si>
    <t>Prefecture-level City</t>
  </si>
  <si>
    <t>滨州市</t>
  </si>
  <si>
    <t>District</t>
  </si>
  <si>
    <t>滨城区</t>
  </si>
  <si>
    <t>County</t>
  </si>
  <si>
    <t>博兴县</t>
  </si>
  <si>
    <t>惠民县</t>
  </si>
  <si>
    <t>无棣县</t>
  </si>
  <si>
    <t>阳信县</t>
  </si>
  <si>
    <t>沾化区</t>
  </si>
  <si>
    <t>County-level City</t>
  </si>
  <si>
    <t>邹平市</t>
  </si>
  <si>
    <t>Dézhōu Shì</t>
  </si>
  <si>
    <t>德州市</t>
  </si>
  <si>
    <t>德城区</t>
  </si>
  <si>
    <t>乐陵市</t>
  </si>
  <si>
    <t>陵城区</t>
  </si>
  <si>
    <t>临邑县</t>
  </si>
  <si>
    <t>宁津县</t>
  </si>
  <si>
    <t>平原县</t>
  </si>
  <si>
    <t>齐河县</t>
  </si>
  <si>
    <t>庆云县</t>
  </si>
  <si>
    <t>武城县</t>
  </si>
  <si>
    <t>夏津县</t>
  </si>
  <si>
    <t>禹城市</t>
  </si>
  <si>
    <t>Dōngyíng Shì</t>
  </si>
  <si>
    <t>东营市</t>
  </si>
  <si>
    <t>东营区</t>
  </si>
  <si>
    <t>广饶县</t>
  </si>
  <si>
    <t>河口区</t>
  </si>
  <si>
    <t>垦利区</t>
  </si>
  <si>
    <t>利津县</t>
  </si>
  <si>
    <t>Hézé Shì</t>
  </si>
  <si>
    <t>菏泽市</t>
  </si>
  <si>
    <t>曹县</t>
  </si>
  <si>
    <t>成武县</t>
  </si>
  <si>
    <t>定陶区</t>
  </si>
  <si>
    <t>东明县</t>
  </si>
  <si>
    <t>鄄城县</t>
  </si>
  <si>
    <t>巨野县</t>
  </si>
  <si>
    <t>牡丹区</t>
  </si>
  <si>
    <t>单县</t>
  </si>
  <si>
    <t>郓城县</t>
  </si>
  <si>
    <t>Sub-provincial City</t>
  </si>
  <si>
    <t>济南市</t>
  </si>
  <si>
    <t>长清区</t>
  </si>
  <si>
    <t>钢城区</t>
  </si>
  <si>
    <t>槐荫区</t>
  </si>
  <si>
    <t>济阳区</t>
  </si>
  <si>
    <t>莱芜区</t>
  </si>
  <si>
    <t>历城区</t>
  </si>
  <si>
    <t>历下区</t>
  </si>
  <si>
    <t>平阴县</t>
  </si>
  <si>
    <t>商河县</t>
  </si>
  <si>
    <t>市中区</t>
  </si>
  <si>
    <t>天桥区</t>
  </si>
  <si>
    <t>章丘区</t>
  </si>
  <si>
    <t>Jìníng Shì</t>
  </si>
  <si>
    <t>济宁市</t>
  </si>
  <si>
    <t>嘉祥县</t>
  </si>
  <si>
    <t>金乡县</t>
  </si>
  <si>
    <t>梁山县</t>
  </si>
  <si>
    <t>曲阜市</t>
  </si>
  <si>
    <t>任城区</t>
  </si>
  <si>
    <t>泗水县</t>
  </si>
  <si>
    <t>微山县</t>
  </si>
  <si>
    <t>汶上县</t>
  </si>
  <si>
    <t>兖州区</t>
  </si>
  <si>
    <t>鱼台县</t>
  </si>
  <si>
    <t>邹城市</t>
  </si>
  <si>
    <t>Liáochéng Shì</t>
  </si>
  <si>
    <t>聊城市</t>
  </si>
  <si>
    <t>茌平区</t>
  </si>
  <si>
    <t>东昌府区</t>
  </si>
  <si>
    <t>东阿县</t>
  </si>
  <si>
    <t>高唐县</t>
  </si>
  <si>
    <t>冠县</t>
  </si>
  <si>
    <t>临清市</t>
  </si>
  <si>
    <t>莘县</t>
  </si>
  <si>
    <t>阳谷县</t>
  </si>
  <si>
    <t>Línyí Shì</t>
  </si>
  <si>
    <t>临沂市</t>
  </si>
  <si>
    <t>费县</t>
  </si>
  <si>
    <t>河东区</t>
  </si>
  <si>
    <t>莒南县</t>
  </si>
  <si>
    <t>兰陵县</t>
  </si>
  <si>
    <t>兰山区</t>
  </si>
  <si>
    <t>临沭县</t>
  </si>
  <si>
    <t>罗庄区</t>
  </si>
  <si>
    <t>蒙阴县</t>
  </si>
  <si>
    <t>平邑县</t>
  </si>
  <si>
    <t>郯城县</t>
  </si>
  <si>
    <t>沂南县</t>
  </si>
  <si>
    <t>沂水县</t>
  </si>
  <si>
    <t>Qīngdăo Shì</t>
  </si>
  <si>
    <t>青岛市</t>
  </si>
  <si>
    <t>城阳区</t>
  </si>
  <si>
    <t>黄岛区</t>
  </si>
  <si>
    <t>胶州市</t>
  </si>
  <si>
    <t>即墨区</t>
  </si>
  <si>
    <t>莱西市</t>
  </si>
  <si>
    <t>崂山区</t>
  </si>
  <si>
    <t>李沧区</t>
  </si>
  <si>
    <t>平度市</t>
  </si>
  <si>
    <t>市北区</t>
  </si>
  <si>
    <t>市南区</t>
  </si>
  <si>
    <t>Rìzhào Shì</t>
  </si>
  <si>
    <t>日照市</t>
  </si>
  <si>
    <t>东港区</t>
  </si>
  <si>
    <t>...</t>
  </si>
  <si>
    <t>莒县</t>
  </si>
  <si>
    <t>岚山区</t>
  </si>
  <si>
    <t>五莲县</t>
  </si>
  <si>
    <t>Tài'ān Shì</t>
  </si>
  <si>
    <t>泰安市</t>
  </si>
  <si>
    <t>岱岳区</t>
  </si>
  <si>
    <t>东平县</t>
  </si>
  <si>
    <t>肥城市</t>
  </si>
  <si>
    <t>宁阳县</t>
  </si>
  <si>
    <t>泰山区</t>
  </si>
  <si>
    <t>新泰市</t>
  </si>
  <si>
    <t>Wéifāng Shì</t>
  </si>
  <si>
    <t>潍坊市</t>
  </si>
  <si>
    <t>安丘市</t>
  </si>
  <si>
    <t>昌乐县</t>
  </si>
  <si>
    <t>昌邑市</t>
  </si>
  <si>
    <t>坊子区</t>
  </si>
  <si>
    <t>高密市</t>
  </si>
  <si>
    <t>寒亭区</t>
  </si>
  <si>
    <t>奎文区</t>
  </si>
  <si>
    <t>临朐县</t>
  </si>
  <si>
    <t>青州市</t>
  </si>
  <si>
    <t>寿光市</t>
  </si>
  <si>
    <t>潍城区</t>
  </si>
  <si>
    <t>诸城市</t>
  </si>
  <si>
    <t>Wēihăi Shì</t>
  </si>
  <si>
    <t>威海市</t>
  </si>
  <si>
    <t>环翠区</t>
  </si>
  <si>
    <t>荣成市</t>
  </si>
  <si>
    <t>乳山市</t>
  </si>
  <si>
    <t>文登区</t>
  </si>
  <si>
    <t>Yāntái Shì</t>
  </si>
  <si>
    <t>烟台市</t>
  </si>
  <si>
    <t>福山区</t>
  </si>
  <si>
    <t>海阳市</t>
  </si>
  <si>
    <t>莱山区</t>
  </si>
  <si>
    <t>莱阳市</t>
  </si>
  <si>
    <t>莱州市</t>
  </si>
  <si>
    <t>龙口市</t>
  </si>
  <si>
    <t>牟平区</t>
  </si>
  <si>
    <t>蓬莱区</t>
  </si>
  <si>
    <t>栖霞市</t>
  </si>
  <si>
    <t>招远市</t>
  </si>
  <si>
    <t>芝罘区</t>
  </si>
  <si>
    <t>Zăozhuāng Shì</t>
  </si>
  <si>
    <t>枣庄市</t>
  </si>
  <si>
    <t>山亭区</t>
  </si>
  <si>
    <t>台儿庄区</t>
  </si>
  <si>
    <t>滕州市</t>
  </si>
  <si>
    <t>薛城区</t>
  </si>
  <si>
    <t>峄城区</t>
  </si>
  <si>
    <t>Zībó Shì</t>
  </si>
  <si>
    <t>淄博市</t>
  </si>
  <si>
    <t>博山区</t>
  </si>
  <si>
    <t>高青县</t>
  </si>
  <si>
    <t>桓台县</t>
  </si>
  <si>
    <t>临淄区</t>
  </si>
  <si>
    <t>沂源县</t>
  </si>
  <si>
    <t>张店区</t>
  </si>
  <si>
    <t>周村区</t>
  </si>
  <si>
    <t>淄川区</t>
  </si>
  <si>
    <t>Shāndōng</t>
  </si>
  <si>
    <t>Province</t>
  </si>
  <si>
    <t>山东省</t>
  </si>
  <si>
    <t>Population2</t>
  </si>
  <si>
    <t>Population3</t>
  </si>
  <si>
    <t>Jìnán Shì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</si>
  <si>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</si>
  <si>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</si>
  <si>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</si>
  <si>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</si>
  <si>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</si>
  <si>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</si>
  <si>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</si>
  <si>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</si>
  <si>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</si>
  <si>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</si>
  <si>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</si>
  <si>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</si>
  <si>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</si>
  <si>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</si>
  <si>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</si>
  <si>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","state":"Shāndōng","territory":"","country":"China","latitude":</t>
  </si>
  <si>
    <t>大信镇</t>
  </si>
  <si>
    <t>Dàxìn Zhèn [incl. Pŭdōng Zhèn]</t>
  </si>
  <si>
    <t>Bīnhăi</t>
  </si>
  <si>
    <t>Bótóu</t>
  </si>
  <si>
    <t>Cáowáng</t>
  </si>
  <si>
    <t>Chángshān</t>
  </si>
  <si>
    <t>Chéngkŏu</t>
  </si>
  <si>
    <t>Chénhù</t>
  </si>
  <si>
    <t>Chēwáng</t>
  </si>
  <si>
    <t>Chúnhuà</t>
  </si>
  <si>
    <t>Dàgāo</t>
  </si>
  <si>
    <t>Dàniánchén</t>
  </si>
  <si>
    <t>Hándiàn</t>
  </si>
  <si>
    <t>Héliú</t>
  </si>
  <si>
    <t>Huángshēng</t>
  </si>
  <si>
    <t>Húbīn</t>
  </si>
  <si>
    <t>Jiāoqiáo</t>
  </si>
  <si>
    <t>Jiéshíshān</t>
  </si>
  <si>
    <t>Jiŭhù</t>
  </si>
  <si>
    <t>Láodiàn</t>
  </si>
  <si>
    <t>Línchí</t>
  </si>
  <si>
    <t>Liŭbăo</t>
  </si>
  <si>
    <t>Liúpōwù</t>
  </si>
  <si>
    <t>Lĭzhuāng</t>
  </si>
  <si>
    <t>Lǚyì</t>
  </si>
  <si>
    <t>Mádiàn</t>
  </si>
  <si>
    <t>Măshānzi</t>
  </si>
  <si>
    <t>Míngjí</t>
  </si>
  <si>
    <t>Pángjiā</t>
  </si>
  <si>
    <t>Qiáozhuāng</t>
  </si>
  <si>
    <t>Qīngyáng</t>
  </si>
  <si>
    <t>Sāngluòshù</t>
  </si>
  <si>
    <t>Sānhéhú</t>
  </si>
  <si>
    <t>Shāngdiàn</t>
  </si>
  <si>
    <t>Shéjiā</t>
  </si>
  <si>
    <t>Shímiào</t>
  </si>
  <si>
    <t>Shuĭluòpō</t>
  </si>
  <si>
    <t>Shuĭwān</t>
  </si>
  <si>
    <t>Sūnzhèn</t>
  </si>
  <si>
    <t>Táizi</t>
  </si>
  <si>
    <t>Wèijí</t>
  </si>
  <si>
    <t>Wèiqiáo</t>
  </si>
  <si>
    <t>Wēndiàn</t>
  </si>
  <si>
    <t>Xiăobótóu</t>
  </si>
  <si>
    <t>Xiàwā</t>
  </si>
  <si>
    <t>Xīngfú</t>
  </si>
  <si>
    <t>Xìnyáng</t>
  </si>
  <si>
    <t>Xīxiăowáng</t>
  </si>
  <si>
    <t>Yángliŭxuĕ</t>
  </si>
  <si>
    <t>Zàohùlĭ</t>
  </si>
  <si>
    <t>Zháiwáng</t>
  </si>
  <si>
    <t>Zījiăo</t>
  </si>
  <si>
    <t>Ānrén</t>
  </si>
  <si>
    <t>Báimăhú</t>
  </si>
  <si>
    <t>Băodiàn</t>
  </si>
  <si>
    <t>Biānlín</t>
  </si>
  <si>
    <t>Biăobáisì</t>
  </si>
  <si>
    <t>Chángguān</t>
  </si>
  <si>
    <t>Cuīkŏu</t>
  </si>
  <si>
    <t>Dàcáo</t>
  </si>
  <si>
    <t>Dàliŭ</t>
  </si>
  <si>
    <t>Dépíng</t>
  </si>
  <si>
    <t>Dīngwù</t>
  </si>
  <si>
    <t>Dīngzhuāng</t>
  </si>
  <si>
    <t>Dōnglĭ Guāntún</t>
  </si>
  <si>
    <t>Dōngxīndiàn</t>
  </si>
  <si>
    <t>Dùjí</t>
  </si>
  <si>
    <t>Ēnchéng</t>
  </si>
  <si>
    <t>Èrtún</t>
  </si>
  <si>
    <t>Fángsì</t>
  </si>
  <si>
    <t>Hăowángzhuāng</t>
  </si>
  <si>
    <t>Huádiàn</t>
  </si>
  <si>
    <t>Huàlóu</t>
  </si>
  <si>
    <t>Huánghéyá</t>
  </si>
  <si>
    <t>Huángjiā</t>
  </si>
  <si>
    <t>Húguāntún</t>
  </si>
  <si>
    <t>Huīwángzhuāng</t>
  </si>
  <si>
    <t>Jiămăyíng</t>
  </si>
  <si>
    <t>Jiāomiào</t>
  </si>
  <si>
    <t>Jŭ</t>
  </si>
  <si>
    <t>Kŏng</t>
  </si>
  <si>
    <t>Lăochéng</t>
  </si>
  <si>
    <t>Léijí</t>
  </si>
  <si>
    <t>Liángjiā</t>
  </si>
  <si>
    <t>Lĭhéwù</t>
  </si>
  <si>
    <t>Lĭjiāhù</t>
  </si>
  <si>
    <t>Línnán</t>
  </si>
  <si>
    <t>Línyì</t>
  </si>
  <si>
    <t>Línzi</t>
  </si>
  <si>
    <t>Liúqiáo</t>
  </si>
  <si>
    <t>Lún</t>
  </si>
  <si>
    <t>Lŭquántún</t>
  </si>
  <si>
    <t>Mèngsì</t>
  </si>
  <si>
    <t>Mí</t>
  </si>
  <si>
    <t>Nánchéng</t>
  </si>
  <si>
    <t>Pāndiàn</t>
  </si>
  <si>
    <t>Qiáncáo</t>
  </si>
  <si>
    <t>Qiánsūn</t>
  </si>
  <si>
    <t>Qìngyún</t>
  </si>
  <si>
    <t>Rénlĭjí</t>
  </si>
  <si>
    <t>Shàngtáng</t>
  </si>
  <si>
    <t>Shéntóu</t>
  </si>
  <si>
    <t>Shílĭwàng Huízú</t>
  </si>
  <si>
    <t>Shuāngmiào</t>
  </si>
  <si>
    <t>Sòngjiā</t>
  </si>
  <si>
    <t>Sònglóu</t>
  </si>
  <si>
    <t>Sūliúzhuāng</t>
  </si>
  <si>
    <t>Táitóusì</t>
  </si>
  <si>
    <t>Tiĕyíng</t>
  </si>
  <si>
    <t>Wángdăguà</t>
  </si>
  <si>
    <t>Wángfènglóu</t>
  </si>
  <si>
    <t>Wánggăopū</t>
  </si>
  <si>
    <t>Wŭchéng</t>
  </si>
  <si>
    <t>Xiāngyá</t>
  </si>
  <si>
    <t>Xiāngzhàozhuāng</t>
  </si>
  <si>
    <t>Xīnshèngdiàn</t>
  </si>
  <si>
    <t>Xuānzhāngtún</t>
  </si>
  <si>
    <t>Yáng'ān</t>
  </si>
  <si>
    <t>Yāozhàn</t>
  </si>
  <si>
    <t>Yìdùkŏu</t>
  </si>
  <si>
    <t>Yuánqiáo</t>
  </si>
  <si>
    <t>Zháijiā</t>
  </si>
  <si>
    <t>Zhāngdàzhuāng</t>
  </si>
  <si>
    <t>Zhānghuá</t>
  </si>
  <si>
    <t>Zhàoguān</t>
  </si>
  <si>
    <t>Zhàohŭ</t>
  </si>
  <si>
    <t>Zhèngbăotún</t>
  </si>
  <si>
    <t>Zhèngdiàn</t>
  </si>
  <si>
    <t>Zhèngjiāzhài</t>
  </si>
  <si>
    <t>Zhù'ā</t>
  </si>
  <si>
    <t>Zī</t>
  </si>
  <si>
    <t>Bĕisòng</t>
  </si>
  <si>
    <t>Chénguān</t>
  </si>
  <si>
    <t>Chénzhuāng</t>
  </si>
  <si>
    <t>Dàmătóu</t>
  </si>
  <si>
    <t>Dàozhuāng</t>
  </si>
  <si>
    <t>Dàwáng</t>
  </si>
  <si>
    <t>Dŏngjí</t>
  </si>
  <si>
    <t>Gūdăo</t>
  </si>
  <si>
    <t>Hăojiā</t>
  </si>
  <si>
    <t>Huāguān</t>
  </si>
  <si>
    <t>Huánghékŏu</t>
  </si>
  <si>
    <t>Lĭquè</t>
  </si>
  <si>
    <t>Liùhù</t>
  </si>
  <si>
    <t>Lóngjū</t>
  </si>
  <si>
    <t>Niúzhuāng</t>
  </si>
  <si>
    <t>Shèngtuó</t>
  </si>
  <si>
    <t>Shĭkŏu</t>
  </si>
  <si>
    <t>Tīngluó</t>
  </si>
  <si>
    <t>Xiānhé</t>
  </si>
  <si>
    <t>Xīnhù</t>
  </si>
  <si>
    <t>Yánwō</t>
  </si>
  <si>
    <t>Yìhé</t>
  </si>
  <si>
    <t>Āncáilóu</t>
  </si>
  <si>
    <t>Ānxīng</t>
  </si>
  <si>
    <t>Bàndī</t>
  </si>
  <si>
    <t>Càitáng</t>
  </si>
  <si>
    <t>Càiyuánjí</t>
  </si>
  <si>
    <t>Cáoxiàn Dàjí</t>
  </si>
  <si>
    <t>Cáoxiàn Lóuzhuāng</t>
  </si>
  <si>
    <t>Cáoxiàn Shàozhuāng</t>
  </si>
  <si>
    <t>Cáoxiàn Wángjí</t>
  </si>
  <si>
    <t>Cáoxiàn Wŭlóu</t>
  </si>
  <si>
    <t>Cáoxiàn Zhūhóngmiào</t>
  </si>
  <si>
    <t>Chánglèjí</t>
  </si>
  <si>
    <t>Chéngtún</t>
  </si>
  <si>
    <t>Chéngwŭ Xiàn Báifútú</t>
  </si>
  <si>
    <t>Chéngwŭ Xiàn Bólèjí</t>
  </si>
  <si>
    <t>Chéngwŭ Xiàn Dăngjí</t>
  </si>
  <si>
    <t>Chéngwŭ Xiàn Dàtiánjí</t>
  </si>
  <si>
    <t>Chéngwŭ Xiàn Gŏucūnjí</t>
  </si>
  <si>
    <t>Chéngwŭ Xiàn Jiŭnǚjí</t>
  </si>
  <si>
    <t>Chéngwŭ Xiàn Nánlŭjí</t>
  </si>
  <si>
    <t>Chéngwŭ Xiàn Sūnsì</t>
  </si>
  <si>
    <t>Chéngwŭ Xiàn Tiāngōngmiào</t>
  </si>
  <si>
    <t>Chéngwŭ Xiàn Wènshàngjí</t>
  </si>
  <si>
    <t>Chéngwŭ Xiàn Zhānglóu</t>
  </si>
  <si>
    <t>Dàhuángjí</t>
  </si>
  <si>
    <t>Dàniàn</t>
  </si>
  <si>
    <t>Dàtún</t>
  </si>
  <si>
    <t>Dàxièjí</t>
  </si>
  <si>
    <t>Dàyì</t>
  </si>
  <si>
    <t>Dŏngguāntún</t>
  </si>
  <si>
    <t>Dŏngkŏu</t>
  </si>
  <si>
    <t>Dōngmíngjí</t>
  </si>
  <si>
    <t>Dúshān</t>
  </si>
  <si>
    <t>Dūsī</t>
  </si>
  <si>
    <t>Dùtáng</t>
  </si>
  <si>
    <t>Făngshān</t>
  </si>
  <si>
    <t>Fènghuáng</t>
  </si>
  <si>
    <t>Fùchūn</t>
  </si>
  <si>
    <t>Fúgăng</t>
  </si>
  <si>
    <t>Gāowéizhuāng</t>
  </si>
  <si>
    <t>Guōcūn</t>
  </si>
  <si>
    <t>Guōtún</t>
  </si>
  <si>
    <t>Gŭyíngjí</t>
  </si>
  <si>
    <t>Hétáoyuán</t>
  </si>
  <si>
    <t>Hóngchuán</t>
  </si>
  <si>
    <t>Hòují Huízú</t>
  </si>
  <si>
    <t>Hòuyānjí</t>
  </si>
  <si>
    <t>Huáng'ān</t>
  </si>
  <si>
    <t>Huángdiàn</t>
  </si>
  <si>
    <t>Huánggāng</t>
  </si>
  <si>
    <t>Huánggăng</t>
  </si>
  <si>
    <t>Huángjí</t>
  </si>
  <si>
    <t>Huángnígāng</t>
  </si>
  <si>
    <t>Jīshān</t>
  </si>
  <si>
    <t>Jiùchéng</t>
  </si>
  <si>
    <t>Láihé</t>
  </si>
  <si>
    <t>Liángdītóu</t>
  </si>
  <si>
    <t>Lĭcūn</t>
  </si>
  <si>
    <t>Lĭjìnshìtáng</t>
  </si>
  <si>
    <t>Lĭjí</t>
  </si>
  <si>
    <t>Línpú</t>
  </si>
  <si>
    <t>Lĭtiánlóu</t>
  </si>
  <si>
    <t>Lĭxīnzhuāng</t>
  </si>
  <si>
    <t>Lónggù</t>
  </si>
  <si>
    <t>Lóngwángmiào</t>
  </si>
  <si>
    <t>Lǚlíng</t>
  </si>
  <si>
    <t>Lùquān</t>
  </si>
  <si>
    <t>Mălĭnggăng</t>
  </si>
  <si>
    <t>Mènghăi</t>
  </si>
  <si>
    <t>Nánwángdiàn</t>
  </si>
  <si>
    <t>Nánzhàolóu</t>
  </si>
  <si>
    <t>Pāndù</t>
  </si>
  <si>
    <t>Pénglóu</t>
  </si>
  <si>
    <t>Pŭliánjí</t>
  </si>
  <si>
    <t>Qílín</t>
  </si>
  <si>
    <t>Qīnggăngjí</t>
  </si>
  <si>
    <t>Qīnggùjí</t>
  </si>
  <si>
    <t>Răngù</t>
  </si>
  <si>
    <t>Sānchūnjí</t>
  </si>
  <si>
    <t>Shātŭ</t>
  </si>
  <si>
    <t>Shāwō</t>
  </si>
  <si>
    <t>Shílóu</t>
  </si>
  <si>
    <t>Shuāngqiáo</t>
  </si>
  <si>
    <t>Suíguāntún</t>
  </si>
  <si>
    <t>Sūjí</t>
  </si>
  <si>
    <t>Sūnlăojiā</t>
  </si>
  <si>
    <t>Tángmiào</t>
  </si>
  <si>
    <t>Táomiào</t>
  </si>
  <si>
    <t>Táoyuánjí</t>
  </si>
  <si>
    <t>Tiánqiáo</t>
  </si>
  <si>
    <t>Tiánzhuāng</t>
  </si>
  <si>
    <t>Wànfēng</t>
  </si>
  <si>
    <t>Wánghàotún</t>
  </si>
  <si>
    <t>Wŭ'ān</t>
  </si>
  <si>
    <t>Wúdiàn</t>
  </si>
  <si>
    <t>Wŭshèngqiáo</t>
  </si>
  <si>
    <t>Xiăojĭng</t>
  </si>
  <si>
    <t>Xiăoliú</t>
  </si>
  <si>
    <t>Xièjí</t>
  </si>
  <si>
    <t>Xúzhài</t>
  </si>
  <si>
    <t>Yándiànlóu</t>
  </si>
  <si>
    <t>Yánglóu</t>
  </si>
  <si>
    <t>Yángzhuāngjí</t>
  </si>
  <si>
    <t>Yánshí</t>
  </si>
  <si>
    <t>Zhāngféng</t>
  </si>
  <si>
    <t>Zhāngjí</t>
  </si>
  <si>
    <t>Zhānglŭjí</t>
  </si>
  <si>
    <t>Zhāngwān</t>
  </si>
  <si>
    <t>Zhèngyíng</t>
  </si>
  <si>
    <t>Zhōngxīng</t>
  </si>
  <si>
    <t>Zhuāngzhài</t>
  </si>
  <si>
    <t>Zhuānmiào</t>
  </si>
  <si>
    <t>Zuŏyíng</t>
  </si>
  <si>
    <t>Ānchéng</t>
  </si>
  <si>
    <t>Báiqiáo</t>
  </si>
  <si>
    <t>Cháyèkŏu</t>
  </si>
  <si>
    <t>Dàwángzhuāng</t>
  </si>
  <si>
    <t>Dōng'ā</t>
  </si>
  <si>
    <t>Duŏzhuāng</t>
  </si>
  <si>
    <t>Hánmiào</t>
  </si>
  <si>
    <t>Hézhuāng</t>
  </si>
  <si>
    <t>Hóngfànchí</t>
  </si>
  <si>
    <t>Huáirén</t>
  </si>
  <si>
    <t>Jiăzhuāng</t>
  </si>
  <si>
    <t>Kŏngcūn</t>
  </si>
  <si>
    <t>Lóngsāngsì</t>
  </si>
  <si>
    <t>Măshān</t>
  </si>
  <si>
    <t>Méiguī</t>
  </si>
  <si>
    <t>Miáoshān</t>
  </si>
  <si>
    <t>Niúquán</t>
  </si>
  <si>
    <t>Rénfēng</t>
  </si>
  <si>
    <t>Shuāngquán</t>
  </si>
  <si>
    <t>Shuĭzhài</t>
  </si>
  <si>
    <t>Sūnjí</t>
  </si>
  <si>
    <t>Xiàozhí</t>
  </si>
  <si>
    <t>Xīnshì</t>
  </si>
  <si>
    <t>Yīnxiàng</t>
  </si>
  <si>
    <t>Zhàilĭ</t>
  </si>
  <si>
    <t>Zhāngfāng</t>
  </si>
  <si>
    <t>Zhènglù</t>
  </si>
  <si>
    <t>Báishí</t>
  </si>
  <si>
    <t>Bĕisù</t>
  </si>
  <si>
    <t>Bŭjí</t>
  </si>
  <si>
    <t>Cáohé</t>
  </si>
  <si>
    <t>Chánggōu</t>
  </si>
  <si>
    <t>Chéngqián</t>
  </si>
  <si>
    <t>Cìqiū</t>
  </si>
  <si>
    <t>Dà'ān</t>
  </si>
  <si>
    <t>Dàshù</t>
  </si>
  <si>
    <t>Dàzhānglóu</t>
  </si>
  <si>
    <t>Fángshān</t>
  </si>
  <si>
    <t>Gāoyù</t>
  </si>
  <si>
    <t>Guănyì</t>
  </si>
  <si>
    <t>Guōcāng</t>
  </si>
  <si>
    <t>Guōlĭ</t>
  </si>
  <si>
    <t>Guōlóu</t>
  </si>
  <si>
    <t>Hángāi</t>
  </si>
  <si>
    <t>Hángăng</t>
  </si>
  <si>
    <t>Hánzhuāng</t>
  </si>
  <si>
    <t>Hēihŭmiào</t>
  </si>
  <si>
    <t>Huácūn</t>
  </si>
  <si>
    <t>Huānchéng</t>
  </si>
  <si>
    <t>Huánggāi</t>
  </si>
  <si>
    <t>Huàyŭ</t>
  </si>
  <si>
    <t>Jīntún</t>
  </si>
  <si>
    <t>Jīnzhuāng</t>
  </si>
  <si>
    <t>Jīshŭ</t>
  </si>
  <si>
    <t>Kāngyì</t>
  </si>
  <si>
    <t>Kànzhuāng</t>
  </si>
  <si>
    <t>Lăosēngtáng</t>
  </si>
  <si>
    <t>Lăozhài</t>
  </si>
  <si>
    <t>Liángbăosì</t>
  </si>
  <si>
    <t>Liăngchéng</t>
  </si>
  <si>
    <t>Lĭgé</t>
  </si>
  <si>
    <t>Língchéng</t>
  </si>
  <si>
    <t>Liúzhuāng</t>
  </si>
  <si>
    <t>Luótún</t>
  </si>
  <si>
    <t>Lŭqiáo</t>
  </si>
  <si>
    <t>Măcūn</t>
  </si>
  <si>
    <t>Mămiào</t>
  </si>
  <si>
    <t>Măndòng</t>
  </si>
  <si>
    <t>Măpō</t>
  </si>
  <si>
    <t>Măyíng</t>
  </si>
  <si>
    <t>Mènggūjí</t>
  </si>
  <si>
    <t>Miáoguăn</t>
  </si>
  <si>
    <t>Nánwàng</t>
  </si>
  <si>
    <t>Nányáng</t>
  </si>
  <si>
    <t>Níshān</t>
  </si>
  <si>
    <t>Quánlín</t>
  </si>
  <si>
    <t>Quánpū</t>
  </si>
  <si>
    <t>Shèngshuĭyù</t>
  </si>
  <si>
    <t>Shíménshān</t>
  </si>
  <si>
    <t>Shíqiáng</t>
  </si>
  <si>
    <t>Shòuzhāngjí</t>
  </si>
  <si>
    <t>Sīmă</t>
  </si>
  <si>
    <t>Sìzhāng</t>
  </si>
  <si>
    <t>Tángcūn</t>
  </si>
  <si>
    <t>Tángmă</t>
  </si>
  <si>
    <t>Tiánhuáng</t>
  </si>
  <si>
    <t>Tuănlĭ</t>
  </si>
  <si>
    <t>Wánglŭ</t>
  </si>
  <si>
    <t>Wēishāndăo</t>
  </si>
  <si>
    <t>Wúcūn</t>
  </si>
  <si>
    <t>Xiāngchéng</t>
  </si>
  <si>
    <t>Xiăo'ānshān</t>
  </si>
  <si>
    <t>Xiăolùkŏu</t>
  </si>
  <si>
    <t>Xiăomèng</t>
  </si>
  <si>
    <t>Xiāoyún</t>
  </si>
  <si>
    <t>Xīngcūn</t>
  </si>
  <si>
    <t>Xīnyăn</t>
  </si>
  <si>
    <t>Xīnyì</t>
  </si>
  <si>
    <t>Xīpíng</t>
  </si>
  <si>
    <t>Xīzōu</t>
  </si>
  <si>
    <t>Yándiàn</t>
  </si>
  <si>
    <t>Yángdiàn</t>
  </si>
  <si>
    <t>Yángliŭ</t>
  </si>
  <si>
    <t>Yángshān</t>
  </si>
  <si>
    <t>Yángyíng</t>
  </si>
  <si>
    <t>Yáocūn</t>
  </si>
  <si>
    <t>Yínsì</t>
  </si>
  <si>
    <t>Yìqiáo</t>
  </si>
  <si>
    <t>Yìshān</t>
  </si>
  <si>
    <t>Yuànzhuāng</t>
  </si>
  <si>
    <t>Yúchéng</t>
  </si>
  <si>
    <t>Yùtún</t>
  </si>
  <si>
    <t>Zhānghuáng</t>
  </si>
  <si>
    <t>Zhānglóu</t>
  </si>
  <si>
    <t>Zhàomiào</t>
  </si>
  <si>
    <t>Zhègōu</t>
  </si>
  <si>
    <t>Zhĭfāng</t>
  </si>
  <si>
    <t>Zhōngcè</t>
  </si>
  <si>
    <t>Zhòngshān</t>
  </si>
  <si>
    <t>Zhōngxīndiàn</t>
  </si>
  <si>
    <t>Āchéng</t>
  </si>
  <si>
    <t>Ānlè</t>
  </si>
  <si>
    <t>Bāchàlù</t>
  </si>
  <si>
    <t>Bĕiguăntáo</t>
  </si>
  <si>
    <t>Bópíng</t>
  </si>
  <si>
    <t>Càitún</t>
  </si>
  <si>
    <t>Cháochéng</t>
  </si>
  <si>
    <t>Dàiwān</t>
  </si>
  <si>
    <t>Dàqiáo</t>
  </si>
  <si>
    <t>Dàwángzhài</t>
  </si>
  <si>
    <t>Dàzhāngjiā</t>
  </si>
  <si>
    <t>Dìngshuĭ</t>
  </si>
  <si>
    <t>Dìngyuănzhài</t>
  </si>
  <si>
    <t>Dŏngdùzhuāng</t>
  </si>
  <si>
    <t>Dōnggŭchéng</t>
  </si>
  <si>
    <t>Dòuhŭtún</t>
  </si>
  <si>
    <t>Dùlángkŏu</t>
  </si>
  <si>
    <t>Fànzhài</t>
  </si>
  <si>
    <t>Féngguāntún</t>
  </si>
  <si>
    <t>Gānguāntún</t>
  </si>
  <si>
    <t>Gāojí</t>
  </si>
  <si>
    <t>Gāomiàowáng</t>
  </si>
  <si>
    <t>Guānchéng</t>
  </si>
  <si>
    <t>Guăngpíng</t>
  </si>
  <si>
    <t>Gùguāntún</t>
  </si>
  <si>
    <t>Gùhé</t>
  </si>
  <si>
    <t>Guōdiàntún</t>
  </si>
  <si>
    <t>Gŭyún</t>
  </si>
  <si>
    <t>Hántún</t>
  </si>
  <si>
    <t>Hédiàn</t>
  </si>
  <si>
    <t>Hóngguāntún</t>
  </si>
  <si>
    <t>Hòuyíng</t>
  </si>
  <si>
    <t>Jiāngdiàn</t>
  </si>
  <si>
    <t>Jiăzhài</t>
  </si>
  <si>
    <t>Jiă</t>
  </si>
  <si>
    <t>Jīndòuyíng</t>
  </si>
  <si>
    <t>Jīnhăozhuāng</t>
  </si>
  <si>
    <t>Kāngzhuāng</t>
  </si>
  <si>
    <t>Lăozhàozhuāng</t>
  </si>
  <si>
    <t>Lèpíngpū</t>
  </si>
  <si>
    <t>Liángcūn</t>
  </si>
  <si>
    <t>Liángshuĭ</t>
  </si>
  <si>
    <t>Liángtáng</t>
  </si>
  <si>
    <t>Lĭtái</t>
  </si>
  <si>
    <t>Liúgāizi</t>
  </si>
  <si>
    <t>Liújí</t>
  </si>
  <si>
    <t>Liúlísì</t>
  </si>
  <si>
    <t>Mèizhŏng</t>
  </si>
  <si>
    <t>Niújiăodiàn</t>
  </si>
  <si>
    <t>Pānzhuāng</t>
  </si>
  <si>
    <t>Qījí</t>
  </si>
  <si>
    <t>Qīngpíng</t>
  </si>
  <si>
    <t>Qīngshuĭ</t>
  </si>
  <si>
    <t>Sāng'ā</t>
  </si>
  <si>
    <t>Sānshílĭpū</t>
  </si>
  <si>
    <t>Shàngdiàn</t>
  </si>
  <si>
    <t>Shāzhèn</t>
  </si>
  <si>
    <t>Shíbālĭpū</t>
  </si>
  <si>
    <t>Shífó</t>
  </si>
  <si>
    <t>Shíwŭlĭyuán</t>
  </si>
  <si>
    <t>Shìziyuán</t>
  </si>
  <si>
    <t>Shòuzhāng</t>
  </si>
  <si>
    <t>Sōnglín</t>
  </si>
  <si>
    <t>Tángyì</t>
  </si>
  <si>
    <t>Tángyuán</t>
  </si>
  <si>
    <t>Wángfèng</t>
  </si>
  <si>
    <t>Wángzhuāngjí</t>
  </si>
  <si>
    <t>Wèizhuāng</t>
  </si>
  <si>
    <t>Xiàojiāzhuāng</t>
  </si>
  <si>
    <t>Xŭyíng</t>
  </si>
  <si>
    <t>Yàndiàn</t>
  </si>
  <si>
    <t>Yāndiàn</t>
  </si>
  <si>
    <t>Yángtún</t>
  </si>
  <si>
    <t>Yánlóu</t>
  </si>
  <si>
    <t>Yáozhài</t>
  </si>
  <si>
    <t>Yīngtáoyuán</t>
  </si>
  <si>
    <t>Yĭnjí</t>
  </si>
  <si>
    <t>Yújí</t>
  </si>
  <si>
    <t>Yúshān</t>
  </si>
  <si>
    <t>Zhānglújí</t>
  </si>
  <si>
    <t>Zhānglŭ</t>
  </si>
  <si>
    <t>Zhāngqiū</t>
  </si>
  <si>
    <t>Zhāngzhài</t>
  </si>
  <si>
    <t>Zhàozhàizi</t>
  </si>
  <si>
    <t>Zhèngjiā</t>
  </si>
  <si>
    <t>Zhūlăozhuāng</t>
  </si>
  <si>
    <t>Zŭdiàn</t>
  </si>
  <si>
    <t>Àndī</t>
  </si>
  <si>
    <t>Bāhú</t>
  </si>
  <si>
    <t>Bǎilín</t>
  </si>
  <si>
    <t>Báimáo</t>
  </si>
  <si>
    <t>Báishābù</t>
  </si>
  <si>
    <t>Báiyàn</t>
  </si>
  <si>
    <t>Bànchéng</t>
  </si>
  <si>
    <t>Bănquán</t>
  </si>
  <si>
    <t>Băotài</t>
  </si>
  <si>
    <t>Biànqiáo</t>
  </si>
  <si>
    <t>Cáozhuāng</t>
  </si>
  <si>
    <t>Chángchéng</t>
  </si>
  <si>
    <t>Chánglù</t>
  </si>
  <si>
    <t>Chēwăng</t>
  </si>
  <si>
    <t>Chóngfāng</t>
  </si>
  <si>
    <t>Chŭdūn</t>
  </si>
  <si>
    <t>Cuījiāyù</t>
  </si>
  <si>
    <t>Dàdiàn</t>
  </si>
  <si>
    <t>Dàigù</t>
  </si>
  <si>
    <t>Dàokŏu</t>
  </si>
  <si>
    <t>Dàotuō</t>
  </si>
  <si>
    <t>Dàxīng</t>
  </si>
  <si>
    <t>Dàzhòngcūn</t>
  </si>
  <si>
    <t>Dàzhuāng</t>
  </si>
  <si>
    <t>Diàntóu</t>
  </si>
  <si>
    <t>Dìfāng</t>
  </si>
  <si>
    <t>Dōngméng</t>
  </si>
  <si>
    <t>Fāngchéng</t>
  </si>
  <si>
    <t>Fāngqián</t>
  </si>
  <si>
    <t>Fēngyáng</t>
  </si>
  <si>
    <t>Fùguānzhuāng</t>
  </si>
  <si>
    <t>Găngshàng</t>
  </si>
  <si>
    <t>Gāodū</t>
  </si>
  <si>
    <t>Gāofēngtóu</t>
  </si>
  <si>
    <t>Gāoqiáo</t>
  </si>
  <si>
    <t>Hónghuā</t>
  </si>
  <si>
    <t>Huángshānpū</t>
  </si>
  <si>
    <t>Huángshān</t>
  </si>
  <si>
    <t>Hútóu</t>
  </si>
  <si>
    <t>Húyáng</t>
  </si>
  <si>
    <t>Jiāolóng</t>
  </si>
  <si>
    <t>Kuàngkēng</t>
  </si>
  <si>
    <t>Lánlíng</t>
  </si>
  <si>
    <t>Làopō</t>
  </si>
  <si>
    <t>Liánchéng</t>
  </si>
  <si>
    <t>Liángqiū</t>
  </si>
  <si>
    <t>Lĭguān</t>
  </si>
  <si>
    <t>Lĭngquán</t>
  </si>
  <si>
    <t>Línjiàn</t>
  </si>
  <si>
    <t>Liúyù</t>
  </si>
  <si>
    <t>Lŭchéng</t>
  </si>
  <si>
    <t>Lúzhà</t>
  </si>
  <si>
    <t>Măchănghú</t>
  </si>
  <si>
    <t>Măzhàn</t>
  </si>
  <si>
    <t>Măzhuāng</t>
  </si>
  <si>
    <t>Miàoshān</t>
  </si>
  <si>
    <t>Móshān</t>
  </si>
  <si>
    <t>Nánqiáo</t>
  </si>
  <si>
    <t>Píngshàng</t>
  </si>
  <si>
    <t>Púwāng</t>
  </si>
  <si>
    <t>Qīngtuó</t>
  </si>
  <si>
    <t>Qīngyún</t>
  </si>
  <si>
    <t>Quányuán</t>
  </si>
  <si>
    <t>Quánzhuāng</t>
  </si>
  <si>
    <t>Shàngyán</t>
  </si>
  <si>
    <t>Shàngyĕ</t>
  </si>
  <si>
    <t>Shènglì</t>
  </si>
  <si>
    <t>Shénshān</t>
  </si>
  <si>
    <t>Shíjĭng</t>
  </si>
  <si>
    <t>Shíliánzi</t>
  </si>
  <si>
    <t>Shímén</t>
  </si>
  <si>
    <t>Shuānghòu</t>
  </si>
  <si>
    <t>Sìshílĭbăo</t>
  </si>
  <si>
    <t>Sūcūn</t>
  </si>
  <si>
    <t>Sūnzŭ</t>
  </si>
  <si>
    <t>Tănbù</t>
  </si>
  <si>
    <t>Tānghé</t>
  </si>
  <si>
    <t>Tànyí</t>
  </si>
  <si>
    <t>Táoxū</t>
  </si>
  <si>
    <t>Tóngjĭng</t>
  </si>
  <si>
    <t>Tóngshí</t>
  </si>
  <si>
    <t>Tuánlín</t>
  </si>
  <si>
    <t>Wānggōu</t>
  </si>
  <si>
    <t>Wēnshuĭ</t>
  </si>
  <si>
    <t>Wéntuăn</t>
  </si>
  <si>
    <t>Wŭtái</t>
  </si>
  <si>
    <t>Xiàngchéng</t>
  </si>
  <si>
    <t>Xiānggōu</t>
  </si>
  <si>
    <t>Xiàyù</t>
  </si>
  <si>
    <t>Xuēzhuāng</t>
  </si>
  <si>
    <t>Xŭjiāhú</t>
  </si>
  <si>
    <t>Yánbīn</t>
  </si>
  <si>
    <t>Yángjí</t>
  </si>
  <si>
    <t>Yĕdiàn</t>
  </si>
  <si>
    <t>Yìtáng</t>
  </si>
  <si>
    <t>Yítáng</t>
  </si>
  <si>
    <t>Yīwèn</t>
  </si>
  <si>
    <t>Yuàndōngtóu</t>
  </si>
  <si>
    <t>Yùshān</t>
  </si>
  <si>
    <t>Zǎoyuán</t>
  </si>
  <si>
    <t>Zhèngchéng</t>
  </si>
  <si>
    <t>Zhèngwàng</t>
  </si>
  <si>
    <t>Zhòngcūn</t>
  </si>
  <si>
    <t>Zhuānbù</t>
  </si>
  <si>
    <t>Zhuànggăng</t>
  </si>
  <si>
    <t>Zhuāngwù</t>
  </si>
  <si>
    <t>Zhūbiān</t>
  </si>
  <si>
    <t>Zhūgĕ</t>
  </si>
  <si>
    <t>Zhūlú</t>
  </si>
  <si>
    <t>Zhūtián</t>
  </si>
  <si>
    <t>Băoshān</t>
  </si>
  <si>
    <t>Bólĭ</t>
  </si>
  <si>
    <t>Cuījiājí</t>
  </si>
  <si>
    <t>Dàchăng</t>
  </si>
  <si>
    <t>Dàcūn</t>
  </si>
  <si>
    <t>Dàxìn</t>
  </si>
  <si>
    <t>Dàzéshān</t>
  </si>
  <si>
    <t>Diànbù</t>
  </si>
  <si>
    <t>Duànbólán</t>
  </si>
  <si>
    <t>Gŭxiàn</t>
  </si>
  <si>
    <t>Hăiqīng</t>
  </si>
  <si>
    <t>Hétóudiàn</t>
  </si>
  <si>
    <t>Jiāngshān</t>
  </si>
  <si>
    <t>Jīnkŏu</t>
  </si>
  <si>
    <t>Jiùdiàn</t>
  </si>
  <si>
    <t>Lángyá</t>
  </si>
  <si>
    <t>Liăolán</t>
  </si>
  <si>
    <t>Lĭchà</t>
  </si>
  <si>
    <t>Lĭgēzhuāng</t>
  </si>
  <si>
    <t>Liùwāng</t>
  </si>
  <si>
    <t>Măliánzhuāng</t>
  </si>
  <si>
    <t>Míngcūn</t>
  </si>
  <si>
    <t>Náncūn</t>
  </si>
  <si>
    <t>Nánshù</t>
  </si>
  <si>
    <t>Pūjí</t>
  </si>
  <si>
    <t>Rénzhào</t>
  </si>
  <si>
    <t>Rìzhuāng</t>
  </si>
  <si>
    <t>Tiánhéng</t>
  </si>
  <si>
    <t>Xiàgézhuāng</t>
  </si>
  <si>
    <t>Xīnhé</t>
  </si>
  <si>
    <t>Yánghé</t>
  </si>
  <si>
    <t>Yífēngdiàn</t>
  </si>
  <si>
    <t>Yuànshàng</t>
  </si>
  <si>
    <t>Yúnshān</t>
  </si>
  <si>
    <t>Zàngnán</t>
  </si>
  <si>
    <t>Ānzhuāng</t>
  </si>
  <si>
    <t>Bēikuò</t>
  </si>
  <si>
    <t>Chánglĭng</t>
  </si>
  <si>
    <t>Cháohé</t>
  </si>
  <si>
    <t>Chéntuăn</t>
  </si>
  <si>
    <t>Dōngguān</t>
  </si>
  <si>
    <t>Gāoxīng</t>
  </si>
  <si>
    <t>Guŏzhuāng</t>
  </si>
  <si>
    <t>Héshān</t>
  </si>
  <si>
    <t>Hòucūn</t>
  </si>
  <si>
    <t>Huángdūn</t>
  </si>
  <si>
    <t>Jiàoshān</t>
  </si>
  <si>
    <t>Jiētóu</t>
  </si>
  <si>
    <t>Jùfēng</t>
  </si>
  <si>
    <t>Kòuguān</t>
  </si>
  <si>
    <t>Liúguānzhuāng</t>
  </si>
  <si>
    <t>Lóngshān</t>
  </si>
  <si>
    <t>Luòhé</t>
  </si>
  <si>
    <t>Nánhú</t>
  </si>
  <si>
    <t>Sāngyuán</t>
  </si>
  <si>
    <t>Sānzhuāng</t>
  </si>
  <si>
    <t>Sōngbǎi</t>
  </si>
  <si>
    <t>Tāoluò</t>
  </si>
  <si>
    <t>Wānghú</t>
  </si>
  <si>
    <t>Xiăodiàn</t>
  </si>
  <si>
    <t>Xŭmèng</t>
  </si>
  <si>
    <t>Yúlĭ</t>
  </si>
  <si>
    <t>Zhàilĭhé</t>
  </si>
  <si>
    <t>Zhāoxián</t>
  </si>
  <si>
    <t>Zhōnglóu</t>
  </si>
  <si>
    <t>Zhōngzhì</t>
  </si>
  <si>
    <t>Ānjiàzhuāng</t>
  </si>
  <si>
    <t>Ānlínzhàn</t>
  </si>
  <si>
    <t>Bānjiūdiàn</t>
  </si>
  <si>
    <t>Biānyuàn</t>
  </si>
  <si>
    <t>Cháoquán</t>
  </si>
  <si>
    <t>Cíyáo</t>
  </si>
  <si>
    <t>Cúlái</t>
  </si>
  <si>
    <t>Dàimiào</t>
  </si>
  <si>
    <t>Dàolăng</t>
  </si>
  <si>
    <t>Dàwènkŏu</t>
  </si>
  <si>
    <t>Dàyáng</t>
  </si>
  <si>
    <t>Dōngdū</t>
  </si>
  <si>
    <t>Dōngshū</t>
  </si>
  <si>
    <t>Dōngzhuāng</t>
  </si>
  <si>
    <t>Fàngchéng</t>
  </si>
  <si>
    <t>Fángcūn</t>
  </si>
  <si>
    <t>Fàn</t>
  </si>
  <si>
    <t>Fúshān</t>
  </si>
  <si>
    <t>Gāngchéng</t>
  </si>
  <si>
    <t>Gĕshí</t>
  </si>
  <si>
    <t>Gōnglĭ</t>
  </si>
  <si>
    <t>Gŭlĭ</t>
  </si>
  <si>
    <t>Guŏdū</t>
  </si>
  <si>
    <t>Hèshān</t>
  </si>
  <si>
    <t>Huáfēng</t>
  </si>
  <si>
    <t>Huángqián</t>
  </si>
  <si>
    <t>Jiăngjí</t>
  </si>
  <si>
    <t>Jiăoyù</t>
  </si>
  <si>
    <t>Jiēshān</t>
  </si>
  <si>
    <t>Lăohú</t>
  </si>
  <si>
    <t>Liángzhuāng</t>
  </si>
  <si>
    <t>Liúdù</t>
  </si>
  <si>
    <t>Lóngtíng</t>
  </si>
  <si>
    <t>Lóudé</t>
  </si>
  <si>
    <t>Mănzhuāng</t>
  </si>
  <si>
    <t>Qiūjiādiàn</t>
  </si>
  <si>
    <t>Quángōu</t>
  </si>
  <si>
    <t>Shāhézhàn</t>
  </si>
  <si>
    <t>Shānkŏu</t>
  </si>
  <si>
    <t>Shĕngzhuāng</t>
  </si>
  <si>
    <t>Shíhéng</t>
  </si>
  <si>
    <t>Shílái</t>
  </si>
  <si>
    <t>Sìdiàn</t>
  </si>
  <si>
    <t>Sūnbó</t>
  </si>
  <si>
    <t>Táoyuán</t>
  </si>
  <si>
    <t>Tiānbăo</t>
  </si>
  <si>
    <t>Tīmén</t>
  </si>
  <si>
    <t>Wènnán</t>
  </si>
  <si>
    <t>Wènyáng</t>
  </si>
  <si>
    <t>Xiàgăng</t>
  </si>
  <si>
    <t>Xiăoxié</t>
  </si>
  <si>
    <t>Xiàzhāng</t>
  </si>
  <si>
    <t>Xīnhú</t>
  </si>
  <si>
    <t>Xīzhāngzhuāng</t>
  </si>
  <si>
    <t>Yángliú</t>
  </si>
  <si>
    <t>Yínshān</t>
  </si>
  <si>
    <t>Yŭcūn</t>
  </si>
  <si>
    <t>Zhái</t>
  </si>
  <si>
    <t>Zhùyáng</t>
  </si>
  <si>
    <t>Bǎichéng</t>
  </si>
  <si>
    <t>Băichĭhé</t>
  </si>
  <si>
    <t>Bĕimèng</t>
  </si>
  <si>
    <t>Bŭzhuāng</t>
  </si>
  <si>
    <t>Cháigōu</t>
  </si>
  <si>
    <t>Chāngchéng</t>
  </si>
  <si>
    <t>Dàmóujiā</t>
  </si>
  <si>
    <t>Dàotián</t>
  </si>
  <si>
    <t>Dàshèng</t>
  </si>
  <si>
    <t>Dōngxià</t>
  </si>
  <si>
    <t>Gāoliŭ</t>
  </si>
  <si>
    <t>Guānzhuāng</t>
  </si>
  <si>
    <t>Héguān</t>
  </si>
  <si>
    <t>Hónghé</t>
  </si>
  <si>
    <t>Hòu</t>
  </si>
  <si>
    <t>Huàlóng</t>
  </si>
  <si>
    <t>Huánghuá</t>
  </si>
  <si>
    <t>Huīqú</t>
  </si>
  <si>
    <t>Jiǎngyù</t>
  </si>
  <si>
    <t>Jiāngzhuāng</t>
  </si>
  <si>
    <t>Jiăyuè</t>
  </si>
  <si>
    <t>Jĭnggōu</t>
  </si>
  <si>
    <t>Jĭngzhī</t>
  </si>
  <si>
    <t>Jīnzhŏngzi</t>
  </si>
  <si>
    <t>Jìtái</t>
  </si>
  <si>
    <t>Jiŭshān</t>
  </si>
  <si>
    <t>Kànjiā</t>
  </si>
  <si>
    <t>Línjiācūn</t>
  </si>
  <si>
    <t>Liŭshān</t>
  </si>
  <si>
    <t>Liŭtuăn</t>
  </si>
  <si>
    <t>Lóngchí</t>
  </si>
  <si>
    <t>Miàozi</t>
  </si>
  <si>
    <t>Míhé</t>
  </si>
  <si>
    <t>Qiáoguān</t>
  </si>
  <si>
    <t>Shàngkŏu</t>
  </si>
  <si>
    <t>Shānwàng</t>
  </si>
  <si>
    <t>Shàozhuāng</t>
  </si>
  <si>
    <t>Shíbùzi</t>
  </si>
  <si>
    <t>Shíduī</t>
  </si>
  <si>
    <t>Shíqiáozi</t>
  </si>
  <si>
    <t>Sìtóu</t>
  </si>
  <si>
    <t>Táitóu</t>
  </si>
  <si>
    <t>Tánfāng</t>
  </si>
  <si>
    <t>Tángwú</t>
  </si>
  <si>
    <t>Táolín</t>
  </si>
  <si>
    <t>Tiánliŭ</t>
  </si>
  <si>
    <t>Wángfén</t>
  </si>
  <si>
    <t>Wŭjĭng</t>
  </si>
  <si>
    <t>Wúshān</t>
  </si>
  <si>
    <t>Xiāngzhōu</t>
  </si>
  <si>
    <t>Xiàyíng</t>
  </si>
  <si>
    <t>Yángkŏu</t>
  </si>
  <si>
    <t>Yíngqiū</t>
  </si>
  <si>
    <t>Zhèshān</t>
  </si>
  <si>
    <t>Zhĭgōu</t>
  </si>
  <si>
    <t>Báishātān</t>
  </si>
  <si>
    <t>Bóyú</t>
  </si>
  <si>
    <t>Bùliŭ</t>
  </si>
  <si>
    <t>Căomiàozi</t>
  </si>
  <si>
    <t>Chéngshān</t>
  </si>
  <si>
    <t>Chūcūn</t>
  </si>
  <si>
    <t>Dàgūshān</t>
  </si>
  <si>
    <t>Dàshuĭbó</t>
  </si>
  <si>
    <t>Dàtuăn</t>
  </si>
  <si>
    <t>Găngxī</t>
  </si>
  <si>
    <t>Gāocūn</t>
  </si>
  <si>
    <t>Gĕjiā</t>
  </si>
  <si>
    <t>Gùshān</t>
  </si>
  <si>
    <t>Hăiyángsuŏ</t>
  </si>
  <si>
    <t>Hòujiā</t>
  </si>
  <si>
    <t>Jièshí</t>
  </si>
  <si>
    <t>Lĭdăo</t>
  </si>
  <si>
    <t>Mĭshān</t>
  </si>
  <si>
    <t>Nánhuáng</t>
  </si>
  <si>
    <t>Qiáotóu</t>
  </si>
  <si>
    <t>Qĭngshān</t>
  </si>
  <si>
    <t>Rénhé</t>
  </si>
  <si>
    <t>Rŭshānkŏu</t>
  </si>
  <si>
    <t>Rŭshānzhài</t>
  </si>
  <si>
    <t>Shàngzhuāng</t>
  </si>
  <si>
    <t>Sòngcūn</t>
  </si>
  <si>
    <t>Téngjiā</t>
  </si>
  <si>
    <t>Wāngtuăn</t>
  </si>
  <si>
    <t>Wéndēngyíng</t>
  </si>
  <si>
    <t>Wēnquán</t>
  </si>
  <si>
    <t>Wŭjí</t>
  </si>
  <si>
    <t>Xiàchū</t>
  </si>
  <si>
    <t>Xiàcūn</t>
  </si>
  <si>
    <t>Xiăoguān</t>
  </si>
  <si>
    <t>Xújiā</t>
  </si>
  <si>
    <t>Yángtíng</t>
  </si>
  <si>
    <t>Yáxī</t>
  </si>
  <si>
    <t>Yázi</t>
  </si>
  <si>
    <t>Yìnzi</t>
  </si>
  <si>
    <t>Yùlí</t>
  </si>
  <si>
    <t>Zékù</t>
  </si>
  <si>
    <t>Zétóu</t>
  </si>
  <si>
    <t>Zhāngcūn</t>
  </si>
  <si>
    <t>Zhāngjiāchăn</t>
  </si>
  <si>
    <t>Zhūwăng</t>
  </si>
  <si>
    <t>Bĕigōu</t>
  </si>
  <si>
    <t>Bĕimă</t>
  </si>
  <si>
    <t>Bìguō</t>
  </si>
  <si>
    <t>Cánzhuāng</t>
  </si>
  <si>
    <t>Cháoshuĭ</t>
  </si>
  <si>
    <t>Chéngguō</t>
  </si>
  <si>
    <t>Cūnlĭjí</t>
  </si>
  <si>
    <t>Dàkuăng</t>
  </si>
  <si>
    <t>Dàliŭxíng</t>
  </si>
  <si>
    <t>Dàxīndiàn</t>
  </si>
  <si>
    <t>Èrshílĭdiàn</t>
  </si>
  <si>
    <t>Fāchéng</t>
  </si>
  <si>
    <t>Fùshān</t>
  </si>
  <si>
    <t>Gāogézhuāng</t>
  </si>
  <si>
    <t>Gāolíng</t>
  </si>
  <si>
    <t>Gāotuăn</t>
  </si>
  <si>
    <t>Guāndào</t>
  </si>
  <si>
    <t>Guānlĭ</t>
  </si>
  <si>
    <t>Guānshuĭ</t>
  </si>
  <si>
    <t>Guōchéng</t>
  </si>
  <si>
    <t>Guōjiādiàn</t>
  </si>
  <si>
    <t>Héluò</t>
  </si>
  <si>
    <t>Huángshānguăn</t>
  </si>
  <si>
    <t>Huílĭ</t>
  </si>
  <si>
    <t>Hŭtóuyá</t>
  </si>
  <si>
    <t>Jiāngtuăn</t>
  </si>
  <si>
    <t>Jīnchéng</t>
  </si>
  <si>
    <t>Jŭgézhuāng</t>
  </si>
  <si>
    <t>Lángāo</t>
  </si>
  <si>
    <t>Línglóng</t>
  </si>
  <si>
    <t>Liúgézhuāng</t>
  </si>
  <si>
    <t>Liújiāgōu</t>
  </si>
  <si>
    <t>Lǚgézhuāng</t>
  </si>
  <si>
    <t>Lútóu</t>
  </si>
  <si>
    <t>Miàohòu</t>
  </si>
  <si>
    <t>Mùyùdiàn</t>
  </si>
  <si>
    <t>Pánshídiàn</t>
  </si>
  <si>
    <t>Pínglĭdiàn</t>
  </si>
  <si>
    <t>Qījiă</t>
  </si>
  <si>
    <t>Shānqiándiàn</t>
  </si>
  <si>
    <t>Shéwōbó</t>
  </si>
  <si>
    <t>Shíliáng</t>
  </si>
  <si>
    <t>Shuĭdào</t>
  </si>
  <si>
    <t>Sìkŏu</t>
  </si>
  <si>
    <t>Sūjiādiàn</t>
  </si>
  <si>
    <t>Tángézhuāng</t>
  </si>
  <si>
    <t>Tángjiābó</t>
  </si>
  <si>
    <t>Táocūn</t>
  </si>
  <si>
    <t>Tíngkŏu</t>
  </si>
  <si>
    <t>Tuánwàng</t>
  </si>
  <si>
    <t>Tuójī</t>
  </si>
  <si>
    <t>Tŭshān</t>
  </si>
  <si>
    <t>Wàndì</t>
  </si>
  <si>
    <t>Wánggézhuāng</t>
  </si>
  <si>
    <t>Xiàdiàn</t>
  </si>
  <si>
    <t>Xiàdīngjiā</t>
  </si>
  <si>
    <t>Xiăojì</t>
  </si>
  <si>
    <t>Xiăoménjiā</t>
  </si>
  <si>
    <t>Xiàqiū</t>
  </si>
  <si>
    <t>Xīchéng</t>
  </si>
  <si>
    <t>Xīn'ān</t>
  </si>
  <si>
    <t>Xíngcūn</t>
  </si>
  <si>
    <t>Xuéfāng</t>
  </si>
  <si>
    <t>Xújiādiàn</t>
  </si>
  <si>
    <t>Yángchŭ</t>
  </si>
  <si>
    <t>Yángjùn</t>
  </si>
  <si>
    <t>Yìdào</t>
  </si>
  <si>
    <t>Yùlíndiàn</t>
  </si>
  <si>
    <t>Zāngjiāzhuāng</t>
  </si>
  <si>
    <t>Zhàcūn</t>
  </si>
  <si>
    <t>Zhānggézhuāng</t>
  </si>
  <si>
    <t>Zhāngxīng</t>
  </si>
  <si>
    <t>Zhàowàngzhuāng</t>
  </si>
  <si>
    <t>Zhūqiáo</t>
  </si>
  <si>
    <t>Zhūwú</t>
  </si>
  <si>
    <t>Zhūyóuguān</t>
  </si>
  <si>
    <t>Bàogōu</t>
  </si>
  <si>
    <t>Bĕizhuāng</t>
  </si>
  <si>
    <t>Bīnhú</t>
  </si>
  <si>
    <t>Chéngtóu</t>
  </si>
  <si>
    <t>Dàwù</t>
  </si>
  <si>
    <t>Dĭgé</t>
  </si>
  <si>
    <t>Dōngguō</t>
  </si>
  <si>
    <t>Éshān</t>
  </si>
  <si>
    <t>Féngmăo</t>
  </si>
  <si>
    <t>Fúchéng</t>
  </si>
  <si>
    <t>Guānqiáo</t>
  </si>
  <si>
    <t>Gŭshào</t>
  </si>
  <si>
    <t>Hóngxù</t>
  </si>
  <si>
    <t>Jiāngtún</t>
  </si>
  <si>
    <t>Jiàntóují</t>
  </si>
  <si>
    <t>Jièhé</t>
  </si>
  <si>
    <t>Jísuŏ</t>
  </si>
  <si>
    <t>Liúyuán</t>
  </si>
  <si>
    <t>Lóngyáng</t>
  </si>
  <si>
    <t>Mălántún</t>
  </si>
  <si>
    <t>Mèngzhuāng</t>
  </si>
  <si>
    <t>Mùshí</t>
  </si>
  <si>
    <t>Nánshāhé</t>
  </si>
  <si>
    <t>Nígōu</t>
  </si>
  <si>
    <t>Pīzhuāng</t>
  </si>
  <si>
    <t>Qícūn</t>
  </si>
  <si>
    <t>Sāngcūn</t>
  </si>
  <si>
    <t>Shuìguō</t>
  </si>
  <si>
    <t>Shuĭquán</t>
  </si>
  <si>
    <t>Táozhuāng</t>
  </si>
  <si>
    <t>Xīgăng</t>
  </si>
  <si>
    <t>Xījí</t>
  </si>
  <si>
    <t>Xīwángzhuāng</t>
  </si>
  <si>
    <t>Yīnpíng</t>
  </si>
  <si>
    <t>Zhāngshānzi</t>
  </si>
  <si>
    <t>Zhāngwāng</t>
  </si>
  <si>
    <t>Zhōuyíng</t>
  </si>
  <si>
    <t>Zōuwù</t>
  </si>
  <si>
    <t>Bādŏu</t>
  </si>
  <si>
    <t>Báită</t>
  </si>
  <si>
    <t>Bĕijiāo</t>
  </si>
  <si>
    <t>Bóshān</t>
  </si>
  <si>
    <t>Chíshàng</t>
  </si>
  <si>
    <t>Dàzhāngzhuāng</t>
  </si>
  <si>
    <t>Dōnglĭ</t>
  </si>
  <si>
    <t>Fángzhèn</t>
  </si>
  <si>
    <t>Fēngshuĭ</t>
  </si>
  <si>
    <t>Fùjiā</t>
  </si>
  <si>
    <t>Gāochéng</t>
  </si>
  <si>
    <t>Guŏlĭ</t>
  </si>
  <si>
    <t>Hēilĭzhài</t>
  </si>
  <si>
    <t>Hóngshān</t>
  </si>
  <si>
    <t>Huāgōu</t>
  </si>
  <si>
    <t>Huángchéng</t>
  </si>
  <si>
    <t>Jīngjiā</t>
  </si>
  <si>
    <t>Jìngzhòng</t>
  </si>
  <si>
    <t>Jīnshān</t>
  </si>
  <si>
    <t>Kūnlún</t>
  </si>
  <si>
    <t>Lĭngzi</t>
  </si>
  <si>
    <t>Lŭcūn</t>
  </si>
  <si>
    <t>Luócūn</t>
  </si>
  <si>
    <t>Măqiáo</t>
  </si>
  <si>
    <t>Méngshuĭ</t>
  </si>
  <si>
    <t>Mùlĭ</t>
  </si>
  <si>
    <t>Nándìng</t>
  </si>
  <si>
    <t>Nánjiāo</t>
  </si>
  <si>
    <t>Nánlǔshān</t>
  </si>
  <si>
    <t>Qídū</t>
  </si>
  <si>
    <t>Qĭfèng</t>
  </si>
  <si>
    <t>Qīngchéng</t>
  </si>
  <si>
    <t>Shāngjiā</t>
  </si>
  <si>
    <t>Shímă</t>
  </si>
  <si>
    <t>Shuāngyáng</t>
  </si>
  <si>
    <t>Tàihé</t>
  </si>
  <si>
    <t>Tángfāng</t>
  </si>
  <si>
    <t>Tángshān</t>
  </si>
  <si>
    <t>Wángcūn</t>
  </si>
  <si>
    <t>Xīhé</t>
  </si>
  <si>
    <t>Xīlĭ</t>
  </si>
  <si>
    <t>Xīnchéng</t>
  </si>
  <si>
    <t>Yànyá</t>
  </si>
  <si>
    <t>Yuánquán</t>
  </si>
  <si>
    <t>Yùchéng</t>
  </si>
  <si>
    <t>Yuèzhuāng</t>
  </si>
  <si>
    <t>Zhāngjiāpō</t>
  </si>
  <si>
    <t>Zhōngbù</t>
  </si>
  <si>
    <t>Zhōngzhuāng</t>
  </si>
  <si>
    <t>Zhūtái</t>
  </si>
  <si>
    <t>Dōngyíng</t>
  </si>
  <si>
    <t>Línyí</t>
  </si>
  <si>
    <t>Rŭshān</t>
  </si>
  <si>
    <t>Róngchéng</t>
  </si>
  <si>
    <t>Wēihăi</t>
  </si>
  <si>
    <t>Lèlíng</t>
  </si>
  <si>
    <t>Yŭchéng</t>
  </si>
  <si>
    <t>Dézhōu</t>
  </si>
  <si>
    <t>Rìzhào</t>
  </si>
  <si>
    <t>Téngzhōu</t>
  </si>
  <si>
    <t>Zăozhuāng</t>
  </si>
  <si>
    <t>Xīntài</t>
  </si>
  <si>
    <t>Féichéng</t>
  </si>
  <si>
    <t>Tài'ān</t>
  </si>
  <si>
    <t>Jìnán</t>
  </si>
  <si>
    <t>Qŭfù</t>
  </si>
  <si>
    <t>Zōuchéng</t>
  </si>
  <si>
    <t>Jìníng</t>
  </si>
  <si>
    <t>Zībó</t>
  </si>
  <si>
    <t>Zōupíng</t>
  </si>
  <si>
    <t>Bīnzhōu</t>
  </si>
  <si>
    <t>Ānqiū</t>
  </si>
  <si>
    <t>Shòuguāng</t>
  </si>
  <si>
    <t>Chāngyì</t>
  </si>
  <si>
    <t>Zhūchéng</t>
  </si>
  <si>
    <t>Qīngzhōu</t>
  </si>
  <si>
    <t>Gāomì</t>
  </si>
  <si>
    <t>Wéifāng</t>
  </si>
  <si>
    <t>Zhāoyuăn</t>
  </si>
  <si>
    <t>Qīxiá</t>
  </si>
  <si>
    <t>Hăiyáng</t>
  </si>
  <si>
    <t>Láizhōu</t>
  </si>
  <si>
    <t>Láiyáng</t>
  </si>
  <si>
    <t>Lóngkŏu</t>
  </si>
  <si>
    <t>Yāntái</t>
  </si>
  <si>
    <t>Línqīng</t>
  </si>
  <si>
    <t>Liáochéng</t>
  </si>
  <si>
    <t>Hézé</t>
  </si>
  <si>
    <t>Píngdù</t>
  </si>
  <si>
    <t>Jiāozhōu</t>
  </si>
  <si>
    <t>Láixī</t>
  </si>
  <si>
    <t>Qīngdăo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</si>
  <si>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</si>
  <si>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</si>
  <si>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</si>
  <si>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</si>
  <si>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</si>
  <si>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Acheng Zhen</t>
  </si>
  <si>
    <t>Aishan Jiedao</t>
  </si>
  <si>
    <t>Ancailou Zhen</t>
  </si>
  <si>
    <t>Ancheng Zhen</t>
  </si>
  <si>
    <t>Ande Jiedao</t>
  </si>
  <si>
    <t>Andi Zhen</t>
  </si>
  <si>
    <t>Andongwei Jiedao</t>
  </si>
  <si>
    <t>Anjiazhuang Zhen</t>
  </si>
  <si>
    <t>Anju Jiedao</t>
  </si>
  <si>
    <t>Anle Zhen</t>
  </si>
  <si>
    <t>Anlinzhan Zhen</t>
  </si>
  <si>
    <t>Anren Zhen</t>
  </si>
  <si>
    <t>Antou Xiang</t>
  </si>
  <si>
    <t>Anxing Zhen</t>
  </si>
  <si>
    <t>Anzhuang Zhen</t>
  </si>
  <si>
    <t>Aoshanwei Jiedao</t>
  </si>
  <si>
    <t>Bachalu Zhen</t>
  </si>
  <si>
    <t>Badaguan Jiedao</t>
  </si>
  <si>
    <t>Badahu Jiedao</t>
  </si>
  <si>
    <t>Badaxia Jiedao</t>
  </si>
  <si>
    <t>Badou Zhen</t>
  </si>
  <si>
    <t>Bahu Zhen [incl. Liudianzi Xiang]</t>
  </si>
  <si>
    <t>Baicheng Zhen</t>
  </si>
  <si>
    <t>Baichihe Zhen</t>
  </si>
  <si>
    <t>Bailin Zhen</t>
  </si>
  <si>
    <t>Bailinzhuang Jiedao</t>
  </si>
  <si>
    <t>Baimahu Zhen</t>
  </si>
  <si>
    <t>Baimao Zhen</t>
  </si>
  <si>
    <t>Baimashan Jiedao</t>
  </si>
  <si>
    <t>Baiqiao Zhen</t>
  </si>
  <si>
    <t>Baishabu Zhen</t>
  </si>
  <si>
    <t>Baishahe Jiedao [incl. Malan Zhen, Zhanggezhuang Zhen]</t>
  </si>
  <si>
    <t>Baishatan Zhen</t>
  </si>
  <si>
    <t>Baishi Jiedao</t>
  </si>
  <si>
    <t>Baishi Zhen</t>
  </si>
  <si>
    <t>Baita Zhen</t>
  </si>
  <si>
    <t>Baiyan Zhen</t>
  </si>
  <si>
    <t>Baiyunhu Jiedao</t>
  </si>
  <si>
    <t>Bajiao Jiedao</t>
  </si>
  <si>
    <t>Bancheng Zhen</t>
  </si>
  <si>
    <t>Bandi Zhen</t>
  </si>
  <si>
    <t>Banjiudian Zhen</t>
  </si>
  <si>
    <t>Banquan Zhen</t>
  </si>
  <si>
    <t>Banyanglu Jiedao</t>
  </si>
  <si>
    <t>Baocheng Jiedao</t>
  </si>
  <si>
    <t>Baodian Zhen</t>
  </si>
  <si>
    <t>Baodou Jiedao [Chengguan Jiedao]</t>
  </si>
  <si>
    <t>Baogou Zhen</t>
  </si>
  <si>
    <t>Baohua Jiedao</t>
  </si>
  <si>
    <t>Baoshan Jiedao</t>
  </si>
  <si>
    <t>Baoshan Zhen</t>
  </si>
  <si>
    <t>Baotai Zhen</t>
  </si>
  <si>
    <t>Baotuquan Jiedao</t>
  </si>
  <si>
    <t>Baxianqiao Jiedao</t>
  </si>
  <si>
    <t>Bei'an Jiedao</t>
  </si>
  <si>
    <t>Beichangshan Xiang</t>
  </si>
  <si>
    <t>Beicheng Jiedao (Dezhou Shi)</t>
  </si>
  <si>
    <t>Beicheng Jiedao (Mudan Qu)</t>
  </si>
  <si>
    <t>Beicheng Jiedao (Shan Xian)</t>
  </si>
  <si>
    <t>Beicheng Jiedao (Liaocheng Shi)</t>
  </si>
  <si>
    <t>Beicun Jiedao</t>
  </si>
  <si>
    <t>Beigou Zhen</t>
  </si>
  <si>
    <t>Beiguan Jiedao (Qingdao Shi)</t>
  </si>
  <si>
    <t>Beiguan Jiedao (Weifang Shi)</t>
  </si>
  <si>
    <t>Beiguantao Zhen</t>
  </si>
  <si>
    <t>Beihuangcheng Xiang</t>
  </si>
  <si>
    <t>Beijiao Zhen</t>
  </si>
  <si>
    <t>Beijinglu Jiedao</t>
  </si>
  <si>
    <t>Beijipo Jiedao</t>
  </si>
  <si>
    <t>Beikuo Zhen</t>
  </si>
  <si>
    <t>Beima Zhen</t>
  </si>
  <si>
    <t>Beimeng Zhen</t>
  </si>
  <si>
    <t>Beisong Zhen</t>
  </si>
  <si>
    <t>Beisu Zhen</t>
  </si>
  <si>
    <t>Beitan Jiedao</t>
  </si>
  <si>
    <t>Beixin Jiedao</t>
  </si>
  <si>
    <t>Beiyuan Jiedao</t>
  </si>
  <si>
    <t>Beizhai Jiedao</t>
  </si>
  <si>
    <t>Beizhen Jiedao</t>
  </si>
  <si>
    <t>Beizhuang Zhen</t>
  </si>
  <si>
    <t>Bianlin Zhen</t>
  </si>
  <si>
    <t>Bianqiao Zhen [incl. Ziqiu Zhen]</t>
  </si>
  <si>
    <t>Bianyuan Zhen</t>
  </si>
  <si>
    <t>Bianzhuang Jiedao</t>
  </si>
  <si>
    <t>Biaobaisi Zhen</t>
  </si>
  <si>
    <t>Biguo Zhen</t>
  </si>
  <si>
    <t>Binbei Jiedao</t>
  </si>
  <si>
    <t>Binhai Jiedao</t>
  </si>
  <si>
    <t>Binhai Zhen</t>
  </si>
  <si>
    <t>Binhailu Jiedao</t>
  </si>
  <si>
    <t>Binhe Jiedao</t>
  </si>
  <si>
    <t>Binhelu Jiedao</t>
  </si>
  <si>
    <t>Binhu Jiedao</t>
  </si>
  <si>
    <t>Binhu Zhen</t>
  </si>
  <si>
    <t>Bochang Jiedao</t>
  </si>
  <si>
    <t>Bohailu Jiedao</t>
  </si>
  <si>
    <t>Bojiqiao Jiedao</t>
  </si>
  <si>
    <t>Boli Zhen</t>
  </si>
  <si>
    <t>Boping Zhen</t>
  </si>
  <si>
    <t>Boshan Zhen [incl. Beiboshan Zhen, Nanboshan Zhen]</t>
  </si>
  <si>
    <t>Botou Zhen</t>
  </si>
  <si>
    <t>Boyu Zhen</t>
  </si>
  <si>
    <t>Bucun Jiedao</t>
  </si>
  <si>
    <t>Buji Zhen</t>
  </si>
  <si>
    <t>Bukougang Guanli Weiyuanhui</t>
  </si>
  <si>
    <t>Buliu Zhen</t>
  </si>
  <si>
    <t>Buzhuang Zhen</t>
  </si>
  <si>
    <t>Caishi Jiedao</t>
  </si>
  <si>
    <t>Caitang Zhen</t>
  </si>
  <si>
    <t>Caitun Zhen</t>
  </si>
  <si>
    <t>Caiyuan Jiedao</t>
  </si>
  <si>
    <t>Caiyuanji Zhen</t>
  </si>
  <si>
    <t>Cangkou Jiedao [Yong'anlu Jiedao]</t>
  </si>
  <si>
    <t>Cangshan Jiedao [Jiazhuang Xiang]</t>
  </si>
  <si>
    <t>Canzhuang Zhen</t>
  </si>
  <si>
    <t>Caocheng Jiedao</t>
  </si>
  <si>
    <t>Caofan Jiedao</t>
  </si>
  <si>
    <t>Caohe Zhen</t>
  </si>
  <si>
    <t>Caomiaozi Zhen</t>
  </si>
  <si>
    <t>Caowang Zhen</t>
  </si>
  <si>
    <t>Caoxian Daji Zhen</t>
  </si>
  <si>
    <t>Caoxian Louzhuang Zhen</t>
  </si>
  <si>
    <t>Caoxian Shaozhuang Zhen</t>
  </si>
  <si>
    <t>Caoxian Wangji Zhen</t>
  </si>
  <si>
    <t>Caoxian Wulou Zhen</t>
  </si>
  <si>
    <t>Caoxian Zhuhongmiao Zhen</t>
  </si>
  <si>
    <t>Caozhuang Xiang</t>
  </si>
  <si>
    <t>Caozhuang Zhen</t>
  </si>
  <si>
    <t>Ceshan Jiedao</t>
  </si>
  <si>
    <t>Chaigou Zhen</t>
  </si>
  <si>
    <t>Chaihudian Zhen (Dezhou Shi)</t>
  </si>
  <si>
    <t>Chaihudian Zhen (Zaozhuang Shi)</t>
  </si>
  <si>
    <t>Changcheng Zhen</t>
  </si>
  <si>
    <t>Changcheng Zhen [incl. Ermiao Xiang]</t>
  </si>
  <si>
    <t>Changgou Zhen</t>
  </si>
  <si>
    <t>Changguan Zhen</t>
  </si>
  <si>
    <t>Changhe Jiedao</t>
  </si>
  <si>
    <t>Changjia Zhen (Dezhou Shi)</t>
  </si>
  <si>
    <t>Changjia Zhen (Zibo Shi)</t>
  </si>
  <si>
    <t>Changjianglu Jiedao</t>
  </si>
  <si>
    <t>Changleji Zhen</t>
  </si>
  <si>
    <t>Changling Zhen</t>
  </si>
  <si>
    <t>Changlu Zhen</t>
  </si>
  <si>
    <t>Changshan Zhen</t>
  </si>
  <si>
    <t>Changxingji Xiang</t>
  </si>
  <si>
    <t>Changzhuang Jiedao</t>
  </si>
  <si>
    <t>Chaocheng Zhen</t>
  </si>
  <si>
    <t>Chaohai Jiedao</t>
  </si>
  <si>
    <t>Chaohe Zhen</t>
  </si>
  <si>
    <t>Chaoquan Zhen</t>
  </si>
  <si>
    <t>Chaoshui Zhen</t>
  </si>
  <si>
    <t>Chayekou Zhen</t>
  </si>
  <si>
    <t>Chengbeilu Jiedao</t>
  </si>
  <si>
    <t>Chengdong Jiedao (Binzhou Shi)</t>
  </si>
  <si>
    <t>Chengdong Jiedao (Zibo Shi)</t>
  </si>
  <si>
    <t>Chengganglu Jiedao</t>
  </si>
  <si>
    <t>Chengguan Jiedao (Heze Shi)</t>
  </si>
  <si>
    <t>Chengguan Jiedao (Weicheng Qu)</t>
  </si>
  <si>
    <t>Chengguan Jiedao (Linqu Xian)</t>
  </si>
  <si>
    <t>Chengguo Zhen</t>
  </si>
  <si>
    <t>Chengkou Zhen</t>
  </si>
  <si>
    <t>Chengnan Jiedao</t>
  </si>
  <si>
    <t>Chengqian Zhen</t>
  </si>
  <si>
    <t>Chengqu Jiedao</t>
  </si>
  <si>
    <t>Chengshan Zhen</t>
  </si>
  <si>
    <t>Chengtou Zhen</t>
  </si>
  <si>
    <t>Chengtun Zhen</t>
  </si>
  <si>
    <t>Chenguan Zhen</t>
  </si>
  <si>
    <t>Chengwu Xian Baifutu Zhen</t>
  </si>
  <si>
    <t>Chengwu Xian Boleji Zhen</t>
  </si>
  <si>
    <t>Chengwu Xian Dangji Zhen</t>
  </si>
  <si>
    <t>Chengwu Xian Datianji Zhen</t>
  </si>
  <si>
    <t>Chengwu Xian Goucunji Zhen</t>
  </si>
  <si>
    <t>Chengwu Xian Jiunuji Zhen</t>
  </si>
  <si>
    <t>Chengwu Xian Nanluji Zhen</t>
  </si>
  <si>
    <t>Chengwu Xian Sunsi Zhen</t>
  </si>
  <si>
    <t>Chengwu Xian Tiangongmiao Zhen</t>
  </si>
  <si>
    <t>Chengwu Xian Wenshangji Zhen</t>
  </si>
  <si>
    <t>Chengwu Xian Zhanglou Zhen</t>
  </si>
  <si>
    <t>Chengxi Jiedao (Weihai Shi)</t>
  </si>
  <si>
    <t>Chengxi Jiedao (Zibo Shi)</t>
  </si>
  <si>
    <t>Chengxiang Jiedao</t>
  </si>
  <si>
    <t>Chengyang Jiedao (Qingdao Shi)</t>
  </si>
  <si>
    <t>Chengyang Jiedao (Rizhao Shi)</t>
  </si>
  <si>
    <t>Chenhu Zhen</t>
  </si>
  <si>
    <t>Chenji Zhen (Heze Shi)</t>
  </si>
  <si>
    <t>Chenji Zhen (Liaocheng Shi)</t>
  </si>
  <si>
    <t>Chenpo Xiang</t>
  </si>
  <si>
    <t>Chentuan Zhen</t>
  </si>
  <si>
    <t>Chenwang Jiedao</t>
  </si>
  <si>
    <t>Chenzhuang Zhen</t>
  </si>
  <si>
    <t>Chewang Zhen</t>
  </si>
  <si>
    <t>Chezhan Jiedao</t>
  </si>
  <si>
    <t>Chishan Jiedao</t>
  </si>
  <si>
    <t>Chishang Zhen</t>
  </si>
  <si>
    <t>Chongfang Zhen [incl. Xincun Xiang]</t>
  </si>
  <si>
    <t>Chongwen Jiedao</t>
  </si>
  <si>
    <t>Chucun Zhen</t>
  </si>
  <si>
    <t>Chudun Zhen</t>
  </si>
  <si>
    <t>Chujia Jiedao</t>
  </si>
  <si>
    <t>Chunhua Zhen</t>
  </si>
  <si>
    <t>Ciqiu Zhen</t>
  </si>
  <si>
    <t>Ciyao Zhen</t>
  </si>
  <si>
    <t>Cuijiaji Zhen</t>
  </si>
  <si>
    <t>Cuijiayu Zhen</t>
  </si>
  <si>
    <t>Cuikou Zhen</t>
  </si>
  <si>
    <t>Cuiping Jiedao</t>
  </si>
  <si>
    <t>Cuizhai Jiedao</t>
  </si>
  <si>
    <t>Culai Zhen</t>
  </si>
  <si>
    <t>Cunliji Zhen</t>
  </si>
  <si>
    <t>Da'an Zhen</t>
  </si>
  <si>
    <t>Dabu Xiang</t>
  </si>
  <si>
    <t>Dacao Zhen</t>
  </si>
  <si>
    <t>Dachang Zhen</t>
  </si>
  <si>
    <t>Dacun Zhen [incl. Liwuguan Zhen]</t>
  </si>
  <si>
    <t>Dadian Zhen</t>
  </si>
  <si>
    <t>Dagang Jiedao [incl. Huayanglu Jiedao]</t>
  </si>
  <si>
    <t>Dagao Zhen</t>
  </si>
  <si>
    <t>Daguanyuan Jiedao</t>
  </si>
  <si>
    <t>Dagushan Zhen</t>
  </si>
  <si>
    <t>Dahuang Xiang</t>
  </si>
  <si>
    <t>Dahuangji Zhen</t>
  </si>
  <si>
    <t>Daigu Zhen</t>
  </si>
  <si>
    <t>Daimiao Jiedao</t>
  </si>
  <si>
    <t>Daimiao Zhen</t>
  </si>
  <si>
    <t>Daiwan Zhen</t>
  </si>
  <si>
    <t>Daixi Jiedao</t>
  </si>
  <si>
    <t>Dajiawa Jiedao</t>
  </si>
  <si>
    <t>Dajie Jiedao</t>
  </si>
  <si>
    <t>Dajijia Jiedao</t>
  </si>
  <si>
    <t>Dajinkou Xiang</t>
  </si>
  <si>
    <t>Dakuang Zhen</t>
  </si>
  <si>
    <t>Daliu Zhen</t>
  </si>
  <si>
    <t>Daliuxing Zhen</t>
  </si>
  <si>
    <t>Dalukou Xiang</t>
  </si>
  <si>
    <t>Damatou Zhen</t>
  </si>
  <si>
    <t>Daminghu Jiedao</t>
  </si>
  <si>
    <t>Damoujia Zhen</t>
  </si>
  <si>
    <t>Dangjia Jiedao</t>
  </si>
  <si>
    <t>Danian Zhen</t>
  </si>
  <si>
    <t>Danianchen Zhen</t>
  </si>
  <si>
    <t>Danyang Jiedao</t>
  </si>
  <si>
    <t>Daodejie Jiedao</t>
  </si>
  <si>
    <t>Daokou Zhen</t>
  </si>
  <si>
    <t>Daokoupu Jiedao</t>
  </si>
  <si>
    <t>Daolang Zhen</t>
  </si>
  <si>
    <t>Daotian Zhen</t>
  </si>
  <si>
    <t>Daotuo Zhen</t>
  </si>
  <si>
    <t>Daozhuang Zhen</t>
  </si>
  <si>
    <t>Daqiao Jiedao</t>
  </si>
  <si>
    <t>Daqiao Zhen</t>
  </si>
  <si>
    <t>Daqindao Xiang</t>
  </si>
  <si>
    <t>Daqinjia Jiedao</t>
  </si>
  <si>
    <t>Dasheng Zhen</t>
  </si>
  <si>
    <t>Dashu Zhen</t>
  </si>
  <si>
    <t>Dashuibo Zhen</t>
  </si>
  <si>
    <t>Dasun Xiang</t>
  </si>
  <si>
    <t>Datianzhuang Xiang</t>
  </si>
  <si>
    <t>Datuan Zhen</t>
  </si>
  <si>
    <t>Datun Zhen</t>
  </si>
  <si>
    <t>Dawang Zhen</t>
  </si>
  <si>
    <t>Dawangzhai Zhen</t>
  </si>
  <si>
    <t>Dawangzhuang Zhen</t>
  </si>
  <si>
    <t>Dawenkou Zhen</t>
  </si>
  <si>
    <t>Dawu Zhen</t>
  </si>
  <si>
    <t>Daxieji Zhen</t>
  </si>
  <si>
    <t>Daxin Zhen [incl. Pudong Zhen]</t>
  </si>
  <si>
    <t>Daxindian Zhen</t>
  </si>
  <si>
    <t>Daxing Zhen</t>
  </si>
  <si>
    <t>Daxinzhuang Jiedao</t>
  </si>
  <si>
    <t>Dayang Zhen</t>
  </si>
  <si>
    <t>Dayao Jiedao</t>
  </si>
  <si>
    <t>Dayi Zhen</t>
  </si>
  <si>
    <t>Dayu Jiedao</t>
  </si>
  <si>
    <t>Dazeshan Zhen [incl. Changle Zhen]</t>
  </si>
  <si>
    <t>Dazhangjia Zhen</t>
  </si>
  <si>
    <t>Dazhanglou Zhen</t>
  </si>
  <si>
    <t>Dazhangzhuang Zhen</t>
  </si>
  <si>
    <t>Dazhongcun Zhen</t>
  </si>
  <si>
    <t>Dazhuang Zhen [incl. Yangjiapo Zhen]</t>
  </si>
  <si>
    <t>Dengzhou Jiedao</t>
  </si>
  <si>
    <t>Dengzhoulu Jiedao</t>
  </si>
  <si>
    <t>Deping Zhen</t>
  </si>
  <si>
    <t>Deyuan Jiedao [Fangzi Xiang]</t>
  </si>
  <si>
    <t>Dianbu Zhen</t>
  </si>
  <si>
    <t>Dianhutun Jiedao</t>
  </si>
  <si>
    <t>Dianliu Jiedao</t>
  </si>
  <si>
    <t>Diantou Zhen</t>
  </si>
  <si>
    <t>Dianzi Zhen (Binzhou Shi)</t>
  </si>
  <si>
    <t>Dianzi Zhen (Liaocheng Shi)</t>
  </si>
  <si>
    <t>Dianzi Zhen (Qingdao Shi)</t>
  </si>
  <si>
    <t>Dianzi Zhen (Zaozhuang Shi)</t>
  </si>
  <si>
    <t>Dianziji Jiedao</t>
  </si>
  <si>
    <t>Diao Jiedao</t>
  </si>
  <si>
    <t>Diaokou Xiang</t>
  </si>
  <si>
    <t>Difang Zhen</t>
  </si>
  <si>
    <t>Difeng Jiedao</t>
  </si>
  <si>
    <t>Dige Zhen</t>
  </si>
  <si>
    <t>Dikoulu Jiedao</t>
  </si>
  <si>
    <t>Dinglichang Zhen</t>
  </si>
  <si>
    <t>Dingshui Zhen</t>
  </si>
  <si>
    <t>Dingwu Zhen</t>
  </si>
  <si>
    <t>Dingyuanzhai Zhen</t>
  </si>
  <si>
    <t>Dingzhuang Jiedao</t>
  </si>
  <si>
    <t>Dingzhuang Zhen</t>
  </si>
  <si>
    <t>Dong'a Zhen</t>
  </si>
  <si>
    <t>Dongcheng Jiedao (Dongying Shi)</t>
  </si>
  <si>
    <t>Dongcheng Jiedao (Mudan Qu)</t>
  </si>
  <si>
    <t>Dongcheng Jiedao (Shan Xian)</t>
  </si>
  <si>
    <t>Dongcheng Jiedao (Liaocheng Shi)</t>
  </si>
  <si>
    <t>Dongcheng Jiedao (Weifang Shi)</t>
  </si>
  <si>
    <t>Dongcun Jiedao</t>
  </si>
  <si>
    <t>Dongdu Zhen</t>
  </si>
  <si>
    <t>Dongduzhuang Zhen</t>
  </si>
  <si>
    <t>Dongfeng Jiedao</t>
  </si>
  <si>
    <t>Dongge Jiedao [Chengguan Jiedao; incl. Cuizhao Zhen, Magezhuang Zhen]</t>
  </si>
  <si>
    <t>Dongguan Jiedao (Jinan Shi)</t>
  </si>
  <si>
    <t>Dongguan Jiedao (Weifang Shi)</t>
  </si>
  <si>
    <t>Dongguan Zhen</t>
  </si>
  <si>
    <t>Dongguantun Zhen</t>
  </si>
  <si>
    <t>Donggucheng Zhen</t>
  </si>
  <si>
    <t>Dongguo Zhen</t>
  </si>
  <si>
    <t>Dongji Zhen</t>
  </si>
  <si>
    <t>Dongjia Jiedao</t>
  </si>
  <si>
    <t>Dongjiang Jiedao</t>
  </si>
  <si>
    <t>Dongkou Zhen</t>
  </si>
  <si>
    <t>Donglai Jiedao</t>
  </si>
  <si>
    <t>Dongli Guantun Zhen</t>
  </si>
  <si>
    <t>Dongli Zhen</t>
  </si>
  <si>
    <t>Donglu Jiedao</t>
  </si>
  <si>
    <t>Dongmeng Zhen [Nanzhangzhuang Xiang]</t>
  </si>
  <si>
    <t>Dongmingji Zhen</t>
  </si>
  <si>
    <t>Dongping Jiedao Diqu</t>
  </si>
  <si>
    <t>Dongshahe Jiedao</t>
  </si>
  <si>
    <t>Dongshan Jiedao (Weihai Shi)</t>
  </si>
  <si>
    <t>Dongshan Jiedao (Yantai Shi)</t>
  </si>
  <si>
    <t>Dongshu Zhen</t>
  </si>
  <si>
    <t>Dongting Jiedao</t>
  </si>
  <si>
    <t>Dongxia Zhen</t>
  </si>
  <si>
    <t>Dongxindian Zhen</t>
  </si>
  <si>
    <t>Dongying Jingji Kaifaqu</t>
  </si>
  <si>
    <t>Dongyinggang Jingji Kaifaqu</t>
  </si>
  <si>
    <t>Dongzhuang Zhen</t>
  </si>
  <si>
    <t>Dougou Jiedao</t>
  </si>
  <si>
    <t>Douhutun Zhen</t>
  </si>
  <si>
    <t>Duanbolan Zhen [incl. Liujiazhuang Zhen]</t>
  </si>
  <si>
    <t>Duandian Beilu Jiedao</t>
  </si>
  <si>
    <t>Duchang Jiedao</t>
  </si>
  <si>
    <t>Dudian Jiedao</t>
  </si>
  <si>
    <t>Duji Zhen</t>
  </si>
  <si>
    <t>Dukouyi Xiang</t>
  </si>
  <si>
    <t>Dulangkou Zhen</t>
  </si>
  <si>
    <t>Dunhualu Jiedao</t>
  </si>
  <si>
    <t>Duoshi Jiedao</t>
  </si>
  <si>
    <t>Duozhuang Zhen</t>
  </si>
  <si>
    <t>Duozhuang Zhen [incl. Jiepai Zhen]</t>
  </si>
  <si>
    <t>Dushan Zhen</t>
  </si>
  <si>
    <t>Dusi Zhen</t>
  </si>
  <si>
    <t>Dutang Zhen</t>
  </si>
  <si>
    <t>Encheng Zhen</t>
  </si>
  <si>
    <t>Erqi Jiedao</t>
  </si>
  <si>
    <t>Ershilidian Zhen</t>
  </si>
  <si>
    <t>Ertun Zhen</t>
  </si>
  <si>
    <t>Eshan Zhen</t>
  </si>
  <si>
    <t>Facheng Zhen</t>
  </si>
  <si>
    <t>Fan Zhen</t>
  </si>
  <si>
    <t>Fang'an Jiedao</t>
  </si>
  <si>
    <t>Fangcheng Jiedao</t>
  </si>
  <si>
    <t>Fangcheng Zhen</t>
  </si>
  <si>
    <t>Fangcheng Zhen [incl. Xinqiao Zhen]</t>
  </si>
  <si>
    <t>Fangcun Zhen</t>
  </si>
  <si>
    <t>Fangqian Zhen [incl. Xiangdi Zhen]</t>
  </si>
  <si>
    <t>Fangshan Zhen</t>
  </si>
  <si>
    <t>Fangsi Zhen</t>
  </si>
  <si>
    <t>Fangxia Jiedao</t>
  </si>
  <si>
    <t>Fangyuan Jiedao</t>
  </si>
  <si>
    <t>Fangzhen Zhen</t>
  </si>
  <si>
    <t>Fanzhai Zhen</t>
  </si>
  <si>
    <t>Feicheng Jiedao [incl. Chengbei Zhen]</t>
  </si>
  <si>
    <t>Fengcheng Jiedao (Jinan Shi)</t>
  </si>
  <si>
    <t>Fengcheng Jiedao (Yantai Shi)</t>
  </si>
  <si>
    <t>Fenggezhuang Jiedao</t>
  </si>
  <si>
    <t>Fengguantun Zhen</t>
  </si>
  <si>
    <t>Fenghuang Jiedao (Heze Shi)</t>
  </si>
  <si>
    <t>Fenghuang Jiedao (Liaocheng Shi)</t>
  </si>
  <si>
    <t>Fenghuang Jiedao (Weifang Shi)</t>
  </si>
  <si>
    <t>Fenghuang Zhen</t>
  </si>
  <si>
    <t>Fenghuang Zhen [incl. Wutai Zhen]</t>
  </si>
  <si>
    <t>Fenghuangcheng Jiedao</t>
  </si>
  <si>
    <t>Fenghuangling Jiedao</t>
  </si>
  <si>
    <t>Fenghuangtai Jiedao</t>
  </si>
  <si>
    <t>Fengjia Zhen (Binzhou Shi)</t>
  </si>
  <si>
    <t>Fengjia Zhen (Weihai Shi)</t>
  </si>
  <si>
    <t>Fenglin Jiedao</t>
  </si>
  <si>
    <t>Fengmao Zhen</t>
  </si>
  <si>
    <t>Fengshui Zhen</t>
  </si>
  <si>
    <t>Fengyang Zhen</t>
  </si>
  <si>
    <t>Fu'an Jiedao</t>
  </si>
  <si>
    <t>Fucheng Zhen</t>
  </si>
  <si>
    <t>Fuchun Zhen</t>
  </si>
  <si>
    <t>Fucun Jiedao</t>
  </si>
  <si>
    <t>Fugang Zhen</t>
  </si>
  <si>
    <t>Fuguanzhuang Zhen</t>
  </si>
  <si>
    <t>Fuguo Jiedao</t>
  </si>
  <si>
    <t>Fujia Zhen</t>
  </si>
  <si>
    <t>Fulaishan Jiedao</t>
  </si>
  <si>
    <t>Fulaishan Jiedao [incl. Haihe Shequ, Changjiang Shequ]</t>
  </si>
  <si>
    <t>Fuqiao Jiedao</t>
  </si>
  <si>
    <t>Fushan Jiedao</t>
  </si>
  <si>
    <t>Fushan Xinqu Jiedao [incl. Tong'anlu Jiedao]</t>
  </si>
  <si>
    <t>Fushan Zhen</t>
  </si>
  <si>
    <t>Fushanlu Jiedao</t>
  </si>
  <si>
    <t>Fuxin Jiedao</t>
  </si>
  <si>
    <t>Fuxinlu Jiedao</t>
  </si>
  <si>
    <t>Fuyuan Jiedao</t>
  </si>
  <si>
    <t>Fuzhuang Jiedao [incl. Tangzhuang Jiedao]</t>
  </si>
  <si>
    <t>Gangcheng Zhen</t>
  </si>
  <si>
    <t>Ganggou Jiedao</t>
  </si>
  <si>
    <t>Gangshan Jiedao</t>
  </si>
  <si>
    <t>Gangshang Zhen</t>
  </si>
  <si>
    <t>Ganguantun Zhen</t>
  </si>
  <si>
    <t>Gangwan Jiedao</t>
  </si>
  <si>
    <t>Gangxi Zhen</t>
  </si>
  <si>
    <t>Ganshiqiao Jiedao</t>
  </si>
  <si>
    <t>Gaocheng Zhen</t>
  </si>
  <si>
    <t>Gaocun Zhen</t>
  </si>
  <si>
    <t>Gaodu Jiedao</t>
  </si>
  <si>
    <t>Gaodu Zhen</t>
  </si>
  <si>
    <t>Gaofengtou Zhen</t>
  </si>
  <si>
    <t>Gaogezhuang Zhen</t>
  </si>
  <si>
    <t>Gaoguanzhai Jiedao</t>
  </si>
  <si>
    <t>Gaohe Jiedao</t>
  </si>
  <si>
    <t>Gaoji Zhen</t>
  </si>
  <si>
    <t>Gaolaojia Xiang</t>
  </si>
  <si>
    <t>Gaoli Jiedao</t>
  </si>
  <si>
    <t>Gaoling Zhen</t>
  </si>
  <si>
    <t>Gaoliu Zhen</t>
  </si>
  <si>
    <t>Gaolou Xiang</t>
  </si>
  <si>
    <t>Gaomi Shi Chaoyang Jiedao</t>
  </si>
  <si>
    <t>Gaomi Shi Liquan Jiedao</t>
  </si>
  <si>
    <t>Gaomi Shi Mishui Jiedao</t>
  </si>
  <si>
    <t>Gaomiaowang Zhen</t>
  </si>
  <si>
    <t>Gaoqiao Zhen</t>
  </si>
  <si>
    <t>Gaotuan Zhen</t>
  </si>
  <si>
    <t>Gaoweizhuang Zhen</t>
  </si>
  <si>
    <t>Gaoxin Jiedao</t>
  </si>
  <si>
    <t>Gaoxing Zhen</t>
  </si>
  <si>
    <t>Gaoyu Zhen</t>
  </si>
  <si>
    <t>Gaoze Jiedao</t>
  </si>
  <si>
    <t>Gaozhuang Jiedao</t>
  </si>
  <si>
    <t>Gaozhuang Zhen (Heze Shi)</t>
  </si>
  <si>
    <t>Gaozhuang Zhen (Linyi Shi)</t>
  </si>
  <si>
    <t>Gejia Zhen</t>
  </si>
  <si>
    <t>Geshi Zhen</t>
  </si>
  <si>
    <t>Getabu Jiedao</t>
  </si>
  <si>
    <t>Gongli Zhen</t>
  </si>
  <si>
    <t>Gongyuan Jiedao</t>
  </si>
  <si>
    <t>Guancheng Zhen</t>
  </si>
  <si>
    <t>Guandao Zhen</t>
  </si>
  <si>
    <t>Guangbei Nongchang Zongchang</t>
  </si>
  <si>
    <t>Guangchuan Jiedao</t>
  </si>
  <si>
    <t>Guanghe Jiedao</t>
  </si>
  <si>
    <t>Guangminglu Jiedao</t>
  </si>
  <si>
    <t>Guangping Zhen</t>
  </si>
  <si>
    <t>Guangrao Jiedao</t>
  </si>
  <si>
    <t>Guangwen Jiedao</t>
  </si>
  <si>
    <t>Guangyun Jiedao</t>
  </si>
  <si>
    <t>Guanhailu Jiedao</t>
  </si>
  <si>
    <t>Guanli Zhen</t>
  </si>
  <si>
    <t>Guanqiao Zhen</t>
  </si>
  <si>
    <t>Guanshui Zhen</t>
  </si>
  <si>
    <t>Guanyi Zhen</t>
  </si>
  <si>
    <t>Guanyinge Jiedao</t>
  </si>
  <si>
    <t>Guanzhaying Jiedao</t>
  </si>
  <si>
    <t>Guanzhuang Jiedao</t>
  </si>
  <si>
    <t>Guanzhuang Zhen</t>
  </si>
  <si>
    <t>Gucheng Jiedao</t>
  </si>
  <si>
    <t>Gucheng Zhen (Binzhou Shi)</t>
  </si>
  <si>
    <t>Gucheng Zhen (Liaocheng Shi)</t>
  </si>
  <si>
    <t>Gudao Zhen</t>
  </si>
  <si>
    <t>Gudi Jiedao</t>
  </si>
  <si>
    <t>Guguantun Zhen</t>
  </si>
  <si>
    <t>Guhe Jiedao [incl. Sunshou Zhen]</t>
  </si>
  <si>
    <t>Guhe Zhen</t>
  </si>
  <si>
    <t>Guhuai Jiedao</t>
  </si>
  <si>
    <t>Guichang Xiang</t>
  </si>
  <si>
    <t>Guide Jiedao</t>
  </si>
  <si>
    <t>Guli Zhen</t>
  </si>
  <si>
    <t>Guliu Jiedao</t>
  </si>
  <si>
    <t>Gulou Jiedao (Jining Shi)</t>
  </si>
  <si>
    <t>Gulou Jiedao (Liaocheng Shi)</t>
  </si>
  <si>
    <t>Guocang Zhen</t>
  </si>
  <si>
    <t>Guocheng Zhen</t>
  </si>
  <si>
    <t>Guocun Zhen</t>
  </si>
  <si>
    <t>Guodian Jiedao</t>
  </si>
  <si>
    <t>Guodiantun Zhen</t>
  </si>
  <si>
    <t>Guodu Zhen</t>
  </si>
  <si>
    <t>Guojia Jiedao</t>
  </si>
  <si>
    <t>Guojiadian Zhen</t>
  </si>
  <si>
    <t>Guoli Zhen</t>
  </si>
  <si>
    <t>Guoli Zhen [incl. Zhoujia Zhen]</t>
  </si>
  <si>
    <t>Guolou Zhen</t>
  </si>
  <si>
    <t>Guotun Zhen</t>
  </si>
  <si>
    <t>Guozhuang Zhen</t>
  </si>
  <si>
    <t>Guquan Jiedao</t>
  </si>
  <si>
    <t>Gushan Zhen</t>
  </si>
  <si>
    <t>Gushao Zhen</t>
  </si>
  <si>
    <t>Guting Jiedao</t>
  </si>
  <si>
    <t>Guxian Jiedao</t>
  </si>
  <si>
    <t>Guxian Zhen</t>
  </si>
  <si>
    <t>Guyingji Zhen</t>
  </si>
  <si>
    <t>Guyun Zhen</t>
  </si>
  <si>
    <t>Guyunhu Jiedao</t>
  </si>
  <si>
    <t>Haifang Xiang</t>
  </si>
  <si>
    <t>Haifeng Jiedao</t>
  </si>
  <si>
    <t>Hailunlu Jiedao</t>
  </si>
  <si>
    <t>Haiqing Zhen</t>
  </si>
  <si>
    <t>Haiyangsuo Zhen</t>
  </si>
  <si>
    <t>Handian Zhen</t>
  </si>
  <si>
    <t>Hangai Zhen</t>
  </si>
  <si>
    <t>Hangang Zhen</t>
  </si>
  <si>
    <t>Hanji Zhen (Heze Shi)</t>
  </si>
  <si>
    <t>Hanji Zhen (Liaocheng Shi)</t>
  </si>
  <si>
    <t>Hanmiao Zhen</t>
  </si>
  <si>
    <t>Hanting Jiedao</t>
  </si>
  <si>
    <t>Hantun Zhen</t>
  </si>
  <si>
    <t>Hanzhuang Zhen</t>
  </si>
  <si>
    <t>Haojia Zhen</t>
  </si>
  <si>
    <t>Haosheng Jiedao</t>
  </si>
  <si>
    <t>Haowangzhuang Zhen</t>
  </si>
  <si>
    <t>Hedian Zhen</t>
  </si>
  <si>
    <t>Hefang Jiedao</t>
  </si>
  <si>
    <t>Hefeilu Jiedao</t>
  </si>
  <si>
    <t>Heguan Zhen</t>
  </si>
  <si>
    <t>Hehualu Jiedao</t>
  </si>
  <si>
    <t>Heihumiao Zhen</t>
  </si>
  <si>
    <t>Heilizhai Zhen</t>
  </si>
  <si>
    <t>Heishan Xiang</t>
  </si>
  <si>
    <t>Hekou Jiedao</t>
  </si>
  <si>
    <t>Hekou Jingji Kaifaqu</t>
  </si>
  <si>
    <t>Heliu Zhen</t>
  </si>
  <si>
    <t>Helou Jiedao</t>
  </si>
  <si>
    <t>Heluo Zhen</t>
  </si>
  <si>
    <t>Hengyuan Jiedao</t>
  </si>
  <si>
    <t>Heping Jiedao</t>
  </si>
  <si>
    <t>Heshan Zhen</t>
  </si>
  <si>
    <t>Hetao Jiedao</t>
  </si>
  <si>
    <t>Hetaoyuan Zhen</t>
  </si>
  <si>
    <t>Hetoudian Zhen</t>
  </si>
  <si>
    <t>Hexi Jiedao</t>
  </si>
  <si>
    <t>Hezhuang Zhen</t>
  </si>
  <si>
    <t>Hongchuan Zhen</t>
  </si>
  <si>
    <t>Hongdao Jiedao</t>
  </si>
  <si>
    <t>Hongfanchi Zhen</t>
  </si>
  <si>
    <t>Hongguang Leisi Xiangji Danwei</t>
  </si>
  <si>
    <t>Hongguantun Zhen</t>
  </si>
  <si>
    <t>Honghe Zhen</t>
  </si>
  <si>
    <t>Honghua Zhen</t>
  </si>
  <si>
    <t>Hongjialou Jiedao</t>
  </si>
  <si>
    <t>Hongning Jiedao</t>
  </si>
  <si>
    <t>Hongshan Zhen</t>
  </si>
  <si>
    <t>Hongshanpo Jiedao</t>
  </si>
  <si>
    <t>Hongshiya Jiedao</t>
  </si>
  <si>
    <t>Hongxu Zhen</t>
  </si>
  <si>
    <t>Hou Zhen</t>
  </si>
  <si>
    <t>Houcun Zhen</t>
  </si>
  <si>
    <t>Houji Huizu Zhen</t>
  </si>
  <si>
    <t>Houjia Zhen</t>
  </si>
  <si>
    <t>Houyanji Zhen</t>
  </si>
  <si>
    <t>Houying Zhen</t>
  </si>
  <si>
    <t>Huacun Zhen [Dahuanggou Xiang]</t>
  </si>
  <si>
    <t>Huadian Zhen</t>
  </si>
  <si>
    <t>Huafeng Zhen</t>
  </si>
  <si>
    <t>Huagou Zhen</t>
  </si>
  <si>
    <t>Huaguan Zhen</t>
  </si>
  <si>
    <t>Huairen Zhen</t>
  </si>
  <si>
    <t>Hualong Zhen</t>
  </si>
  <si>
    <t>Hualou Zhen</t>
  </si>
  <si>
    <t>Huamawan Xiang</t>
  </si>
  <si>
    <t>Huancheng Zhen</t>
  </si>
  <si>
    <t>Huancuilou Jiedao</t>
  </si>
  <si>
    <t>Huang'an Zhen</t>
  </si>
  <si>
    <t>Huangcheng Zhen</t>
  </si>
  <si>
    <t>Huangdao Jiedao</t>
  </si>
  <si>
    <t>Huangdian Zhen</t>
  </si>
  <si>
    <t>Huangdun Zhen</t>
  </si>
  <si>
    <t>Huanggai Zhen</t>
  </si>
  <si>
    <t>Huanggang Zhen</t>
  </si>
  <si>
    <t>Huangguan Jiedao</t>
  </si>
  <si>
    <t>Huanghailu Jiedao</t>
  </si>
  <si>
    <t>Huanghe Jiedao</t>
  </si>
  <si>
    <t>Huanghekou Zhen</t>
  </si>
  <si>
    <t>Huanghelu Jiedao</t>
  </si>
  <si>
    <t>Huangheya Zhen</t>
  </si>
  <si>
    <t>Huanghua Zhen</t>
  </si>
  <si>
    <t>Huangji Zhen</t>
  </si>
  <si>
    <t>Huangjia Zhen</t>
  </si>
  <si>
    <t>Huanglou Jiedao</t>
  </si>
  <si>
    <t>Huangnigang Zhen [Huangduiji Zhen]</t>
  </si>
  <si>
    <t>Huangqian Zhen</t>
  </si>
  <si>
    <t>Huangqibao Jiedao</t>
  </si>
  <si>
    <t>Huangshan Jiedao</t>
  </si>
  <si>
    <t>Huangshan Zhen</t>
  </si>
  <si>
    <t>Huangshanguan Zhen</t>
  </si>
  <si>
    <t>Huangshanpu Zhen</t>
  </si>
  <si>
    <t>Huangsheng Zhen</t>
  </si>
  <si>
    <t>Huangtun Jiedao</t>
  </si>
  <si>
    <t>Huangwu Jiedao</t>
  </si>
  <si>
    <t>Huangzhen Xiang</t>
  </si>
  <si>
    <t>Huanshanlu Jiedao</t>
  </si>
  <si>
    <t>Huanxiu Jiedao</t>
  </si>
  <si>
    <t>Huashan Jiedao</t>
  </si>
  <si>
    <t>Huayu Zhen</t>
  </si>
  <si>
    <t>Huayuan Zhen (Dezhou Shi)</t>
  </si>
  <si>
    <t>Huayuan Zhen (Linyi Shi)</t>
  </si>
  <si>
    <t>Hubin Zhen</t>
  </si>
  <si>
    <t>Hubu Xiang</t>
  </si>
  <si>
    <t>Huguantun Zhen</t>
  </si>
  <si>
    <t>Huihe Jiedao</t>
  </si>
  <si>
    <t>Huili Zhen</t>
  </si>
  <si>
    <t>Huiqu Zhen</t>
  </si>
  <si>
    <t>Huiwangzhuang Zhen</t>
  </si>
  <si>
    <t>Huixin Jiedao</t>
  </si>
  <si>
    <t>Huji Zhen (Binzhou Shi)</t>
  </si>
  <si>
    <t>Huji Zhen (Heze Shi)</t>
  </si>
  <si>
    <t>Huji Zhen (Jining Shi)</t>
  </si>
  <si>
    <t>Hujia Jiedao</t>
  </si>
  <si>
    <t>Hushan Zhen (Rizhao Shi)</t>
  </si>
  <si>
    <t>Hushan Zhen (Weihai Shi)</t>
  </si>
  <si>
    <t>Hushanlu Jiedao</t>
  </si>
  <si>
    <t>Hutian Jiedao</t>
  </si>
  <si>
    <t>Hutou Zhen</t>
  </si>
  <si>
    <t>Hutouya Zhen</t>
  </si>
  <si>
    <t>Hutun Zhen (Liaocheng Shi)</t>
  </si>
  <si>
    <t>Hutun Zhen (Tai'an Shi)</t>
  </si>
  <si>
    <t>Huxi Jiedao</t>
  </si>
  <si>
    <t>Huyang Zhen</t>
  </si>
  <si>
    <t>Jia Zhen</t>
  </si>
  <si>
    <t>Jiamaying Zhen</t>
  </si>
  <si>
    <t>Jiangdian Zhen</t>
  </si>
  <si>
    <t>Jianggezhuang Jiedao</t>
  </si>
  <si>
    <t>Jiangguantun Jiedao</t>
  </si>
  <si>
    <t>Jiangji Zhen</t>
  </si>
  <si>
    <t>Jiangjunlu Jiedao [incl. Shangchenglu Jiedao, Chengnan Zhen]</t>
  </si>
  <si>
    <t>Jianglou Zhen (Binzhou Shi)</t>
  </si>
  <si>
    <t>Jianglou Zhen (Liaocheng Shi)</t>
  </si>
  <si>
    <t>Jiangshan Zhen [incl. Liquanzhuang Zhen]</t>
  </si>
  <si>
    <t>Jiangsulu Jiedao</t>
  </si>
  <si>
    <t>Jiangtuan Zhen</t>
  </si>
  <si>
    <t>Jiangtun Zhen</t>
  </si>
  <si>
    <t>Jiangyu Zhen [Yishan Zhen]</t>
  </si>
  <si>
    <t>Jiangzhuang Zhen</t>
  </si>
  <si>
    <t>Jiantouji Zhen</t>
  </si>
  <si>
    <t>Jianxin Jiedao</t>
  </si>
  <si>
    <t>Jiaobei Jiedao</t>
  </si>
  <si>
    <t>Jiaodong Jiedao</t>
  </si>
  <si>
    <t>Jiaolai Jiedao [incl. Madian Zhen]</t>
  </si>
  <si>
    <t>Jiaolong Zhen</t>
  </si>
  <si>
    <t>Jiaomiao Zhen</t>
  </si>
  <si>
    <t>Jiaoqiao Zhen</t>
  </si>
  <si>
    <t>Jiaoshan Zhen</t>
  </si>
  <si>
    <t>Jiaoxi Jiedao [incl. Ducun Zhen]</t>
  </si>
  <si>
    <t>Jiaoyu Zhen</t>
  </si>
  <si>
    <t>Jiaoyuan Xiang</t>
  </si>
  <si>
    <t>Jiaxiangzhen Jiedao</t>
  </si>
  <si>
    <t>Jiayue Zhen</t>
  </si>
  <si>
    <t>Jiazhai Zhen</t>
  </si>
  <si>
    <t>Jiazhuang Zhen</t>
  </si>
  <si>
    <t>Jibei Jiedao</t>
  </si>
  <si>
    <t>Jiefanglu Jiedao</t>
  </si>
  <si>
    <t>Jiehe Zhen</t>
  </si>
  <si>
    <t>Jiehu Jiedao</t>
  </si>
  <si>
    <t>Jiejiazhuang Jiedao</t>
  </si>
  <si>
    <t>Jieshan Zhen</t>
  </si>
  <si>
    <t>Jieshi Zhen</t>
  </si>
  <si>
    <t>Jieshishan Zhen</t>
  </si>
  <si>
    <t>Jietou Zhen</t>
  </si>
  <si>
    <t>Jiezhuang Jiedao</t>
  </si>
  <si>
    <t>Jihe Jiedao</t>
  </si>
  <si>
    <t>Jihongtan Jiedao</t>
  </si>
  <si>
    <t>Jimolu Jiedao [incl. Xiaogang Jiedao]</t>
  </si>
  <si>
    <t>Jincheng Jiedao (Dezhou Shi)</t>
  </si>
  <si>
    <t>Jincheng Jiedao (Jining Shi)</t>
  </si>
  <si>
    <t>Jincheng Zhen</t>
  </si>
  <si>
    <t>Jindouying Zhen</t>
  </si>
  <si>
    <t>Jinggou Zhen</t>
  </si>
  <si>
    <t>Jinghe Jiedao</t>
  </si>
  <si>
    <t>Jingjia Zhen</t>
  </si>
  <si>
    <t>Jingyuan Jiedao</t>
  </si>
  <si>
    <t>Jingzhi Zhen</t>
  </si>
  <si>
    <t>Jingzhong Zhen</t>
  </si>
  <si>
    <t>Jinhaozhuang Zhen</t>
  </si>
  <si>
    <t>Jinhulu Jiedao</t>
  </si>
  <si>
    <t>Jinkou Zhen [incl. Dianji Zhen]</t>
  </si>
  <si>
    <t>Jinkoulu Jiedao</t>
  </si>
  <si>
    <t>Jinling Zhen (Yantai Shi)</t>
  </si>
  <si>
    <t>Jinling Zhen (Zibo Shi)</t>
  </si>
  <si>
    <t>Jinmenlu Jiedao</t>
  </si>
  <si>
    <t>Jinqiu Jiedao</t>
  </si>
  <si>
    <t>Jinqueshan Jiedao</t>
  </si>
  <si>
    <t>Jinshan Zhen [incl. Nanwang Zhen, Bianhe Zhen]</t>
  </si>
  <si>
    <t>Jinshui Jiedao</t>
  </si>
  <si>
    <t>Jintun Zhen</t>
  </si>
  <si>
    <t>Jinxiang Jiedao</t>
  </si>
  <si>
    <t>Jinyang Jiedao</t>
  </si>
  <si>
    <t>Jinzhongzi Zhen</t>
  </si>
  <si>
    <t>Jinzhuang Zhen</t>
  </si>
  <si>
    <t>Jishan Zhen</t>
  </si>
  <si>
    <t>Jishu Zhen</t>
  </si>
  <si>
    <t>Jisuo Zhen</t>
  </si>
  <si>
    <t>Jitai Zhen</t>
  </si>
  <si>
    <t>Jiucheng Zhen</t>
  </si>
  <si>
    <t>Jiudian Zhen [incl. Datian Zhen, Zhugou Zhen]</t>
  </si>
  <si>
    <t>Jiuhu Zhen</t>
  </si>
  <si>
    <t>Jiulong Jiedao (Qingdao Shi)</t>
  </si>
  <si>
    <t>Jiulong Jiedao (Weifang Shi)</t>
  </si>
  <si>
    <t>Jiuqu Jiedao</t>
  </si>
  <si>
    <t>Jiushan Zhen</t>
  </si>
  <si>
    <t>Jiushui Jiedao [incl. Shiyuan Jiedao]</t>
  </si>
  <si>
    <t>Jiuxian Xiang</t>
  </si>
  <si>
    <t>Jiuxianqiao Jiedao</t>
  </si>
  <si>
    <t>Jiuzhai Xiang</t>
  </si>
  <si>
    <t>Jixia Jiedao</t>
  </si>
  <si>
    <t>Jiyang Jiedao (Jinan Shi)</t>
  </si>
  <si>
    <t>Jiyang Jiedao (Jining Shi)</t>
  </si>
  <si>
    <t>Ju Zhen [incl. Juzhen Xiang, Litun Xiang]</t>
  </si>
  <si>
    <t>Jufeng Zhen</t>
  </si>
  <si>
    <t>Jugezhuang Zhen</t>
  </si>
  <si>
    <t>Juntun Xiang</t>
  </si>
  <si>
    <t>Juyehe Jiedao</t>
  </si>
  <si>
    <t>Kaiyuan Jiedao</t>
  </si>
  <si>
    <t>Kangyi Zhen</t>
  </si>
  <si>
    <t>Kangzhuang Zhen</t>
  </si>
  <si>
    <t>Kanjia Zhen</t>
  </si>
  <si>
    <t>Kanzhuang Zhen</t>
  </si>
  <si>
    <t>Kendong Leisi Xiangji Danwei</t>
  </si>
  <si>
    <t>Kenli Jiedao</t>
  </si>
  <si>
    <t>Kenlixian Shequ</t>
  </si>
  <si>
    <t>Keyuan Jiedao</t>
  </si>
  <si>
    <t>Kong Zhen</t>
  </si>
  <si>
    <t>Kongcun Zhen</t>
  </si>
  <si>
    <t>Kouguan Zhen</t>
  </si>
  <si>
    <t>Kouzhen Jiedao</t>
  </si>
  <si>
    <t>Kuangkeng Zhen</t>
  </si>
  <si>
    <t>Kuangqu Jiedao</t>
  </si>
  <si>
    <t>Kuangshan Jiedao</t>
  </si>
  <si>
    <t>Kuiju Jiedao</t>
  </si>
  <si>
    <t>Kuishan Jiedao</t>
  </si>
  <si>
    <t>Kunlun Zhen [incl. Cicun Zhen]</t>
  </si>
  <si>
    <t>Kushan Xiang</t>
  </si>
  <si>
    <t>Laihe Zhen</t>
  </si>
  <si>
    <t>Laishan Jiedao</t>
  </si>
  <si>
    <t>Lancun Jiedao [incl. Nanquan Zhen]</t>
  </si>
  <si>
    <t>Langao Zhen</t>
  </si>
  <si>
    <t>Langya Zhen</t>
  </si>
  <si>
    <t>Lanling Zhen</t>
  </si>
  <si>
    <t>Lanshan Jiedao [incl. Daling Zhen]</t>
  </si>
  <si>
    <t>Lanshantou Jiedao</t>
  </si>
  <si>
    <t>Lanwo Xiang</t>
  </si>
  <si>
    <t>Laocheng Jiedao</t>
  </si>
  <si>
    <t>Laocheng Zhen [incl. Yangzhuang Zhen]</t>
  </si>
  <si>
    <t>Laodian Zhen</t>
  </si>
  <si>
    <t>Laohu Zhen</t>
  </si>
  <si>
    <t>Laopo Zhen</t>
  </si>
  <si>
    <t>Laosengtang Zhen</t>
  </si>
  <si>
    <t>Laoshan Jiedao</t>
  </si>
  <si>
    <t>Laozhai Zhen</t>
  </si>
  <si>
    <t>Laozhaozhuang Zhen</t>
  </si>
  <si>
    <t>Le'an Jiedao</t>
  </si>
  <si>
    <t>Leiji Zhen</t>
  </si>
  <si>
    <t>Lepingpu Zhen</t>
  </si>
  <si>
    <t>Liancheng Zhen</t>
  </si>
  <si>
    <t>Liangbaosi Zhen</t>
  </si>
  <si>
    <t>Liangcai Jiedao</t>
  </si>
  <si>
    <t>Liangcheng Jiedao</t>
  </si>
  <si>
    <t>Liangcheng Zhen</t>
  </si>
  <si>
    <t>Liangcun Zhen</t>
  </si>
  <si>
    <t>Liangditou Zhen</t>
  </si>
  <si>
    <t>Liangjia Zhen</t>
  </si>
  <si>
    <t>Liangqiu Zhen</t>
  </si>
  <si>
    <t>Liangshan Jiedao</t>
  </si>
  <si>
    <t>Liangshui Zhen</t>
  </si>
  <si>
    <t>Liangtang Zhen</t>
  </si>
  <si>
    <t>Liangzhuang Zhen</t>
  </si>
  <si>
    <t>Liaolan Zhen [incl. Wanjia Zhen]</t>
  </si>
  <si>
    <t>Liaoninglu Jiedao</t>
  </si>
  <si>
    <t>Liaoyuanlu Jiedao</t>
  </si>
  <si>
    <t>Licha Zhen [incl. Zhangying Zhen]</t>
  </si>
  <si>
    <t>Licun Jiedao</t>
  </si>
  <si>
    <t>Licun Zhen</t>
  </si>
  <si>
    <t>Lidao Zhen</t>
  </si>
  <si>
    <t>Lige Zhen</t>
  </si>
  <si>
    <t>Ligezhuang Zhen</t>
  </si>
  <si>
    <t>Liguan Zhen</t>
  </si>
  <si>
    <t>Liguo Xiang</t>
  </si>
  <si>
    <t>Lihewu Zhen</t>
  </si>
  <si>
    <t>Liji Zhen</t>
  </si>
  <si>
    <t>Lijiahu Zhen</t>
  </si>
  <si>
    <t>Lijin Jiedao</t>
  </si>
  <si>
    <t>Lijin Xian Jingji Kaifaqu</t>
  </si>
  <si>
    <t>Lijinshitang Zhen</t>
  </si>
  <si>
    <t>Lincheng Jiedao</t>
  </si>
  <si>
    <t>Linchi Zhen</t>
  </si>
  <si>
    <t>Lingang Jiedao</t>
  </si>
  <si>
    <t>Lingcheng Zhen</t>
  </si>
  <si>
    <t>Linghe Jiedao</t>
  </si>
  <si>
    <t>Linglong Zhen</t>
  </si>
  <si>
    <t>Lingquan Zhen</t>
  </si>
  <si>
    <t>Lingshan Jiedao [incl. Huashan Zhen]</t>
  </si>
  <si>
    <t>Lingshanwei Jiedao</t>
  </si>
  <si>
    <t>Lingyang Jiedao</t>
  </si>
  <si>
    <t>Lingzhushan Jiedao [Liuhuabo Jiedao]</t>
  </si>
  <si>
    <t>Lingzi Zhen</t>
  </si>
  <si>
    <t>Linjiacun Zhen</t>
  </si>
  <si>
    <t>Linjian Zhen</t>
  </si>
  <si>
    <t>Linnan Zhen</t>
  </si>
  <si>
    <t>Linpan Jiedao</t>
  </si>
  <si>
    <t>Linpu Zhen</t>
  </si>
  <si>
    <t>Linqi Jiedao</t>
  </si>
  <si>
    <t>Linshu Jiedao</t>
  </si>
  <si>
    <t>Linyi Zhen</t>
  </si>
  <si>
    <t>Linzi Zhen</t>
  </si>
  <si>
    <t>Lique Zhen</t>
  </si>
  <si>
    <t>Lishan Jiedao</t>
  </si>
  <si>
    <t>Litai Zhen</t>
  </si>
  <si>
    <t>Litianlou Zhen</t>
  </si>
  <si>
    <t>Liubao Zhen</t>
  </si>
  <si>
    <t>Liubu Jiedao</t>
  </si>
  <si>
    <t>Liudu Zhen</t>
  </si>
  <si>
    <t>Liugaizi Zhen</t>
  </si>
  <si>
    <t>Liugezhuang Zhen</t>
  </si>
  <si>
    <t>Liuguanzhuang Zhen</t>
  </si>
  <si>
    <t>Liuhe Jiedao</t>
  </si>
  <si>
    <t>Liuhu Zhen</t>
  </si>
  <si>
    <t>Liuji Zhen</t>
  </si>
  <si>
    <t>Liujiagou Zhen</t>
  </si>
  <si>
    <t>Liulin Zhen (Heze Shi)</t>
  </si>
  <si>
    <t>Liulin Zhen (Liaocheng Shi)</t>
  </si>
  <si>
    <t>Liulishan Jiedao</t>
  </si>
  <si>
    <t>Liulisi Zhen</t>
  </si>
  <si>
    <t>Liulou Zhen (Heze Shi)</t>
  </si>
  <si>
    <t>Liulou Zhen (Jining Shi)</t>
  </si>
  <si>
    <t>Liupowu Zhen</t>
  </si>
  <si>
    <t>Liuqiao Zhen</t>
  </si>
  <si>
    <t>Liuqing Jiedao [Nanfang Jiedao]</t>
  </si>
  <si>
    <t>Liushan Zhen</t>
  </si>
  <si>
    <t>Liuting Jiedao</t>
  </si>
  <si>
    <t>Liutuan Zhen</t>
  </si>
  <si>
    <t>Liuwang Zhen</t>
  </si>
  <si>
    <t>Liuxing Jiedao</t>
  </si>
  <si>
    <t>Liuyingwu Xiang</t>
  </si>
  <si>
    <t>Liuyu Zhen</t>
  </si>
  <si>
    <t>Liuyuan Jiedao</t>
  </si>
  <si>
    <t>Liuyuan Zhen</t>
  </si>
  <si>
    <t>Liuzhuang Zhen</t>
  </si>
  <si>
    <t>Lixin Jiedao</t>
  </si>
  <si>
    <t>Lixinzhuang Zhen</t>
  </si>
  <si>
    <t>Liying Jiedao</t>
  </si>
  <si>
    <t>Liyuan Jiedao</t>
  </si>
  <si>
    <t>Liyuan Jiedao [incl. Mencun Zhen]</t>
  </si>
  <si>
    <t>Lize Jiedao</t>
  </si>
  <si>
    <t>Lizhuang Zhen</t>
  </si>
  <si>
    <t>Lizhuang Zhen [incl. Shadun Zhen]</t>
  </si>
  <si>
    <t>Longchi Zhen</t>
  </si>
  <si>
    <t>Longdong Jiedao</t>
  </si>
  <si>
    <t>Longdu Jiedao</t>
  </si>
  <si>
    <t>Longgang Jiedao</t>
  </si>
  <si>
    <t>Longgu Zhen</t>
  </si>
  <si>
    <t>Longjiaquan Jiedao</t>
  </si>
  <si>
    <t>Longju Zhen</t>
  </si>
  <si>
    <t>Longmen Jiedao</t>
  </si>
  <si>
    <t>Longqiao Jiedao</t>
  </si>
  <si>
    <t>Longquan Jiedao (Qingdao Shi)</t>
  </si>
  <si>
    <t>Longquan Jiedao (Zaozhuang Shi)</t>
  </si>
  <si>
    <t>Longquan Zhen (Yantai Shi)</t>
  </si>
  <si>
    <t>Longquan Zhen (Zibo Shi)</t>
  </si>
  <si>
    <t>Longsangsi Zhen</t>
  </si>
  <si>
    <t>Longshan Jiedao (Jinan Shi)</t>
  </si>
  <si>
    <t>Longshan Jiedao (Qingdao Shi)</t>
  </si>
  <si>
    <t>Longshan Jiedao [Dayanjia Zhen]</t>
  </si>
  <si>
    <t>Longshan Zhen</t>
  </si>
  <si>
    <t>Longshanlu Jiedao (Weihai Shi)</t>
  </si>
  <si>
    <t>Longshanlu Jiedao (Jinan Shi)</t>
  </si>
  <si>
    <t>Longshui Jiedao</t>
  </si>
  <si>
    <t>Longting Zhen</t>
  </si>
  <si>
    <t>Longwangmiao Zhen</t>
  </si>
  <si>
    <t>Longwangzhuang Jiedao</t>
  </si>
  <si>
    <t>Longyang Zhen</t>
  </si>
  <si>
    <t>Loude Zhen</t>
  </si>
  <si>
    <t>Loushan Jiedao</t>
  </si>
  <si>
    <t>Lucheng Jiedao</t>
  </si>
  <si>
    <t>Lucheng Zhen</t>
  </si>
  <si>
    <t>Lucun Zhen [incl. Xujiazhuang Xiang]</t>
  </si>
  <si>
    <t>Lugezhuang Zhen</t>
  </si>
  <si>
    <t>Luhu Jiedao [incl. Zhaodian Zhen]</t>
  </si>
  <si>
    <t>Luling Zhen</t>
  </si>
  <si>
    <t>Lun Zhen</t>
  </si>
  <si>
    <t>Luocheng Jiedao</t>
  </si>
  <si>
    <t>Luocun Zhen</t>
  </si>
  <si>
    <t>Luofeng Jiedao</t>
  </si>
  <si>
    <t>Luohe Zhen</t>
  </si>
  <si>
    <t>Luokou Jiedao</t>
  </si>
  <si>
    <t>Luotun Zhen</t>
  </si>
  <si>
    <t>Luoxi Jiedao</t>
  </si>
  <si>
    <t>Luoyanglu Jiedao</t>
  </si>
  <si>
    <t>Luoyuan Jiedao</t>
  </si>
  <si>
    <t>Luozhuang Jiedao</t>
  </si>
  <si>
    <t>Luqiao Zhen</t>
  </si>
  <si>
    <t>Luquan Zhen</t>
  </si>
  <si>
    <t>Luquantun Zhen [incl. Sinusi Zhen]</t>
  </si>
  <si>
    <t>Lutou Zhen</t>
  </si>
  <si>
    <t>Luyi Zhen</t>
  </si>
  <si>
    <t>Luzha Zhen [Sanhe Xiang]</t>
  </si>
  <si>
    <t>Machanghu Zhen</t>
  </si>
  <si>
    <t>Macun Zhen</t>
  </si>
  <si>
    <t>Madian Zhen</t>
  </si>
  <si>
    <t>Maji Zhen (Dezhou Shi)</t>
  </si>
  <si>
    <t>Maji Zhen (Heze Shi)</t>
  </si>
  <si>
    <t>Maji Zhen (Jining Shi)</t>
  </si>
  <si>
    <t>Malantun Zhen</t>
  </si>
  <si>
    <t>Malianzhuang Zhen</t>
  </si>
  <si>
    <t>Malinggang Zhen</t>
  </si>
  <si>
    <t>Mamiao Zhen</t>
  </si>
  <si>
    <t>Mamuchi Xiang</t>
  </si>
  <si>
    <t>Mandong Zhen</t>
  </si>
  <si>
    <t>Manzhuang Zhen</t>
  </si>
  <si>
    <t>Mapo Zhen</t>
  </si>
  <si>
    <t>Maqiao Zhen [incl. Chenzhuang Zhen]</t>
  </si>
  <si>
    <t>Mashan Jiedao</t>
  </si>
  <si>
    <t>Mashan Zhen</t>
  </si>
  <si>
    <t>Mashang Jiedao</t>
  </si>
  <si>
    <t>Mashanzi Zhen</t>
  </si>
  <si>
    <t>Matou Zhen (Binzhou Shi)</t>
  </si>
  <si>
    <t>Matou Zhen (Heze Shi)</t>
  </si>
  <si>
    <t>Matou Zhen (Linyi Shi)</t>
  </si>
  <si>
    <t>Maying Zhen</t>
  </si>
  <si>
    <t>Mazhan Zhen</t>
  </si>
  <si>
    <t>Mazhuang Zhen</t>
  </si>
  <si>
    <t>Mazhuang Zhen [incl. Shaoyaoshan Xiang]</t>
  </si>
  <si>
    <t>Meigui Zhen</t>
  </si>
  <si>
    <t>Meihuashan Jiedao</t>
  </si>
  <si>
    <t>Meijiabu Jiedao [Meibu Jiedao]</t>
  </si>
  <si>
    <t>Meilihu Jiedao</t>
  </si>
  <si>
    <t>Meizhong Zhen</t>
  </si>
  <si>
    <t>Mengguji Zhen</t>
  </si>
  <si>
    <t>Menghai Zhen</t>
  </si>
  <si>
    <t>Mengshui Zhen</t>
  </si>
  <si>
    <t>Mengsi Zhen</t>
  </si>
  <si>
    <t>Mengyin Jiedao</t>
  </si>
  <si>
    <t>Mengzhi Jiedao</t>
  </si>
  <si>
    <t>Mengzhuang Zhen</t>
  </si>
  <si>
    <t>Menlou Jiedao</t>
  </si>
  <si>
    <t>Mi Zhen</t>
  </si>
  <si>
    <t>Miaoguan Zhen</t>
  </si>
  <si>
    <t>Miaohou Zhen</t>
  </si>
  <si>
    <t>Miaoshan Zhen</t>
  </si>
  <si>
    <t>Miaozi Zhen</t>
  </si>
  <si>
    <t>Mihe Zhen</t>
  </si>
  <si>
    <t>Mingcun Zhen</t>
  </si>
  <si>
    <t>Mingji Xiang</t>
  </si>
  <si>
    <t>Mingji Zhen</t>
  </si>
  <si>
    <t>Mingshui Jiedao</t>
  </si>
  <si>
    <t>Mishan Zhen</t>
  </si>
  <si>
    <t>Mizhou Jiedao</t>
  </si>
  <si>
    <t>Moshan Zhen</t>
  </si>
  <si>
    <t>Mudan Jiedao</t>
  </si>
  <si>
    <t>Muli Zhen</t>
  </si>
  <si>
    <t>Mushi Zhen</t>
  </si>
  <si>
    <t>Muyudian Zhen</t>
  </si>
  <si>
    <t>Nanchangshan Jiedao</t>
  </si>
  <si>
    <t>Nancheng Jiedao (Mudan Qu)</t>
  </si>
  <si>
    <t>Nancheng Jiedao (Shan Xian)</t>
  </si>
  <si>
    <t>Nancheng Zhen</t>
  </si>
  <si>
    <t>Nancun Jiedao</t>
  </si>
  <si>
    <t>Nancun Zhen [incl. Landi Zhen, Guozhuang Zhen]</t>
  </si>
  <si>
    <t>Nanding Zhen</t>
  </si>
  <si>
    <t>Nanguan Jiedao</t>
  </si>
  <si>
    <t>Nanhu Zhen</t>
  </si>
  <si>
    <t>Nanhuang Zhen</t>
  </si>
  <si>
    <t>Nanhuangcheng Xiang</t>
  </si>
  <si>
    <t>Nanjiao Zhen</t>
  </si>
  <si>
    <t>Nanlushan Zhen [incl. Sancha Xiang]</t>
  </si>
  <si>
    <t>Nanma Jiedao</t>
  </si>
  <si>
    <t>Nanqiao Zhen</t>
  </si>
  <si>
    <t>Nanshahe Zhen</t>
  </si>
  <si>
    <t>Nanshu Zhen</t>
  </si>
  <si>
    <t>Nanwang Jiedao</t>
  </si>
  <si>
    <t>Nanwang Zhen</t>
  </si>
  <si>
    <t>Nanwangdian Zhen</t>
  </si>
  <si>
    <t>Nanxinzhuang Jiedao</t>
  </si>
  <si>
    <t>Nanyang Zhen</t>
  </si>
  <si>
    <t>Nanyuan Jiedao</t>
  </si>
  <si>
    <t>Nanzhan Jiedao</t>
  </si>
  <si>
    <t>Nanzhang Jiedao</t>
  </si>
  <si>
    <t>Nanzhaolou Zhen</t>
  </si>
  <si>
    <t>Nianlibao Jiedao</t>
  </si>
  <si>
    <t>Nianlipu Jiedao</t>
  </si>
  <si>
    <t>Nigou Zhen</t>
  </si>
  <si>
    <t>Niji Xiang</t>
  </si>
  <si>
    <t>Ningcheng Jiedao</t>
  </si>
  <si>
    <t>Ninghai Jiedao</t>
  </si>
  <si>
    <t>Ningjiabu Jiedao</t>
  </si>
  <si>
    <t>Ningjin Jiedao</t>
  </si>
  <si>
    <t>Ningxialu Jiedao</t>
  </si>
  <si>
    <t>Nishan Zhen [Nanxin Zhen]</t>
  </si>
  <si>
    <t>Niujiaodian Zhen</t>
  </si>
  <si>
    <t>Niuquan Zhen</t>
  </si>
  <si>
    <t>Niuzhuang Zhen</t>
  </si>
  <si>
    <t>Pandian Zhen</t>
  </si>
  <si>
    <t>Pandu Zhen</t>
  </si>
  <si>
    <t>Pangjia Zhen</t>
  </si>
  <si>
    <t>Panshi Jiedao</t>
  </si>
  <si>
    <t>Panshidian Zhen</t>
  </si>
  <si>
    <t>Panzhuang Zhen</t>
  </si>
  <si>
    <t>Pengji Jiedao Diqu</t>
  </si>
  <si>
    <t>Penglaige Jiedao</t>
  </si>
  <si>
    <t>Pengli Jiedao</t>
  </si>
  <si>
    <t>Penglou Zhen</t>
  </si>
  <si>
    <t>Pengquan Jiedao</t>
  </si>
  <si>
    <t>Ping'an Jiedao</t>
  </si>
  <si>
    <t>Pingdu Jingji Kaifaqu</t>
  </si>
  <si>
    <t>Pinglidian Zhen</t>
  </si>
  <si>
    <t>Pingshang Zhen</t>
  </si>
  <si>
    <t>Pingyi Jiedao</t>
  </si>
  <si>
    <t>Pizhuang Zhen</t>
  </si>
  <si>
    <t>Puji Jiedao</t>
  </si>
  <si>
    <t>Puji Zhen</t>
  </si>
  <si>
    <t>Pulianji Zhen</t>
  </si>
  <si>
    <t>Puwang Zhen</t>
  </si>
  <si>
    <t>Qiancao Zhen</t>
  </si>
  <si>
    <t>Qianfoshan Jiedao</t>
  </si>
  <si>
    <t>Qianquan Jiedao</t>
  </si>
  <si>
    <t>Qiansandao Xiang</t>
  </si>
  <si>
    <t>Qiansun Zhen</t>
  </si>
  <si>
    <t>Qiaoguan Zhen</t>
  </si>
  <si>
    <t>Qiaorun Jiedao</t>
  </si>
  <si>
    <t>Qiaotou Zhen</t>
  </si>
  <si>
    <t>Qiaozhuang Zhen</t>
  </si>
  <si>
    <t>Qicun Zhen</t>
  </si>
  <si>
    <t>Qidu Zhen</t>
  </si>
  <si>
    <t>Qifeng Zhen</t>
  </si>
  <si>
    <t>Qiji Zhen</t>
  </si>
  <si>
    <t>Qijia Zhen</t>
  </si>
  <si>
    <t>Qilin Zhen</t>
  </si>
  <si>
    <t>Qiling Jiedao</t>
  </si>
  <si>
    <t>Qilishan Jiedao</t>
  </si>
  <si>
    <t>Qingcheng Zhen</t>
  </si>
  <si>
    <t>Qingchi Jiedao</t>
  </si>
  <si>
    <t>Qinggangji Zhen</t>
  </si>
  <si>
    <t>Qingguji Zhen</t>
  </si>
  <si>
    <t>Qinghe Jiedao</t>
  </si>
  <si>
    <t>Qinghe Zhen (Binzhou Shi)</t>
  </si>
  <si>
    <t>Qinghe Zhen (Jining Shi)</t>
  </si>
  <si>
    <t>Qingnian Gongyuan Jiedao</t>
  </si>
  <si>
    <t>Qingnianlu Jiedao (Liaocheng Shi)</t>
  </si>
  <si>
    <t>Qingnianlu Jiedao (Zibo Shi)</t>
  </si>
  <si>
    <t>Qingping Zhen</t>
  </si>
  <si>
    <t>Qingquan Jiedao</t>
  </si>
  <si>
    <t>Qingshan Zhen</t>
  </si>
  <si>
    <t>Qingshui Zhen</t>
  </si>
  <si>
    <t>Qingtian Jiedao</t>
  </si>
  <si>
    <t>Qingtuo Zhen</t>
  </si>
  <si>
    <t>Qingyang Jiedao</t>
  </si>
  <si>
    <t>Qingyang Zhen</t>
  </si>
  <si>
    <t>Qingyun Jiedao [incl. Xinfu Jiedao]</t>
  </si>
  <si>
    <t>Qingyun Zhen</t>
  </si>
  <si>
    <t>Qinhuangtai Xiang</t>
  </si>
  <si>
    <t>Qinlou Jiedao [incl. Wolongshan Jiedao]</t>
  </si>
  <si>
    <t>Qishan Jiedao</t>
  </si>
  <si>
    <t>Qishan Zhen (Rizhao Shi)</t>
  </si>
  <si>
    <t>Qishan Zhen (Yantai Shi)</t>
  </si>
  <si>
    <t>Qiujiadian Zhen</t>
  </si>
  <si>
    <t>Qixian Jiedao</t>
  </si>
  <si>
    <t>Quanchenglu Jiedao</t>
  </si>
  <si>
    <t>Quanfu Jiedao</t>
  </si>
  <si>
    <t>Quangou Zhen</t>
  </si>
  <si>
    <t>Quanli Xiang</t>
  </si>
  <si>
    <t>Quanlin Zhen</t>
  </si>
  <si>
    <t>Quanpu Zhen</t>
  </si>
  <si>
    <t>Quanshan Jiedao</t>
  </si>
  <si>
    <t>Quanyuan Zhen</t>
  </si>
  <si>
    <t>Quanzhuang Zhen</t>
  </si>
  <si>
    <t>Qudi Jiedao</t>
  </si>
  <si>
    <t>Rangu Zhen</t>
  </si>
  <si>
    <t>Renfeng Zhen</t>
  </si>
  <si>
    <t>Renhe Jiedao</t>
  </si>
  <si>
    <t>Renhe Zhen</t>
  </si>
  <si>
    <t>Renliji Zhen</t>
  </si>
  <si>
    <t>Renzhao Zhen</t>
  </si>
  <si>
    <t>Rizhao Jiedao</t>
  </si>
  <si>
    <t>Rizhuang Zhen</t>
  </si>
  <si>
    <t>Rushankou Zhen</t>
  </si>
  <si>
    <t>Rushanzhai Zhen</t>
  </si>
  <si>
    <t>Sanchunji Zhen</t>
  </si>
  <si>
    <t>Sang'a Zhen</t>
  </si>
  <si>
    <t>Sangcun Zhen</t>
  </si>
  <si>
    <t>Sangluoshu Zhen</t>
  </si>
  <si>
    <t>Sangyuan Zhen</t>
  </si>
  <si>
    <t>Sangzidian Jiedao</t>
  </si>
  <si>
    <t>Sanhehu Zhen</t>
  </si>
  <si>
    <t>Sanlihe Jiedao</t>
  </si>
  <si>
    <t>Sanshandao Jiedao</t>
  </si>
  <si>
    <t>Sanshilipu Zhen</t>
  </si>
  <si>
    <t>Santang Xiang</t>
  </si>
  <si>
    <t>Sanzhuang Zhen</t>
  </si>
  <si>
    <t>Shagou Zhen (Linyi Shi)</t>
  </si>
  <si>
    <t>Shagou Zhen (Zaozhuang Shi)</t>
  </si>
  <si>
    <t>Shahe Jiedao</t>
  </si>
  <si>
    <t>Shahe Zhen (Jinan Shi)</t>
  </si>
  <si>
    <t>Shahe Zhen (Yantai Shi)</t>
  </si>
  <si>
    <t>Shahezhan Zhen</t>
  </si>
  <si>
    <t>Shancheng Jiedao</t>
  </si>
  <si>
    <t>Shandalu Jiedao</t>
  </si>
  <si>
    <t>Shandong Sheng Kenli Jingji Kaifaqu</t>
  </si>
  <si>
    <t>Shangdian Zhen</t>
  </si>
  <si>
    <t>Shanggao Jiedao</t>
  </si>
  <si>
    <t>Shangjia Zhen</t>
  </si>
  <si>
    <t>Shangkou Zhen</t>
  </si>
  <si>
    <t>Shanglaozhuang Xiang</t>
  </si>
  <si>
    <t>Shangma Jiedao</t>
  </si>
  <si>
    <t>Shangtang Zhen</t>
  </si>
  <si>
    <t>Shangyan Zhen</t>
  </si>
  <si>
    <t>Shangye Zhen</t>
  </si>
  <si>
    <t>Shangzhuang Zhen</t>
  </si>
  <si>
    <t>Shankou Zhen</t>
  </si>
  <si>
    <t>Shannan Jiedao</t>
  </si>
  <si>
    <t>Shanqiandian Zhen</t>
  </si>
  <si>
    <t>Shantou Jiedao</t>
  </si>
  <si>
    <t>Shanwang Zhen [Longgang Zhen]</t>
  </si>
  <si>
    <t>Shaohai Jiedao</t>
  </si>
  <si>
    <t>Shaozhuang Zhen</t>
  </si>
  <si>
    <t>Shatu Zhen</t>
  </si>
  <si>
    <t>Shawo Zhen</t>
  </si>
  <si>
    <t>Shazhen Zhen</t>
  </si>
  <si>
    <t>Shazikou Jiedao</t>
  </si>
  <si>
    <t>Shejia Zhen [Shejiaxiang Xiang]</t>
  </si>
  <si>
    <t>Shengcheng Jiedao</t>
  </si>
  <si>
    <t>Shengjing Jiedao</t>
  </si>
  <si>
    <t>Shengli Jiedao</t>
  </si>
  <si>
    <t>Shengli Zhen</t>
  </si>
  <si>
    <t>Shengshuiyu Zhen</t>
  </si>
  <si>
    <t>Shengtuo Zhen</t>
  </si>
  <si>
    <t>Shengyuan Jiedao</t>
  </si>
  <si>
    <t>Shengzhuang Jiedao [incl. Shuangyuehu Jiedao]</t>
  </si>
  <si>
    <t>Shengzhuang Zhen</t>
  </si>
  <si>
    <t>Shenshan Zhen</t>
  </si>
  <si>
    <t>Shentou Zhen</t>
  </si>
  <si>
    <t>Shewobo Zhen</t>
  </si>
  <si>
    <t>Shibalipu Zhen</t>
  </si>
  <si>
    <t>Shibuzi Zhen</t>
  </si>
  <si>
    <t>Shichang Xiang</t>
  </si>
  <si>
    <t>Shidong Jiedao</t>
  </si>
  <si>
    <t>Shidui Zhen</t>
  </si>
  <si>
    <t>Shifo Zhen</t>
  </si>
  <si>
    <t>Shiheng Zhen</t>
  </si>
  <si>
    <t>Shihuiyao Jiedao</t>
  </si>
  <si>
    <t>Shiji Zhen (Dezhou Shi)</t>
  </si>
  <si>
    <t>Shiji Zhen (Heze Shi)</t>
  </si>
  <si>
    <t>Shijing Zhen</t>
  </si>
  <si>
    <t>Shijiu Jiedao</t>
  </si>
  <si>
    <t>Shikou Zhen</t>
  </si>
  <si>
    <t>Shilai Zhen</t>
  </si>
  <si>
    <t>Shiliang Zhen</t>
  </si>
  <si>
    <t>Shilianzi Zhen [incl. Tingshui Zhen]</t>
  </si>
  <si>
    <t>Shiliulihe Jiedao</t>
  </si>
  <si>
    <t>Shiliwang Huizu Zhen</t>
  </si>
  <si>
    <t>Shilou Zhen</t>
  </si>
  <si>
    <t>Shima Zhen</t>
  </si>
  <si>
    <t>Shimen Zhen</t>
  </si>
  <si>
    <t>Shimenshan Zhen [Dongzhuang Xiang]</t>
  </si>
  <si>
    <t>Shimiao Zhen</t>
  </si>
  <si>
    <t>Shiqiang Zhen</t>
  </si>
  <si>
    <t>Shiqiao Zhen (Jining Shi)</t>
  </si>
  <si>
    <t>Shiqiao Zhen (Zibo Shi)</t>
  </si>
  <si>
    <t>Shiqiaozi Zhen</t>
  </si>
  <si>
    <t>Shiwuliyuan Zhen</t>
  </si>
  <si>
    <t>Shixi Jiedao</t>
  </si>
  <si>
    <t>Shizhong Jiedao (Binzhou Shi)</t>
  </si>
  <si>
    <t>Shizhong Jiedao (Dezhou Shi)</t>
  </si>
  <si>
    <t>Shizhong Jiedao [incl. Yuxing Jiedao]</t>
  </si>
  <si>
    <t>Shizhuang Jiedao</t>
  </si>
  <si>
    <t>Shizilou Jiedao</t>
  </si>
  <si>
    <t>Shizilu Jiedao</t>
  </si>
  <si>
    <t>Shiziyuan Zhen</t>
  </si>
  <si>
    <t>Shouzhang Zhen</t>
  </si>
  <si>
    <t>Shouzhangji Zhen</t>
  </si>
  <si>
    <t>Shuanghou Zhen</t>
  </si>
  <si>
    <t>Shuangmiao Zhen</t>
  </si>
  <si>
    <t>Shuangqiao Zhen</t>
  </si>
  <si>
    <t>Shuangquan Zhen</t>
  </si>
  <si>
    <t>Shuangshan Jiedao</t>
  </si>
  <si>
    <t>Shuangyang Zhen</t>
  </si>
  <si>
    <t>Shuibao Xiang</t>
  </si>
  <si>
    <t>Shuibo Jiedao</t>
  </si>
  <si>
    <t>Shuidao Zhen</t>
  </si>
  <si>
    <t>Shuiguo Zhen</t>
  </si>
  <si>
    <t>Shuiji Jiedao</t>
  </si>
  <si>
    <t>Shuiluopo Zhen</t>
  </si>
  <si>
    <t>Shuiqinggou Jiedao</t>
  </si>
  <si>
    <t>Shuiquan Zhen</t>
  </si>
  <si>
    <t>Shuiwan Zhen</t>
  </si>
  <si>
    <t>Shuizhai Zhen</t>
  </si>
  <si>
    <t>Shungeng Jiedao</t>
  </si>
  <si>
    <t>Shunhualu Jiedao</t>
  </si>
  <si>
    <t>Shunwang Jiedao</t>
  </si>
  <si>
    <t>Shunyulu Jiedao</t>
  </si>
  <si>
    <t>Shuyuan Jiedao</t>
  </si>
  <si>
    <t>Sibaoshan Jiedao [incl. Shiqiao Jiedao]</t>
  </si>
  <si>
    <t>Sichoulu Jiedao</t>
  </si>
  <si>
    <t>Sidian Zhen</t>
  </si>
  <si>
    <t>Sifang Jiedao [Jiaxinglu Jiedao]</t>
  </si>
  <si>
    <t>Sihe Jiedao</t>
  </si>
  <si>
    <t>Sikou Zhen</t>
  </si>
  <si>
    <t>Silicun Jiedao</t>
  </si>
  <si>
    <t>Sima Zhen</t>
  </si>
  <si>
    <t>Sishilibao Zhen</t>
  </si>
  <si>
    <t>Sitou Zhen</t>
  </si>
  <si>
    <t>Sizhang Zhen</t>
  </si>
  <si>
    <t>Songbai Zhen</t>
  </si>
  <si>
    <t>Songcun Zhen</t>
  </si>
  <si>
    <t>Songguantun Jiedao</t>
  </si>
  <si>
    <t>Songjia Zhen</t>
  </si>
  <si>
    <t>Songlin Zhen</t>
  </si>
  <si>
    <t>Songlinglu Jiedao</t>
  </si>
  <si>
    <t>Songlou Zhen</t>
  </si>
  <si>
    <t>Songshan Jiedao</t>
  </si>
  <si>
    <t>Su'an Xiang</t>
  </si>
  <si>
    <t>Sucun Zhen</t>
  </si>
  <si>
    <t>Suiguantun Zhen</t>
  </si>
  <si>
    <t>Suji Zhen</t>
  </si>
  <si>
    <t>Sujiadian Zhen</t>
  </si>
  <si>
    <t>Suliuzhuang Zhen</t>
  </si>
  <si>
    <t>Sunbo Zhen</t>
  </si>
  <si>
    <t>Suncun Jiedao</t>
  </si>
  <si>
    <t>Sungeng Jiedao</t>
  </si>
  <si>
    <t>Sunji Zhen</t>
  </si>
  <si>
    <t>Sunjiaji Jiedao</t>
  </si>
  <si>
    <t>Sunjiatuan Jiedao</t>
  </si>
  <si>
    <t>Sunlaojia Zhen</t>
  </si>
  <si>
    <t>Sunwu Jiedao</t>
  </si>
  <si>
    <t>Sunzhen Zhen</t>
  </si>
  <si>
    <t>Sunzu Zhen</t>
  </si>
  <si>
    <t>Suozhen Jiedao</t>
  </si>
  <si>
    <t>Taibaozhuang Jiedao</t>
  </si>
  <si>
    <t>Taidong Jiedao</t>
  </si>
  <si>
    <t>Taihe Zhen [incl. Zihe Zhen]</t>
  </si>
  <si>
    <t>Taiping Jiedao (Jinan Shi)</t>
  </si>
  <si>
    <t>Taiping Jiedao (Linyi Shi)</t>
  </si>
  <si>
    <t>Taiping Zhen (Heze Shi)</t>
  </si>
  <si>
    <t>Taiping Zhen (Jining Shi)</t>
  </si>
  <si>
    <t>Taiqian Jiedao</t>
  </si>
  <si>
    <t>Taitou Zhen</t>
  </si>
  <si>
    <t>Taitousi Zhen</t>
  </si>
  <si>
    <t>Taixi Jiedao</t>
  </si>
  <si>
    <t>Taizi Zhen</t>
  </si>
  <si>
    <t>Tanbu Zhen</t>
  </si>
  <si>
    <t>Tancheng Jiedao</t>
  </si>
  <si>
    <t>Tanfang Zhen</t>
  </si>
  <si>
    <t>Tangcun Zhen</t>
  </si>
  <si>
    <t>Tangezhuang Zhen</t>
  </si>
  <si>
    <t>Tangfang Zhen</t>
  </si>
  <si>
    <t>Tanghe Zhen</t>
  </si>
  <si>
    <t>Tangjiabo Zhen</t>
  </si>
  <si>
    <t>Tangkou Jiedao</t>
  </si>
  <si>
    <t>Tangma Zhen</t>
  </si>
  <si>
    <t>Tangmiao Zhen</t>
  </si>
  <si>
    <t>Tangshan Zhen [incl. Xingjia Zhen]</t>
  </si>
  <si>
    <t>Tangta Jiedao</t>
  </si>
  <si>
    <t>Tangtou Jiedao [incl. Gegou Zhen]</t>
  </si>
  <si>
    <t>Tangwang Jiedao</t>
  </si>
  <si>
    <t>Tangwu Zhen</t>
  </si>
  <si>
    <t>Tangye Jiedao</t>
  </si>
  <si>
    <t>Tangyi Zhen</t>
  </si>
  <si>
    <t>Tangyuan Zhen</t>
  </si>
  <si>
    <t>Tanshan Jiedao</t>
  </si>
  <si>
    <t>Tanyi Zhen [incl. Liuzhuang Zhen]</t>
  </si>
  <si>
    <t>Taocun Zhen</t>
  </si>
  <si>
    <t>Taolin Zhen</t>
  </si>
  <si>
    <t>Taoluo Zhen</t>
  </si>
  <si>
    <t>Taomiao Zhen</t>
  </si>
  <si>
    <t>Taoxu Zhen</t>
  </si>
  <si>
    <t>Taoyuan Jiedao (Dezhou Shi)</t>
  </si>
  <si>
    <t>Taoyuan Jiedao (Weihai Shi)</t>
  </si>
  <si>
    <t>Taoyuan Zhen</t>
  </si>
  <si>
    <t>Taoyuanji Zhen</t>
  </si>
  <si>
    <t>Taozhuang Zhen</t>
  </si>
  <si>
    <t>Tengjia Zhen</t>
  </si>
  <si>
    <t>Tianbao Zhen</t>
  </si>
  <si>
    <t>Tianfulu Jiedao</t>
  </si>
  <si>
    <t>Tianhe Jiedao</t>
  </si>
  <si>
    <t>Tianheng Zhen [incl. Wangcun Zhen, Fengcheng Zhen]</t>
  </si>
  <si>
    <t>Tianhuang Zhen</t>
  </si>
  <si>
    <t>Tianliu Zhen</t>
  </si>
  <si>
    <t>Tianping Jiedao</t>
  </si>
  <si>
    <t>Tianqiao Dongjie Jiedao</t>
  </si>
  <si>
    <t>Tianqiao Zhen</t>
  </si>
  <si>
    <t>Tianqu Jiedao</t>
  </si>
  <si>
    <t>Tianzhen Jiedao</t>
  </si>
  <si>
    <t>Tianzhong Jiedao</t>
  </si>
  <si>
    <t>Tianzhuang Xiang</t>
  </si>
  <si>
    <t>Tianzhuang Zhen (Heze Shi)</t>
  </si>
  <si>
    <t>Tianzhuang Zhen (Zibo Shi)</t>
  </si>
  <si>
    <t>Tianzhuang Zhen [incl. Zhangshe Zhen]</t>
  </si>
  <si>
    <t>Tieshan Jiedao</t>
  </si>
  <si>
    <t>Tieying Zhen</t>
  </si>
  <si>
    <t>Timen Zhen</t>
  </si>
  <si>
    <t>Tingkou Zhen</t>
  </si>
  <si>
    <t>Tingluo Zhen</t>
  </si>
  <si>
    <t>Tiyuchang Jiedao</t>
  </si>
  <si>
    <t>Tongcheng Jiedao</t>
  </si>
  <si>
    <t>Tonghe Jiedao [incl. Baibu Zhen]</t>
  </si>
  <si>
    <t>Tongji Jiedao</t>
  </si>
  <si>
    <t>Tongjing Zhen</t>
  </si>
  <si>
    <t>Tongshen Jiedao</t>
  </si>
  <si>
    <t>Tongshi Zhen</t>
  </si>
  <si>
    <t>Tuanli Zhen</t>
  </si>
  <si>
    <t>Tuanlin Zhen</t>
  </si>
  <si>
    <t>Tuanwang Zhen</t>
  </si>
  <si>
    <t>Tuoji Zhen</t>
  </si>
  <si>
    <t>Tushan Zhen</t>
  </si>
  <si>
    <t>Waixiang Xinggongye Jiagongqu</t>
  </si>
  <si>
    <t>Wande Jiedao</t>
  </si>
  <si>
    <t>Wandi Zhen</t>
  </si>
  <si>
    <t>Wanfeng Zhen</t>
  </si>
  <si>
    <t>Wanfu Jiedao</t>
  </si>
  <si>
    <t>Wangcheng Jiedao</t>
  </si>
  <si>
    <t>Wangcun Zhen</t>
  </si>
  <si>
    <t>Wangdagua Zhen</t>
  </si>
  <si>
    <t>Wangfen Zhen</t>
  </si>
  <si>
    <t>Wangfeng Zhen</t>
  </si>
  <si>
    <t>Wangfenglou Zhen</t>
  </si>
  <si>
    <t>Wangfu Jiedao</t>
  </si>
  <si>
    <t>Wanggaopu Zhen</t>
  </si>
  <si>
    <t>Wanggezhuang Jiedao</t>
  </si>
  <si>
    <t>Wanggezhuang Zhen</t>
  </si>
  <si>
    <t>Wanggou Zhen</t>
  </si>
  <si>
    <t>Wangguadian Jiedao</t>
  </si>
  <si>
    <t>Wangguanzhuang Jiedao</t>
  </si>
  <si>
    <t>Wanghaotun Zhen</t>
  </si>
  <si>
    <t>Wanghu Zhen</t>
  </si>
  <si>
    <t>Wangjiazhuang Jiedao [Zhaoge Zhen]</t>
  </si>
  <si>
    <t>Wanglian Jiedao</t>
  </si>
  <si>
    <t>Wangliu Jiedao</t>
  </si>
  <si>
    <t>Wanglu Zhen</t>
  </si>
  <si>
    <t>Wangmiao Zhen (Dezhou Shi)</t>
  </si>
  <si>
    <t>Wangmiao Zhen (Jining Shi)</t>
  </si>
  <si>
    <t>Wangpi Jiedao</t>
  </si>
  <si>
    <t>Wangsheren Jiedao</t>
  </si>
  <si>
    <t>Wangtai Jiedao</t>
  </si>
  <si>
    <t>Wangtuan Zhen</t>
  </si>
  <si>
    <t>Wangyin Jiedao</t>
  </si>
  <si>
    <t>Wangzhuang Zhen (Jining Shi)</t>
  </si>
  <si>
    <t>Wangzhuang Zhen (Tai'an Shi)</t>
  </si>
  <si>
    <t>Wangzhuangji Zhen</t>
  </si>
  <si>
    <t>Wanshan Xiang</t>
  </si>
  <si>
    <t>Wanzhang Jiedao</t>
  </si>
  <si>
    <t>Weibeilu Jiedao</t>
  </si>
  <si>
    <t>Weiji Zhen</t>
  </si>
  <si>
    <t>Weijiazhuang Jiedao</t>
  </si>
  <si>
    <t>Weiqiao Zhen</t>
  </si>
  <si>
    <t>Weishandao Zhen</t>
  </si>
  <si>
    <t>Weiwan Zhen (Heze Shi)</t>
  </si>
  <si>
    <t>Weiwan Zhen (Liaocheng Shi)</t>
  </si>
  <si>
    <t>Weizhoulu Jiedao</t>
  </si>
  <si>
    <t>Weizhuang Zhen</t>
  </si>
  <si>
    <t>Weizi Jiedao</t>
  </si>
  <si>
    <t>Wenchang Jiedao</t>
  </si>
  <si>
    <t>Wenchanglu Jiedao</t>
  </si>
  <si>
    <t>Wenchen Jiedao</t>
  </si>
  <si>
    <t>Wendeng Jingji Kaifaqu</t>
  </si>
  <si>
    <t>Wendengying Zhen</t>
  </si>
  <si>
    <t>Wendian Zhen</t>
  </si>
  <si>
    <t>Wendong Jiedao</t>
  </si>
  <si>
    <t>Wenfenglu Jiedao</t>
  </si>
  <si>
    <t>Wenhua Jiedao</t>
  </si>
  <si>
    <t>Wenhualu Jiedao</t>
  </si>
  <si>
    <t>Wenhui Jiedao</t>
  </si>
  <si>
    <t>Wenjia Jiedao</t>
  </si>
  <si>
    <t>Wenmiao Jiedao</t>
  </si>
  <si>
    <t>Wennan Zhen</t>
  </si>
  <si>
    <t>Wenquan Jiedao (Qingdao Shi)</t>
  </si>
  <si>
    <t>Wenquan Jiedao (Yantai Shi)</t>
  </si>
  <si>
    <t>Wenquan Zhen</t>
  </si>
  <si>
    <t>Wenshang Jiedao</t>
  </si>
  <si>
    <t>Wenshao Jiedao</t>
  </si>
  <si>
    <t>Wenshui Zhen</t>
  </si>
  <si>
    <t>Wenting Jiedao</t>
  </si>
  <si>
    <t>Wentuan Zhen</t>
  </si>
  <si>
    <t>Wenyang Zhen</t>
  </si>
  <si>
    <t>Wenyuan Jiedao [Huangzhuang Zhen]</t>
  </si>
  <si>
    <t>Wenzu Jiedao</t>
  </si>
  <si>
    <t>Wolongshan Jiedao</t>
  </si>
  <si>
    <t>Wu'an Zhen</t>
  </si>
  <si>
    <t>Wucheng Zhen</t>
  </si>
  <si>
    <t>Wucun Zhen</t>
  </si>
  <si>
    <t>Wudian Zhen</t>
  </si>
  <si>
    <t>Wudingfu Jiedao</t>
  </si>
  <si>
    <t>Wufengshan Jiedao</t>
  </si>
  <si>
    <t>Wuji Zhen</t>
  </si>
  <si>
    <t>Wujiabao Jiedao</t>
  </si>
  <si>
    <t>Wujing Zhen</t>
  </si>
  <si>
    <t>Wuligou Jiedao</t>
  </si>
  <si>
    <t>Wulin Jiedao</t>
  </si>
  <si>
    <t>Wuning Jiedao</t>
  </si>
  <si>
    <t>Wushan Zhen</t>
  </si>
  <si>
    <t>Wushengqiao Zhen</t>
  </si>
  <si>
    <t>Wutai Zhen</t>
  </si>
  <si>
    <t>Wutu Jiedao</t>
  </si>
  <si>
    <t>Wuyingshan Jiedao</t>
  </si>
  <si>
    <t>Xiachu Zhen</t>
  </si>
  <si>
    <t>Xiacun Xiang</t>
  </si>
  <si>
    <t>Xiacun Zhen</t>
  </si>
  <si>
    <t>Xiadian Zhen</t>
  </si>
  <si>
    <t>Xiadingjia Zhen</t>
  </si>
  <si>
    <t>Xiagang Zhen</t>
  </si>
  <si>
    <t>Xiagezhuang Zhen</t>
  </si>
  <si>
    <t>Xiahe Xiang</t>
  </si>
  <si>
    <t>Xiajiazhuang Jiedao</t>
  </si>
  <si>
    <t>Xianfenglu Jiedao</t>
  </si>
  <si>
    <t>Xiangcheng Zhen</t>
  </si>
  <si>
    <t>Xiangcheng Zhen [incl. Xingming Xiang]</t>
  </si>
  <si>
    <t>Xiangdian Jiedao</t>
  </si>
  <si>
    <t>Xianggang Zhonglu Jiedao</t>
  </si>
  <si>
    <t>Xianggong Jiedao</t>
  </si>
  <si>
    <t>Xianggongzhuang Jiedao</t>
  </si>
  <si>
    <t>Xianggou Zhen</t>
  </si>
  <si>
    <t>Xiangjiang Guanweihui</t>
  </si>
  <si>
    <t>Xiangtanlu Jiedao</t>
  </si>
  <si>
    <t>Xiangya Zhen</t>
  </si>
  <si>
    <t>Xiangyang Jiedao</t>
  </si>
  <si>
    <t>Xiangyin Xiang</t>
  </si>
  <si>
    <t>Xiangzhaozhuang Zhen</t>
  </si>
  <si>
    <t>Xiangzhou Zhen</t>
  </si>
  <si>
    <t>Xianhe Zhen</t>
  </si>
  <si>
    <t>Xianying Jiedao</t>
  </si>
  <si>
    <t>Xiao'anshan Zhen</t>
  </si>
  <si>
    <t>Xiaobotou Zhen</t>
  </si>
  <si>
    <t>Xiaodian Zhen</t>
  </si>
  <si>
    <t>Xiaoguan Zhen</t>
  </si>
  <si>
    <t>Xiaoji Zhen</t>
  </si>
  <si>
    <t>Xiaojiazhuang Zhen [Xiaozhuang Zhen]</t>
  </si>
  <si>
    <t>Xiaojing Zhen</t>
  </si>
  <si>
    <t>Xiaoli Jiedao</t>
  </si>
  <si>
    <t>Xiaoliu Zhen</t>
  </si>
  <si>
    <t>Xiaolukou Zhen</t>
  </si>
  <si>
    <t>Xiaomeng Zhen</t>
  </si>
  <si>
    <t>Xiaomenjia Zhen</t>
  </si>
  <si>
    <t>Xiaoqindao Xiang</t>
  </si>
  <si>
    <t>Xiaoxie Zhen</t>
  </si>
  <si>
    <t>Xiaoxue Jiedao</t>
  </si>
  <si>
    <t>Xiaoying Jiedao</t>
  </si>
  <si>
    <t>Xiaoyun Zhen</t>
  </si>
  <si>
    <t>Xiaozhi Zhen</t>
  </si>
  <si>
    <t>Xiaqiu Zhen</t>
  </si>
  <si>
    <t>Xiawa Zhen</t>
  </si>
  <si>
    <t>Xiaying Zhen</t>
  </si>
  <si>
    <t>Xiayu Zhen</t>
  </si>
  <si>
    <t>Xiazhang Zhen</t>
  </si>
  <si>
    <t>Xiazhen Jiedao</t>
  </si>
  <si>
    <t>Xiazhuang Jiedao</t>
  </si>
  <si>
    <t>Xiazhuang Zhen (Rizhao Shi)</t>
  </si>
  <si>
    <t>Xiazhuang Zhen (Weifang Shi)</t>
  </si>
  <si>
    <t>Xiazhuang Zhen (Weihai Shi)</t>
  </si>
  <si>
    <t>Xicheng Jiedao</t>
  </si>
  <si>
    <t>Xicheng Zhen</t>
  </si>
  <si>
    <t>Xidong Jiedao</t>
  </si>
  <si>
    <t>Xiduan Xiang</t>
  </si>
  <si>
    <t>Xiedian Xiang</t>
  </si>
  <si>
    <t>Xieji Zhen</t>
  </si>
  <si>
    <t>Xifuzhen Jiedao</t>
  </si>
  <si>
    <t>Xigang Zhen</t>
  </si>
  <si>
    <t>Xiguan Jiedao</t>
  </si>
  <si>
    <t>Xihe Zhen [incl. Dongping Zhen, Zhangzhuang Xiang]</t>
  </si>
  <si>
    <t>Xihu Zhen (Liaocheng Shi)</t>
  </si>
  <si>
    <t>Xihu Zhen (Rizhao Shi)</t>
  </si>
  <si>
    <t>Xiji Zhen</t>
  </si>
  <si>
    <t>Xili Zhen</t>
  </si>
  <si>
    <t>Xin'an Jiedao (Qingdao Shi)</t>
  </si>
  <si>
    <t>Xin'an Jiedao (Weifang Shi)</t>
  </si>
  <si>
    <t>Xin'an Zhen</t>
  </si>
  <si>
    <t>Xincheng Jiedao</t>
  </si>
  <si>
    <t>Xincheng Jiedao (Liaocheng Shi)</t>
  </si>
  <si>
    <t>Xincheng Jiedao (Tai'an Shi)</t>
  </si>
  <si>
    <t>Xincheng Jiedao (Weifang Shi)</t>
  </si>
  <si>
    <t>Xincheng Zhen</t>
  </si>
  <si>
    <t>Xindian Jiedao (Dongying Shi)</t>
  </si>
  <si>
    <t>Xindian Jiedao (Zibo Shi)</t>
  </si>
  <si>
    <t>Xindian Zhen (Binzhou Shi)</t>
  </si>
  <si>
    <t>Xindian Zhen (Dezhou Shi)</t>
  </si>
  <si>
    <t>Xinfa Jiedao</t>
  </si>
  <si>
    <t>Xing'an Jiedao</t>
  </si>
  <si>
    <t>Xingang Jiedao</t>
  </si>
  <si>
    <t>Xingcheng Jiedao</t>
  </si>
  <si>
    <t>Xingchenglu Jiedao</t>
  </si>
  <si>
    <t>Xingcun Zhen</t>
  </si>
  <si>
    <t>Xingdong Jiedao</t>
  </si>
  <si>
    <t>Xingfu Jiedao</t>
  </si>
  <si>
    <t>Xingfu Jiedao [Duandian Zhen]</t>
  </si>
  <si>
    <t>Xingfu Zhen</t>
  </si>
  <si>
    <t>Xinghualu Jiedao</t>
  </si>
  <si>
    <t>Xinglong Jiedao (Dongying Shi)</t>
  </si>
  <si>
    <t>Xinglong Jiedao (Jinan Shi)</t>
  </si>
  <si>
    <t>Xinglong Zhen (Dezhou Shi)</t>
  </si>
  <si>
    <t>Xinglong Zhen (Jining Shi)</t>
  </si>
  <si>
    <t>Xinglonglu Jiedao</t>
  </si>
  <si>
    <t>Xinglongzhuang Jiedao</t>
  </si>
  <si>
    <t>Xingren Jiedao</t>
  </si>
  <si>
    <t>Xingyuan Jiedao</t>
  </si>
  <si>
    <t>Xinhe Zhen [incl. Huibu Zhen]</t>
  </si>
  <si>
    <t>Xinhu Jiedao</t>
  </si>
  <si>
    <t>Xinhu Zhen</t>
  </si>
  <si>
    <t>Xinhua Jiedao</t>
  </si>
  <si>
    <t>Xinhualu Jiedao</t>
  </si>
  <si>
    <t>Xinji Zhen (Liaocheng Shi)</t>
  </si>
  <si>
    <t>Xinji Zhen (Linyi Shi)</t>
  </si>
  <si>
    <t>Xinjia Jiedao</t>
  </si>
  <si>
    <t>Xinqu Jiedao</t>
  </si>
  <si>
    <t>Xinshengdian Zhen</t>
  </si>
  <si>
    <t>Xinshi Zhen</t>
  </si>
  <si>
    <t>Xinting Jiedao</t>
  </si>
  <si>
    <t>Xinwen Jiedao</t>
  </si>
  <si>
    <t>Xinxing Zhen (Linyi Shi)</t>
  </si>
  <si>
    <t>Xinxing Zhen (Weifang Shi)</t>
  </si>
  <si>
    <t>Xinyan Zhen</t>
  </si>
  <si>
    <t>Xinyang Zhen</t>
  </si>
  <si>
    <t>Xinyi Zhen</t>
  </si>
  <si>
    <t>Xinzhai Jiedao</t>
  </si>
  <si>
    <t>Xinzhai Zhen (Dezhou Shi)</t>
  </si>
  <si>
    <t>Xinzhai Zhen (Jinan Shi)</t>
  </si>
  <si>
    <t>Xinzhou Jiedao</t>
  </si>
  <si>
    <t>Xinzhuang Jiedao</t>
  </si>
  <si>
    <t>Xinzhuang Zhen (Linyi Shi)</t>
  </si>
  <si>
    <t>Xinzhuang Zhen (Yantai Shi)</t>
  </si>
  <si>
    <t>Xiping Zhen</t>
  </si>
  <si>
    <t>Xishichang Jiedao</t>
  </si>
  <si>
    <t>Xiuhui Jiedao</t>
  </si>
  <si>
    <t>Xiwangzhuang Zhen</t>
  </si>
  <si>
    <t>Xixiaowang Zhen</t>
  </si>
  <si>
    <t>Xiying Jiedao</t>
  </si>
  <si>
    <t>Xiyuan Jiedao</t>
  </si>
  <si>
    <t>Xizhangzhuang Zhen</t>
  </si>
  <si>
    <t>Xizou Zhen</t>
  </si>
  <si>
    <t>Xuanzhangtun Zhen</t>
  </si>
  <si>
    <t>Xuefang Zhen</t>
  </si>
  <si>
    <t>Xuegong Jiedao</t>
  </si>
  <si>
    <t>Xuejiadao Jiedao</t>
  </si>
  <si>
    <t>Xueye Jiedao</t>
  </si>
  <si>
    <t>Xuezhuang Zhen</t>
  </si>
  <si>
    <t>Xufu Jiedao</t>
  </si>
  <si>
    <t>Xujia Zhen</t>
  </si>
  <si>
    <t>Xujiadian Zhen</t>
  </si>
  <si>
    <t>Xujiahu Zhen [incl. Yaodianzi Zhen]</t>
  </si>
  <si>
    <t>Xujialou Jiedao</t>
  </si>
  <si>
    <t>Xumeng Zhen</t>
  </si>
  <si>
    <t>Xunshan Jiedao</t>
  </si>
  <si>
    <t>Xushang Jiedao</t>
  </si>
  <si>
    <t>Xuying Zhen</t>
  </si>
  <si>
    <t>Xuyuanzi Xiang</t>
  </si>
  <si>
    <t>Xuzhai Zhen</t>
  </si>
  <si>
    <t>Xuzhuang Jiedao</t>
  </si>
  <si>
    <t>Xuzhuang Zhen (Liaocheng Shi)</t>
  </si>
  <si>
    <t>Xuzhuang Zhen (Zaozhuang Shi)</t>
  </si>
  <si>
    <t>Yan'anlu Jiedao</t>
  </si>
  <si>
    <t>Yanbei Jiedao</t>
  </si>
  <si>
    <t>Yanbin Zhen</t>
  </si>
  <si>
    <t>Yancheng Jiedao</t>
  </si>
  <si>
    <t>Yandian Zhen</t>
  </si>
  <si>
    <t>Yandianlou Zhen</t>
  </si>
  <si>
    <t>Yang'an Zhen</t>
  </si>
  <si>
    <t>Yangchu Zhen</t>
  </si>
  <si>
    <t>Yangdian Zhen</t>
  </si>
  <si>
    <t>Yangguantun Xiang</t>
  </si>
  <si>
    <t>Yanghe Zhen</t>
  </si>
  <si>
    <t>Yanghu Xiang</t>
  </si>
  <si>
    <t>Yangji Zhen</t>
  </si>
  <si>
    <t>Yangjun Zhen</t>
  </si>
  <si>
    <t>Yangkou Zhen</t>
  </si>
  <si>
    <t>Yangli Jiedao</t>
  </si>
  <si>
    <t>Yangliu Zhen</t>
  </si>
  <si>
    <t>Yangliuxue Zhen</t>
  </si>
  <si>
    <t>Yanglou Zhen</t>
  </si>
  <si>
    <t>Yangmadao Jiedao</t>
  </si>
  <si>
    <t>Yangshan Zhen</t>
  </si>
  <si>
    <t>Yangting Zhen</t>
  </si>
  <si>
    <t>Yangtun Zhen</t>
  </si>
  <si>
    <t>Yangying Zhen</t>
  </si>
  <si>
    <t>Yangzhuang Zhen (Jinan Shi)</t>
  </si>
  <si>
    <t>Yangzhuang Zhen (Linyi Shi)</t>
  </si>
  <si>
    <t>Yangzhuang Zhen (Zaozhuang Shi)</t>
  </si>
  <si>
    <t>Yangzhuangji Zhen</t>
  </si>
  <si>
    <t>Yangzi Jiedao</t>
  </si>
  <si>
    <t>Yankuang Jituan Jidong Xincun</t>
  </si>
  <si>
    <t>Yanlou Zhen</t>
  </si>
  <si>
    <t>Yanshan Jiedao</t>
  </si>
  <si>
    <t>Yanshi Zhen</t>
  </si>
  <si>
    <t>Yansi Jiedao</t>
  </si>
  <si>
    <t>Yanta Jiedao</t>
  </si>
  <si>
    <t>Yanwo Zhen</t>
  </si>
  <si>
    <t>Yanwu Xiang</t>
  </si>
  <si>
    <t>Yanya Zhen</t>
  </si>
  <si>
    <t>Yanzhuang Jiedao (Jinan Shi)</t>
  </si>
  <si>
    <t>Yanzhuang Jiedao (Rizhao Shi)</t>
  </si>
  <si>
    <t>Yanzhuang Jiedao</t>
  </si>
  <si>
    <t>Yaocun Zhen</t>
  </si>
  <si>
    <t>Yaojia Jiedao</t>
  </si>
  <si>
    <t>Yaoqiang Jiedao</t>
  </si>
  <si>
    <t>Yaoshan Jiedao</t>
  </si>
  <si>
    <t>Yaozhai Zhen</t>
  </si>
  <si>
    <t>Yaozhan Zhen</t>
  </si>
  <si>
    <t>Yatou Jiedao</t>
  </si>
  <si>
    <t>Yaxi Zhen</t>
  </si>
  <si>
    <t>Yazi Zhen</t>
  </si>
  <si>
    <t>Yedian Zhen</t>
  </si>
  <si>
    <t>Yeyuan Jiedao</t>
  </si>
  <si>
    <t>Yicheng Jiedao</t>
  </si>
  <si>
    <t>Yidao Zhen</t>
  </si>
  <si>
    <t>Yidu Jiedao</t>
  </si>
  <si>
    <t>Yidukou Zhen</t>
  </si>
  <si>
    <t>Yifengdian Zhen [incl. Qiji Zhen]</t>
  </si>
  <si>
    <t>Yihe Zhen</t>
  </si>
  <si>
    <t>Yincheng Jiedao</t>
  </si>
  <si>
    <t>Yinghai Jiedao</t>
  </si>
  <si>
    <t>Yingli Zhen (Heze Shi)</t>
  </si>
  <si>
    <t>Yingli Zhen (Weifang Shi)</t>
  </si>
  <si>
    <t>Yingqiu Zhen</t>
  </si>
  <si>
    <t>Yingshijie Jiedao</t>
  </si>
  <si>
    <t>Yingtaoyuan Zhen</t>
  </si>
  <si>
    <t>Yinji Zhen</t>
  </si>
  <si>
    <t>Yinma Zhen (Heze Shi)</t>
  </si>
  <si>
    <t>Yinma Zhen (Weifang Shi)</t>
  </si>
  <si>
    <t>Yinping Zhen</t>
  </si>
  <si>
    <t>Yinqueshan Jiedao</t>
  </si>
  <si>
    <t>Yinshan Zhen</t>
  </si>
  <si>
    <t>Yinsi Zhen</t>
  </si>
  <si>
    <t>Yinxiang Zhen</t>
  </si>
  <si>
    <t>Yinzhu Jiedao</t>
  </si>
  <si>
    <t>Yinzi Zhen</t>
  </si>
  <si>
    <t>Yiqiao Zhen</t>
  </si>
  <si>
    <t>Yishan Zhen</t>
  </si>
  <si>
    <t>Yitang Zhen</t>
  </si>
  <si>
    <t>Yitang Zhen [incl. Zhubao Zhen]</t>
  </si>
  <si>
    <t>Yiwen Zhen</t>
  </si>
  <si>
    <t>Yiyang Jiedao</t>
  </si>
  <si>
    <t>Yiyuan Jiedao</t>
  </si>
  <si>
    <t>Yong'an Jiedao</t>
  </si>
  <si>
    <t>Yong'an Zhen (Dongying Shi)</t>
  </si>
  <si>
    <t>Yong'an Zhen (Zaozhuang Shi)</t>
  </si>
  <si>
    <t>Yong'anlu Jiedao</t>
  </si>
  <si>
    <t>Yongchang Jiedao</t>
  </si>
  <si>
    <t>Yongfeng Jiedao</t>
  </si>
  <si>
    <t>Yongqinglu Jiedao</t>
  </si>
  <si>
    <t>Yuandongtou Zhen</t>
  </si>
  <si>
    <t>Yuangezhuang Jiedao</t>
  </si>
  <si>
    <t>Yuanqiao Zhen</t>
  </si>
  <si>
    <t>Yuanquan Zhen [incl. Gushan Zhen]</t>
  </si>
  <si>
    <t>Yuanshang Zhen [incl. Wubei Zhen]</t>
  </si>
  <si>
    <t>Yuanyi Jiedao</t>
  </si>
  <si>
    <t>Yuanzhuang Zhen</t>
  </si>
  <si>
    <t>Yucheng Zhen</t>
  </si>
  <si>
    <t>Yucun Zhen</t>
  </si>
  <si>
    <t>Yuecheng Jiedao</t>
  </si>
  <si>
    <t>Yuehe Jiedao</t>
  </si>
  <si>
    <t>Yuejiazhuang Xiang</t>
  </si>
  <si>
    <t>Yuezhuang Zhen</t>
  </si>
  <si>
    <t>Yuhe Jiedao</t>
  </si>
  <si>
    <t>Yuhuangding Jiedao</t>
  </si>
  <si>
    <t>Yuhuangmiao Zhen (Heze Shi)</t>
  </si>
  <si>
    <t>Yuhuangmiao Zhen (Jinan Shi)</t>
  </si>
  <si>
    <t>Yuji Xiang</t>
  </si>
  <si>
    <t>Yuji Zhen</t>
  </si>
  <si>
    <t>Yuli Zhen</t>
  </si>
  <si>
    <t>Yulindian Zhen</t>
  </si>
  <si>
    <t>Yunhe Jiedao (Dezhou Shi)</t>
  </si>
  <si>
    <t>Yunhe Jiedao (Zaozhuang Shi)</t>
  </si>
  <si>
    <t>Yunhong Jiedao</t>
  </si>
  <si>
    <t>Yunmenshan Jiedao</t>
  </si>
  <si>
    <t>Yunnanlu Jiedao</t>
  </si>
  <si>
    <t>Yunshan Zhen</t>
  </si>
  <si>
    <t>Yunxi Jiedao</t>
  </si>
  <si>
    <t>Yunzhou Jiedao</t>
  </si>
  <si>
    <t>Yuqiuhu Jiedao</t>
  </si>
  <si>
    <t>Yushan Jiedao (Jinan Shi)</t>
  </si>
  <si>
    <t>Yushan Jiedao (Jining Shi)</t>
  </si>
  <si>
    <t>Yushan Zhen</t>
  </si>
  <si>
    <t>Yushan Zhen [incl. Zhucang Xiang]</t>
  </si>
  <si>
    <t>Yutun Zhen</t>
  </si>
  <si>
    <t>Yuwo Jiedao</t>
  </si>
  <si>
    <t>Zangjiazhuang Zhen</t>
  </si>
  <si>
    <t>Zangnan Zhen</t>
  </si>
  <si>
    <t>Zaohuli Zhen</t>
  </si>
  <si>
    <t>Zaoyuan Jiedao</t>
  </si>
  <si>
    <t>Zaoyuan Zhen [Zaogoutou Zhen]</t>
  </si>
  <si>
    <t>Zeku Zhen</t>
  </si>
  <si>
    <t>Zetou Zhen</t>
  </si>
  <si>
    <t>Zhacun Zhen</t>
  </si>
  <si>
    <t>Zhai Zhen</t>
  </si>
  <si>
    <t>Zhaijia Zhen</t>
  </si>
  <si>
    <t>Zhaili Zhen</t>
  </si>
  <si>
    <t>Zhaili Zhen [incl. Heiwang Zhen]</t>
  </si>
  <si>
    <t>Zhailihe Zhen</t>
  </si>
  <si>
    <t>Zhaitoubao Xiang</t>
  </si>
  <si>
    <t>Zhaiwang Zhen</t>
  </si>
  <si>
    <t>Zhangcun Zhen</t>
  </si>
  <si>
    <t>Zhangdazhuang Zhen</t>
  </si>
  <si>
    <t>Zhangfan Jiedao</t>
  </si>
  <si>
    <t>Zhangfang Zhen</t>
  </si>
  <si>
    <t>Zhangfeng Zhen</t>
  </si>
  <si>
    <t>Zhanggezhuang Zhen</t>
  </si>
  <si>
    <t>Zhanghua Zhen</t>
  </si>
  <si>
    <t>Zhanghuang Zhen</t>
  </si>
  <si>
    <t>Zhangji Zhen</t>
  </si>
  <si>
    <t>Zhangjiachan Zhen</t>
  </si>
  <si>
    <t>Zhangjialou Jiedao</t>
  </si>
  <si>
    <t>Zhangjiapo Zhen</t>
  </si>
  <si>
    <t>Zhangjiawa Jiedao</t>
  </si>
  <si>
    <t>Zhanglou Zhen</t>
  </si>
  <si>
    <t>Zhanglu Zhen</t>
  </si>
  <si>
    <t>Zhangluji Zhen</t>
  </si>
  <si>
    <t>Zhangqiu Zhen</t>
  </si>
  <si>
    <t>Zhangshanzi Zhen</t>
  </si>
  <si>
    <t>Zhangwan Zhen</t>
  </si>
  <si>
    <t>Zhangwang Zhen</t>
  </si>
  <si>
    <t>Zhangxia Jiedao</t>
  </si>
  <si>
    <t>Zhangxing Zhen</t>
  </si>
  <si>
    <t>Zhangying Zhen</t>
  </si>
  <si>
    <t>Zhangzhai Zhen</t>
  </si>
  <si>
    <t>Zhangzhuang Zhen (Dezhou Shi)</t>
  </si>
  <si>
    <t>Zhangzhuang Zhen (Jining Shi)</t>
  </si>
  <si>
    <t>Zhangzhuang Zhen (Linyi Shi)</t>
  </si>
  <si>
    <t>Zhangzhuanglu Jiedao</t>
  </si>
  <si>
    <t>Zhanshan Jiedao</t>
  </si>
  <si>
    <t>Zhaoguan Zhen</t>
  </si>
  <si>
    <t>Zhaogudui Xiang</t>
  </si>
  <si>
    <t>Zhaohu Zhen</t>
  </si>
  <si>
    <t>Zhaomiao Zhen</t>
  </si>
  <si>
    <t>Zhaowangzhuang Zhen</t>
  </si>
  <si>
    <t>Zhaoxian Zhen</t>
  </si>
  <si>
    <t>Zhaoyang Jiedao</t>
  </si>
  <si>
    <t>Zhaoyang Jiedao [Chonggou Jiedao]</t>
  </si>
  <si>
    <t>Zhaozhaizi Zhen</t>
  </si>
  <si>
    <t>Zhegou Zhen</t>
  </si>
  <si>
    <t>Zhengbaotun Zhen</t>
  </si>
  <si>
    <t>Zhengcheng Zhen [incl. Weizhuang Xiang]</t>
  </si>
  <si>
    <t>Zhengdian Zhen</t>
  </si>
  <si>
    <t>Zhengjia Zhen</t>
  </si>
  <si>
    <t>Zhengjiazhai Zhen</t>
  </si>
  <si>
    <t>Zhenglu Zhen</t>
  </si>
  <si>
    <t>Zhengshan Jiedao [incl. Nangu Zhen]</t>
  </si>
  <si>
    <t>Zhengwang Zhen</t>
  </si>
  <si>
    <t>Zhengying Zhen</t>
  </si>
  <si>
    <t>Zhengzhuang Jiedao</t>
  </si>
  <si>
    <t>Zhenhualu Jiedao</t>
  </si>
  <si>
    <t>Zhenjianglu Jiedao</t>
  </si>
  <si>
    <t>Zhenxing Jiedao</t>
  </si>
  <si>
    <t>Zhenxingjie Jiedao</t>
  </si>
  <si>
    <t>Zheshan Zhen</t>
  </si>
  <si>
    <t>Zhichu Jiedao</t>
  </si>
  <si>
    <t>Zhifang Zhen</t>
  </si>
  <si>
    <t>Zhifudao Jiedao</t>
  </si>
  <si>
    <t>Zhigou Zhen</t>
  </si>
  <si>
    <t>Zhijinshi Jiedao</t>
  </si>
  <si>
    <t>Zhimadun Jiedao</t>
  </si>
  <si>
    <t>Zhiyuan Jiedao</t>
  </si>
  <si>
    <t>Zhongbu Zhen</t>
  </si>
  <si>
    <t>Zhongce Zhen</t>
  </si>
  <si>
    <t>Zhongcun Zhen</t>
  </si>
  <si>
    <t>Zhongda Huaishu Jiedao</t>
  </si>
  <si>
    <t>Zhongding Xiang</t>
  </si>
  <si>
    <t>Zhongdu Jiedao</t>
  </si>
  <si>
    <t>Zhonggong Jiedao</t>
  </si>
  <si>
    <t>Zhonghan Jiedao [incl. Jinjialing Jiedao]</t>
  </si>
  <si>
    <t>Zhonglou Jiedao</t>
  </si>
  <si>
    <t>Zhonglou Zhen</t>
  </si>
  <si>
    <t>Zhongshan Zhen</t>
  </si>
  <si>
    <t>Zhongshanlu Jiedao</t>
  </si>
  <si>
    <t>Zhongxindian Zhen</t>
  </si>
  <si>
    <t>Zhongxing Zhen</t>
  </si>
  <si>
    <t>Zhongxinjie Jiedao</t>
  </si>
  <si>
    <t>Zhongyun Jiedao</t>
  </si>
  <si>
    <t>Zhongzhi Zhen</t>
  </si>
  <si>
    <t>Zhongzhuang Zhen</t>
  </si>
  <si>
    <t>Zhoucheng Jiedao Diqu</t>
  </si>
  <si>
    <t>Zhoudian Jiedao</t>
  </si>
  <si>
    <t>Zhouying Zhen</t>
  </si>
  <si>
    <t>Zhu'a Zhen</t>
  </si>
  <si>
    <t>Zhuanbu Zhen</t>
  </si>
  <si>
    <t>Zhuanggang Zhen</t>
  </si>
  <si>
    <t>Zhuangwu Zhen [incl. Cengshan Zhen]</t>
  </si>
  <si>
    <t>Zhuangyuan Jiedao</t>
  </si>
  <si>
    <t>Zhuangzhai Zhen</t>
  </si>
  <si>
    <t>Zhuanmiao Zhen</t>
  </si>
  <si>
    <t>Zhubian Zhen</t>
  </si>
  <si>
    <t>Zhudao Jiedao</t>
  </si>
  <si>
    <t>Zhuge Zhen</t>
  </si>
  <si>
    <t>Zhuhai Jiedao</t>
  </si>
  <si>
    <t>Zhuhailu Jiedao</t>
  </si>
  <si>
    <t>Zhuji Zhen (Dezhou Shi)</t>
  </si>
  <si>
    <t>Zhuji Zhen (Heze Shi)</t>
  </si>
  <si>
    <t>Zhulaozhuang Zhen</t>
  </si>
  <si>
    <t>Zhuli Jiedao</t>
  </si>
  <si>
    <t>Zhuliu Jiedao</t>
  </si>
  <si>
    <t>Zhulu Zhen</t>
  </si>
  <si>
    <t>Zhuqiao Zhen</t>
  </si>
  <si>
    <t>Zhushan Jiedao</t>
  </si>
  <si>
    <t>Zhutai Zhen</t>
  </si>
  <si>
    <t>Zhutian Zhen</t>
  </si>
  <si>
    <t>Zhuwang Zhen</t>
  </si>
  <si>
    <t>Zhuwu Zhen</t>
  </si>
  <si>
    <t>Zhuyang Zhen</t>
  </si>
  <si>
    <t>Zhuyouguan Zhen</t>
  </si>
  <si>
    <t>Zi Zhen</t>
  </si>
  <si>
    <t>Zijiao Zhen</t>
  </si>
  <si>
    <t>Zijingshan Jiedao</t>
  </si>
  <si>
    <t>Zouwu Zhen</t>
  </si>
  <si>
    <t>Zudian Zhen</t>
  </si>
  <si>
    <t>Zuoying Zhen</t>
  </si>
  <si>
    <t>Column113</t>
  </si>
  <si>
    <t>Column114</t>
  </si>
  <si>
    <t>Cháihúdiàn (Dézhōu)</t>
  </si>
  <si>
    <t>Cháihúdiàn (Zăozhuāng)</t>
  </si>
  <si>
    <t>Chángjiā (Dézhōu)</t>
  </si>
  <si>
    <t>Chángjiā (Zībó)</t>
  </si>
  <si>
    <t>Chénjí (Hézé)</t>
  </si>
  <si>
    <t>Chénjí (Liáochéng)</t>
  </si>
  <si>
    <t>Diànzi (Bīnzhōu)</t>
  </si>
  <si>
    <t>Diànzi (Liáochéng)</t>
  </si>
  <si>
    <t>Diànzi (Qīngdăo)</t>
  </si>
  <si>
    <t>Diànzi (Zăozhuāng)</t>
  </si>
  <si>
    <t>Féngjiā (Bīnzhōu)</t>
  </si>
  <si>
    <t>Féngjiā (Wēihăi)</t>
  </si>
  <si>
    <t>Gāozhuāng (Hézé)</t>
  </si>
  <si>
    <t>Gāozhuāng (Línyí)</t>
  </si>
  <si>
    <t>Gŭchéng (Bīnzhōu)</t>
  </si>
  <si>
    <t>Gŭchéng (Liáochéng)</t>
  </si>
  <si>
    <t>Hánjí (Hézé)</t>
  </si>
  <si>
    <t>Hánjí (Liáochéng)</t>
  </si>
  <si>
    <t>Huāyuán (Dézhōu)</t>
  </si>
  <si>
    <t>Huāyuán (Línyí)</t>
  </si>
  <si>
    <t>Hújí (Bīnzhōu)</t>
  </si>
  <si>
    <t>Hújí (Hézé)</t>
  </si>
  <si>
    <t>Hújí (Jìníng)</t>
  </si>
  <si>
    <t>Hŭshān (Rìzhào)</t>
  </si>
  <si>
    <t>Hŭshān (Wēihăi)</t>
  </si>
  <si>
    <t>Hútún (Liáochéng)</t>
  </si>
  <si>
    <t>Hútún (Tài'ān)</t>
  </si>
  <si>
    <t>Jiānglóu (Bīnzhōu)</t>
  </si>
  <si>
    <t>Jiānglóu (Liáochéng)</t>
  </si>
  <si>
    <t>Jīnlĭng (Yāntái)</t>
  </si>
  <si>
    <t>Jīnlĭng (Zībó)</t>
  </si>
  <si>
    <t>Liŭlín (Hézé)</t>
  </si>
  <si>
    <t>Liŭlín (Liáochéng)</t>
  </si>
  <si>
    <t>Liúlóu (Hézé)</t>
  </si>
  <si>
    <t>Liúlóu (Jìníng)</t>
  </si>
  <si>
    <t>Lóngquán (Yāntái)</t>
  </si>
  <si>
    <t>Lóngquán (Zībó)</t>
  </si>
  <si>
    <t>Măjí (Dézhōu)</t>
  </si>
  <si>
    <t>Măjí (Hézé)</t>
  </si>
  <si>
    <t>Măjí (Jìníng)</t>
  </si>
  <si>
    <t>Mătóu (Bīnzhōu)</t>
  </si>
  <si>
    <t>Mătóu (Hézé)</t>
  </si>
  <si>
    <t>Mătóu (Línyí)</t>
  </si>
  <si>
    <t>Qīnghé (Bīnzhōu)</t>
  </si>
  <si>
    <t>Qīnghé (Jìníng)</t>
  </si>
  <si>
    <t>Qíshān (Rìzhào)</t>
  </si>
  <si>
    <t>Qíshān (Yāntái)</t>
  </si>
  <si>
    <t>Shāgōu (Línyí)</t>
  </si>
  <si>
    <t>Shāgōu (Zăozhuāng)</t>
  </si>
  <si>
    <t>Shāhé (Jìnán)</t>
  </si>
  <si>
    <t>Shāhé (Yāntái)</t>
  </si>
  <si>
    <t>Shíjí (Dézhōu)</t>
  </si>
  <si>
    <t>Shíjí (Hézé)</t>
  </si>
  <si>
    <t>Shíqiáo (Jìníng)</t>
  </si>
  <si>
    <t>Shíqiáo (Zībó)</t>
  </si>
  <si>
    <t>Tàipíng (Hézé)</t>
  </si>
  <si>
    <t>Tàipíng (Jìníng)</t>
  </si>
  <si>
    <t>Tiánzhuāng (Hézé)</t>
  </si>
  <si>
    <t>Tiánzhuāng (Zībó)</t>
  </si>
  <si>
    <t>Wángmiào (Dézhōu)</t>
  </si>
  <si>
    <t>Wángmiào (Jìníng)</t>
  </si>
  <si>
    <t>Wángzhuāng (Jìníng)</t>
  </si>
  <si>
    <t>Wángzhuāng (Tài'ān)</t>
  </si>
  <si>
    <t>Wèiwān (Hézé)</t>
  </si>
  <si>
    <t>Wèiwān (Liáochéng)</t>
  </si>
  <si>
    <t>Xiàzhuāng (Rìzhào)</t>
  </si>
  <si>
    <t>Xiàzhuāng (Wéifāng)</t>
  </si>
  <si>
    <t>Xiàzhuāng (Wēihăi)</t>
  </si>
  <si>
    <t>Xīhú (Liáochéng)</t>
  </si>
  <si>
    <t>Xīhú (Rìzhào)</t>
  </si>
  <si>
    <t>Xīndiàn (Bīnzhōu)</t>
  </si>
  <si>
    <t>Xīndiàn (Dézhōu)</t>
  </si>
  <si>
    <t>Xīnglóng (Dézhōu)</t>
  </si>
  <si>
    <t>Xīnglóng (Jìníng)</t>
  </si>
  <si>
    <t>Xīnjí (Liáochéng)</t>
  </si>
  <si>
    <t>Xīnjí (Línyí)</t>
  </si>
  <si>
    <t>Xīnxīng (Línyí)</t>
  </si>
  <si>
    <t>Xīnxīng (Wéifāng)</t>
  </si>
  <si>
    <t>Xīnzhài (Dézhōu)</t>
  </si>
  <si>
    <t>Xīnzhài (Jìnán)</t>
  </si>
  <si>
    <t>Xīnzhuāng (Línyí)</t>
  </si>
  <si>
    <t>Xīnzhuāng (Yāntái)</t>
  </si>
  <si>
    <t>Xúzhuāng (Liáochéng)</t>
  </si>
  <si>
    <t>Xúzhuāng (Zăozhuāng)</t>
  </si>
  <si>
    <t>Yángzhuāng (Jìnán)</t>
  </si>
  <si>
    <t>Yángzhuāng (Línyí)</t>
  </si>
  <si>
    <t>Yángzhuāng (Zăozhuāng)</t>
  </si>
  <si>
    <t>Yínglĭ (Hézé)</t>
  </si>
  <si>
    <t>Yínglĭ (Wéifāng)</t>
  </si>
  <si>
    <t>Yĭnmă (Hézé)</t>
  </si>
  <si>
    <t>Yĭnmă (Wéifāng)</t>
  </si>
  <si>
    <t>Yŏng'ān (Dōngyíng)</t>
  </si>
  <si>
    <t>Yŏng'ān (Zăozhuāng)</t>
  </si>
  <si>
    <t>Yùhuángmiào (Hézé)</t>
  </si>
  <si>
    <t>Yùhuángmiào (Jìnán)</t>
  </si>
  <si>
    <t>Zhāngzhuāng (Dézhōu)</t>
  </si>
  <si>
    <t>Zhāngzhuāng (Jìníng)</t>
  </si>
  <si>
    <t>Zhāngzhuāng (Línyí)</t>
  </si>
  <si>
    <t>Zhūjí (Dézhōu)</t>
  </si>
  <si>
    <t>Zhūjí (Hézé)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</si>
</sst>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195"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B136F3-E368-411C-BC24-F97A91116D6F}" name="Table1" displayName="Table1" ref="A1:G93" totalsRowShown="0" headerRowDxfId="194" dataDxfId="193">
  <autoFilter ref="A1:G93" xr:uid="{FFB136F3-E368-411C-BC24-F97A91116D6F}"/>
  <tableColumns count="7">
    <tableColumn id="1" xr3:uid="{36D564D6-6844-45F7-9EFB-7FEE4126371C}" name="Name" dataDxfId="192"/>
    <tableColumn id="2" xr3:uid="{7EECFA83-650A-46D5-8368-09858E6031DC}" name="Native" dataDxfId="191"/>
    <tableColumn id="3" xr3:uid="{11237002-9C58-49E5-A187-F700A4579B60}" name="Status" dataDxfId="190"/>
    <tableColumn id="4" xr3:uid="{834CFB06-7B19-4956-8465-922650315F07}" name="City / District / County" dataDxfId="189"/>
    <tableColumn id="5" xr3:uid="{6C5D6FA1-871C-45B3-A172-21F765A8AC38}" name="Population" dataDxfId="188"/>
    <tableColumn id="6" xr3:uid="{BDC6705F-B22D-4423-AED8-D6BA6A663DF1}" name="Column1" dataDxfId="187">
      <calculatedColumnFormula>VLOOKUP(D2,Table17[[Name]:[Native]],3,FALSE)</calculatedColumnFormula>
    </tableColumn>
    <tableColumn id="7" xr3:uid="{DA6B6821-92D6-41AF-B6A1-5EED176E832D}" name="Column2" dataDxfId="186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A8602E-2BE1-4CCA-8263-70DDC569A38A}" name="Table2" displayName="Table2" ref="A1:G133" totalsRowShown="0" headerRowDxfId="185" dataDxfId="184">
  <autoFilter ref="A1:G133" xr:uid="{54A8602E-2BE1-4CCA-8263-70DDC569A38A}"/>
  <tableColumns count="7">
    <tableColumn id="1" xr3:uid="{AB9B06BC-7959-404E-9ED2-4F541F320AE6}" name="Name" dataDxfId="183"/>
    <tableColumn id="2" xr3:uid="{C6FF7A3A-B542-4BAA-BDCB-998FB8E252ED}" name="Native" dataDxfId="182"/>
    <tableColumn id="3" xr3:uid="{4CD883AC-896F-42B9-8512-684AB90991E6}" name="Status" dataDxfId="181"/>
    <tableColumn id="4" xr3:uid="{4F56B0CD-23C6-4C45-B0FE-CDE8B44F72E7}" name="City / District / County" dataDxfId="180"/>
    <tableColumn id="5" xr3:uid="{66252696-03C2-46AA-9A23-0934EF07E37D}" name="Population" dataDxfId="179"/>
    <tableColumn id="6" xr3:uid="{EE217BD5-5F42-4FDC-94B1-171999680021}" name="Column1" dataDxfId="178">
      <calculatedColumnFormula>VLOOKUP(D2,Table17[[Name]:[Native]],3,FALSE)</calculatedColumnFormula>
    </tableColumn>
    <tableColumn id="7" xr3:uid="{2FA9E37D-1F57-4A18-9ED6-EC29CBFD10B8}" name="Column2" dataDxfId="177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8EB16-5442-455E-A361-3AD7168E4048}" name="Table3" displayName="Table3" ref="A1:G50" totalsRowShown="0" headerRowDxfId="176" dataDxfId="175">
  <autoFilter ref="A1:G50" xr:uid="{6468EB16-5442-455E-A361-3AD7168E4048}"/>
  <tableColumns count="7">
    <tableColumn id="1" xr3:uid="{89308A83-D9AD-4EAC-BBAF-B66D74336C4D}" name="Name" dataDxfId="174"/>
    <tableColumn id="2" xr3:uid="{3B26F4EC-F8AD-4E2D-92D6-C22875830757}" name="Native" dataDxfId="173"/>
    <tableColumn id="3" xr3:uid="{CD7B01C2-8370-47BD-9877-226573EAC525}" name="Status" dataDxfId="172"/>
    <tableColumn id="4" xr3:uid="{5473CD45-3F69-42CE-BAF5-DBD240149144}" name="City / District / County" dataDxfId="171"/>
    <tableColumn id="5" xr3:uid="{ED9CF18F-3CDF-41E9-A8EF-98F467269277}" name="Population" dataDxfId="170"/>
    <tableColumn id="6" xr3:uid="{84AA37AC-C0AB-4931-AD6D-790BD6DFA676}" name="Column1" dataDxfId="169">
      <calculatedColumnFormula>VLOOKUP(D2,Table17[[Name]:[Native]],3,FALSE)</calculatedColumnFormula>
    </tableColumn>
    <tableColumn id="7" xr3:uid="{8DC26A02-2296-4DF8-8C9B-BCE24F887359}" name="Column2" dataDxfId="168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A8D064-E9D7-4507-A8C3-80FE32BBF0A5}" name="Table4" displayName="Table4" ref="A1:G169" totalsRowShown="0" headerRowDxfId="167" dataDxfId="166">
  <autoFilter ref="A1:G169" xr:uid="{6AA8D064-E9D7-4507-A8C3-80FE32BBF0A5}"/>
  <tableColumns count="7">
    <tableColumn id="1" xr3:uid="{D3F67E81-C869-4DDA-A8DD-2A87A471F8BF}" name="Name" dataDxfId="165"/>
    <tableColumn id="2" xr3:uid="{7ACE8A09-5DB3-485B-AF87-0E75A7A983BD}" name="Native" dataDxfId="164"/>
    <tableColumn id="3" xr3:uid="{2FDF1D55-3D81-4514-8EB0-BB9C11C97185}" name="Status" dataDxfId="163"/>
    <tableColumn id="4" xr3:uid="{7D88AECA-574A-466E-89A5-FBB41207682F}" name="City / District / County" dataDxfId="162"/>
    <tableColumn id="5" xr3:uid="{29764191-1652-47D0-8DD7-043831D3D83D}" name="Population" dataDxfId="161"/>
    <tableColumn id="6" xr3:uid="{65C76E4A-1E25-4D64-9CDB-29BDF928BDFF}" name="Column1" dataDxfId="160">
      <calculatedColumnFormula>VLOOKUP(D2,Table17[[Name]:[Native]],3,FALSE)</calculatedColumnFormula>
    </tableColumn>
    <tableColumn id="7" xr3:uid="{D126D469-A886-4F27-8E64-FA647F91F68C}" name="Column2" dataDxfId="159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F7AFAD-71BC-452F-9BA6-E8A70B92978F}" name="Table5" displayName="Table5" ref="A1:G162" totalsRowShown="0" headerRowDxfId="158" dataDxfId="157">
  <autoFilter ref="A1:G162" xr:uid="{6DF7AFAD-71BC-452F-9BA6-E8A70B92978F}"/>
  <tableColumns count="7">
    <tableColumn id="1" xr3:uid="{2D81EFDD-4CEB-4845-997A-5E60B894444F}" name="Name" dataDxfId="156"/>
    <tableColumn id="2" xr3:uid="{54B7A44B-542C-40F0-AF6B-9C0A62A18FF4}" name="Native" dataDxfId="155"/>
    <tableColumn id="3" xr3:uid="{31611B52-BA10-4A25-BEB2-DAB4158C68F0}" name="Status" dataDxfId="154"/>
    <tableColumn id="4" xr3:uid="{6CDFBAFD-F59A-4066-B3CB-88F64155C956}" name="City / District / County" dataDxfId="153"/>
    <tableColumn id="5" xr3:uid="{FA8ECFD0-27EE-4539-B3EB-4ADD5B14B98F}" name="Population" dataDxfId="152"/>
    <tableColumn id="6" xr3:uid="{08054C20-6512-46B4-B862-8046A95CE621}" name="Column1" dataDxfId="151">
      <calculatedColumnFormula>VLOOKUP(D2,Table17[[Name]:[Native]],3,FALSE)</calculatedColumnFormula>
    </tableColumn>
    <tableColumn id="7" xr3:uid="{667B71A6-1ABD-418B-AC45-00BDBDB514C8}" name="Column2" dataDxfId="150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05C1C8-22FF-4F09-AB19-FF0BC2161551}" name="Table6" displayName="Table6" ref="A1:G158" totalsRowShown="0" headerRowDxfId="149" dataDxfId="148">
  <autoFilter ref="A1:G158" xr:uid="{D805C1C8-22FF-4F09-AB19-FF0BC2161551}"/>
  <tableColumns count="7">
    <tableColumn id="1" xr3:uid="{B7E1A80E-ADAD-42B4-8CB8-D6079A816F2D}" name="Name" dataDxfId="147"/>
    <tableColumn id="2" xr3:uid="{0FA2A409-A137-458E-8A08-141AB8E15F72}" name="Native" dataDxfId="146"/>
    <tableColumn id="3" xr3:uid="{82F8CE99-7BAA-45F4-9C0F-6F45404DFD62}" name="Status" dataDxfId="145"/>
    <tableColumn id="4" xr3:uid="{246E4603-38A5-4560-BC0C-8E7F9B654F2F}" name="City / District / County" dataDxfId="144"/>
    <tableColumn id="5" xr3:uid="{389F6EC7-0C6E-4B36-AFC2-3658F486B7A5}" name="Population" dataDxfId="143"/>
    <tableColumn id="6" xr3:uid="{C32B000D-19B7-4957-9AF5-3F3D51C6AD7B}" name="Column1" dataDxfId="142">
      <calculatedColumnFormula>VLOOKUP(D2,Table17[[Name]:[Native]],3,FALSE)</calculatedColumnFormula>
    </tableColumn>
    <tableColumn id="7" xr3:uid="{CCE64C66-F5AF-4517-B134-F85D25CC38BF}" name="Column2" dataDxfId="141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6004E2-5C03-4B09-8486-3E1348CE7DE7}" name="Table7" displayName="Table7" ref="A1:G137" totalsRowShown="0" headerRowDxfId="140" dataDxfId="139">
  <autoFilter ref="A1:G137" xr:uid="{1B6004E2-5C03-4B09-8486-3E1348CE7DE7}"/>
  <tableColumns count="7">
    <tableColumn id="1" xr3:uid="{F353FBA3-AB7F-4569-9B13-3C691156B729}" name="Name" dataDxfId="138"/>
    <tableColumn id="2" xr3:uid="{2483719F-5C8F-4D55-B78F-3EDC9723CB8B}" name="Native" dataDxfId="137"/>
    <tableColumn id="3" xr3:uid="{817C116A-D69D-4E3B-BAFF-6C5892B8C2A3}" name="Status" dataDxfId="136"/>
    <tableColumn id="4" xr3:uid="{B482E187-5DD4-41C1-A103-52EF457C71E2}" name="City / District / County" dataDxfId="135"/>
    <tableColumn id="5" xr3:uid="{F2B47FA9-4E2E-41B7-98F3-8D48BB345C38}" name="Population" dataDxfId="134"/>
    <tableColumn id="6" xr3:uid="{2BB89354-54CC-420F-AD83-6B4230B1BBCA}" name="Column1" dataDxfId="133">
      <calculatedColumnFormula>VLOOKUP(D2,Table17[[Name]:[Native]],3,FALSE)</calculatedColumnFormula>
    </tableColumn>
    <tableColumn id="7" xr3:uid="{BBD2007B-3420-45D2-93C0-49751FA12026}" name="Column2" dataDxfId="132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296268-6052-4529-9209-06F72088B184}" name="Table8" displayName="Table8" ref="A1:G158" totalsRowShown="0" headerRowDxfId="131" dataDxfId="130">
  <autoFilter ref="A1:G158" xr:uid="{BF296268-6052-4529-9209-06F72088B184}"/>
  <tableColumns count="7">
    <tableColumn id="1" xr3:uid="{E489E63D-7232-452F-8E1F-005D728CCF19}" name="Name" dataDxfId="129"/>
    <tableColumn id="2" xr3:uid="{219E5876-8D0A-4D98-814D-38560FC5B599}" name="Native" dataDxfId="128"/>
    <tableColumn id="3" xr3:uid="{078ACFFF-DBB1-4000-8696-2E7B82142C1A}" name="Status" dataDxfId="127"/>
    <tableColumn id="4" xr3:uid="{1759A853-2242-4277-8502-20A47B79ADAD}" name="City / District / County" dataDxfId="126"/>
    <tableColumn id="5" xr3:uid="{0765F4DF-DBF5-4D9A-BD1A-0D943C25A3E5}" name="Population" dataDxfId="125"/>
    <tableColumn id="6" xr3:uid="{11E7D55B-6E5E-46DA-8922-14D345071CBB}" name="Column1" dataDxfId="124">
      <calculatedColumnFormula>VLOOKUP(D2,Table17[[Name]:[Native]],3,FALSE)</calculatedColumnFormula>
    </tableColumn>
    <tableColumn id="7" xr3:uid="{EA4E6301-D531-4F35-90E4-C1D3FF6197AE}" name="Column2" dataDxfId="123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B8EBF1-E5CD-4AAD-B795-B2E466DAE5EF}" name="Table9" displayName="Table9" ref="A1:G142" totalsRowShown="0" headerRowDxfId="122" dataDxfId="121">
  <autoFilter ref="A1:G142" xr:uid="{DFB8EBF1-E5CD-4AAD-B795-B2E466DAE5EF}"/>
  <tableColumns count="7">
    <tableColumn id="1" xr3:uid="{033684EC-1721-4B41-9133-48B87FA1457C}" name="Name" dataDxfId="120"/>
    <tableColumn id="2" xr3:uid="{504C133D-1DEE-4373-800C-FF82D474F12F}" name="Native" dataDxfId="119"/>
    <tableColumn id="3" xr3:uid="{A73E81EA-A8A2-4DD9-910A-03A63F618068}" name="Status" dataDxfId="118"/>
    <tableColumn id="4" xr3:uid="{A48CDD45-9D3F-46DD-99B4-D8363A4A3BD5}" name="City / District / County" dataDxfId="117"/>
    <tableColumn id="5" xr3:uid="{C32E1491-A0DC-40C7-BCF5-8535A0E50309}" name="Population" dataDxfId="116"/>
    <tableColumn id="6" xr3:uid="{87EC7739-56EC-43E4-B8EE-EAB28E48B86C}" name="Column1" dataDxfId="115">
      <calculatedColumnFormula>VLOOKUP(D2,Table17[[Name]:[Native]],3,FALSE)</calculatedColumnFormula>
    </tableColumn>
    <tableColumn id="7" xr3:uid="{7A302537-C175-45A5-B942-2E1107953F30}" name="Column2" dataDxfId="114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B696F61-7A19-4BDA-8CA5-9DC64BDD0549}" name="Table10" displayName="Table10" ref="A1:G55" totalsRowShown="0" headerRowDxfId="113" dataDxfId="112">
  <autoFilter ref="A1:G55" xr:uid="{9B696F61-7A19-4BDA-8CA5-9DC64BDD0549}"/>
  <tableColumns count="7">
    <tableColumn id="1" xr3:uid="{E348B736-13BA-4929-978E-69E14F99016B}" name="Name" dataDxfId="111"/>
    <tableColumn id="2" xr3:uid="{45FB40C9-E1D2-4E8D-8456-574BC735BAA2}" name="Native" dataDxfId="110"/>
    <tableColumn id="3" xr3:uid="{136244CF-01B8-4AA8-8882-194B85926FC2}" name="Status" dataDxfId="109"/>
    <tableColumn id="4" xr3:uid="{5E2DA390-F7F7-4688-851A-7AA17449A7BD}" name="City / District / County" dataDxfId="108"/>
    <tableColumn id="5" xr3:uid="{C33F196B-8AEE-402E-8E56-6AE1B3A018E5}" name="Population" dataDxfId="107"/>
    <tableColumn id="6" xr3:uid="{25780DCC-280D-406C-BEB3-2F848F64521B}" name="Column1" dataDxfId="106">
      <calculatedColumnFormula>VLOOKUP(D2,Table17[[Name]:[Native]],3,FALSE)</calculatedColumnFormula>
    </tableColumn>
    <tableColumn id="7" xr3:uid="{8DD149CA-78BA-4370-B9BE-19A93C1CD4C0}" name="Column2" dataDxfId="105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1618AA-A1A8-40C3-9E30-F3DB9293CEC7}" name="Table11" displayName="Table11" ref="A1:G88" totalsRowShown="0" headerRowDxfId="104" dataDxfId="103">
  <autoFilter ref="A1:G88" xr:uid="{DE1618AA-A1A8-40C3-9E30-F3DB9293CEC7}"/>
  <tableColumns count="7">
    <tableColumn id="1" xr3:uid="{7E25CAFB-3BAD-4285-8F7E-9D862E2C17AE}" name="Name" dataDxfId="102"/>
    <tableColumn id="2" xr3:uid="{6A0F91CC-52D1-4889-9A87-56B53C687CCC}" name="Native" dataDxfId="101"/>
    <tableColumn id="3" xr3:uid="{B7703112-6E3C-4068-A291-8AB7FC21789B}" name="Status" dataDxfId="100"/>
    <tableColumn id="4" xr3:uid="{E6AC55A2-FBE6-4C78-A680-A1A0C47EB8AB}" name="City / District / County" dataDxfId="99"/>
    <tableColumn id="5" xr3:uid="{8415D44D-6007-4044-8D82-BC20E5BABC43}" name="Population" dataDxfId="98"/>
    <tableColumn id="6" xr3:uid="{C7CF14CF-D641-4783-A1EB-95BDB58E0886}" name="Column1" dataDxfId="97">
      <calculatedColumnFormula>VLOOKUP(D2,Table17[[Name]:[Native]],3,FALSE)</calculatedColumnFormula>
    </tableColumn>
    <tableColumn id="7" xr3:uid="{5D17A792-CC32-421C-AF2B-0B515D230610}" name="Column2" dataDxfId="96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1E165E-3381-4303-8882-C817FB469C12}" name="Table12" displayName="Table12" ref="A1:G119" totalsRowShown="0" headerRowDxfId="95" dataDxfId="94">
  <autoFilter ref="A1:G119" xr:uid="{241E165E-3381-4303-8882-C817FB469C12}"/>
  <tableColumns count="7">
    <tableColumn id="1" xr3:uid="{71E6DF27-13BA-4268-8485-F921A5845DF5}" name="Name" dataDxfId="93"/>
    <tableColumn id="2" xr3:uid="{3EF046CF-3AA9-4093-986E-E86DCD74B46F}" name="Native" dataDxfId="92"/>
    <tableColumn id="3" xr3:uid="{D22C0751-844B-4268-8671-FDC00DB967F7}" name="Status" dataDxfId="91"/>
    <tableColumn id="4" xr3:uid="{71D6CBA7-ECD5-4BC8-9CC1-447F54A4111B}" name="City / District / County" dataDxfId="90"/>
    <tableColumn id="5" xr3:uid="{DAF83C49-C42C-4978-99E7-3E8F44B45140}" name="Population" dataDxfId="89"/>
    <tableColumn id="6" xr3:uid="{535D5CE4-4AE3-4F54-A879-0813254165DC}" name="Column1" dataDxfId="88">
      <calculatedColumnFormula>VLOOKUP(D2,Table17[[Name]:[Native]],3,FALSE)</calculatedColumnFormula>
    </tableColumn>
    <tableColumn id="7" xr3:uid="{6E516AC8-9130-446A-8675-5980B170914D}" name="Column2" dataDxfId="87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AFD328-9E37-4719-B23B-8AA387348B2F}" name="Table13" displayName="Table13" ref="A1:G74" totalsRowShown="0" headerRowDxfId="86" dataDxfId="85">
  <autoFilter ref="A1:G74" xr:uid="{97AFD328-9E37-4719-B23B-8AA387348B2F}"/>
  <tableColumns count="7">
    <tableColumn id="1" xr3:uid="{4D7CA0FD-E610-4D27-88FA-FE3E8B2FF3B6}" name="Name" dataDxfId="84"/>
    <tableColumn id="2" xr3:uid="{2A96D3E9-4294-4557-A630-DBFA0EFBAAF5}" name="Native" dataDxfId="83"/>
    <tableColumn id="3" xr3:uid="{B025EC90-5BAE-416D-A451-816449327169}" name="Status" dataDxfId="82"/>
    <tableColumn id="4" xr3:uid="{139DB1AB-078A-453C-A6EC-2B5193374CB4}" name="City / District / County" dataDxfId="81"/>
    <tableColumn id="5" xr3:uid="{ACDFFA79-BF27-455A-B4DB-8E765A209F9F}" name="Population" dataDxfId="80"/>
    <tableColumn id="6" xr3:uid="{1AD8961B-C759-4A0B-897A-C85C4BC458AC}" name="Column1" dataDxfId="79">
      <calculatedColumnFormula>VLOOKUP(D2,Table17[[Name]:[Native]],3,FALSE)</calculatedColumnFormula>
    </tableColumn>
    <tableColumn id="7" xr3:uid="{F2B213D0-78C1-47F0-812E-FD7E009844C3}" name="Column2" dataDxfId="78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ED71B5-8F41-4726-B145-8BAC6C24E259}" name="Table14" displayName="Table14" ref="A1:G155" totalsRowShown="0" headerRowDxfId="77" dataDxfId="76">
  <autoFilter ref="A1:G155" xr:uid="{27ED71B5-8F41-4726-B145-8BAC6C24E259}"/>
  <tableColumns count="7">
    <tableColumn id="1" xr3:uid="{D42C22B9-9AA9-476F-934F-668CD79AC567}" name="Name" dataDxfId="75"/>
    <tableColumn id="2" xr3:uid="{8A511A89-EA85-46B1-8130-4E21E7214E2A}" name="Native" dataDxfId="74"/>
    <tableColumn id="3" xr3:uid="{8432B9F7-FFE5-45E6-916F-D5214B572A73}" name="Status" dataDxfId="73"/>
    <tableColumn id="4" xr3:uid="{5C554776-6D7D-4CDF-AC29-B7CEA5822F2E}" name="City / District / County" dataDxfId="72"/>
    <tableColumn id="5" xr3:uid="{1E1592AB-7195-406D-8C6C-4C1EE949E7EF}" name="Population" dataDxfId="71"/>
    <tableColumn id="6" xr3:uid="{D70E2F08-1B4D-4EF5-B679-392CBE7A2E3D}" name="Column1" dataDxfId="70">
      <calculatedColumnFormula>VLOOKUP(D2,Table17[[Name]:[Native]],3,FALSE)</calculatedColumnFormula>
    </tableColumn>
    <tableColumn id="7" xr3:uid="{3010908C-06A7-441B-BBF2-C71C09D7B37E}" name="Column2" dataDxfId="69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0C453C5-8E85-45A7-8528-CC40A40201D4}" name="Table15" displayName="Table15" ref="A1:G65" totalsRowShown="0" headerRowDxfId="68" dataDxfId="67">
  <autoFilter ref="A1:G65" xr:uid="{C0C453C5-8E85-45A7-8528-CC40A40201D4}"/>
  <tableColumns count="7">
    <tableColumn id="1" xr3:uid="{1A63D44D-30D7-4DE7-97A1-D5BB892DAE69}" name="Name" dataDxfId="66"/>
    <tableColumn id="2" xr3:uid="{988FB9E8-D622-4D04-9973-0484E356D14D}" name="Native" dataDxfId="65"/>
    <tableColumn id="3" xr3:uid="{0A83C6CF-A1A3-47A3-983C-33DB723C8B36}" name="Status" dataDxfId="64"/>
    <tableColumn id="4" xr3:uid="{E44AC521-ED00-4F33-9CD2-E60036C5FC23}" name="City / District / County" dataDxfId="63"/>
    <tableColumn id="5" xr3:uid="{58A27088-3931-41A2-A8EC-7D1BB91F324E}" name="Population" dataDxfId="62"/>
    <tableColumn id="6" xr3:uid="{012DC396-5317-4C57-A257-5DC5FA2309D6}" name="Column1" dataDxfId="61">
      <calculatedColumnFormula>VLOOKUP(D2,Table17[[Name]:[Native]],3,FALSE)</calculatedColumnFormula>
    </tableColumn>
    <tableColumn id="7" xr3:uid="{9EDF98C4-933A-453D-A041-41C25D87A44D}" name="Column2" dataDxfId="60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04301C7-DF51-43CD-8E13-EAE4BDE61D64}" name="Table16" displayName="Table16" ref="A1:G91" totalsRowShown="0" headerRowDxfId="59" dataDxfId="58">
  <autoFilter ref="A1:G91" xr:uid="{204301C7-DF51-43CD-8E13-EAE4BDE61D64}"/>
  <tableColumns count="7">
    <tableColumn id="1" xr3:uid="{AD71729F-0DE7-424C-A9E8-6318C8014B85}" name="Name" dataDxfId="57"/>
    <tableColumn id="2" xr3:uid="{1FD1D5E4-01CA-4E08-9452-8368E2719C72}" name="Native" dataDxfId="56"/>
    <tableColumn id="3" xr3:uid="{765BD460-8BCF-4C75-8C0A-0BBEAF8D7674}" name="Status" dataDxfId="55"/>
    <tableColumn id="4" xr3:uid="{3196F6CD-767B-47B5-8ABE-A0304C8C0A91}" name="City / District / County" dataDxfId="54"/>
    <tableColumn id="5" xr3:uid="{919EE52F-B466-4A7D-A3D5-8CC8A4F75013}" name="Population" dataDxfId="53"/>
    <tableColumn id="6" xr3:uid="{A968C463-699D-4DA6-99B4-8354E93F2EF4}" name="Column1" dataDxfId="52">
      <calculatedColumnFormula>VLOOKUP(D2,Table17[[Name]:[Native]],3,FALSE)</calculatedColumnFormula>
    </tableColumn>
    <tableColumn id="7" xr3:uid="{A09F7D1C-E88D-4C5B-B6E7-B373426BF26E}" name="Column2" dataDxfId="51">
      <calculatedColumnFormula>VLOOKUP(F2,Table17[[Native]:[Population4]],5,FALSE)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F9FE0F-EF7B-45D9-A5A2-5585AA1CF3B5}" name="Table18" displayName="Table18" ref="A1:P1834" totalsRowShown="0">
  <autoFilter ref="A1:P1834" xr:uid="{0AF9FE0F-EF7B-45D9-A5A2-5585AA1CF3B5}">
    <filterColumn colId="4">
      <filters>
        <filter val="Town"/>
      </filters>
    </filterColumn>
    <filterColumn colId="11">
      <colorFilter dxfId="0"/>
    </filterColumn>
  </autoFilter>
  <sortState xmlns:xlrd2="http://schemas.microsoft.com/office/spreadsheetml/2017/richdata2" ref="A2:N1834">
    <sortCondition ref="A1:A1834"/>
  </sortState>
  <tableColumns count="16">
    <tableColumn id="1" xr3:uid="{B0AAC633-B5BB-4A1B-8439-BCE2B42835B0}" name="Column1"/>
    <tableColumn id="10" xr3:uid="{6C4E7505-C817-4013-BDBE-942E56C86438}" name="Column12" dataDxfId="32">
      <calculatedColumnFormula>IF(COUNTIF(A:A,A2)&gt;1,_xlfn.CONCAT(A2," (",N2,")"),A2)</calculatedColumnFormula>
    </tableColumn>
    <tableColumn id="11" xr3:uid="{D28D8B22-1A7C-4C11-AAEB-A808571ED4EA}" name="Column13" dataDxfId="31">
      <calculatedColumnFormula>IF(COUNTIF(B:B,B2)&gt;1,_xlfn.CONCAT(A2," (",M2,")"),B2)</calculatedColumnFormula>
    </tableColumn>
    <tableColumn id="2" xr3:uid="{C662B447-5465-4A9A-9D30-D2D4687E75F8}" name="Column2"/>
    <tableColumn id="3" xr3:uid="{A457A373-D727-4808-9C1C-5B39170C9E76}" name="Column3"/>
    <tableColumn id="4" xr3:uid="{3A7E0AB9-9586-436A-9FFE-6152CCCBC4AA}" name="Column4" dataDxfId="50">
      <calculatedColumnFormula>_xlfn.CONCAT(D2,", ",H2,", ",I2,", ","山东省")</calculatedColumnFormula>
    </tableColumn>
    <tableColumn id="5" xr3:uid="{B921E9CA-E334-4A24-BBAE-A57AA63B9D74}" name="Column5"/>
    <tableColumn id="6" xr3:uid="{BA8B345E-548D-46B0-9984-24F221AD199A}" name="Column6"/>
    <tableColumn id="7" xr3:uid="{37E1B82F-3505-434E-87FF-FD96846186EF}" name="Column7"/>
    <tableColumn id="8" xr3:uid="{A3757F1C-52D1-48D0-8F6B-562F9A10D4EC}" name="Column8" dataDxfId="49">
      <calculatedColumnFormula>VLOOKUP(F2,[1]!china_towns_second__2[[Column1]:[Y]],3,FALSE)</calculatedColumnFormula>
    </tableColumn>
    <tableColumn id="9" xr3:uid="{F6468ADE-4513-45E3-A0B4-6D3C6E11BF43}" name="Column9" dataDxfId="48">
      <calculatedColumnFormula>VLOOKUP(F2,[1]!china_towns_second__2[[Column1]:[Y]],2,FALSE)</calculatedColumnFormula>
    </tableColumn>
    <tableColumn id="12" xr3:uid="{7895A141-A79B-469E-B2DD-2EC3D8EED93B}" name="Column10"/>
    <tableColumn id="13" xr3:uid="{828215DD-F704-471E-8566-539ECE0D7267}" name="Column11" dataDxfId="34">
      <calculatedColumnFormula>VLOOKUP(H2,CHOOSE({1,2},Table17[Native],Table17[Name]),2,0)</calculatedColumnFormula>
    </tableColumn>
    <tableColumn id="14" xr3:uid="{118E7846-6B55-4ADC-A330-72EFCD7859BC}" name="Column112" dataDxfId="33">
      <calculatedColumnFormula>VLOOKUP(I2,CHOOSE({1,2},Table17[Native],Table17[Name]),2,0)</calculatedColumnFormula>
    </tableColumn>
    <tableColumn id="15" xr3:uid="{9827D10E-EB7C-4AD0-B74C-CD82F2D8E0E6}" name="Column113" dataDxfId="24">
      <calculatedColumnFormula>_xlfn.CONCAT(L2," (",N2,")")</calculatedColumnFormula>
    </tableColumn>
    <tableColumn id="16" xr3:uid="{F767EA53-526B-4269-B250-1809BDAE0CA5}" name="Column114" dataDxfId="23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2B6EA5-9AC8-498F-8173-89BA9AD9F051}" name="Table19" displayName="Table19" ref="A1:E43" totalsRowShown="0">
  <autoFilter ref="A1:E43" xr:uid="{BF2B6EA5-9AC8-498F-8173-89BA9AD9F051}"/>
  <tableColumns count="5">
    <tableColumn id="1" xr3:uid="{2A41A565-D048-48EB-9903-C8FE470B8180}" name="Column1"/>
    <tableColumn id="3" xr3:uid="{57437E32-0E76-49AD-AE4C-E04D966B1F26}" name="Column12" dataDxfId="47">
      <calculatedColumnFormula>VLOOKUP(A2,CHOOSE({1,2},Table17[Native],Table17[Name]),2,0)</calculatedColumnFormula>
    </tableColumn>
    <tableColumn id="2" xr3:uid="{52D037F7-CC9E-4B77-A3F4-42B8BC65C6D0}" name="Column2"/>
    <tableColumn id="4" xr3:uid="{BAB80D85-F487-4A1E-968D-7E20EDC3AEAF}" name="Column3" dataDxfId="46">
      <calculatedColumnFormula>VLOOKUP(A2,[1]!Table1[[name]:[@lon]],5,0)</calculatedColumnFormula>
    </tableColumn>
    <tableColumn id="5" xr3:uid="{4B323F2B-59ED-45CE-A1CA-71187A29DC22}" name="Column4" dataDxfId="45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E249F92-832B-4BF7-9E22-207D70C9B138}" name="Table17" displayName="Table17" ref="A1:G154" totalsRowShown="0" headerRowDxfId="44" dataDxfId="43" tableBorderDxfId="42">
  <autoFilter ref="A1:G154" xr:uid="{4E249F92-832B-4BF7-9E22-207D70C9B138}"/>
  <tableColumns count="7">
    <tableColumn id="1" xr3:uid="{135A6F67-2E1F-4DBD-8929-B1196367AB0F}" name="Name" dataDxfId="41"/>
    <tableColumn id="2" xr3:uid="{E73B9895-C536-4DB5-936D-1207D028619A}" name="Status" dataDxfId="40"/>
    <tableColumn id="3" xr3:uid="{FFED41E2-783F-4C78-9B59-8E3AEAA204BE}" name="Native" dataDxfId="39"/>
    <tableColumn id="4" xr3:uid="{A9906ACD-E921-4ED2-A04A-D9EE209BF3FA}" name="Population" dataDxfId="38"/>
    <tableColumn id="5" xr3:uid="{0E9A35A8-7979-4516-8BE4-048FB1236D78}" name="Population2" dataDxfId="37"/>
    <tableColumn id="6" xr3:uid="{A5C4FED7-6EB0-424B-80EE-60E6B8B65299}" name="Population3" dataDxfId="36"/>
    <tableColumn id="7" xr3:uid="{4018305E-8440-45FF-B776-B0347EC710CB}" name="Population4" dataDxfId="35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DA798-BCD6-4945-A36E-6391D9DDC24C}">
  <dimension ref="A1:G93"/>
  <sheetViews>
    <sheetView workbookViewId="0">
      <selection activeCell="A2" sqref="A2:G9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44276</v>
      </c>
      <c r="F2" s="9" t="str">
        <f>VLOOKUP(D2,Table17[[Name]:[Native]],3,FALSE)</f>
        <v>滨城区</v>
      </c>
      <c r="G2" s="14" t="str">
        <f ca="1">VLOOKUP(F2,Table17[[Native]:[Population4]],5,FALSE)</f>
        <v>滨州市</v>
      </c>
    </row>
    <row r="3" spans="1:7" ht="15.75" thickBot="1" x14ac:dyDescent="0.3">
      <c r="A3" t="s">
        <v>9</v>
      </c>
      <c r="B3" s="1" t="s">
        <v>10</v>
      </c>
      <c r="C3" s="1" t="s">
        <v>7</v>
      </c>
      <c r="D3" s="1" t="s">
        <v>8</v>
      </c>
      <c r="E3" s="3">
        <v>69105</v>
      </c>
      <c r="F3" s="1" t="str">
        <f>VLOOKUP(D3,Table17[[Name]:[Native]],3,FALSE)</f>
        <v>滨城区</v>
      </c>
      <c r="G3" s="14" t="str">
        <f ca="1">VLOOKUP(F3,Table17[[Native]:[Population4]],5,FALSE)</f>
        <v>滨州市</v>
      </c>
    </row>
    <row r="4" spans="1:7" ht="15.75" thickBot="1" x14ac:dyDescent="0.3">
      <c r="A4" t="s">
        <v>11</v>
      </c>
      <c r="B4" s="1" t="s">
        <v>12</v>
      </c>
      <c r="C4" s="1" t="s">
        <v>13</v>
      </c>
      <c r="D4" s="1" t="s">
        <v>14</v>
      </c>
      <c r="E4" s="3">
        <v>8639</v>
      </c>
      <c r="F4" s="1" t="str">
        <f>VLOOKUP(D4,Table17[[Name]:[Native]],3,FALSE)</f>
        <v>沾化区</v>
      </c>
      <c r="G4" s="14" t="str">
        <f ca="1">VLOOKUP(F4,Table17[[Native]:[Population4]],5,FALSE)</f>
        <v>滨州市</v>
      </c>
    </row>
    <row r="5" spans="1:7" ht="15.75" thickBot="1" x14ac:dyDescent="0.3">
      <c r="A5" t="s">
        <v>15</v>
      </c>
      <c r="B5" s="1" t="s">
        <v>16</v>
      </c>
      <c r="C5" s="1" t="s">
        <v>7</v>
      </c>
      <c r="D5" s="1" t="s">
        <v>17</v>
      </c>
      <c r="E5" s="3">
        <v>55458</v>
      </c>
      <c r="F5" s="1" t="str">
        <f>VLOOKUP(D5,Table17[[Name]:[Native]],3,FALSE)</f>
        <v>博兴县</v>
      </c>
      <c r="G5" s="14" t="str">
        <f ca="1">VLOOKUP(F5,Table17[[Native]:[Population4]],5,FALSE)</f>
        <v>滨州市</v>
      </c>
    </row>
    <row r="6" spans="1:7" ht="15.75" thickBot="1" x14ac:dyDescent="0.3">
      <c r="A6" t="s">
        <v>18</v>
      </c>
      <c r="B6" s="1" t="s">
        <v>19</v>
      </c>
      <c r="C6" s="1" t="s">
        <v>13</v>
      </c>
      <c r="D6" s="1" t="s">
        <v>14</v>
      </c>
      <c r="E6" s="3">
        <v>28752</v>
      </c>
      <c r="F6" s="1" t="str">
        <f>VLOOKUP(D6,Table17[[Name]:[Native]],3,FALSE)</f>
        <v>沾化区</v>
      </c>
      <c r="G6" s="14" t="str">
        <f ca="1">VLOOKUP(F6,Table17[[Native]:[Population4]],5,FALSE)</f>
        <v>滨州市</v>
      </c>
    </row>
    <row r="7" spans="1:7" ht="15.75" thickBot="1" x14ac:dyDescent="0.3">
      <c r="A7" t="s">
        <v>20</v>
      </c>
      <c r="B7" s="1" t="s">
        <v>21</v>
      </c>
      <c r="C7" s="1" t="s">
        <v>13</v>
      </c>
      <c r="D7" s="1" t="s">
        <v>17</v>
      </c>
      <c r="E7" s="3">
        <v>38310</v>
      </c>
      <c r="F7" s="1" t="str">
        <f>VLOOKUP(D7,Table17[[Name]:[Native]],3,FALSE)</f>
        <v>博兴县</v>
      </c>
      <c r="G7" s="14" t="str">
        <f ca="1">VLOOKUP(F7,Table17[[Native]:[Population4]],5,FALSE)</f>
        <v>滨州市</v>
      </c>
    </row>
    <row r="8" spans="1:7" ht="15.75" thickBot="1" x14ac:dyDescent="0.3">
      <c r="A8" t="s">
        <v>22</v>
      </c>
      <c r="B8" s="1" t="s">
        <v>23</v>
      </c>
      <c r="C8" s="1" t="s">
        <v>13</v>
      </c>
      <c r="D8" s="1" t="s">
        <v>24</v>
      </c>
      <c r="E8" s="3">
        <v>67865</v>
      </c>
      <c r="F8" s="1" t="str">
        <f>VLOOKUP(D8,Table17[[Name]:[Native]],3,FALSE)</f>
        <v>邹平市</v>
      </c>
      <c r="G8" s="14" t="str">
        <f ca="1">VLOOKUP(F8,Table17[[Native]:[Population4]],5,FALSE)</f>
        <v>滨州市</v>
      </c>
    </row>
    <row r="9" spans="1:7" ht="15.75" thickBot="1" x14ac:dyDescent="0.3">
      <c r="A9" t="s">
        <v>25</v>
      </c>
      <c r="B9" s="1" t="s">
        <v>26</v>
      </c>
      <c r="C9" s="1" t="s">
        <v>7</v>
      </c>
      <c r="D9" s="1" t="s">
        <v>17</v>
      </c>
      <c r="E9" s="3">
        <v>43775</v>
      </c>
      <c r="F9" s="1" t="str">
        <f>VLOOKUP(D9,Table17[[Name]:[Native]],3,FALSE)</f>
        <v>博兴县</v>
      </c>
      <c r="G9" s="14" t="str">
        <f ca="1">VLOOKUP(F9,Table17[[Native]:[Population4]],5,FALSE)</f>
        <v>滨州市</v>
      </c>
    </row>
    <row r="10" spans="1:7" ht="15.75" thickBot="1" x14ac:dyDescent="0.3">
      <c r="A10" t="s">
        <v>27</v>
      </c>
      <c r="B10" s="1" t="s">
        <v>28</v>
      </c>
      <c r="C10" s="1" t="s">
        <v>13</v>
      </c>
      <c r="D10" s="1" t="s">
        <v>29</v>
      </c>
      <c r="E10" s="3">
        <v>23950</v>
      </c>
      <c r="F10" s="1" t="str">
        <f>VLOOKUP(D10,Table17[[Name]:[Native]],3,FALSE)</f>
        <v>无棣县</v>
      </c>
      <c r="G10" s="14" t="str">
        <f ca="1">VLOOKUP(F10,Table17[[Native]:[Population4]],5,FALSE)</f>
        <v>滨州市</v>
      </c>
    </row>
    <row r="11" spans="1:7" ht="15.75" thickBot="1" x14ac:dyDescent="0.3">
      <c r="A11" t="s">
        <v>30</v>
      </c>
      <c r="B11" s="1" t="s">
        <v>31</v>
      </c>
      <c r="C11" s="1" t="s">
        <v>13</v>
      </c>
      <c r="D11" s="1" t="s">
        <v>17</v>
      </c>
      <c r="E11" s="3">
        <v>40880</v>
      </c>
      <c r="F11" s="1" t="str">
        <f>VLOOKUP(D11,Table17[[Name]:[Native]],3,FALSE)</f>
        <v>博兴县</v>
      </c>
      <c r="G11" s="14" t="str">
        <f ca="1">VLOOKUP(F11,Table17[[Native]:[Population4]],5,FALSE)</f>
        <v>滨州市</v>
      </c>
    </row>
    <row r="12" spans="1:7" ht="15.75" thickBot="1" x14ac:dyDescent="0.3">
      <c r="A12" t="s">
        <v>32</v>
      </c>
      <c r="B12" s="1" t="s">
        <v>33</v>
      </c>
      <c r="C12" s="1" t="s">
        <v>13</v>
      </c>
      <c r="D12" s="1" t="s">
        <v>29</v>
      </c>
      <c r="E12" s="3">
        <v>43878</v>
      </c>
      <c r="F12" s="1" t="str">
        <f>VLOOKUP(D12,Table17[[Name]:[Native]],3,FALSE)</f>
        <v>无棣县</v>
      </c>
      <c r="G12" s="14" t="str">
        <f ca="1">VLOOKUP(F12,Table17[[Native]:[Population4]],5,FALSE)</f>
        <v>滨州市</v>
      </c>
    </row>
    <row r="13" spans="1:7" ht="15.75" thickBot="1" x14ac:dyDescent="0.3">
      <c r="A13" t="s">
        <v>34</v>
      </c>
      <c r="B13" s="1" t="s">
        <v>35</v>
      </c>
      <c r="C13" s="1" t="s">
        <v>13</v>
      </c>
      <c r="D13" s="1" t="s">
        <v>17</v>
      </c>
      <c r="E13" s="3">
        <v>23072</v>
      </c>
      <c r="F13" s="1" t="str">
        <f>VLOOKUP(D13,Table17[[Name]:[Native]],3,FALSE)</f>
        <v>博兴县</v>
      </c>
      <c r="G13" s="14" t="str">
        <f ca="1">VLOOKUP(F13,Table17[[Native]:[Population4]],5,FALSE)</f>
        <v>滨州市</v>
      </c>
    </row>
    <row r="14" spans="1:7" ht="15.75" thickBot="1" x14ac:dyDescent="0.3">
      <c r="A14" t="s">
        <v>36</v>
      </c>
      <c r="B14" s="1" t="s">
        <v>37</v>
      </c>
      <c r="C14" s="1" t="s">
        <v>13</v>
      </c>
      <c r="D14" s="1" t="s">
        <v>14</v>
      </c>
      <c r="E14" s="3">
        <v>36202</v>
      </c>
      <c r="F14" s="1" t="str">
        <f>VLOOKUP(D14,Table17[[Name]:[Native]],3,FALSE)</f>
        <v>沾化区</v>
      </c>
      <c r="G14" s="14" t="str">
        <f ca="1">VLOOKUP(F14,Table17[[Native]:[Population4]],5,FALSE)</f>
        <v>滨州市</v>
      </c>
    </row>
    <row r="15" spans="1:7" ht="15.75" thickBot="1" x14ac:dyDescent="0.3">
      <c r="A15" t="s">
        <v>38</v>
      </c>
      <c r="B15" s="1" t="s">
        <v>39</v>
      </c>
      <c r="C15" s="1" t="s">
        <v>7</v>
      </c>
      <c r="D15" s="1" t="s">
        <v>24</v>
      </c>
      <c r="E15" s="3">
        <v>81916</v>
      </c>
      <c r="F15" s="1" t="str">
        <f>VLOOKUP(D15,Table17[[Name]:[Native]],3,FALSE)</f>
        <v>邹平市</v>
      </c>
      <c r="G15" s="14" t="str">
        <f ca="1">VLOOKUP(F15,Table17[[Native]:[Population4]],5,FALSE)</f>
        <v>滨州市</v>
      </c>
    </row>
    <row r="16" spans="1:7" ht="15.75" thickBot="1" x14ac:dyDescent="0.3">
      <c r="A16" t="s">
        <v>40</v>
      </c>
      <c r="B16" s="1" t="s">
        <v>41</v>
      </c>
      <c r="C16" s="1" t="s">
        <v>13</v>
      </c>
      <c r="D16" s="1" t="s">
        <v>42</v>
      </c>
      <c r="E16" s="3">
        <v>30861</v>
      </c>
      <c r="F16" s="1" t="str">
        <f>VLOOKUP(D16,Table17[[Name]:[Native]],3,FALSE)</f>
        <v>惠民县</v>
      </c>
      <c r="G16" s="14" t="str">
        <f ca="1">VLOOKUP(F16,Table17[[Native]:[Population4]],5,FALSE)</f>
        <v>滨州市</v>
      </c>
    </row>
    <row r="17" spans="1:7" ht="15.75" thickBot="1" x14ac:dyDescent="0.3">
      <c r="A17" t="s">
        <v>43</v>
      </c>
      <c r="B17" s="1" t="s">
        <v>44</v>
      </c>
      <c r="C17" s="1" t="s">
        <v>13</v>
      </c>
      <c r="D17" s="1" t="s">
        <v>17</v>
      </c>
      <c r="E17" s="3">
        <v>43512</v>
      </c>
      <c r="F17" s="1" t="str">
        <f>VLOOKUP(D17,Table17[[Name]:[Native]],3,FALSE)</f>
        <v>博兴县</v>
      </c>
      <c r="G17" s="14" t="str">
        <f ca="1">VLOOKUP(F17,Table17[[Native]:[Population4]],5,FALSE)</f>
        <v>滨州市</v>
      </c>
    </row>
    <row r="18" spans="1:7" ht="15.75" thickBot="1" x14ac:dyDescent="0.3">
      <c r="A18" t="s">
        <v>45</v>
      </c>
      <c r="B18" s="1" t="s">
        <v>46</v>
      </c>
      <c r="C18" s="1" t="s">
        <v>7</v>
      </c>
      <c r="D18" s="1" t="s">
        <v>29</v>
      </c>
      <c r="E18" s="3">
        <v>26206</v>
      </c>
      <c r="F18" s="1" t="str">
        <f>VLOOKUP(D18,Table17[[Name]:[Native]],3,FALSE)</f>
        <v>无棣县</v>
      </c>
      <c r="G18" s="14" t="str">
        <f ca="1">VLOOKUP(F18,Table17[[Native]:[Population4]],5,FALSE)</f>
        <v>滨州市</v>
      </c>
    </row>
    <row r="19" spans="1:7" ht="15.75" thickBot="1" x14ac:dyDescent="0.3">
      <c r="A19" t="s">
        <v>47</v>
      </c>
      <c r="B19" s="1" t="s">
        <v>48</v>
      </c>
      <c r="C19" s="1" t="s">
        <v>7</v>
      </c>
      <c r="D19" s="1" t="s">
        <v>8</v>
      </c>
      <c r="E19" s="3">
        <v>53783</v>
      </c>
      <c r="F19" s="1" t="str">
        <f>VLOOKUP(D19,Table17[[Name]:[Native]],3,FALSE)</f>
        <v>滨城区</v>
      </c>
      <c r="G19" s="14" t="str">
        <f ca="1">VLOOKUP(F19,Table17[[Native]:[Population4]],5,FALSE)</f>
        <v>滨州市</v>
      </c>
    </row>
    <row r="20" spans="1:7" ht="15.75" thickBot="1" x14ac:dyDescent="0.3">
      <c r="A20" t="s">
        <v>49</v>
      </c>
      <c r="B20" s="1" t="s">
        <v>50</v>
      </c>
      <c r="C20" s="1" t="s">
        <v>13</v>
      </c>
      <c r="D20" s="1" t="s">
        <v>14</v>
      </c>
      <c r="E20" s="3">
        <v>51426</v>
      </c>
      <c r="F20" s="1" t="str">
        <f>VLOOKUP(D20,Table17[[Name]:[Native]],3,FALSE)</f>
        <v>沾化区</v>
      </c>
      <c r="G20" s="14" t="str">
        <f ca="1">VLOOKUP(F20,Table17[[Native]:[Population4]],5,FALSE)</f>
        <v>滨州市</v>
      </c>
    </row>
    <row r="21" spans="1:7" ht="15.75" thickBot="1" x14ac:dyDescent="0.3">
      <c r="A21" t="s">
        <v>51</v>
      </c>
      <c r="B21" s="1" t="s">
        <v>52</v>
      </c>
      <c r="C21" s="1" t="s">
        <v>7</v>
      </c>
      <c r="D21" s="1" t="s">
        <v>14</v>
      </c>
      <c r="E21" s="3">
        <v>63964</v>
      </c>
      <c r="F21" s="1" t="str">
        <f>VLOOKUP(D21,Table17[[Name]:[Native]],3,FALSE)</f>
        <v>沾化区</v>
      </c>
      <c r="G21" s="14" t="str">
        <f ca="1">VLOOKUP(F21,Table17[[Native]:[Population4]],5,FALSE)</f>
        <v>滨州市</v>
      </c>
    </row>
    <row r="22" spans="1:7" ht="15.75" thickBot="1" x14ac:dyDescent="0.3">
      <c r="A22" t="s">
        <v>53</v>
      </c>
      <c r="B22" s="1" t="s">
        <v>54</v>
      </c>
      <c r="C22" s="1" t="s">
        <v>7</v>
      </c>
      <c r="D22" s="1" t="s">
        <v>14</v>
      </c>
      <c r="E22" s="3">
        <v>42358</v>
      </c>
      <c r="F22" s="1" t="str">
        <f>VLOOKUP(D22,Table17[[Name]:[Native]],3,FALSE)</f>
        <v>沾化区</v>
      </c>
      <c r="G22" s="14" t="str">
        <f ca="1">VLOOKUP(F22,Table17[[Native]:[Population4]],5,FALSE)</f>
        <v>滨州市</v>
      </c>
    </row>
    <row r="23" spans="1:7" ht="15.75" thickBot="1" x14ac:dyDescent="0.3">
      <c r="A23" t="s">
        <v>55</v>
      </c>
      <c r="B23" s="1" t="s">
        <v>56</v>
      </c>
      <c r="C23" s="1" t="s">
        <v>7</v>
      </c>
      <c r="D23" s="1" t="s">
        <v>24</v>
      </c>
      <c r="E23" s="3">
        <v>98549</v>
      </c>
      <c r="F23" s="1" t="str">
        <f>VLOOKUP(D23,Table17[[Name]:[Native]],3,FALSE)</f>
        <v>邹平市</v>
      </c>
      <c r="G23" s="14" t="str">
        <f ca="1">VLOOKUP(F23,Table17[[Native]:[Population4]],5,FALSE)</f>
        <v>滨州市</v>
      </c>
    </row>
    <row r="24" spans="1:7" ht="15.75" thickBot="1" x14ac:dyDescent="0.3">
      <c r="A24" t="s">
        <v>57</v>
      </c>
      <c r="B24" s="1" t="s">
        <v>58</v>
      </c>
      <c r="C24" s="1" t="s">
        <v>13</v>
      </c>
      <c r="D24" s="1" t="s">
        <v>14</v>
      </c>
      <c r="E24" s="3">
        <v>24098</v>
      </c>
      <c r="F24" s="1" t="str">
        <f>VLOOKUP(D24,Table17[[Name]:[Native]],3,FALSE)</f>
        <v>沾化区</v>
      </c>
      <c r="G24" s="14" t="str">
        <f ca="1">VLOOKUP(F24,Table17[[Native]:[Population4]],5,FALSE)</f>
        <v>滨州市</v>
      </c>
    </row>
    <row r="25" spans="1:7" ht="15.75" thickBot="1" x14ac:dyDescent="0.3">
      <c r="A25" s="1" t="s">
        <v>59</v>
      </c>
      <c r="B25" s="1" t="s">
        <v>60</v>
      </c>
      <c r="C25" s="1" t="s">
        <v>61</v>
      </c>
      <c r="D25" s="1" t="s">
        <v>14</v>
      </c>
      <c r="E25" s="3">
        <v>294</v>
      </c>
      <c r="F25" s="1" t="str">
        <f>VLOOKUP(D25,Table17[[Name]:[Native]],3,FALSE)</f>
        <v>沾化区</v>
      </c>
      <c r="G25" s="14" t="str">
        <f ca="1">VLOOKUP(F25,Table17[[Native]:[Population4]],5,FALSE)</f>
        <v>滨州市</v>
      </c>
    </row>
    <row r="26" spans="1:7" ht="15.75" thickBot="1" x14ac:dyDescent="0.3">
      <c r="A26" t="s">
        <v>62</v>
      </c>
      <c r="B26" s="1" t="s">
        <v>63</v>
      </c>
      <c r="C26" s="1" t="s">
        <v>7</v>
      </c>
      <c r="D26" s="1" t="s">
        <v>29</v>
      </c>
      <c r="E26" s="3">
        <v>81452</v>
      </c>
      <c r="F26" s="1" t="str">
        <f>VLOOKUP(D26,Table17[[Name]:[Native]],3,FALSE)</f>
        <v>无棣县</v>
      </c>
      <c r="G26" s="14" t="str">
        <f ca="1">VLOOKUP(F26,Table17[[Native]:[Population4]],5,FALSE)</f>
        <v>滨州市</v>
      </c>
    </row>
    <row r="27" spans="1:7" ht="15.75" thickBot="1" x14ac:dyDescent="0.3">
      <c r="A27" t="s">
        <v>64</v>
      </c>
      <c r="B27" s="1" t="s">
        <v>65</v>
      </c>
      <c r="C27" s="1" t="s">
        <v>13</v>
      </c>
      <c r="D27" s="1" t="s">
        <v>24</v>
      </c>
      <c r="E27" s="3">
        <v>40133</v>
      </c>
      <c r="F27" s="1" t="str">
        <f>VLOOKUP(D27,Table17[[Name]:[Native]],3,FALSE)</f>
        <v>邹平市</v>
      </c>
      <c r="G27" s="14" t="str">
        <f ca="1">VLOOKUP(F27,Table17[[Native]:[Population4]],5,FALSE)</f>
        <v>滨州市</v>
      </c>
    </row>
    <row r="28" spans="1:7" ht="15.75" thickBot="1" x14ac:dyDescent="0.3">
      <c r="A28" t="s">
        <v>66</v>
      </c>
      <c r="B28" s="1" t="s">
        <v>67</v>
      </c>
      <c r="C28" s="1" t="s">
        <v>7</v>
      </c>
      <c r="D28" s="1" t="s">
        <v>24</v>
      </c>
      <c r="E28" s="3">
        <v>33543</v>
      </c>
      <c r="F28" s="1" t="str">
        <f>VLOOKUP(D28,Table17[[Name]:[Native]],3,FALSE)</f>
        <v>邹平市</v>
      </c>
      <c r="G28" s="14" t="str">
        <f ca="1">VLOOKUP(F28,Table17[[Native]:[Population4]],5,FALSE)</f>
        <v>滨州市</v>
      </c>
    </row>
    <row r="29" spans="1:7" ht="15.75" thickBot="1" x14ac:dyDescent="0.3">
      <c r="A29" t="s">
        <v>68</v>
      </c>
      <c r="B29" s="1" t="s">
        <v>69</v>
      </c>
      <c r="C29" s="1" t="s">
        <v>7</v>
      </c>
      <c r="D29" s="1" t="s">
        <v>42</v>
      </c>
      <c r="E29" s="3">
        <v>35925</v>
      </c>
      <c r="F29" s="1" t="str">
        <f>VLOOKUP(D29,Table17[[Name]:[Native]],3,FALSE)</f>
        <v>惠民县</v>
      </c>
      <c r="G29" s="14" t="str">
        <f ca="1">VLOOKUP(F29,Table17[[Native]:[Population4]],5,FALSE)</f>
        <v>滨州市</v>
      </c>
    </row>
    <row r="30" spans="1:7" ht="15.75" thickBot="1" x14ac:dyDescent="0.3">
      <c r="A30" t="s">
        <v>70</v>
      </c>
      <c r="B30" s="1" t="s">
        <v>71</v>
      </c>
      <c r="C30" s="1" t="s">
        <v>13</v>
      </c>
      <c r="D30" s="1" t="s">
        <v>72</v>
      </c>
      <c r="E30" s="3">
        <v>38962</v>
      </c>
      <c r="F30" s="1" t="str">
        <f>VLOOKUP(D30,Table17[[Name]:[Native]],3,FALSE)</f>
        <v>阳信县</v>
      </c>
      <c r="G30" s="14" t="str">
        <f ca="1">VLOOKUP(F30,Table17[[Native]:[Population4]],5,FALSE)</f>
        <v>滨州市</v>
      </c>
    </row>
    <row r="31" spans="1:7" ht="15.75" thickBot="1" x14ac:dyDescent="0.3">
      <c r="A31" t="s">
        <v>73</v>
      </c>
      <c r="B31" s="1" t="s">
        <v>74</v>
      </c>
      <c r="C31" s="1" t="s">
        <v>7</v>
      </c>
      <c r="D31" s="1" t="s">
        <v>24</v>
      </c>
      <c r="E31" s="3">
        <v>48205</v>
      </c>
      <c r="F31" s="1" t="str">
        <f>VLOOKUP(D31,Table17[[Name]:[Native]],3,FALSE)</f>
        <v>邹平市</v>
      </c>
      <c r="G31" s="14" t="str">
        <f ca="1">VLOOKUP(F31,Table17[[Native]:[Population4]],5,FALSE)</f>
        <v>滨州市</v>
      </c>
    </row>
    <row r="32" spans="1:7" ht="15.75" thickBot="1" x14ac:dyDescent="0.3">
      <c r="A32" t="s">
        <v>75</v>
      </c>
      <c r="B32" s="1" t="s">
        <v>76</v>
      </c>
      <c r="C32" s="1" t="s">
        <v>13</v>
      </c>
      <c r="D32" s="1" t="s">
        <v>14</v>
      </c>
      <c r="E32" s="3">
        <v>21856</v>
      </c>
      <c r="F32" s="1" t="str">
        <f>VLOOKUP(D32,Table17[[Name]:[Native]],3,FALSE)</f>
        <v>沾化区</v>
      </c>
      <c r="G32" s="14" t="str">
        <f ca="1">VLOOKUP(F32,Table17[[Native]:[Population4]],5,FALSE)</f>
        <v>滨州市</v>
      </c>
    </row>
    <row r="33" spans="1:7" ht="15.75" thickBot="1" x14ac:dyDescent="0.3">
      <c r="A33" t="s">
        <v>77</v>
      </c>
      <c r="B33" s="1" t="s">
        <v>78</v>
      </c>
      <c r="C33" s="1" t="s">
        <v>13</v>
      </c>
      <c r="D33" s="1" t="s">
        <v>17</v>
      </c>
      <c r="E33" s="3">
        <v>43743</v>
      </c>
      <c r="F33" s="1" t="str">
        <f>VLOOKUP(D33,Table17[[Name]:[Native]],3,FALSE)</f>
        <v>博兴县</v>
      </c>
      <c r="G33" s="14" t="str">
        <f ca="1">VLOOKUP(F33,Table17[[Native]:[Population4]],5,FALSE)</f>
        <v>滨州市</v>
      </c>
    </row>
    <row r="34" spans="1:7" ht="15.75" thickBot="1" x14ac:dyDescent="0.3">
      <c r="A34" t="s">
        <v>79</v>
      </c>
      <c r="B34" s="1" t="s">
        <v>80</v>
      </c>
      <c r="C34" s="1" t="s">
        <v>13</v>
      </c>
      <c r="D34" s="1" t="s">
        <v>42</v>
      </c>
      <c r="E34" s="3">
        <v>55177</v>
      </c>
      <c r="F34" s="1" t="str">
        <f>VLOOKUP(D34,Table17[[Name]:[Native]],3,FALSE)</f>
        <v>惠民县</v>
      </c>
      <c r="G34" s="14" t="str">
        <f ca="1">VLOOKUP(F34,Table17[[Native]:[Population4]],5,FALSE)</f>
        <v>滨州市</v>
      </c>
    </row>
    <row r="35" spans="1:7" ht="15.75" thickBot="1" x14ac:dyDescent="0.3">
      <c r="A35" t="s">
        <v>81</v>
      </c>
      <c r="B35" s="1" t="s">
        <v>82</v>
      </c>
      <c r="C35" s="1" t="s">
        <v>13</v>
      </c>
      <c r="D35" s="1" t="s">
        <v>42</v>
      </c>
      <c r="E35" s="3">
        <v>53101</v>
      </c>
      <c r="F35" s="1" t="str">
        <f>VLOOKUP(D35,Table17[[Name]:[Native]],3,FALSE)</f>
        <v>惠民县</v>
      </c>
      <c r="G35" s="14" t="str">
        <f ca="1">VLOOKUP(F35,Table17[[Native]:[Population4]],5,FALSE)</f>
        <v>滨州市</v>
      </c>
    </row>
    <row r="36" spans="1:7" ht="15.75" thickBot="1" x14ac:dyDescent="0.3">
      <c r="A36" t="s">
        <v>83</v>
      </c>
      <c r="B36" s="1" t="s">
        <v>84</v>
      </c>
      <c r="C36" s="1" t="s">
        <v>13</v>
      </c>
      <c r="D36" s="1" t="s">
        <v>24</v>
      </c>
      <c r="E36" s="3">
        <v>36183</v>
      </c>
      <c r="F36" s="1" t="str">
        <f>VLOOKUP(D36,Table17[[Name]:[Native]],3,FALSE)</f>
        <v>邹平市</v>
      </c>
      <c r="G36" s="14" t="str">
        <f ca="1">VLOOKUP(F36,Table17[[Native]:[Population4]],5,FALSE)</f>
        <v>滨州市</v>
      </c>
    </row>
    <row r="37" spans="1:7" ht="15.75" thickBot="1" x14ac:dyDescent="0.3">
      <c r="A37" t="s">
        <v>85</v>
      </c>
      <c r="B37" s="1" t="s">
        <v>86</v>
      </c>
      <c r="C37" s="1" t="s">
        <v>13</v>
      </c>
      <c r="D37" s="1" t="s">
        <v>29</v>
      </c>
      <c r="E37" s="3">
        <v>22970</v>
      </c>
      <c r="F37" s="1" t="str">
        <f>VLOOKUP(D37,Table17[[Name]:[Native]],3,FALSE)</f>
        <v>无棣县</v>
      </c>
      <c r="G37" s="14" t="str">
        <f ca="1">VLOOKUP(F37,Table17[[Native]:[Population4]],5,FALSE)</f>
        <v>滨州市</v>
      </c>
    </row>
    <row r="38" spans="1:7" ht="15.75" thickBot="1" x14ac:dyDescent="0.3">
      <c r="A38" t="s">
        <v>87</v>
      </c>
      <c r="B38" s="1" t="s">
        <v>88</v>
      </c>
      <c r="C38" s="1" t="s">
        <v>7</v>
      </c>
      <c r="D38" s="1" t="s">
        <v>17</v>
      </c>
      <c r="E38" s="3">
        <v>58753</v>
      </c>
      <c r="F38" s="1" t="str">
        <f>VLOOKUP(D38,Table17[[Name]:[Native]],3,FALSE)</f>
        <v>博兴县</v>
      </c>
      <c r="G38" s="14" t="str">
        <f ca="1">VLOOKUP(F38,Table17[[Native]:[Population4]],5,FALSE)</f>
        <v>滨州市</v>
      </c>
    </row>
    <row r="39" spans="1:7" ht="15.75" thickBot="1" x14ac:dyDescent="0.3">
      <c r="A39" t="s">
        <v>89</v>
      </c>
      <c r="B39" s="1" t="s">
        <v>90</v>
      </c>
      <c r="C39" s="1" t="s">
        <v>7</v>
      </c>
      <c r="D39" s="1" t="s">
        <v>72</v>
      </c>
      <c r="E39" s="3">
        <v>38387</v>
      </c>
      <c r="F39" s="1" t="str">
        <f>VLOOKUP(D39,Table17[[Name]:[Native]],3,FALSE)</f>
        <v>阳信县</v>
      </c>
      <c r="G39" s="14" t="str">
        <f ca="1">VLOOKUP(F39,Table17[[Native]:[Population4]],5,FALSE)</f>
        <v>滨州市</v>
      </c>
    </row>
    <row r="40" spans="1:7" ht="15.75" thickBot="1" x14ac:dyDescent="0.3">
      <c r="A40" t="s">
        <v>91</v>
      </c>
      <c r="B40" s="1" t="s">
        <v>92</v>
      </c>
      <c r="C40" s="1" t="s">
        <v>13</v>
      </c>
      <c r="D40" s="1" t="s">
        <v>24</v>
      </c>
      <c r="E40" s="3">
        <v>38921</v>
      </c>
      <c r="F40" s="1" t="str">
        <f>VLOOKUP(D40,Table17[[Name]:[Native]],3,FALSE)</f>
        <v>邹平市</v>
      </c>
      <c r="G40" s="14" t="str">
        <f ca="1">VLOOKUP(F40,Table17[[Native]:[Population4]],5,FALSE)</f>
        <v>滨州市</v>
      </c>
    </row>
    <row r="41" spans="1:7" ht="15.75" thickBot="1" x14ac:dyDescent="0.3">
      <c r="A41" t="s">
        <v>93</v>
      </c>
      <c r="B41" s="1" t="s">
        <v>94</v>
      </c>
      <c r="C41" s="1" t="s">
        <v>13</v>
      </c>
      <c r="D41" s="1" t="s">
        <v>72</v>
      </c>
      <c r="E41" s="3">
        <v>42011</v>
      </c>
      <c r="F41" s="1" t="str">
        <f>VLOOKUP(D41,Table17[[Name]:[Native]],3,FALSE)</f>
        <v>阳信县</v>
      </c>
      <c r="G41" s="14" t="str">
        <f ca="1">VLOOKUP(F41,Table17[[Native]:[Population4]],5,FALSE)</f>
        <v>滨州市</v>
      </c>
    </row>
    <row r="42" spans="1:7" ht="15.75" thickBot="1" x14ac:dyDescent="0.3">
      <c r="A42" t="s">
        <v>95</v>
      </c>
      <c r="B42" s="1" t="s">
        <v>96</v>
      </c>
      <c r="C42" s="1" t="s">
        <v>7</v>
      </c>
      <c r="D42" s="1" t="s">
        <v>8</v>
      </c>
      <c r="E42" s="3">
        <v>31986</v>
      </c>
      <c r="F42" s="1" t="str">
        <f>VLOOKUP(D42,Table17[[Name]:[Native]],3,FALSE)</f>
        <v>滨城区</v>
      </c>
      <c r="G42" s="14" t="str">
        <f ca="1">VLOOKUP(F42,Table17[[Native]:[Population4]],5,FALSE)</f>
        <v>滨州市</v>
      </c>
    </row>
    <row r="43" spans="1:7" ht="15.75" thickBot="1" x14ac:dyDescent="0.3">
      <c r="A43" t="s">
        <v>97</v>
      </c>
      <c r="B43" s="1" t="s">
        <v>98</v>
      </c>
      <c r="C43" s="1" t="s">
        <v>61</v>
      </c>
      <c r="D43" s="1" t="s">
        <v>14</v>
      </c>
      <c r="E43" s="3">
        <v>11829</v>
      </c>
      <c r="F43" s="1" t="str">
        <f>VLOOKUP(D43,Table17[[Name]:[Native]],3,FALSE)</f>
        <v>沾化区</v>
      </c>
      <c r="G43" s="14" t="str">
        <f ca="1">VLOOKUP(F43,Table17[[Native]:[Population4]],5,FALSE)</f>
        <v>滨州市</v>
      </c>
    </row>
    <row r="44" spans="1:7" ht="15.75" thickBot="1" x14ac:dyDescent="0.3">
      <c r="A44" t="s">
        <v>99</v>
      </c>
      <c r="B44" s="1" t="s">
        <v>100</v>
      </c>
      <c r="C44" s="1" t="s">
        <v>13</v>
      </c>
      <c r="D44" s="1" t="s">
        <v>24</v>
      </c>
      <c r="E44" s="3">
        <v>28802</v>
      </c>
      <c r="F44" s="1" t="str">
        <f>VLOOKUP(D44,Table17[[Name]:[Native]],3,FALSE)</f>
        <v>邹平市</v>
      </c>
      <c r="G44" s="14" t="str">
        <f ca="1">VLOOKUP(F44,Table17[[Native]:[Population4]],5,FALSE)</f>
        <v>滨州市</v>
      </c>
    </row>
    <row r="45" spans="1:7" ht="15.75" thickBot="1" x14ac:dyDescent="0.3">
      <c r="A45" t="s">
        <v>101</v>
      </c>
      <c r="B45" s="1" t="s">
        <v>102</v>
      </c>
      <c r="C45" s="1" t="s">
        <v>13</v>
      </c>
      <c r="D45" s="1" t="s">
        <v>29</v>
      </c>
      <c r="E45" s="3">
        <v>30119</v>
      </c>
      <c r="F45" s="1" t="str">
        <f>VLOOKUP(D45,Table17[[Name]:[Native]],3,FALSE)</f>
        <v>无棣县</v>
      </c>
      <c r="G45" s="14" t="str">
        <f ca="1">VLOOKUP(F45,Table17[[Native]:[Population4]],5,FALSE)</f>
        <v>滨州市</v>
      </c>
    </row>
    <row r="46" spans="1:7" ht="15.75" thickBot="1" x14ac:dyDescent="0.3">
      <c r="A46" t="s">
        <v>103</v>
      </c>
      <c r="B46" s="1" t="s">
        <v>104</v>
      </c>
      <c r="C46" s="1" t="s">
        <v>13</v>
      </c>
      <c r="D46" s="1" t="s">
        <v>72</v>
      </c>
      <c r="E46" s="3">
        <v>38395</v>
      </c>
      <c r="F46" s="1" t="str">
        <f>VLOOKUP(D46,Table17[[Name]:[Native]],3,FALSE)</f>
        <v>阳信县</v>
      </c>
      <c r="G46" s="14" t="str">
        <f ca="1">VLOOKUP(F46,Table17[[Native]:[Population4]],5,FALSE)</f>
        <v>滨州市</v>
      </c>
    </row>
    <row r="47" spans="1:7" ht="15.75" thickBot="1" x14ac:dyDescent="0.3">
      <c r="A47" t="s">
        <v>105</v>
      </c>
      <c r="B47" s="1" t="s">
        <v>106</v>
      </c>
      <c r="C47" s="1" t="s">
        <v>7</v>
      </c>
      <c r="D47" s="1" t="s">
        <v>8</v>
      </c>
      <c r="E47" s="3">
        <v>43582</v>
      </c>
      <c r="F47" s="1" t="str">
        <f>VLOOKUP(D47,Table17[[Name]:[Native]],3,FALSE)</f>
        <v>滨城区</v>
      </c>
      <c r="G47" s="14" t="str">
        <f ca="1">VLOOKUP(F47,Table17[[Native]:[Population4]],5,FALSE)</f>
        <v>滨州市</v>
      </c>
    </row>
    <row r="48" spans="1:7" ht="15.75" thickBot="1" x14ac:dyDescent="0.3">
      <c r="A48" t="s">
        <v>107</v>
      </c>
      <c r="B48" s="1" t="s">
        <v>108</v>
      </c>
      <c r="C48" s="1" t="s">
        <v>13</v>
      </c>
      <c r="D48" s="1" t="s">
        <v>42</v>
      </c>
      <c r="E48" s="3">
        <v>52457</v>
      </c>
      <c r="F48" s="1" t="str">
        <f>VLOOKUP(D48,Table17[[Name]:[Native]],3,FALSE)</f>
        <v>惠民县</v>
      </c>
      <c r="G48" s="14" t="str">
        <f ca="1">VLOOKUP(F48,Table17[[Native]:[Population4]],5,FALSE)</f>
        <v>滨州市</v>
      </c>
    </row>
    <row r="49" spans="1:7" ht="15.75" thickBot="1" x14ac:dyDescent="0.3">
      <c r="A49" t="s">
        <v>109</v>
      </c>
      <c r="B49" s="1" t="s">
        <v>110</v>
      </c>
      <c r="C49" s="1" t="s">
        <v>13</v>
      </c>
      <c r="D49" s="1" t="s">
        <v>17</v>
      </c>
      <c r="E49" s="3">
        <v>44843</v>
      </c>
      <c r="F49" s="1" t="str">
        <f>VLOOKUP(D49,Table17[[Name]:[Native]],3,FALSE)</f>
        <v>博兴县</v>
      </c>
      <c r="G49" s="14" t="str">
        <f ca="1">VLOOKUP(F49,Table17[[Native]:[Population4]],5,FALSE)</f>
        <v>滨州市</v>
      </c>
    </row>
    <row r="50" spans="1:7" ht="15.75" thickBot="1" x14ac:dyDescent="0.3">
      <c r="A50" t="s">
        <v>111</v>
      </c>
      <c r="B50" s="1" t="s">
        <v>112</v>
      </c>
      <c r="C50" s="1" t="s">
        <v>13</v>
      </c>
      <c r="D50" s="1" t="s">
        <v>42</v>
      </c>
      <c r="E50" s="3">
        <v>27755</v>
      </c>
      <c r="F50" s="1" t="str">
        <f>VLOOKUP(D50,Table17[[Name]:[Native]],3,FALSE)</f>
        <v>惠民县</v>
      </c>
      <c r="G50" s="14" t="str">
        <f ca="1">VLOOKUP(F50,Table17[[Native]:[Population4]],5,FALSE)</f>
        <v>滨州市</v>
      </c>
    </row>
    <row r="51" spans="1:7" ht="15.75" thickBot="1" x14ac:dyDescent="0.3">
      <c r="A51" t="s">
        <v>113</v>
      </c>
      <c r="B51" s="1" t="s">
        <v>114</v>
      </c>
      <c r="C51" s="1" t="s">
        <v>13</v>
      </c>
      <c r="D51" s="1" t="s">
        <v>29</v>
      </c>
      <c r="E51" s="3">
        <v>26960</v>
      </c>
      <c r="F51" s="1" t="str">
        <f>VLOOKUP(D51,Table17[[Name]:[Native]],3,FALSE)</f>
        <v>无棣县</v>
      </c>
      <c r="G51" s="14" t="str">
        <f ca="1">VLOOKUP(F51,Table17[[Native]:[Population4]],5,FALSE)</f>
        <v>滨州市</v>
      </c>
    </row>
    <row r="52" spans="1:7" ht="15.75" thickBot="1" x14ac:dyDescent="0.3">
      <c r="A52" t="s">
        <v>115</v>
      </c>
      <c r="B52" s="1" t="s">
        <v>116</v>
      </c>
      <c r="C52" s="1" t="s">
        <v>13</v>
      </c>
      <c r="D52" s="1" t="s">
        <v>24</v>
      </c>
      <c r="E52" s="3">
        <v>41766</v>
      </c>
      <c r="F52" s="1" t="str">
        <f>VLOOKUP(D52,Table17[[Name]:[Native]],3,FALSE)</f>
        <v>邹平市</v>
      </c>
      <c r="G52" s="14" t="str">
        <f ca="1">VLOOKUP(F52,Table17[[Native]:[Population4]],5,FALSE)</f>
        <v>滨州市</v>
      </c>
    </row>
    <row r="53" spans="1:7" ht="15.75" thickBot="1" x14ac:dyDescent="0.3">
      <c r="A53" t="s">
        <v>117</v>
      </c>
      <c r="B53" s="1" t="s">
        <v>118</v>
      </c>
      <c r="C53" s="1" t="s">
        <v>13</v>
      </c>
      <c r="D53" s="1" t="s">
        <v>24</v>
      </c>
      <c r="E53" s="3">
        <v>35287</v>
      </c>
      <c r="F53" s="1" t="str">
        <f>VLOOKUP(D53,Table17[[Name]:[Native]],3,FALSE)</f>
        <v>邹平市</v>
      </c>
      <c r="G53" s="14" t="str">
        <f ca="1">VLOOKUP(F53,Table17[[Native]:[Population4]],5,FALSE)</f>
        <v>滨州市</v>
      </c>
    </row>
    <row r="54" spans="1:7" ht="15.75" thickBot="1" x14ac:dyDescent="0.3">
      <c r="A54" t="s">
        <v>119</v>
      </c>
      <c r="B54" s="1" t="s">
        <v>120</v>
      </c>
      <c r="C54" s="1" t="s">
        <v>13</v>
      </c>
      <c r="D54" s="1" t="s">
        <v>17</v>
      </c>
      <c r="E54" s="3">
        <v>24838</v>
      </c>
      <c r="F54" s="1" t="str">
        <f>VLOOKUP(D54,Table17[[Name]:[Native]],3,FALSE)</f>
        <v>博兴县</v>
      </c>
      <c r="G54" s="14" t="str">
        <f ca="1">VLOOKUP(F54,Table17[[Native]:[Population4]],5,FALSE)</f>
        <v>滨州市</v>
      </c>
    </row>
    <row r="55" spans="1:7" ht="15.75" thickBot="1" x14ac:dyDescent="0.3">
      <c r="A55" t="s">
        <v>121</v>
      </c>
      <c r="B55" s="1" t="s">
        <v>122</v>
      </c>
      <c r="C55" s="1" t="s">
        <v>7</v>
      </c>
      <c r="D55" s="1" t="s">
        <v>8</v>
      </c>
      <c r="E55" s="3">
        <v>72850</v>
      </c>
      <c r="F55" s="1" t="str">
        <f>VLOOKUP(D55,Table17[[Name]:[Native]],3,FALSE)</f>
        <v>滨城区</v>
      </c>
      <c r="G55" s="14" t="str">
        <f ca="1">VLOOKUP(F55,Table17[[Native]:[Population4]],5,FALSE)</f>
        <v>滨州市</v>
      </c>
    </row>
    <row r="56" spans="1:7" ht="15.75" thickBot="1" x14ac:dyDescent="0.3">
      <c r="A56" t="s">
        <v>123</v>
      </c>
      <c r="B56" s="1" t="s">
        <v>124</v>
      </c>
      <c r="C56" s="1" t="s">
        <v>13</v>
      </c>
      <c r="D56" s="1" t="s">
        <v>17</v>
      </c>
      <c r="E56" s="3">
        <v>30314</v>
      </c>
      <c r="F56" s="1" t="str">
        <f>VLOOKUP(D56,Table17[[Name]:[Native]],3,FALSE)</f>
        <v>博兴县</v>
      </c>
      <c r="G56" s="14" t="str">
        <f ca="1">VLOOKUP(F56,Table17[[Native]:[Population4]],5,FALSE)</f>
        <v>滨州市</v>
      </c>
    </row>
    <row r="57" spans="1:7" ht="15.75" thickBot="1" x14ac:dyDescent="0.3">
      <c r="A57" t="s">
        <v>125</v>
      </c>
      <c r="B57" s="1" t="s">
        <v>126</v>
      </c>
      <c r="C57" s="1" t="s">
        <v>13</v>
      </c>
      <c r="D57" s="1" t="s">
        <v>42</v>
      </c>
      <c r="E57" s="3">
        <v>31609</v>
      </c>
      <c r="F57" s="1" t="str">
        <f>VLOOKUP(D57,Table17[[Name]:[Native]],3,FALSE)</f>
        <v>惠民县</v>
      </c>
      <c r="G57" s="14" t="str">
        <f ca="1">VLOOKUP(F57,Table17[[Native]:[Population4]],5,FALSE)</f>
        <v>滨州市</v>
      </c>
    </row>
    <row r="58" spans="1:7" ht="15.75" thickBot="1" x14ac:dyDescent="0.3">
      <c r="A58" t="s">
        <v>127</v>
      </c>
      <c r="B58" s="1" t="s">
        <v>128</v>
      </c>
      <c r="C58" s="1" t="s">
        <v>7</v>
      </c>
      <c r="D58" s="1" t="s">
        <v>8</v>
      </c>
      <c r="E58" s="3">
        <v>26267</v>
      </c>
      <c r="F58" s="1" t="str">
        <f>VLOOKUP(D58,Table17[[Name]:[Native]],3,FALSE)</f>
        <v>滨城区</v>
      </c>
      <c r="G58" s="14" t="str">
        <f ca="1">VLOOKUP(F58,Table17[[Native]:[Population4]],5,FALSE)</f>
        <v>滨州市</v>
      </c>
    </row>
    <row r="59" spans="1:7" ht="15.75" thickBot="1" x14ac:dyDescent="0.3">
      <c r="A59" t="s">
        <v>129</v>
      </c>
      <c r="B59" s="1" t="s">
        <v>130</v>
      </c>
      <c r="C59" s="1" t="s">
        <v>13</v>
      </c>
      <c r="D59" s="1" t="s">
        <v>24</v>
      </c>
      <c r="E59" s="3">
        <v>34944</v>
      </c>
      <c r="F59" s="1" t="str">
        <f>VLOOKUP(D59,Table17[[Name]:[Native]],3,FALSE)</f>
        <v>邹平市</v>
      </c>
      <c r="G59" s="14" t="str">
        <f ca="1">VLOOKUP(F59,Table17[[Native]:[Population4]],5,FALSE)</f>
        <v>滨州市</v>
      </c>
    </row>
    <row r="60" spans="1:7" ht="15.75" thickBot="1" x14ac:dyDescent="0.3">
      <c r="A60" t="s">
        <v>131</v>
      </c>
      <c r="B60" s="1" t="s">
        <v>132</v>
      </c>
      <c r="C60" s="1" t="s">
        <v>61</v>
      </c>
      <c r="D60" s="1" t="s">
        <v>8</v>
      </c>
      <c r="E60" s="3">
        <v>20234</v>
      </c>
      <c r="F60" s="1" t="str">
        <f>VLOOKUP(D60,Table17[[Name]:[Native]],3,FALSE)</f>
        <v>滨城区</v>
      </c>
      <c r="G60" s="14" t="str">
        <f ca="1">VLOOKUP(F60,Table17[[Native]:[Population4]],5,FALSE)</f>
        <v>滨州市</v>
      </c>
    </row>
    <row r="61" spans="1:7" ht="15.75" thickBot="1" x14ac:dyDescent="0.3">
      <c r="A61" t="s">
        <v>133</v>
      </c>
      <c r="B61" s="1" t="s">
        <v>134</v>
      </c>
      <c r="C61" s="1" t="s">
        <v>13</v>
      </c>
      <c r="D61" s="1" t="s">
        <v>42</v>
      </c>
      <c r="E61" s="3">
        <v>25292</v>
      </c>
      <c r="F61" s="1" t="str">
        <f>VLOOKUP(D61,Table17[[Name]:[Native]],3,FALSE)</f>
        <v>惠民县</v>
      </c>
      <c r="G61" s="14" t="str">
        <f ca="1">VLOOKUP(F61,Table17[[Native]:[Population4]],5,FALSE)</f>
        <v>滨州市</v>
      </c>
    </row>
    <row r="62" spans="1:7" ht="15.75" thickBot="1" x14ac:dyDescent="0.3">
      <c r="A62" t="s">
        <v>135</v>
      </c>
      <c r="B62" s="1" t="s">
        <v>136</v>
      </c>
      <c r="C62" s="1" t="s">
        <v>13</v>
      </c>
      <c r="D62" s="1" t="s">
        <v>8</v>
      </c>
      <c r="E62" s="3">
        <v>41469</v>
      </c>
      <c r="F62" s="1" t="str">
        <f>VLOOKUP(D62,Table17[[Name]:[Native]],3,FALSE)</f>
        <v>滨城区</v>
      </c>
      <c r="G62" s="14" t="str">
        <f ca="1">VLOOKUP(F62,Table17[[Native]:[Population4]],5,FALSE)</f>
        <v>滨州市</v>
      </c>
    </row>
    <row r="63" spans="1:7" ht="15.75" thickBot="1" x14ac:dyDescent="0.3">
      <c r="A63" t="s">
        <v>137</v>
      </c>
      <c r="B63" s="1" t="s">
        <v>138</v>
      </c>
      <c r="C63" s="1" t="s">
        <v>7</v>
      </c>
      <c r="D63" s="1" t="s">
        <v>8</v>
      </c>
      <c r="E63" s="3">
        <v>19216</v>
      </c>
      <c r="F63" s="1" t="str">
        <f>VLOOKUP(D63,Table17[[Name]:[Native]],3,FALSE)</f>
        <v>滨城区</v>
      </c>
      <c r="G63" s="14" t="str">
        <f ca="1">VLOOKUP(F63,Table17[[Native]:[Population4]],5,FALSE)</f>
        <v>滨州市</v>
      </c>
    </row>
    <row r="64" spans="1:7" ht="15.75" thickBot="1" x14ac:dyDescent="0.3">
      <c r="A64" t="s">
        <v>139</v>
      </c>
      <c r="B64" s="1" t="s">
        <v>140</v>
      </c>
      <c r="C64" s="1" t="s">
        <v>13</v>
      </c>
      <c r="D64" s="1" t="s">
        <v>72</v>
      </c>
      <c r="E64" s="3">
        <v>46003</v>
      </c>
      <c r="F64" s="1" t="str">
        <f>VLOOKUP(D64,Table17[[Name]:[Native]],3,FALSE)</f>
        <v>阳信县</v>
      </c>
      <c r="G64" s="14" t="str">
        <f ca="1">VLOOKUP(F64,Table17[[Native]:[Population4]],5,FALSE)</f>
        <v>滨州市</v>
      </c>
    </row>
    <row r="65" spans="1:7" ht="15.75" thickBot="1" x14ac:dyDescent="0.3">
      <c r="A65" t="s">
        <v>141</v>
      </c>
      <c r="B65" s="1" t="s">
        <v>142</v>
      </c>
      <c r="C65" s="1" t="s">
        <v>13</v>
      </c>
      <c r="D65" s="1" t="s">
        <v>29</v>
      </c>
      <c r="E65" s="3">
        <v>28720</v>
      </c>
      <c r="F65" s="1" t="str">
        <f>VLOOKUP(D65,Table17[[Name]:[Native]],3,FALSE)</f>
        <v>无棣县</v>
      </c>
      <c r="G65" s="14" t="str">
        <f ca="1">VLOOKUP(F65,Table17[[Native]:[Population4]],5,FALSE)</f>
        <v>滨州市</v>
      </c>
    </row>
    <row r="66" spans="1:7" ht="15.75" thickBot="1" x14ac:dyDescent="0.3">
      <c r="A66" t="s">
        <v>143</v>
      </c>
      <c r="B66" s="1" t="s">
        <v>144</v>
      </c>
      <c r="C66" s="1" t="s">
        <v>7</v>
      </c>
      <c r="D66" s="1" t="s">
        <v>8</v>
      </c>
      <c r="E66" s="3">
        <v>53112</v>
      </c>
      <c r="F66" s="1" t="str">
        <f>VLOOKUP(D66,Table17[[Name]:[Native]],3,FALSE)</f>
        <v>滨城区</v>
      </c>
      <c r="G66" s="14" t="str">
        <f ca="1">VLOOKUP(F66,Table17[[Native]:[Population4]],5,FALSE)</f>
        <v>滨州市</v>
      </c>
    </row>
    <row r="67" spans="1:7" ht="15.75" thickBot="1" x14ac:dyDescent="0.3">
      <c r="A67" t="s">
        <v>145</v>
      </c>
      <c r="B67" s="1" t="s">
        <v>146</v>
      </c>
      <c r="C67" s="1" t="s">
        <v>13</v>
      </c>
      <c r="D67" s="1" t="s">
        <v>42</v>
      </c>
      <c r="E67" s="3">
        <v>51790</v>
      </c>
      <c r="F67" s="1" t="str">
        <f>VLOOKUP(D67,Table17[[Name]:[Native]],3,FALSE)</f>
        <v>惠民县</v>
      </c>
      <c r="G67" s="14" t="str">
        <f ca="1">VLOOKUP(F67,Table17[[Native]:[Population4]],5,FALSE)</f>
        <v>滨州市</v>
      </c>
    </row>
    <row r="68" spans="1:7" ht="15.75" thickBot="1" x14ac:dyDescent="0.3">
      <c r="A68" t="s">
        <v>147</v>
      </c>
      <c r="B68" s="1" t="s">
        <v>148</v>
      </c>
      <c r="C68" s="1" t="s">
        <v>7</v>
      </c>
      <c r="D68" s="1" t="s">
        <v>8</v>
      </c>
      <c r="E68" s="3">
        <v>68597</v>
      </c>
      <c r="F68" s="1" t="str">
        <f>VLOOKUP(D68,Table17[[Name]:[Native]],3,FALSE)</f>
        <v>滨城区</v>
      </c>
      <c r="G68" s="14" t="str">
        <f ca="1">VLOOKUP(F68,Table17[[Native]:[Population4]],5,FALSE)</f>
        <v>滨州市</v>
      </c>
    </row>
    <row r="69" spans="1:7" ht="15.75" thickBot="1" x14ac:dyDescent="0.3">
      <c r="A69" t="s">
        <v>149</v>
      </c>
      <c r="B69" s="1" t="s">
        <v>150</v>
      </c>
      <c r="C69" s="1" t="s">
        <v>7</v>
      </c>
      <c r="D69" s="1" t="s">
        <v>8</v>
      </c>
      <c r="E69" s="3">
        <v>62152</v>
      </c>
      <c r="F69" s="1" t="str">
        <f>VLOOKUP(D69,Table17[[Name]:[Native]],3,FALSE)</f>
        <v>滨城区</v>
      </c>
      <c r="G69" s="14" t="str">
        <f ca="1">VLOOKUP(F69,Table17[[Native]:[Population4]],5,FALSE)</f>
        <v>滨州市</v>
      </c>
    </row>
    <row r="70" spans="1:7" ht="15.75" thickBot="1" x14ac:dyDescent="0.3">
      <c r="A70" t="s">
        <v>151</v>
      </c>
      <c r="B70" s="1" t="s">
        <v>152</v>
      </c>
      <c r="C70" s="1" t="s">
        <v>13</v>
      </c>
      <c r="D70" s="1" t="s">
        <v>72</v>
      </c>
      <c r="E70" s="3">
        <v>55684</v>
      </c>
      <c r="F70" s="1" t="str">
        <f>VLOOKUP(D70,Table17[[Name]:[Native]],3,FALSE)</f>
        <v>阳信县</v>
      </c>
      <c r="G70" s="14" t="str">
        <f ca="1">VLOOKUP(F70,Table17[[Native]:[Population4]],5,FALSE)</f>
        <v>滨州市</v>
      </c>
    </row>
    <row r="71" spans="1:7" ht="15.75" thickBot="1" x14ac:dyDescent="0.3">
      <c r="A71" t="s">
        <v>153</v>
      </c>
      <c r="B71" s="1" t="s">
        <v>154</v>
      </c>
      <c r="C71" s="1" t="s">
        <v>13</v>
      </c>
      <c r="D71" s="1" t="s">
        <v>29</v>
      </c>
      <c r="E71" s="3">
        <v>48535</v>
      </c>
      <c r="F71" s="1" t="str">
        <f>VLOOKUP(D71,Table17[[Name]:[Native]],3,FALSE)</f>
        <v>无棣县</v>
      </c>
      <c r="G71" s="14" t="str">
        <f ca="1">VLOOKUP(F71,Table17[[Native]:[Population4]],5,FALSE)</f>
        <v>滨州市</v>
      </c>
    </row>
    <row r="72" spans="1:7" ht="15.75" thickBot="1" x14ac:dyDescent="0.3">
      <c r="A72" t="s">
        <v>155</v>
      </c>
      <c r="B72" s="1" t="s">
        <v>156</v>
      </c>
      <c r="C72" s="1" t="s">
        <v>7</v>
      </c>
      <c r="D72" s="1" t="s">
        <v>42</v>
      </c>
      <c r="E72" s="3">
        <v>91984</v>
      </c>
      <c r="F72" s="1" t="str">
        <f>VLOOKUP(D72,Table17[[Name]:[Native]],3,FALSE)</f>
        <v>惠民县</v>
      </c>
      <c r="G72" s="14" t="str">
        <f ca="1">VLOOKUP(F72,Table17[[Native]:[Population4]],5,FALSE)</f>
        <v>滨州市</v>
      </c>
    </row>
    <row r="73" spans="1:7" ht="15.75" thickBot="1" x14ac:dyDescent="0.3">
      <c r="A73" t="s">
        <v>157</v>
      </c>
      <c r="B73" s="1" t="s">
        <v>158</v>
      </c>
      <c r="C73" s="1" t="s">
        <v>13</v>
      </c>
      <c r="D73" s="1" t="s">
        <v>24</v>
      </c>
      <c r="E73" s="3">
        <v>36356</v>
      </c>
      <c r="F73" s="1" t="str">
        <f>VLOOKUP(D73,Table17[[Name]:[Native]],3,FALSE)</f>
        <v>邹平市</v>
      </c>
      <c r="G73" s="14" t="str">
        <f ca="1">VLOOKUP(F73,Table17[[Native]:[Population4]],5,FALSE)</f>
        <v>滨州市</v>
      </c>
    </row>
    <row r="74" spans="1:7" ht="15.75" thickBot="1" x14ac:dyDescent="0.3">
      <c r="A74" t="s">
        <v>159</v>
      </c>
      <c r="B74" s="1" t="s">
        <v>160</v>
      </c>
      <c r="C74" s="1" t="s">
        <v>13</v>
      </c>
      <c r="D74" s="1" t="s">
        <v>24</v>
      </c>
      <c r="E74" s="3">
        <v>30010</v>
      </c>
      <c r="F74" s="1" t="str">
        <f>VLOOKUP(D74,Table17[[Name]:[Native]],3,FALSE)</f>
        <v>邹平市</v>
      </c>
      <c r="G74" s="14" t="str">
        <f ca="1">VLOOKUP(F74,Table17[[Native]:[Population4]],5,FALSE)</f>
        <v>滨州市</v>
      </c>
    </row>
    <row r="75" spans="1:7" ht="15.75" thickBot="1" x14ac:dyDescent="0.3">
      <c r="A75" t="s">
        <v>161</v>
      </c>
      <c r="B75" s="1" t="s">
        <v>162</v>
      </c>
      <c r="C75" s="1" t="s">
        <v>13</v>
      </c>
      <c r="D75" s="1" t="s">
        <v>42</v>
      </c>
      <c r="E75" s="3">
        <v>29930</v>
      </c>
      <c r="F75" s="1" t="str">
        <f>VLOOKUP(D75,Table17[[Name]:[Native]],3,FALSE)</f>
        <v>惠民县</v>
      </c>
      <c r="G75" s="14" t="str">
        <f ca="1">VLOOKUP(F75,Table17[[Native]:[Population4]],5,FALSE)</f>
        <v>滨州市</v>
      </c>
    </row>
    <row r="76" spans="1:7" ht="15.75" thickBot="1" x14ac:dyDescent="0.3">
      <c r="A76" t="s">
        <v>163</v>
      </c>
      <c r="B76" s="1" t="s">
        <v>164</v>
      </c>
      <c r="C76" s="1" t="s">
        <v>13</v>
      </c>
      <c r="D76" s="1" t="s">
        <v>24</v>
      </c>
      <c r="E76" s="3">
        <v>90305</v>
      </c>
      <c r="F76" s="1" t="str">
        <f>VLOOKUP(D76,Table17[[Name]:[Native]],3,FALSE)</f>
        <v>邹平市</v>
      </c>
      <c r="G76" s="14" t="str">
        <f ca="1">VLOOKUP(F76,Table17[[Native]:[Population4]],5,FALSE)</f>
        <v>滨州市</v>
      </c>
    </row>
    <row r="77" spans="1:7" ht="15.75" thickBot="1" x14ac:dyDescent="0.3">
      <c r="A77" t="s">
        <v>165</v>
      </c>
      <c r="B77" s="1" t="s">
        <v>166</v>
      </c>
      <c r="C77" s="1" t="s">
        <v>13</v>
      </c>
      <c r="D77" s="1" t="s">
        <v>72</v>
      </c>
      <c r="E77" s="3">
        <v>39211</v>
      </c>
      <c r="F77" s="1" t="str">
        <f>VLOOKUP(D77,Table17[[Name]:[Native]],3,FALSE)</f>
        <v>阳信县</v>
      </c>
      <c r="G77" s="14" t="str">
        <f ca="1">VLOOKUP(F77,Table17[[Native]:[Population4]],5,FALSE)</f>
        <v>滨州市</v>
      </c>
    </row>
    <row r="78" spans="1:7" ht="15.75" thickBot="1" x14ac:dyDescent="0.3">
      <c r="A78" t="s">
        <v>167</v>
      </c>
      <c r="B78" s="1" t="s">
        <v>168</v>
      </c>
      <c r="C78" s="1" t="s">
        <v>7</v>
      </c>
      <c r="D78" s="1" t="s">
        <v>42</v>
      </c>
      <c r="E78" s="3">
        <v>11768</v>
      </c>
      <c r="F78" s="1" t="str">
        <f>VLOOKUP(D78,Table17[[Name]:[Native]],3,FALSE)</f>
        <v>惠民县</v>
      </c>
      <c r="G78" s="14" t="str">
        <f ca="1">VLOOKUP(F78,Table17[[Native]:[Population4]],5,FALSE)</f>
        <v>滨州市</v>
      </c>
    </row>
    <row r="79" spans="1:7" ht="15.75" thickBot="1" x14ac:dyDescent="0.3">
      <c r="A79" t="s">
        <v>169</v>
      </c>
      <c r="B79" s="1" t="s">
        <v>170</v>
      </c>
      <c r="C79" s="1" t="s">
        <v>61</v>
      </c>
      <c r="D79" s="1" t="s">
        <v>14</v>
      </c>
      <c r="E79" s="3">
        <v>13238</v>
      </c>
      <c r="F79" s="1" t="str">
        <f>VLOOKUP(D79,Table17[[Name]:[Native]],3,FALSE)</f>
        <v>沾化区</v>
      </c>
      <c r="G79" s="14" t="str">
        <f ca="1">VLOOKUP(F79,Table17[[Native]:[Population4]],5,FALSE)</f>
        <v>滨州市</v>
      </c>
    </row>
    <row r="80" spans="1:7" ht="15.75" thickBot="1" x14ac:dyDescent="0.3">
      <c r="A80" t="s">
        <v>171</v>
      </c>
      <c r="B80" s="1" t="s">
        <v>172</v>
      </c>
      <c r="C80" s="1" t="s">
        <v>13</v>
      </c>
      <c r="D80" s="1" t="s">
        <v>29</v>
      </c>
      <c r="E80" s="3">
        <v>36122</v>
      </c>
      <c r="F80" s="1" t="str">
        <f>VLOOKUP(D80,Table17[[Name]:[Native]],3,FALSE)</f>
        <v>无棣县</v>
      </c>
      <c r="G80" s="14" t="str">
        <f ca="1">VLOOKUP(F80,Table17[[Native]:[Population4]],5,FALSE)</f>
        <v>滨州市</v>
      </c>
    </row>
    <row r="81" spans="1:7" ht="15.75" thickBot="1" x14ac:dyDescent="0.3">
      <c r="A81" t="s">
        <v>173</v>
      </c>
      <c r="B81" s="1" t="s">
        <v>174</v>
      </c>
      <c r="C81" s="1" t="s">
        <v>7</v>
      </c>
      <c r="D81" s="1" t="s">
        <v>8</v>
      </c>
      <c r="E81" s="3">
        <v>35964</v>
      </c>
      <c r="F81" s="1" t="str">
        <f>VLOOKUP(D81,Table17[[Name]:[Native]],3,FALSE)</f>
        <v>滨城区</v>
      </c>
      <c r="G81" s="14" t="str">
        <f ca="1">VLOOKUP(F81,Table17[[Native]:[Population4]],5,FALSE)</f>
        <v>滨州市</v>
      </c>
    </row>
    <row r="82" spans="1:7" ht="15.75" thickBot="1" x14ac:dyDescent="0.3">
      <c r="A82" t="s">
        <v>175</v>
      </c>
      <c r="B82" s="1" t="s">
        <v>176</v>
      </c>
      <c r="C82" s="1" t="s">
        <v>13</v>
      </c>
      <c r="D82" s="1" t="s">
        <v>14</v>
      </c>
      <c r="E82" s="3">
        <v>49016</v>
      </c>
      <c r="F82" s="1" t="str">
        <f>VLOOKUP(D82,Table17[[Name]:[Native]],3,FALSE)</f>
        <v>沾化区</v>
      </c>
      <c r="G82" s="14" t="str">
        <f ca="1">VLOOKUP(F82,Table17[[Native]:[Population4]],5,FALSE)</f>
        <v>滨州市</v>
      </c>
    </row>
    <row r="83" spans="1:7" ht="15.75" thickBot="1" x14ac:dyDescent="0.3">
      <c r="A83" t="s">
        <v>177</v>
      </c>
      <c r="B83" s="1" t="s">
        <v>178</v>
      </c>
      <c r="C83" s="1" t="s">
        <v>7</v>
      </c>
      <c r="D83" s="1" t="s">
        <v>24</v>
      </c>
      <c r="E83" s="3">
        <v>35992</v>
      </c>
      <c r="F83" s="1" t="str">
        <f>VLOOKUP(D83,Table17[[Name]:[Native]],3,FALSE)</f>
        <v>邹平市</v>
      </c>
      <c r="G83" s="14" t="str">
        <f ca="1">VLOOKUP(F83,Table17[[Native]:[Population4]],5,FALSE)</f>
        <v>滨州市</v>
      </c>
    </row>
    <row r="84" spans="1:7" ht="15.75" thickBot="1" x14ac:dyDescent="0.3">
      <c r="A84" t="s">
        <v>179</v>
      </c>
      <c r="B84" s="1" t="s">
        <v>180</v>
      </c>
      <c r="C84" s="1" t="s">
        <v>7</v>
      </c>
      <c r="D84" s="1" t="s">
        <v>72</v>
      </c>
      <c r="E84" s="3">
        <v>45797</v>
      </c>
      <c r="F84" s="1" t="str">
        <f>VLOOKUP(D84,Table17[[Name]:[Native]],3,FALSE)</f>
        <v>阳信县</v>
      </c>
      <c r="G84" s="14" t="str">
        <f ca="1">VLOOKUP(F84,Table17[[Native]:[Population4]],5,FALSE)</f>
        <v>滨州市</v>
      </c>
    </row>
    <row r="85" spans="1:7" ht="15.75" thickBot="1" x14ac:dyDescent="0.3">
      <c r="A85" t="s">
        <v>181</v>
      </c>
      <c r="B85" s="1" t="s">
        <v>182</v>
      </c>
      <c r="C85" s="1" t="s">
        <v>13</v>
      </c>
      <c r="D85" s="1" t="s">
        <v>42</v>
      </c>
      <c r="E85" s="3">
        <v>44334</v>
      </c>
      <c r="F85" s="1" t="str">
        <f>VLOOKUP(D85,Table17[[Name]:[Native]],3,FALSE)</f>
        <v>惠民县</v>
      </c>
      <c r="G85" s="14" t="str">
        <f ca="1">VLOOKUP(F85,Table17[[Native]:[Population4]],5,FALSE)</f>
        <v>滨州市</v>
      </c>
    </row>
    <row r="86" spans="1:7" ht="15.75" thickBot="1" x14ac:dyDescent="0.3">
      <c r="A86" t="s">
        <v>183</v>
      </c>
      <c r="B86" s="1" t="s">
        <v>184</v>
      </c>
      <c r="C86" s="1" t="s">
        <v>13</v>
      </c>
      <c r="D86" s="1" t="s">
        <v>17</v>
      </c>
      <c r="E86" s="3">
        <v>39618</v>
      </c>
      <c r="F86" s="1" t="str">
        <f>VLOOKUP(D86,Table17[[Name]:[Native]],3,FALSE)</f>
        <v>博兴县</v>
      </c>
      <c r="G86" s="14" t="str">
        <f ca="1">VLOOKUP(F86,Table17[[Native]:[Population4]],5,FALSE)</f>
        <v>滨州市</v>
      </c>
    </row>
    <row r="87" spans="1:7" ht="15.75" thickBot="1" x14ac:dyDescent="0.3">
      <c r="A87" t="s">
        <v>185</v>
      </c>
      <c r="B87" s="1" t="s">
        <v>186</v>
      </c>
      <c r="C87" s="1" t="s">
        <v>13</v>
      </c>
      <c r="D87" s="1" t="s">
        <v>29</v>
      </c>
      <c r="E87" s="3">
        <v>30071</v>
      </c>
      <c r="F87" s="1" t="str">
        <f>VLOOKUP(D87,Table17[[Name]:[Native]],3,FALSE)</f>
        <v>无棣县</v>
      </c>
      <c r="G87" s="14" t="str">
        <f ca="1">VLOOKUP(F87,Table17[[Native]:[Population4]],5,FALSE)</f>
        <v>滨州市</v>
      </c>
    </row>
    <row r="88" spans="1:7" ht="15.75" thickBot="1" x14ac:dyDescent="0.3">
      <c r="A88" t="s">
        <v>187</v>
      </c>
      <c r="B88" s="1" t="s">
        <v>188</v>
      </c>
      <c r="C88" s="1" t="s">
        <v>13</v>
      </c>
      <c r="D88" s="1" t="s">
        <v>29</v>
      </c>
      <c r="E88" s="3">
        <v>19704</v>
      </c>
      <c r="F88" s="1" t="str">
        <f>VLOOKUP(D88,Table17[[Name]:[Native]],3,FALSE)</f>
        <v>无棣县</v>
      </c>
      <c r="G88" s="14" t="str">
        <f ca="1">VLOOKUP(F88,Table17[[Native]:[Population4]],5,FALSE)</f>
        <v>滨州市</v>
      </c>
    </row>
    <row r="89" spans="1:7" ht="15.75" thickBot="1" x14ac:dyDescent="0.3">
      <c r="A89" t="s">
        <v>189</v>
      </c>
      <c r="B89" s="1" t="s">
        <v>190</v>
      </c>
      <c r="C89" s="1" t="s">
        <v>61</v>
      </c>
      <c r="D89" s="1" t="s">
        <v>72</v>
      </c>
      <c r="E89" s="3">
        <v>48231</v>
      </c>
      <c r="F89" s="1" t="str">
        <f>VLOOKUP(D89,Table17[[Name]:[Native]],3,FALSE)</f>
        <v>阳信县</v>
      </c>
      <c r="G89" s="14" t="str">
        <f ca="1">VLOOKUP(F89,Table17[[Native]:[Population4]],5,FALSE)</f>
        <v>滨州市</v>
      </c>
    </row>
    <row r="90" spans="1:7" ht="15.75" thickBot="1" x14ac:dyDescent="0.3">
      <c r="A90" t="s">
        <v>191</v>
      </c>
      <c r="B90" s="1" t="s">
        <v>192</v>
      </c>
      <c r="C90" s="1" t="s">
        <v>13</v>
      </c>
      <c r="D90" s="1" t="s">
        <v>8</v>
      </c>
      <c r="E90" s="3">
        <v>40124</v>
      </c>
      <c r="F90" s="1" t="str">
        <f>VLOOKUP(D90,Table17[[Name]:[Native]],3,FALSE)</f>
        <v>滨城区</v>
      </c>
      <c r="G90" s="14" t="str">
        <f ca="1">VLOOKUP(F90,Table17[[Native]:[Population4]],5,FALSE)</f>
        <v>滨州市</v>
      </c>
    </row>
    <row r="91" spans="1:7" ht="15.75" thickBot="1" x14ac:dyDescent="0.3">
      <c r="A91" t="s">
        <v>193</v>
      </c>
      <c r="B91" s="1" t="s">
        <v>194</v>
      </c>
      <c r="C91" s="1" t="s">
        <v>13</v>
      </c>
      <c r="D91" s="1" t="s">
        <v>42</v>
      </c>
      <c r="E91" s="3">
        <v>30324</v>
      </c>
      <c r="F91" s="1" t="str">
        <f>VLOOKUP(D91,Table17[[Name]:[Native]],3,FALSE)</f>
        <v>惠民县</v>
      </c>
      <c r="G91" s="14" t="str">
        <f ca="1">VLOOKUP(F91,Table17[[Native]:[Population4]],5,FALSE)</f>
        <v>滨州市</v>
      </c>
    </row>
    <row r="92" spans="1:7" ht="15.75" thickBot="1" x14ac:dyDescent="0.3">
      <c r="A92" t="s">
        <v>195</v>
      </c>
      <c r="B92" s="1" t="s">
        <v>196</v>
      </c>
      <c r="C92" s="1" t="s">
        <v>13</v>
      </c>
      <c r="D92" s="1" t="s">
        <v>72</v>
      </c>
      <c r="E92" s="3">
        <v>34333</v>
      </c>
      <c r="F92" s="1" t="str">
        <f>VLOOKUP(D92,Table17[[Name]:[Native]],3,FALSE)</f>
        <v>阳信县</v>
      </c>
      <c r="G92" s="14" t="str">
        <f ca="1">VLOOKUP(F92,Table17[[Native]:[Population4]],5,FALSE)</f>
        <v>滨州市</v>
      </c>
    </row>
    <row r="93" spans="1:7" ht="15.75" thickBot="1" x14ac:dyDescent="0.3">
      <c r="A93" t="s">
        <v>197</v>
      </c>
      <c r="B93" s="1" t="s">
        <v>198</v>
      </c>
      <c r="C93" s="1" t="s">
        <v>13</v>
      </c>
      <c r="D93" s="1" t="s">
        <v>42</v>
      </c>
      <c r="E93" s="3">
        <v>30184</v>
      </c>
      <c r="F93" s="10" t="str">
        <f>VLOOKUP(D93,Table17[[Name]:[Native]],3,FALSE)</f>
        <v>惠民县</v>
      </c>
      <c r="G93" s="14" t="str">
        <f ca="1">VLOOKUP(F93,Table17[[Native]:[Population4]],5,FALSE)</f>
        <v>滨州市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5E81F-C6C0-4A9C-AC8A-E6782FE59702}">
  <dimension ref="A1:G133"/>
  <sheetViews>
    <sheetView workbookViewId="0">
      <selection activeCell="A2" sqref="A2:G13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199</v>
      </c>
      <c r="B2" s="1" t="s">
        <v>200</v>
      </c>
      <c r="C2" s="1" t="s">
        <v>7</v>
      </c>
      <c r="D2" s="1" t="s">
        <v>201</v>
      </c>
      <c r="E2" s="3">
        <v>45171</v>
      </c>
      <c r="F2" s="9" t="str">
        <f>VLOOKUP(D2,Table17[[Name]:[Native]],3,FALSE)</f>
        <v>陵城区</v>
      </c>
      <c r="G2" s="14" t="str">
        <f ca="1">VLOOKUP(F2,Table17[[Native]:[Population4]],5,FALSE)</f>
        <v>德州市</v>
      </c>
    </row>
    <row r="3" spans="1:7" ht="15.75" thickBot="1" x14ac:dyDescent="0.3">
      <c r="A3" t="s">
        <v>202</v>
      </c>
      <c r="B3" s="1" t="s">
        <v>203</v>
      </c>
      <c r="C3" s="1" t="s">
        <v>13</v>
      </c>
      <c r="D3" s="1" t="s">
        <v>204</v>
      </c>
      <c r="E3" s="3">
        <v>28669</v>
      </c>
      <c r="F3" s="1" t="str">
        <f>VLOOKUP(D3,Table17[[Name]:[Native]],3,FALSE)</f>
        <v>禹城市</v>
      </c>
      <c r="G3" s="14" t="str">
        <f ca="1">VLOOKUP(F3,Table17[[Native]:[Population4]],5,FALSE)</f>
        <v>德州市</v>
      </c>
    </row>
    <row r="4" spans="1:7" ht="15.75" thickBot="1" x14ac:dyDescent="0.3">
      <c r="A4" t="s">
        <v>205</v>
      </c>
      <c r="B4" s="1" t="s">
        <v>206</v>
      </c>
      <c r="C4" s="1" t="s">
        <v>61</v>
      </c>
      <c r="D4" s="1" t="s">
        <v>207</v>
      </c>
      <c r="E4" s="3">
        <v>21609</v>
      </c>
      <c r="F4" s="1" t="str">
        <f>VLOOKUP(D4,Table17[[Name]:[Native]],3,FALSE)</f>
        <v>齐河县</v>
      </c>
      <c r="G4" s="14" t="str">
        <f ca="1">VLOOKUP(F4,Table17[[Native]:[Population4]],5,FALSE)</f>
        <v>德州市</v>
      </c>
    </row>
    <row r="5" spans="1:7" ht="15.75" thickBot="1" x14ac:dyDescent="0.3">
      <c r="A5" t="s">
        <v>208</v>
      </c>
      <c r="B5" s="1" t="s">
        <v>209</v>
      </c>
      <c r="C5" s="1" t="s">
        <v>13</v>
      </c>
      <c r="D5" s="1" t="s">
        <v>210</v>
      </c>
      <c r="E5" s="3">
        <v>31009</v>
      </c>
      <c r="F5" s="1" t="str">
        <f>VLOOKUP(D5,Table17[[Name]:[Native]],3,FALSE)</f>
        <v>夏津县</v>
      </c>
      <c r="G5" s="14" t="str">
        <f ca="1">VLOOKUP(F5,Table17[[Native]:[Population4]],5,FALSE)</f>
        <v>德州市</v>
      </c>
    </row>
    <row r="6" spans="1:7" ht="15.75" thickBot="1" x14ac:dyDescent="0.3">
      <c r="A6" t="s">
        <v>211</v>
      </c>
      <c r="B6" s="1" t="s">
        <v>212</v>
      </c>
      <c r="C6" s="1" t="s">
        <v>13</v>
      </c>
      <c r="D6" s="1" t="s">
        <v>213</v>
      </c>
      <c r="E6" s="3">
        <v>34470</v>
      </c>
      <c r="F6" s="1" t="str">
        <f>VLOOKUP(D6,Table17[[Name]:[Native]],3,FALSE)</f>
        <v>宁津县</v>
      </c>
      <c r="G6" s="14" t="str">
        <f ca="1">VLOOKUP(F6,Table17[[Native]:[Population4]],5,FALSE)</f>
        <v>德州市</v>
      </c>
    </row>
    <row r="7" spans="1:7" ht="15.75" thickBot="1" x14ac:dyDescent="0.3">
      <c r="A7" t="s">
        <v>214</v>
      </c>
      <c r="B7" s="1" t="s">
        <v>215</v>
      </c>
      <c r="C7" s="1" t="s">
        <v>7</v>
      </c>
      <c r="D7" s="1" t="s">
        <v>210</v>
      </c>
      <c r="E7" s="3">
        <v>45241</v>
      </c>
      <c r="F7" s="1" t="str">
        <f>VLOOKUP(D7,Table17[[Name]:[Native]],3,FALSE)</f>
        <v>夏津县</v>
      </c>
      <c r="G7" s="14" t="str">
        <f ca="1">VLOOKUP(F7,Table17[[Native]:[Population4]],5,FALSE)</f>
        <v>德州市</v>
      </c>
    </row>
    <row r="8" spans="1:7" ht="15.75" thickBot="1" x14ac:dyDescent="0.3">
      <c r="A8" t="s">
        <v>216</v>
      </c>
      <c r="B8" s="1" t="s">
        <v>217</v>
      </c>
      <c r="C8" s="1" t="s">
        <v>13</v>
      </c>
      <c r="D8" s="1" t="s">
        <v>201</v>
      </c>
      <c r="E8" s="3">
        <v>26475</v>
      </c>
      <c r="F8" s="1" t="str">
        <f>VLOOKUP(D8,Table17[[Name]:[Native]],3,FALSE)</f>
        <v>陵城区</v>
      </c>
      <c r="G8" s="14" t="str">
        <f ca="1">VLOOKUP(F8,Table17[[Native]:[Population4]],5,FALSE)</f>
        <v>德州市</v>
      </c>
    </row>
    <row r="9" spans="1:7" ht="15.75" thickBot="1" x14ac:dyDescent="0.3">
      <c r="A9" t="s">
        <v>218</v>
      </c>
      <c r="B9" s="1" t="s">
        <v>219</v>
      </c>
      <c r="C9" s="1" t="s">
        <v>13</v>
      </c>
      <c r="D9" s="1" t="s">
        <v>207</v>
      </c>
      <c r="E9" s="3">
        <v>26972</v>
      </c>
      <c r="F9" s="1" t="str">
        <f>VLOOKUP(D9,Table17[[Name]:[Native]],3,FALSE)</f>
        <v>齐河县</v>
      </c>
      <c r="G9" s="14" t="str">
        <f ca="1">VLOOKUP(F9,Table17[[Native]:[Population4]],5,FALSE)</f>
        <v>德州市</v>
      </c>
    </row>
    <row r="10" spans="1:7" ht="15.75" thickBot="1" x14ac:dyDescent="0.3">
      <c r="A10" t="s">
        <v>220</v>
      </c>
      <c r="B10" s="1" t="s">
        <v>221</v>
      </c>
      <c r="C10" s="1" t="s">
        <v>7</v>
      </c>
      <c r="D10" s="1" t="s">
        <v>222</v>
      </c>
      <c r="E10" s="3">
        <v>62560</v>
      </c>
      <c r="F10" s="1" t="str">
        <f>VLOOKUP(D10,Table17[[Name]:[Native]],3,FALSE)</f>
        <v>庆云县</v>
      </c>
      <c r="G10" s="14" t="str">
        <f ca="1">VLOOKUP(F10,Table17[[Native]:[Population4]],5,FALSE)</f>
        <v>德州市</v>
      </c>
    </row>
    <row r="11" spans="1:7" ht="15.75" thickBot="1" x14ac:dyDescent="0.3">
      <c r="A11" t="s">
        <v>223</v>
      </c>
      <c r="B11" s="1" t="s">
        <v>224</v>
      </c>
      <c r="C11" s="1" t="s">
        <v>13</v>
      </c>
      <c r="D11" s="1" t="s">
        <v>213</v>
      </c>
      <c r="E11" s="3">
        <v>52221</v>
      </c>
      <c r="F11" s="1" t="str">
        <f>VLOOKUP(D11,Table17[[Name]:[Native]],3,FALSE)</f>
        <v>宁津县</v>
      </c>
      <c r="G11" s="14" t="str">
        <f ca="1">VLOOKUP(F11,Table17[[Native]:[Population4]],5,FALSE)</f>
        <v>德州市</v>
      </c>
    </row>
    <row r="12" spans="1:7" ht="15.75" thickBot="1" x14ac:dyDescent="0.3">
      <c r="A12" t="s">
        <v>225</v>
      </c>
      <c r="B12" s="1" t="s">
        <v>226</v>
      </c>
      <c r="C12" s="1" t="s">
        <v>13</v>
      </c>
      <c r="D12" s="1" t="s">
        <v>213</v>
      </c>
      <c r="E12" s="3">
        <v>38056</v>
      </c>
      <c r="F12" s="1" t="str">
        <f>VLOOKUP(D12,Table17[[Name]:[Native]],3,FALSE)</f>
        <v>宁津县</v>
      </c>
      <c r="G12" s="14" t="str">
        <f ca="1">VLOOKUP(F12,Table17[[Native]:[Population4]],5,FALSE)</f>
        <v>德州市</v>
      </c>
    </row>
    <row r="13" spans="1:7" ht="15.75" thickBot="1" x14ac:dyDescent="0.3">
      <c r="A13" t="s">
        <v>227</v>
      </c>
      <c r="B13" s="1" t="s">
        <v>228</v>
      </c>
      <c r="C13" s="1" t="s">
        <v>7</v>
      </c>
      <c r="D13" s="1" t="s">
        <v>229</v>
      </c>
      <c r="E13" s="3">
        <v>48297</v>
      </c>
      <c r="F13" s="1" t="str">
        <f>VLOOKUP(D13,Table17[[Name]:[Native]],3,FALSE)</f>
        <v>德城区</v>
      </c>
      <c r="G13" s="14" t="str">
        <f ca="1">VLOOKUP(F13,Table17[[Native]:[Population4]],5,FALSE)</f>
        <v>德州市</v>
      </c>
    </row>
    <row r="14" spans="1:7" ht="15.75" thickBot="1" x14ac:dyDescent="0.3">
      <c r="A14" t="s">
        <v>230</v>
      </c>
      <c r="B14" s="1" t="s">
        <v>231</v>
      </c>
      <c r="C14" s="1" t="s">
        <v>13</v>
      </c>
      <c r="D14" s="1" t="s">
        <v>222</v>
      </c>
      <c r="E14" s="3">
        <v>46801</v>
      </c>
      <c r="F14" s="1" t="str">
        <f>VLOOKUP(D14,Table17[[Name]:[Native]],3,FALSE)</f>
        <v>庆云县</v>
      </c>
      <c r="G14" s="14" t="str">
        <f ca="1">VLOOKUP(F14,Table17[[Native]:[Population4]],5,FALSE)</f>
        <v>德州市</v>
      </c>
    </row>
    <row r="15" spans="1:7" ht="15.75" thickBot="1" x14ac:dyDescent="0.3">
      <c r="A15" t="s">
        <v>232</v>
      </c>
      <c r="B15" s="1" t="s">
        <v>233</v>
      </c>
      <c r="C15" s="1" t="s">
        <v>13</v>
      </c>
      <c r="D15" s="1" t="s">
        <v>222</v>
      </c>
      <c r="E15" s="3">
        <v>13747</v>
      </c>
      <c r="F15" s="1" t="str">
        <f>VLOOKUP(D15,Table17[[Name]:[Native]],3,FALSE)</f>
        <v>庆云县</v>
      </c>
      <c r="G15" s="14" t="str">
        <f ca="1">VLOOKUP(F15,Table17[[Native]:[Population4]],5,FALSE)</f>
        <v>德州市</v>
      </c>
    </row>
    <row r="16" spans="1:7" ht="15.75" thickBot="1" x14ac:dyDescent="0.3">
      <c r="A16" t="s">
        <v>234</v>
      </c>
      <c r="B16" s="1" t="s">
        <v>235</v>
      </c>
      <c r="C16" s="1" t="s">
        <v>13</v>
      </c>
      <c r="D16" s="1" t="s">
        <v>213</v>
      </c>
      <c r="E16" s="3">
        <v>34205</v>
      </c>
      <c r="F16" s="1" t="str">
        <f>VLOOKUP(D16,Table17[[Name]:[Native]],3,FALSE)</f>
        <v>宁津县</v>
      </c>
      <c r="G16" s="14" t="str">
        <f ca="1">VLOOKUP(F16,Table17[[Native]:[Population4]],5,FALSE)</f>
        <v>德州市</v>
      </c>
    </row>
    <row r="17" spans="1:7" ht="15.75" thickBot="1" x14ac:dyDescent="0.3">
      <c r="A17" t="s">
        <v>236</v>
      </c>
      <c r="B17" s="1" t="s">
        <v>237</v>
      </c>
      <c r="C17" s="1" t="s">
        <v>61</v>
      </c>
      <c r="D17" s="1" t="s">
        <v>207</v>
      </c>
      <c r="E17" s="3">
        <v>26609</v>
      </c>
      <c r="F17" s="1" t="str">
        <f>VLOOKUP(D17,Table17[[Name]:[Native]],3,FALSE)</f>
        <v>齐河县</v>
      </c>
      <c r="G17" s="14" t="str">
        <f ca="1">VLOOKUP(F17,Table17[[Native]:[Population4]],5,FALSE)</f>
        <v>德州市</v>
      </c>
    </row>
    <row r="18" spans="1:7" ht="15.75" thickBot="1" x14ac:dyDescent="0.3">
      <c r="A18" t="s">
        <v>238</v>
      </c>
      <c r="B18" s="1" t="s">
        <v>239</v>
      </c>
      <c r="C18" s="1" t="s">
        <v>13</v>
      </c>
      <c r="D18" s="1" t="s">
        <v>213</v>
      </c>
      <c r="E18" s="3">
        <v>28960</v>
      </c>
      <c r="F18" s="1" t="str">
        <f>VLOOKUP(D18,Table17[[Name]:[Native]],3,FALSE)</f>
        <v>宁津县</v>
      </c>
      <c r="G18" s="14" t="str">
        <f ca="1">VLOOKUP(F18,Table17[[Native]:[Population4]],5,FALSE)</f>
        <v>德州市</v>
      </c>
    </row>
    <row r="19" spans="1:7" ht="15.75" thickBot="1" x14ac:dyDescent="0.3">
      <c r="A19" t="s">
        <v>240</v>
      </c>
      <c r="B19" s="1" t="s">
        <v>241</v>
      </c>
      <c r="C19" s="1" t="s">
        <v>61</v>
      </c>
      <c r="D19" s="1" t="s">
        <v>242</v>
      </c>
      <c r="E19" s="3">
        <v>22529</v>
      </c>
      <c r="F19" s="1" t="str">
        <f>VLOOKUP(D19,Table17[[Name]:[Native]],3,FALSE)</f>
        <v>乐陵市</v>
      </c>
      <c r="G19" s="14" t="str">
        <f ca="1">VLOOKUP(F19,Table17[[Native]:[Population4]],5,FALSE)</f>
        <v>德州市</v>
      </c>
    </row>
    <row r="20" spans="1:7" ht="15.75" thickBot="1" x14ac:dyDescent="0.3">
      <c r="A20" t="s">
        <v>243</v>
      </c>
      <c r="B20" s="1" t="s">
        <v>244</v>
      </c>
      <c r="C20" s="1" t="s">
        <v>13</v>
      </c>
      <c r="D20" s="1" t="s">
        <v>245</v>
      </c>
      <c r="E20" s="3">
        <v>50655</v>
      </c>
      <c r="F20" s="1" t="str">
        <f>VLOOKUP(D20,Table17[[Name]:[Native]],3,FALSE)</f>
        <v>临邑县</v>
      </c>
      <c r="G20" s="14" t="str">
        <f ca="1">VLOOKUP(F20,Table17[[Native]:[Population4]],5,FALSE)</f>
        <v>德州市</v>
      </c>
    </row>
    <row r="21" spans="1:7" ht="15.75" thickBot="1" x14ac:dyDescent="0.3">
      <c r="A21" t="s">
        <v>246</v>
      </c>
      <c r="B21" s="1" t="s">
        <v>247</v>
      </c>
      <c r="C21" s="1" t="s">
        <v>7</v>
      </c>
      <c r="D21" s="1" t="s">
        <v>248</v>
      </c>
      <c r="E21" s="3">
        <v>19013</v>
      </c>
      <c r="F21" s="1" t="str">
        <f>VLOOKUP(D21,Table17[[Name]:[Native]],3,FALSE)</f>
        <v>平原县</v>
      </c>
      <c r="G21" s="14" t="str">
        <f ca="1">VLOOKUP(F21,Table17[[Native]:[Population4]],5,FALSE)</f>
        <v>德州市</v>
      </c>
    </row>
    <row r="22" spans="1:7" ht="15.75" thickBot="1" x14ac:dyDescent="0.3">
      <c r="A22" t="s">
        <v>249</v>
      </c>
      <c r="B22" s="1" t="s">
        <v>250</v>
      </c>
      <c r="C22" s="1" t="s">
        <v>13</v>
      </c>
      <c r="D22" s="1" t="s">
        <v>242</v>
      </c>
      <c r="E22" s="3">
        <v>37573</v>
      </c>
      <c r="F22" s="1" t="str">
        <f>VLOOKUP(D22,Table17[[Name]:[Native]],3,FALSE)</f>
        <v>乐陵市</v>
      </c>
      <c r="G22" s="14" t="str">
        <f ca="1">VLOOKUP(F22,Table17[[Native]:[Population4]],5,FALSE)</f>
        <v>德州市</v>
      </c>
    </row>
    <row r="23" spans="1:7" ht="15.75" thickBot="1" x14ac:dyDescent="0.3">
      <c r="A23" t="s">
        <v>251</v>
      </c>
      <c r="B23" s="1" t="s">
        <v>252</v>
      </c>
      <c r="C23" s="1" t="s">
        <v>13</v>
      </c>
      <c r="D23" s="1" t="s">
        <v>201</v>
      </c>
      <c r="E23" s="3">
        <v>18010</v>
      </c>
      <c r="F23" s="1" t="str">
        <f>VLOOKUP(D23,Table17[[Name]:[Native]],3,FALSE)</f>
        <v>陵城区</v>
      </c>
      <c r="G23" s="14" t="str">
        <f ca="1">VLOOKUP(F23,Table17[[Native]:[Population4]],5,FALSE)</f>
        <v>德州市</v>
      </c>
    </row>
    <row r="24" spans="1:7" ht="15.75" thickBot="1" x14ac:dyDescent="0.3">
      <c r="A24" t="s">
        <v>253</v>
      </c>
      <c r="B24" s="1" t="s">
        <v>254</v>
      </c>
      <c r="C24" s="1" t="s">
        <v>13</v>
      </c>
      <c r="D24" s="1" t="s">
        <v>210</v>
      </c>
      <c r="E24" s="3">
        <v>27055</v>
      </c>
      <c r="F24" s="1" t="str">
        <f>VLOOKUP(D24,Table17[[Name]:[Native]],3,FALSE)</f>
        <v>夏津县</v>
      </c>
      <c r="G24" s="14" t="str">
        <f ca="1">VLOOKUP(F24,Table17[[Native]:[Population4]],5,FALSE)</f>
        <v>德州市</v>
      </c>
    </row>
    <row r="25" spans="1:7" ht="15.75" thickBot="1" x14ac:dyDescent="0.3">
      <c r="A25" t="s">
        <v>255</v>
      </c>
      <c r="B25" s="1" t="s">
        <v>256</v>
      </c>
      <c r="C25" s="1" t="s">
        <v>13</v>
      </c>
      <c r="D25" s="1" t="s">
        <v>222</v>
      </c>
      <c r="E25" s="3">
        <v>19713</v>
      </c>
      <c r="F25" s="1" t="str">
        <f>VLOOKUP(D25,Table17[[Name]:[Native]],3,FALSE)</f>
        <v>庆云县</v>
      </c>
      <c r="G25" s="14" t="str">
        <f ca="1">VLOOKUP(F25,Table17[[Native]:[Population4]],5,FALSE)</f>
        <v>德州市</v>
      </c>
    </row>
    <row r="26" spans="1:7" ht="15.75" thickBot="1" x14ac:dyDescent="0.3">
      <c r="A26" t="s">
        <v>257</v>
      </c>
      <c r="B26" s="1" t="s">
        <v>258</v>
      </c>
      <c r="C26" s="1" t="s">
        <v>13</v>
      </c>
      <c r="D26" s="1" t="s">
        <v>213</v>
      </c>
      <c r="E26" s="3">
        <v>52229</v>
      </c>
      <c r="F26" s="1" t="str">
        <f>VLOOKUP(D26,Table17[[Name]:[Native]],3,FALSE)</f>
        <v>宁津县</v>
      </c>
      <c r="G26" s="14" t="str">
        <f ca="1">VLOOKUP(F26,Table17[[Native]:[Population4]],5,FALSE)</f>
        <v>德州市</v>
      </c>
    </row>
    <row r="27" spans="1:7" ht="15.75" thickBot="1" x14ac:dyDescent="0.3">
      <c r="A27" t="s">
        <v>259</v>
      </c>
      <c r="B27" s="1" t="s">
        <v>260</v>
      </c>
      <c r="C27" s="1" t="s">
        <v>61</v>
      </c>
      <c r="D27" s="1" t="s">
        <v>210</v>
      </c>
      <c r="E27" s="3">
        <v>17790</v>
      </c>
      <c r="F27" s="1" t="str">
        <f>VLOOKUP(D27,Table17[[Name]:[Native]],3,FALSE)</f>
        <v>夏津县</v>
      </c>
      <c r="G27" s="14" t="str">
        <f ca="1">VLOOKUP(F27,Table17[[Native]:[Population4]],5,FALSE)</f>
        <v>德州市</v>
      </c>
    </row>
    <row r="28" spans="1:7" ht="15.75" thickBot="1" x14ac:dyDescent="0.3">
      <c r="A28" t="s">
        <v>261</v>
      </c>
      <c r="B28" s="1" t="s">
        <v>262</v>
      </c>
      <c r="C28" s="1" t="s">
        <v>13</v>
      </c>
      <c r="D28" s="1" t="s">
        <v>248</v>
      </c>
      <c r="E28" s="3">
        <v>54104</v>
      </c>
      <c r="F28" s="1" t="str">
        <f>VLOOKUP(D28,Table17[[Name]:[Native]],3,FALSE)</f>
        <v>平原县</v>
      </c>
      <c r="G28" s="14" t="str">
        <f ca="1">VLOOKUP(F28,Table17[[Native]:[Population4]],5,FALSE)</f>
        <v>德州市</v>
      </c>
    </row>
    <row r="29" spans="1:7" ht="15.75" thickBot="1" x14ac:dyDescent="0.3">
      <c r="A29" t="s">
        <v>263</v>
      </c>
      <c r="B29" s="1" t="s">
        <v>264</v>
      </c>
      <c r="C29" s="1" t="s">
        <v>13</v>
      </c>
      <c r="D29" s="1" t="s">
        <v>229</v>
      </c>
      <c r="E29" s="3">
        <v>14698</v>
      </c>
      <c r="F29" s="1" t="str">
        <f>VLOOKUP(D29,Table17[[Name]:[Native]],3,FALSE)</f>
        <v>德城区</v>
      </c>
      <c r="G29" s="14" t="str">
        <f ca="1">VLOOKUP(F29,Table17[[Native]:[Population4]],5,FALSE)</f>
        <v>德州市</v>
      </c>
    </row>
    <row r="30" spans="1:7" ht="15.75" thickBot="1" x14ac:dyDescent="0.3">
      <c r="A30" t="s">
        <v>265</v>
      </c>
      <c r="B30" s="1" t="s">
        <v>266</v>
      </c>
      <c r="C30" s="1" t="s">
        <v>13</v>
      </c>
      <c r="D30" s="1" t="s">
        <v>204</v>
      </c>
      <c r="E30" s="3">
        <v>66695</v>
      </c>
      <c r="F30" s="1" t="str">
        <f>VLOOKUP(D30,Table17[[Name]:[Native]],3,FALSE)</f>
        <v>禹城市</v>
      </c>
      <c r="G30" s="14" t="str">
        <f ca="1">VLOOKUP(F30,Table17[[Native]:[Population4]],5,FALSE)</f>
        <v>德州市</v>
      </c>
    </row>
    <row r="31" spans="1:7" ht="15.75" thickBot="1" x14ac:dyDescent="0.3">
      <c r="A31" t="s">
        <v>267</v>
      </c>
      <c r="B31" s="1" t="s">
        <v>268</v>
      </c>
      <c r="C31" s="1" t="s">
        <v>7</v>
      </c>
      <c r="D31" s="1" t="s">
        <v>229</v>
      </c>
      <c r="E31" s="3">
        <v>99731</v>
      </c>
      <c r="F31" s="1" t="str">
        <f>VLOOKUP(D31,Table17[[Name]:[Native]],3,FALSE)</f>
        <v>德城区</v>
      </c>
      <c r="G31" s="14" t="str">
        <f ca="1">VLOOKUP(F31,Table17[[Native]:[Population4]],5,FALSE)</f>
        <v>德州市</v>
      </c>
    </row>
    <row r="32" spans="1:7" ht="15.75" thickBot="1" x14ac:dyDescent="0.3">
      <c r="A32" t="s">
        <v>269</v>
      </c>
      <c r="B32" s="1" t="s">
        <v>270</v>
      </c>
      <c r="C32" s="1" t="s">
        <v>7</v>
      </c>
      <c r="D32" s="1" t="s">
        <v>271</v>
      </c>
      <c r="E32" s="3">
        <v>73278</v>
      </c>
      <c r="F32" s="1" t="str">
        <f>VLOOKUP(D32,Table17[[Name]:[Native]],3,FALSE)</f>
        <v>武城县</v>
      </c>
      <c r="G32" s="14" t="str">
        <f ca="1">VLOOKUP(F32,Table17[[Native]:[Population4]],5,FALSE)</f>
        <v>德州市</v>
      </c>
    </row>
    <row r="33" spans="1:7" ht="15.75" thickBot="1" x14ac:dyDescent="0.3">
      <c r="A33" t="s">
        <v>272</v>
      </c>
      <c r="B33" s="1" t="s">
        <v>273</v>
      </c>
      <c r="C33" s="1" t="s">
        <v>7</v>
      </c>
      <c r="D33" s="1" t="s">
        <v>242</v>
      </c>
      <c r="E33" s="3">
        <v>15710</v>
      </c>
      <c r="F33" s="1" t="str">
        <f>VLOOKUP(D33,Table17[[Name]:[Native]],3,FALSE)</f>
        <v>乐陵市</v>
      </c>
      <c r="G33" s="14" t="str">
        <f ca="1">VLOOKUP(F33,Table17[[Native]:[Population4]],5,FALSE)</f>
        <v>德州市</v>
      </c>
    </row>
    <row r="34" spans="1:7" ht="15.75" thickBot="1" x14ac:dyDescent="0.3">
      <c r="A34" t="s">
        <v>274</v>
      </c>
      <c r="B34" s="1" t="s">
        <v>275</v>
      </c>
      <c r="C34" s="1" t="s">
        <v>13</v>
      </c>
      <c r="D34" s="1" t="s">
        <v>271</v>
      </c>
      <c r="E34" s="3">
        <v>40688</v>
      </c>
      <c r="F34" s="1" t="str">
        <f>VLOOKUP(D34,Table17[[Name]:[Native]],3,FALSE)</f>
        <v>武城县</v>
      </c>
      <c r="G34" s="14" t="str">
        <f ca="1">VLOOKUP(F34,Table17[[Native]:[Population4]],5,FALSE)</f>
        <v>德州市</v>
      </c>
    </row>
    <row r="35" spans="1:7" ht="15.75" thickBot="1" x14ac:dyDescent="0.3">
      <c r="A35" t="s">
        <v>276</v>
      </c>
      <c r="B35" s="1" t="s">
        <v>277</v>
      </c>
      <c r="C35" s="1" t="s">
        <v>7</v>
      </c>
      <c r="D35" s="1" t="s">
        <v>245</v>
      </c>
      <c r="E35" s="3">
        <v>35529</v>
      </c>
      <c r="F35" s="1" t="str">
        <f>VLOOKUP(D35,Table17[[Name]:[Native]],3,FALSE)</f>
        <v>临邑县</v>
      </c>
      <c r="G35" s="14" t="str">
        <f ca="1">VLOOKUP(F35,Table17[[Native]:[Population4]],5,FALSE)</f>
        <v>德州市</v>
      </c>
    </row>
    <row r="36" spans="1:7" ht="15.75" thickBot="1" x14ac:dyDescent="0.3">
      <c r="A36" t="s">
        <v>278</v>
      </c>
      <c r="B36" s="1" t="s">
        <v>279</v>
      </c>
      <c r="C36" s="1" t="s">
        <v>13</v>
      </c>
      <c r="D36" s="1" t="s">
        <v>207</v>
      </c>
      <c r="E36" s="3">
        <v>23684</v>
      </c>
      <c r="F36" s="1" t="str">
        <f>VLOOKUP(D36,Table17[[Name]:[Native]],3,FALSE)</f>
        <v>齐河县</v>
      </c>
      <c r="G36" s="14" t="str">
        <f ca="1">VLOOKUP(F36,Table17[[Native]:[Population4]],5,FALSE)</f>
        <v>德州市</v>
      </c>
    </row>
    <row r="37" spans="1:7" ht="15.75" thickBot="1" x14ac:dyDescent="0.3">
      <c r="A37" t="s">
        <v>280</v>
      </c>
      <c r="B37" s="1" t="s">
        <v>281</v>
      </c>
      <c r="C37" s="1" t="s">
        <v>13</v>
      </c>
      <c r="D37" s="1" t="s">
        <v>242</v>
      </c>
      <c r="E37" s="3">
        <v>36917</v>
      </c>
      <c r="F37" s="1" t="str">
        <f>VLOOKUP(D37,Table17[[Name]:[Native]],3,FALSE)</f>
        <v>乐陵市</v>
      </c>
      <c r="G37" s="14" t="str">
        <f ca="1">VLOOKUP(F37,Table17[[Native]:[Population4]],5,FALSE)</f>
        <v>德州市</v>
      </c>
    </row>
    <row r="38" spans="1:7" ht="15.75" thickBot="1" x14ac:dyDescent="0.3">
      <c r="A38" t="s">
        <v>282</v>
      </c>
      <c r="B38" s="1" t="s">
        <v>283</v>
      </c>
      <c r="C38" s="1" t="s">
        <v>13</v>
      </c>
      <c r="D38" s="1" t="s">
        <v>229</v>
      </c>
      <c r="E38" s="3">
        <v>49250</v>
      </c>
      <c r="F38" s="1" t="str">
        <f>VLOOKUP(D38,Table17[[Name]:[Native]],3,FALSE)</f>
        <v>德城区</v>
      </c>
      <c r="G38" s="14" t="str">
        <f ca="1">VLOOKUP(F38,Table17[[Native]:[Population4]],5,FALSE)</f>
        <v>德州市</v>
      </c>
    </row>
    <row r="39" spans="1:7" ht="15.75" thickBot="1" x14ac:dyDescent="0.3">
      <c r="A39" t="s">
        <v>284</v>
      </c>
      <c r="B39" s="1" t="s">
        <v>285</v>
      </c>
      <c r="C39" s="1" t="s">
        <v>13</v>
      </c>
      <c r="D39" s="1" t="s">
        <v>242</v>
      </c>
      <c r="E39" s="3">
        <v>57084</v>
      </c>
      <c r="F39" s="1" t="str">
        <f>VLOOKUP(D39,Table17[[Name]:[Native]],3,FALSE)</f>
        <v>乐陵市</v>
      </c>
      <c r="G39" s="14" t="str">
        <f ca="1">VLOOKUP(F39,Table17[[Native]:[Population4]],5,FALSE)</f>
        <v>德州市</v>
      </c>
    </row>
    <row r="40" spans="1:7" ht="15.75" thickBot="1" x14ac:dyDescent="0.3">
      <c r="A40" t="s">
        <v>286</v>
      </c>
      <c r="B40" s="1" t="s">
        <v>287</v>
      </c>
      <c r="C40" s="1" t="s">
        <v>13</v>
      </c>
      <c r="D40" s="1" t="s">
        <v>242</v>
      </c>
      <c r="E40" s="3">
        <v>43233</v>
      </c>
      <c r="F40" s="1" t="str">
        <f>VLOOKUP(D40,Table17[[Name]:[Native]],3,FALSE)</f>
        <v>乐陵市</v>
      </c>
      <c r="G40" s="14" t="str">
        <f ca="1">VLOOKUP(F40,Table17[[Native]:[Population4]],5,FALSE)</f>
        <v>德州市</v>
      </c>
    </row>
    <row r="41" spans="1:7" ht="15.75" thickBot="1" x14ac:dyDescent="0.3">
      <c r="A41" t="s">
        <v>288</v>
      </c>
      <c r="B41" s="1" t="s">
        <v>289</v>
      </c>
      <c r="C41" s="1" t="s">
        <v>13</v>
      </c>
      <c r="D41" s="1" t="s">
        <v>207</v>
      </c>
      <c r="E41" s="3">
        <v>35342</v>
      </c>
      <c r="F41" s="1" t="str">
        <f>VLOOKUP(D41,Table17[[Name]:[Native]],3,FALSE)</f>
        <v>齐河县</v>
      </c>
      <c r="G41" s="14" t="str">
        <f ca="1">VLOOKUP(F41,Table17[[Native]:[Population4]],5,FALSE)</f>
        <v>德州市</v>
      </c>
    </row>
    <row r="42" spans="1:7" ht="15.75" thickBot="1" x14ac:dyDescent="0.3">
      <c r="A42" t="s">
        <v>290</v>
      </c>
      <c r="B42" s="1" t="s">
        <v>291</v>
      </c>
      <c r="C42" s="1" t="s">
        <v>13</v>
      </c>
      <c r="D42" s="1" t="s">
        <v>201</v>
      </c>
      <c r="E42" s="3">
        <v>42377</v>
      </c>
      <c r="F42" s="1" t="str">
        <f>VLOOKUP(D42,Table17[[Name]:[Native]],3,FALSE)</f>
        <v>陵城区</v>
      </c>
      <c r="G42" s="14" t="str">
        <f ca="1">VLOOKUP(F42,Table17[[Native]:[Population4]],5,FALSE)</f>
        <v>德州市</v>
      </c>
    </row>
    <row r="43" spans="1:7" ht="15.75" thickBot="1" x14ac:dyDescent="0.3">
      <c r="A43" t="s">
        <v>292</v>
      </c>
      <c r="B43" s="1" t="s">
        <v>293</v>
      </c>
      <c r="C43" s="1" t="s">
        <v>7</v>
      </c>
      <c r="D43" s="1" t="s">
        <v>242</v>
      </c>
      <c r="E43" s="3">
        <v>24120</v>
      </c>
      <c r="F43" s="1" t="str">
        <f>VLOOKUP(D43,Table17[[Name]:[Native]],3,FALSE)</f>
        <v>乐陵市</v>
      </c>
      <c r="G43" s="14" t="str">
        <f ca="1">VLOOKUP(F43,Table17[[Native]:[Population4]],5,FALSE)</f>
        <v>德州市</v>
      </c>
    </row>
    <row r="44" spans="1:7" ht="15.75" thickBot="1" x14ac:dyDescent="0.3">
      <c r="A44" t="s">
        <v>294</v>
      </c>
      <c r="B44" s="1" t="s">
        <v>295</v>
      </c>
      <c r="C44" s="1" t="s">
        <v>13</v>
      </c>
      <c r="D44" s="1" t="s">
        <v>271</v>
      </c>
      <c r="E44" s="3">
        <v>31818</v>
      </c>
      <c r="F44" s="1" t="str">
        <f>VLOOKUP(D44,Table17[[Name]:[Native]],3,FALSE)</f>
        <v>武城县</v>
      </c>
      <c r="G44" s="14" t="str">
        <f ca="1">VLOOKUP(F44,Table17[[Native]:[Population4]],5,FALSE)</f>
        <v>德州市</v>
      </c>
    </row>
    <row r="45" spans="1:7" ht="15.75" thickBot="1" x14ac:dyDescent="0.3">
      <c r="A45" t="s">
        <v>296</v>
      </c>
      <c r="B45" s="1" t="s">
        <v>297</v>
      </c>
      <c r="C45" s="1" t="s">
        <v>13</v>
      </c>
      <c r="D45" s="1" t="s">
        <v>207</v>
      </c>
      <c r="E45" s="3">
        <v>50590</v>
      </c>
      <c r="F45" s="1" t="str">
        <f>VLOOKUP(D45,Table17[[Name]:[Native]],3,FALSE)</f>
        <v>齐河县</v>
      </c>
      <c r="G45" s="14" t="str">
        <f ca="1">VLOOKUP(F45,Table17[[Native]:[Population4]],5,FALSE)</f>
        <v>德州市</v>
      </c>
    </row>
    <row r="46" spans="1:7" ht="15.75" thickBot="1" x14ac:dyDescent="0.3">
      <c r="A46" t="s">
        <v>298</v>
      </c>
      <c r="B46" s="1" t="s">
        <v>299</v>
      </c>
      <c r="C46" s="1" t="s">
        <v>7</v>
      </c>
      <c r="D46" s="1" t="s">
        <v>213</v>
      </c>
      <c r="E46" s="3">
        <v>65214</v>
      </c>
      <c r="F46" s="1" t="str">
        <f>VLOOKUP(D46,Table17[[Name]:[Native]],3,FALSE)</f>
        <v>宁津县</v>
      </c>
      <c r="G46" s="14" t="str">
        <f ca="1">VLOOKUP(F46,Table17[[Native]:[Population4]],5,FALSE)</f>
        <v>德州市</v>
      </c>
    </row>
    <row r="47" spans="1:7" ht="15.75" thickBot="1" x14ac:dyDescent="0.3">
      <c r="A47" t="s">
        <v>300</v>
      </c>
      <c r="B47" s="1" t="s">
        <v>301</v>
      </c>
      <c r="C47" s="1" t="s">
        <v>13</v>
      </c>
      <c r="D47" s="1" t="s">
        <v>204</v>
      </c>
      <c r="E47" s="3">
        <v>45435</v>
      </c>
      <c r="F47" s="1" t="str">
        <f>VLOOKUP(D47,Table17[[Name]:[Native]],3,FALSE)</f>
        <v>禹城市</v>
      </c>
      <c r="G47" s="14" t="str">
        <f ca="1">VLOOKUP(F47,Table17[[Native]:[Population4]],5,FALSE)</f>
        <v>德州市</v>
      </c>
    </row>
    <row r="48" spans="1:7" ht="15.75" thickBot="1" x14ac:dyDescent="0.3">
      <c r="A48" t="s">
        <v>302</v>
      </c>
      <c r="B48" s="1" t="s">
        <v>303</v>
      </c>
      <c r="C48" s="1" t="s">
        <v>13</v>
      </c>
      <c r="D48" s="1" t="s">
        <v>242</v>
      </c>
      <c r="E48" s="3">
        <v>48186</v>
      </c>
      <c r="F48" s="1" t="str">
        <f>VLOOKUP(D48,Table17[[Name]:[Native]],3,FALSE)</f>
        <v>乐陵市</v>
      </c>
      <c r="G48" s="14" t="str">
        <f ca="1">VLOOKUP(F48,Table17[[Native]:[Population4]],5,FALSE)</f>
        <v>德州市</v>
      </c>
    </row>
    <row r="49" spans="1:7" ht="15.75" thickBot="1" x14ac:dyDescent="0.3">
      <c r="A49" t="s">
        <v>304</v>
      </c>
      <c r="B49" s="1" t="s">
        <v>305</v>
      </c>
      <c r="C49" s="1" t="s">
        <v>13</v>
      </c>
      <c r="D49" s="1" t="s">
        <v>271</v>
      </c>
      <c r="E49" s="3">
        <v>60467</v>
      </c>
      <c r="F49" s="1" t="str">
        <f>VLOOKUP(D49,Table17[[Name]:[Native]],3,FALSE)</f>
        <v>武城县</v>
      </c>
      <c r="G49" s="14" t="str">
        <f ca="1">VLOOKUP(F49,Table17[[Native]:[Population4]],5,FALSE)</f>
        <v>德州市</v>
      </c>
    </row>
    <row r="50" spans="1:7" ht="15.75" thickBot="1" x14ac:dyDescent="0.3">
      <c r="A50" t="s">
        <v>306</v>
      </c>
      <c r="B50" s="1" t="s">
        <v>307</v>
      </c>
      <c r="C50" s="1" t="s">
        <v>13</v>
      </c>
      <c r="D50" s="1" t="s">
        <v>210</v>
      </c>
      <c r="E50" s="3">
        <v>37630</v>
      </c>
      <c r="F50" s="1" t="str">
        <f>VLOOKUP(D50,Table17[[Name]:[Native]],3,FALSE)</f>
        <v>夏津县</v>
      </c>
      <c r="G50" s="14" t="str">
        <f ca="1">VLOOKUP(F50,Table17[[Native]:[Population4]],5,FALSE)</f>
        <v>德州市</v>
      </c>
    </row>
    <row r="51" spans="1:7" ht="15.75" thickBot="1" x14ac:dyDescent="0.3">
      <c r="A51" t="s">
        <v>308</v>
      </c>
      <c r="B51" s="1" t="s">
        <v>309</v>
      </c>
      <c r="C51" s="1" t="s">
        <v>13</v>
      </c>
      <c r="D51" s="1" t="s">
        <v>204</v>
      </c>
      <c r="E51" s="3">
        <v>40147</v>
      </c>
      <c r="F51" s="1" t="str">
        <f>VLOOKUP(D51,Table17[[Name]:[Native]],3,FALSE)</f>
        <v>禹城市</v>
      </c>
      <c r="G51" s="14" t="str">
        <f ca="1">VLOOKUP(F51,Table17[[Native]:[Population4]],5,FALSE)</f>
        <v>德州市</v>
      </c>
    </row>
    <row r="52" spans="1:7" ht="15.75" thickBot="1" x14ac:dyDescent="0.3">
      <c r="A52" t="s">
        <v>310</v>
      </c>
      <c r="B52" s="1" t="s">
        <v>311</v>
      </c>
      <c r="C52" s="1" t="s">
        <v>13</v>
      </c>
      <c r="D52" s="1" t="s">
        <v>245</v>
      </c>
      <c r="E52" s="3">
        <v>25574</v>
      </c>
      <c r="F52" s="1" t="str">
        <f>VLOOKUP(D52,Table17[[Name]:[Native]],3,FALSE)</f>
        <v>临邑县</v>
      </c>
      <c r="G52" s="14" t="str">
        <f ca="1">VLOOKUP(F52,Table17[[Native]:[Population4]],5,FALSE)</f>
        <v>德州市</v>
      </c>
    </row>
    <row r="53" spans="1:7" ht="15.75" thickBot="1" x14ac:dyDescent="0.3">
      <c r="A53" t="s">
        <v>312</v>
      </c>
      <c r="B53" s="1" t="s">
        <v>313</v>
      </c>
      <c r="C53" s="1" t="s">
        <v>13</v>
      </c>
      <c r="D53" s="1" t="s">
        <v>271</v>
      </c>
      <c r="E53" s="3">
        <v>27263</v>
      </c>
      <c r="F53" s="1" t="str">
        <f>VLOOKUP(D53,Table17[[Name]:[Native]],3,FALSE)</f>
        <v>武城县</v>
      </c>
      <c r="G53" s="14" t="str">
        <f ca="1">VLOOKUP(F53,Table17[[Native]:[Population4]],5,FALSE)</f>
        <v>德州市</v>
      </c>
    </row>
    <row r="54" spans="1:7" ht="15.75" thickBot="1" x14ac:dyDescent="0.3">
      <c r="A54" t="s">
        <v>314</v>
      </c>
      <c r="B54" s="1" t="s">
        <v>315</v>
      </c>
      <c r="C54" s="1" t="s">
        <v>13</v>
      </c>
      <c r="D54" s="1" t="s">
        <v>245</v>
      </c>
      <c r="E54" s="3">
        <v>42432</v>
      </c>
      <c r="F54" s="1" t="str">
        <f>VLOOKUP(D54,Table17[[Name]:[Native]],3,FALSE)</f>
        <v>临邑县</v>
      </c>
      <c r="G54" s="14" t="str">
        <f ca="1">VLOOKUP(F54,Table17[[Native]:[Population4]],5,FALSE)</f>
        <v>德州市</v>
      </c>
    </row>
    <row r="55" spans="1:7" ht="15.75" thickBot="1" x14ac:dyDescent="0.3">
      <c r="A55" t="s">
        <v>316</v>
      </c>
      <c r="B55" s="1" t="s">
        <v>317</v>
      </c>
      <c r="C55" s="1" t="s">
        <v>7</v>
      </c>
      <c r="D55" s="1" t="s">
        <v>245</v>
      </c>
      <c r="E55" s="3">
        <v>78233</v>
      </c>
      <c r="F55" s="1" t="str">
        <f>VLOOKUP(D55,Table17[[Name]:[Native]],3,FALSE)</f>
        <v>临邑县</v>
      </c>
      <c r="G55" s="14" t="str">
        <f ca="1">VLOOKUP(F55,Table17[[Native]:[Population4]],5,FALSE)</f>
        <v>德州市</v>
      </c>
    </row>
    <row r="56" spans="1:7" ht="15.75" thickBot="1" x14ac:dyDescent="0.3">
      <c r="A56" t="s">
        <v>318</v>
      </c>
      <c r="B56" s="1" t="s">
        <v>319</v>
      </c>
      <c r="C56" s="1" t="s">
        <v>7</v>
      </c>
      <c r="D56" s="1" t="s">
        <v>201</v>
      </c>
      <c r="E56" s="3">
        <v>136701</v>
      </c>
      <c r="F56" s="1" t="str">
        <f>VLOOKUP(D56,Table17[[Name]:[Native]],3,FALSE)</f>
        <v>陵城区</v>
      </c>
      <c r="G56" s="14" t="str">
        <f ca="1">VLOOKUP(F56,Table17[[Native]:[Population4]],5,FALSE)</f>
        <v>德州市</v>
      </c>
    </row>
    <row r="57" spans="1:7" ht="15.75" thickBot="1" x14ac:dyDescent="0.3">
      <c r="A57" t="s">
        <v>320</v>
      </c>
      <c r="B57" s="1" t="s">
        <v>321</v>
      </c>
      <c r="C57" s="1" t="s">
        <v>13</v>
      </c>
      <c r="D57" s="1" t="s">
        <v>245</v>
      </c>
      <c r="E57" s="3">
        <v>45667</v>
      </c>
      <c r="F57" s="1" t="str">
        <f>VLOOKUP(D57,Table17[[Name]:[Native]],3,FALSE)</f>
        <v>临邑县</v>
      </c>
      <c r="G57" s="14" t="str">
        <f ca="1">VLOOKUP(F57,Table17[[Native]:[Population4]],5,FALSE)</f>
        <v>德州市</v>
      </c>
    </row>
    <row r="58" spans="1:7" ht="15.75" thickBot="1" x14ac:dyDescent="0.3">
      <c r="A58" t="s">
        <v>322</v>
      </c>
      <c r="B58" s="1" t="s">
        <v>323</v>
      </c>
      <c r="C58" s="1" t="s">
        <v>13</v>
      </c>
      <c r="D58" s="1" t="s">
        <v>245</v>
      </c>
      <c r="E58" s="3">
        <v>21812</v>
      </c>
      <c r="F58" s="1" t="str">
        <f>VLOOKUP(D58,Table17[[Name]:[Native]],3,FALSE)</f>
        <v>临邑县</v>
      </c>
      <c r="G58" s="14" t="str">
        <f ca="1">VLOOKUP(F58,Table17[[Native]:[Population4]],5,FALSE)</f>
        <v>德州市</v>
      </c>
    </row>
    <row r="59" spans="1:7" ht="15.75" thickBot="1" x14ac:dyDescent="0.3">
      <c r="A59" t="s">
        <v>324</v>
      </c>
      <c r="B59" s="1" t="s">
        <v>325</v>
      </c>
      <c r="C59" s="1" t="s">
        <v>13</v>
      </c>
      <c r="D59" s="1" t="s">
        <v>207</v>
      </c>
      <c r="E59" s="3">
        <v>34649</v>
      </c>
      <c r="F59" s="1" t="str">
        <f>VLOOKUP(D59,Table17[[Name]:[Native]],3,FALSE)</f>
        <v>齐河县</v>
      </c>
      <c r="G59" s="14" t="str">
        <f ca="1">VLOOKUP(F59,Table17[[Native]:[Population4]],5,FALSE)</f>
        <v>德州市</v>
      </c>
    </row>
    <row r="60" spans="1:7" ht="15.75" thickBot="1" x14ac:dyDescent="0.3">
      <c r="A60" t="s">
        <v>326</v>
      </c>
      <c r="B60" s="1" t="s">
        <v>327</v>
      </c>
      <c r="C60" s="1" t="s">
        <v>61</v>
      </c>
      <c r="D60" s="1" t="s">
        <v>213</v>
      </c>
      <c r="E60" s="3">
        <v>21122</v>
      </c>
      <c r="F60" s="1" t="str">
        <f>VLOOKUP(D60,Table17[[Name]:[Native]],3,FALSE)</f>
        <v>宁津县</v>
      </c>
      <c r="G60" s="14" t="str">
        <f ca="1">VLOOKUP(F60,Table17[[Native]:[Population4]],5,FALSE)</f>
        <v>德州市</v>
      </c>
    </row>
    <row r="61" spans="1:7" ht="15.75" thickBot="1" x14ac:dyDescent="0.3">
      <c r="A61" t="s">
        <v>328</v>
      </c>
      <c r="B61" s="1" t="s">
        <v>329</v>
      </c>
      <c r="C61" s="1" t="s">
        <v>7</v>
      </c>
      <c r="D61" s="1" t="s">
        <v>248</v>
      </c>
      <c r="E61" s="3">
        <v>85793</v>
      </c>
      <c r="F61" s="1" t="str">
        <f>VLOOKUP(D61,Table17[[Name]:[Native]],3,FALSE)</f>
        <v>平原县</v>
      </c>
      <c r="G61" s="14" t="str">
        <f ca="1">VLOOKUP(F61,Table17[[Native]:[Population4]],5,FALSE)</f>
        <v>德州市</v>
      </c>
    </row>
    <row r="62" spans="1:7" ht="15.75" thickBot="1" x14ac:dyDescent="0.3">
      <c r="A62" t="s">
        <v>330</v>
      </c>
      <c r="B62" s="1" t="s">
        <v>331</v>
      </c>
      <c r="C62" s="1" t="s">
        <v>13</v>
      </c>
      <c r="D62" s="1" t="s">
        <v>204</v>
      </c>
      <c r="E62" s="3">
        <v>35545</v>
      </c>
      <c r="F62" s="1" t="str">
        <f>VLOOKUP(D62,Table17[[Name]:[Native]],3,FALSE)</f>
        <v>禹城市</v>
      </c>
      <c r="G62" s="14" t="str">
        <f ca="1">VLOOKUP(F62,Table17[[Native]:[Population4]],5,FALSE)</f>
        <v>德州市</v>
      </c>
    </row>
    <row r="63" spans="1:7" ht="15.75" thickBot="1" x14ac:dyDescent="0.3">
      <c r="A63" t="s">
        <v>332</v>
      </c>
      <c r="B63" s="1" t="s">
        <v>333</v>
      </c>
      <c r="C63" s="1" t="s">
        <v>13</v>
      </c>
      <c r="D63" s="1" t="s">
        <v>271</v>
      </c>
      <c r="E63" s="3">
        <v>85427</v>
      </c>
      <c r="F63" s="1" t="str">
        <f>VLOOKUP(D63,Table17[[Name]:[Native]],3,FALSE)</f>
        <v>武城县</v>
      </c>
      <c r="G63" s="14" t="str">
        <f ca="1">VLOOKUP(F63,Table17[[Native]:[Population4]],5,FALSE)</f>
        <v>德州市</v>
      </c>
    </row>
    <row r="64" spans="1:7" ht="15.75" thickBot="1" x14ac:dyDescent="0.3">
      <c r="A64" t="s">
        <v>334</v>
      </c>
      <c r="B64" s="1" t="s">
        <v>335</v>
      </c>
      <c r="C64" s="1" t="s">
        <v>13</v>
      </c>
      <c r="D64" s="1" t="s">
        <v>207</v>
      </c>
      <c r="E64" s="3">
        <v>30208</v>
      </c>
      <c r="F64" s="1" t="str">
        <f>VLOOKUP(D64,Table17[[Name]:[Native]],3,FALSE)</f>
        <v>齐河县</v>
      </c>
      <c r="G64" s="14" t="str">
        <f ca="1">VLOOKUP(F64,Table17[[Native]:[Population4]],5,FALSE)</f>
        <v>德州市</v>
      </c>
    </row>
    <row r="65" spans="1:7" ht="15.75" thickBot="1" x14ac:dyDescent="0.3">
      <c r="A65" t="s">
        <v>336</v>
      </c>
      <c r="B65" s="1" t="s">
        <v>337</v>
      </c>
      <c r="C65" s="1" t="s">
        <v>13</v>
      </c>
      <c r="D65" s="1" t="s">
        <v>245</v>
      </c>
      <c r="E65" s="3">
        <v>41060</v>
      </c>
      <c r="F65" s="1" t="str">
        <f>VLOOKUP(D65,Table17[[Name]:[Native]],3,FALSE)</f>
        <v>临邑县</v>
      </c>
      <c r="G65" s="14" t="str">
        <f ca="1">VLOOKUP(F65,Table17[[Native]:[Population4]],5,FALSE)</f>
        <v>德州市</v>
      </c>
    </row>
    <row r="66" spans="1:7" ht="15.75" thickBot="1" x14ac:dyDescent="0.3">
      <c r="A66" t="s">
        <v>338</v>
      </c>
      <c r="B66" s="1" t="s">
        <v>339</v>
      </c>
      <c r="C66" s="1" t="s">
        <v>13</v>
      </c>
      <c r="D66" s="1" t="s">
        <v>201</v>
      </c>
      <c r="E66" s="3">
        <v>47903</v>
      </c>
      <c r="F66" s="1" t="str">
        <f>VLOOKUP(D66,Table17[[Name]:[Native]],3,FALSE)</f>
        <v>陵城区</v>
      </c>
      <c r="G66" s="14" t="str">
        <f ca="1">VLOOKUP(F66,Table17[[Native]:[Population4]],5,FALSE)</f>
        <v>德州市</v>
      </c>
    </row>
    <row r="67" spans="1:7" ht="15.75" thickBot="1" x14ac:dyDescent="0.3">
      <c r="A67" t="s">
        <v>340</v>
      </c>
      <c r="B67" s="1" t="s">
        <v>341</v>
      </c>
      <c r="C67" s="1" t="s">
        <v>13</v>
      </c>
      <c r="D67" s="1" t="s">
        <v>210</v>
      </c>
      <c r="E67" s="3">
        <v>39507</v>
      </c>
      <c r="F67" s="1" t="str">
        <f>VLOOKUP(D67,Table17[[Name]:[Native]],3,FALSE)</f>
        <v>夏津县</v>
      </c>
      <c r="G67" s="14" t="str">
        <f ca="1">VLOOKUP(F67,Table17[[Native]:[Population4]],5,FALSE)</f>
        <v>德州市</v>
      </c>
    </row>
    <row r="68" spans="1:7" ht="15.75" thickBot="1" x14ac:dyDescent="0.3">
      <c r="A68" t="s">
        <v>342</v>
      </c>
      <c r="B68" s="1" t="s">
        <v>343</v>
      </c>
      <c r="C68" s="1" t="s">
        <v>7</v>
      </c>
      <c r="D68" s="1" t="s">
        <v>213</v>
      </c>
      <c r="E68" s="3">
        <v>35198</v>
      </c>
      <c r="F68" s="1" t="str">
        <f>VLOOKUP(D68,Table17[[Name]:[Native]],3,FALSE)</f>
        <v>宁津县</v>
      </c>
      <c r="G68" s="14" t="str">
        <f ca="1">VLOOKUP(F68,Table17[[Native]:[Population4]],5,FALSE)</f>
        <v>德州市</v>
      </c>
    </row>
    <row r="69" spans="1:7" ht="15.75" thickBot="1" x14ac:dyDescent="0.3">
      <c r="A69" t="s">
        <v>344</v>
      </c>
      <c r="B69" s="1" t="s">
        <v>345</v>
      </c>
      <c r="C69" s="1" t="s">
        <v>13</v>
      </c>
      <c r="D69" s="1" t="s">
        <v>207</v>
      </c>
      <c r="E69" s="3">
        <v>48546</v>
      </c>
      <c r="F69" s="1" t="str">
        <f>VLOOKUP(D69,Table17[[Name]:[Native]],3,FALSE)</f>
        <v>齐河县</v>
      </c>
      <c r="G69" s="14" t="str">
        <f ca="1">VLOOKUP(F69,Table17[[Native]:[Population4]],5,FALSE)</f>
        <v>德州市</v>
      </c>
    </row>
    <row r="70" spans="1:7" ht="15.75" thickBot="1" x14ac:dyDescent="0.3">
      <c r="A70" t="s">
        <v>346</v>
      </c>
      <c r="B70" s="1" t="s">
        <v>347</v>
      </c>
      <c r="C70" s="1" t="s">
        <v>13</v>
      </c>
      <c r="D70" s="1" t="s">
        <v>248</v>
      </c>
      <c r="E70" s="3">
        <v>47909</v>
      </c>
      <c r="F70" s="1" t="str">
        <f>VLOOKUP(D70,Table17[[Name]:[Native]],3,FALSE)</f>
        <v>平原县</v>
      </c>
      <c r="G70" s="14" t="str">
        <f ca="1">VLOOKUP(F70,Table17[[Native]:[Population4]],5,FALSE)</f>
        <v>德州市</v>
      </c>
    </row>
    <row r="71" spans="1:7" ht="15.75" thickBot="1" x14ac:dyDescent="0.3">
      <c r="A71" t="s">
        <v>348</v>
      </c>
      <c r="B71" s="1" t="s">
        <v>349</v>
      </c>
      <c r="C71" s="1" t="s">
        <v>13</v>
      </c>
      <c r="D71" s="1" t="s">
        <v>201</v>
      </c>
      <c r="E71" s="3">
        <v>28236</v>
      </c>
      <c r="F71" s="1" t="str">
        <f>VLOOKUP(D71,Table17[[Name]:[Native]],3,FALSE)</f>
        <v>陵城区</v>
      </c>
      <c r="G71" s="14" t="str">
        <f ca="1">VLOOKUP(F71,Table17[[Native]:[Population4]],5,FALSE)</f>
        <v>德州市</v>
      </c>
    </row>
    <row r="72" spans="1:7" ht="15.75" thickBot="1" x14ac:dyDescent="0.3">
      <c r="A72" t="s">
        <v>350</v>
      </c>
      <c r="B72" s="1" t="s">
        <v>351</v>
      </c>
      <c r="C72" s="1" t="s">
        <v>13</v>
      </c>
      <c r="D72" s="1" t="s">
        <v>222</v>
      </c>
      <c r="E72" s="3">
        <v>36135</v>
      </c>
      <c r="F72" s="1" t="str">
        <f>VLOOKUP(D72,Table17[[Name]:[Native]],3,FALSE)</f>
        <v>庆云县</v>
      </c>
      <c r="G72" s="14" t="str">
        <f ca="1">VLOOKUP(F72,Table17[[Native]:[Population4]],5,FALSE)</f>
        <v>德州市</v>
      </c>
    </row>
    <row r="73" spans="1:7" ht="15.75" thickBot="1" x14ac:dyDescent="0.3">
      <c r="A73" t="s">
        <v>352</v>
      </c>
      <c r="B73" s="1" t="s">
        <v>353</v>
      </c>
      <c r="C73" s="1" t="s">
        <v>13</v>
      </c>
      <c r="D73" s="1" t="s">
        <v>207</v>
      </c>
      <c r="E73" s="3">
        <v>47790</v>
      </c>
      <c r="F73" s="1" t="str">
        <f>VLOOKUP(D73,Table17[[Name]:[Native]],3,FALSE)</f>
        <v>齐河县</v>
      </c>
      <c r="G73" s="14" t="str">
        <f ca="1">VLOOKUP(F73,Table17[[Native]:[Population4]],5,FALSE)</f>
        <v>德州市</v>
      </c>
    </row>
    <row r="74" spans="1:7" ht="15.75" thickBot="1" x14ac:dyDescent="0.3">
      <c r="A74" t="s">
        <v>354</v>
      </c>
      <c r="B74" s="1" t="s">
        <v>355</v>
      </c>
      <c r="C74" s="1" t="s">
        <v>61</v>
      </c>
      <c r="D74" s="1" t="s">
        <v>248</v>
      </c>
      <c r="E74" s="3">
        <v>20380</v>
      </c>
      <c r="F74" s="1" t="str">
        <f>VLOOKUP(D74,Table17[[Name]:[Native]],3,FALSE)</f>
        <v>平原县</v>
      </c>
      <c r="G74" s="14" t="str">
        <f ca="1">VLOOKUP(F74,Table17[[Native]:[Population4]],5,FALSE)</f>
        <v>德州市</v>
      </c>
    </row>
    <row r="75" spans="1:7" ht="15.75" thickBot="1" x14ac:dyDescent="0.3">
      <c r="A75" t="s">
        <v>356</v>
      </c>
      <c r="B75" s="1" t="s">
        <v>357</v>
      </c>
      <c r="C75" s="1" t="s">
        <v>13</v>
      </c>
      <c r="D75" s="1" t="s">
        <v>222</v>
      </c>
      <c r="E75" s="3">
        <v>57241</v>
      </c>
      <c r="F75" s="1" t="str">
        <f>VLOOKUP(D75,Table17[[Name]:[Native]],3,FALSE)</f>
        <v>庆云县</v>
      </c>
      <c r="G75" s="14" t="str">
        <f ca="1">VLOOKUP(F75,Table17[[Native]:[Population4]],5,FALSE)</f>
        <v>德州市</v>
      </c>
    </row>
    <row r="76" spans="1:7" ht="15.75" thickBot="1" x14ac:dyDescent="0.3">
      <c r="A76" t="s">
        <v>358</v>
      </c>
      <c r="B76" s="1" t="s">
        <v>359</v>
      </c>
      <c r="C76" s="1" t="s">
        <v>13</v>
      </c>
      <c r="D76" s="1" t="s">
        <v>201</v>
      </c>
      <c r="E76" s="3">
        <v>51497</v>
      </c>
      <c r="F76" s="1" t="str">
        <f>VLOOKUP(D76,Table17[[Name]:[Native]],3,FALSE)</f>
        <v>陵城区</v>
      </c>
      <c r="G76" s="14" t="str">
        <f ca="1">VLOOKUP(F76,Table17[[Native]:[Population4]],5,FALSE)</f>
        <v>德州市</v>
      </c>
    </row>
    <row r="77" spans="1:7" ht="15.75" thickBot="1" x14ac:dyDescent="0.3">
      <c r="A77" t="s">
        <v>360</v>
      </c>
      <c r="B77" s="1" t="s">
        <v>361</v>
      </c>
      <c r="C77" s="1" t="s">
        <v>13</v>
      </c>
      <c r="D77" s="1" t="s">
        <v>213</v>
      </c>
      <c r="E77" s="3">
        <v>28882</v>
      </c>
      <c r="F77" s="1" t="str">
        <f>VLOOKUP(D77,Table17[[Name]:[Native]],3,FALSE)</f>
        <v>宁津县</v>
      </c>
      <c r="G77" s="14" t="str">
        <f ca="1">VLOOKUP(F77,Table17[[Native]:[Population4]],5,FALSE)</f>
        <v>德州市</v>
      </c>
    </row>
    <row r="78" spans="1:7" ht="15.75" thickBot="1" x14ac:dyDescent="0.3">
      <c r="A78" t="s">
        <v>362</v>
      </c>
      <c r="B78" s="1" t="s">
        <v>363</v>
      </c>
      <c r="C78" s="1" t="s">
        <v>13</v>
      </c>
      <c r="D78" s="1" t="s">
        <v>204</v>
      </c>
      <c r="E78" s="3">
        <v>29929</v>
      </c>
      <c r="F78" s="1" t="str">
        <f>VLOOKUP(D78,Table17[[Name]:[Native]],3,FALSE)</f>
        <v>禹城市</v>
      </c>
      <c r="G78" s="14" t="str">
        <f ca="1">VLOOKUP(F78,Table17[[Native]:[Population4]],5,FALSE)</f>
        <v>德州市</v>
      </c>
    </row>
    <row r="79" spans="1:7" ht="15.75" thickBot="1" x14ac:dyDescent="0.3">
      <c r="A79" t="s">
        <v>149</v>
      </c>
      <c r="B79" s="1" t="s">
        <v>150</v>
      </c>
      <c r="C79" s="1" t="s">
        <v>7</v>
      </c>
      <c r="D79" s="1" t="s">
        <v>242</v>
      </c>
      <c r="E79" s="3">
        <v>105719</v>
      </c>
      <c r="F79" s="1" t="str">
        <f>VLOOKUP(D79,Table17[[Name]:[Native]],3,FALSE)</f>
        <v>乐陵市</v>
      </c>
      <c r="G79" s="14" t="str">
        <f ca="1">VLOOKUP(F79,Table17[[Native]:[Population4]],5,FALSE)</f>
        <v>德州市</v>
      </c>
    </row>
    <row r="80" spans="1:7" ht="15.75" thickBot="1" x14ac:dyDescent="0.3">
      <c r="A80" t="s">
        <v>364</v>
      </c>
      <c r="B80" s="1" t="s">
        <v>150</v>
      </c>
      <c r="C80" s="1" t="s">
        <v>7</v>
      </c>
      <c r="D80" s="1" t="s">
        <v>204</v>
      </c>
      <c r="E80" s="3">
        <v>151441</v>
      </c>
      <c r="F80" s="1" t="str">
        <f>VLOOKUP(D80,Table17[[Name]:[Native]],3,FALSE)</f>
        <v>禹城市</v>
      </c>
      <c r="G80" s="14" t="str">
        <f ca="1">VLOOKUP(F80,Table17[[Native]:[Population4]],5,FALSE)</f>
        <v>德州市</v>
      </c>
    </row>
    <row r="81" spans="1:7" ht="15.75" thickBot="1" x14ac:dyDescent="0.3">
      <c r="A81" t="s">
        <v>365</v>
      </c>
      <c r="B81" s="1" t="s">
        <v>366</v>
      </c>
      <c r="C81" s="1" t="s">
        <v>13</v>
      </c>
      <c r="D81" s="1" t="s">
        <v>210</v>
      </c>
      <c r="E81" s="3">
        <v>24595</v>
      </c>
      <c r="F81" s="1" t="str">
        <f>VLOOKUP(D81,Table17[[Name]:[Native]],3,FALSE)</f>
        <v>夏津县</v>
      </c>
      <c r="G81" s="14" t="str">
        <f ca="1">VLOOKUP(F81,Table17[[Native]:[Population4]],5,FALSE)</f>
        <v>德州市</v>
      </c>
    </row>
    <row r="82" spans="1:7" ht="15.75" thickBot="1" x14ac:dyDescent="0.3">
      <c r="A82" t="s">
        <v>367</v>
      </c>
      <c r="B82" s="1" t="s">
        <v>368</v>
      </c>
      <c r="C82" s="1" t="s">
        <v>7</v>
      </c>
      <c r="D82" s="1" t="s">
        <v>229</v>
      </c>
      <c r="E82" s="3">
        <v>41757</v>
      </c>
      <c r="F82" s="1" t="str">
        <f>VLOOKUP(D82,Table17[[Name]:[Native]],3,FALSE)</f>
        <v>德城区</v>
      </c>
      <c r="G82" s="14" t="str">
        <f ca="1">VLOOKUP(F82,Table17[[Native]:[Population4]],5,FALSE)</f>
        <v>德州市</v>
      </c>
    </row>
    <row r="83" spans="1:7" ht="15.75" thickBot="1" x14ac:dyDescent="0.3">
      <c r="A83" t="s">
        <v>369</v>
      </c>
      <c r="B83" s="1" t="s">
        <v>370</v>
      </c>
      <c r="C83" s="1" t="s">
        <v>13</v>
      </c>
      <c r="D83" s="1" t="s">
        <v>201</v>
      </c>
      <c r="E83" s="3">
        <v>38611</v>
      </c>
      <c r="F83" s="1" t="str">
        <f>VLOOKUP(D83,Table17[[Name]:[Native]],3,FALSE)</f>
        <v>陵城区</v>
      </c>
      <c r="G83" s="14" t="str">
        <f ca="1">VLOOKUP(F83,Table17[[Native]:[Population4]],5,FALSE)</f>
        <v>德州市</v>
      </c>
    </row>
    <row r="84" spans="1:7" ht="15.75" thickBot="1" x14ac:dyDescent="0.3">
      <c r="A84" t="s">
        <v>371</v>
      </c>
      <c r="B84" s="1" t="s">
        <v>372</v>
      </c>
      <c r="C84" s="1" t="s">
        <v>13</v>
      </c>
      <c r="D84" s="1" t="s">
        <v>210</v>
      </c>
      <c r="E84" s="3">
        <v>30811</v>
      </c>
      <c r="F84" s="1" t="str">
        <f>VLOOKUP(D84,Table17[[Name]:[Native]],3,FALSE)</f>
        <v>夏津县</v>
      </c>
      <c r="G84" s="14" t="str">
        <f ca="1">VLOOKUP(F84,Table17[[Native]:[Population4]],5,FALSE)</f>
        <v>德州市</v>
      </c>
    </row>
    <row r="85" spans="1:7" ht="15.75" thickBot="1" x14ac:dyDescent="0.3">
      <c r="A85" t="s">
        <v>373</v>
      </c>
      <c r="B85" s="1" t="s">
        <v>374</v>
      </c>
      <c r="C85" s="1" t="s">
        <v>61</v>
      </c>
      <c r="D85" s="1" t="s">
        <v>245</v>
      </c>
      <c r="E85" s="3">
        <v>23476</v>
      </c>
      <c r="F85" s="1" t="str">
        <f>VLOOKUP(D85,Table17[[Name]:[Native]],3,FALSE)</f>
        <v>临邑县</v>
      </c>
      <c r="G85" s="14" t="str">
        <f ca="1">VLOOKUP(F85,Table17[[Native]:[Population4]],5,FALSE)</f>
        <v>德州市</v>
      </c>
    </row>
    <row r="86" spans="1:7" ht="15.75" thickBot="1" x14ac:dyDescent="0.3">
      <c r="A86" t="s">
        <v>375</v>
      </c>
      <c r="B86" s="1" t="s">
        <v>376</v>
      </c>
      <c r="C86" s="1" t="s">
        <v>13</v>
      </c>
      <c r="D86" s="1" t="s">
        <v>210</v>
      </c>
      <c r="E86" s="3">
        <v>46965</v>
      </c>
      <c r="F86" s="1" t="str">
        <f>VLOOKUP(D86,Table17[[Name]:[Native]],3,FALSE)</f>
        <v>夏津县</v>
      </c>
      <c r="G86" s="14" t="str">
        <f ca="1">VLOOKUP(F86,Table17[[Native]:[Population4]],5,FALSE)</f>
        <v>德州市</v>
      </c>
    </row>
    <row r="87" spans="1:7" ht="15.75" thickBot="1" x14ac:dyDescent="0.3">
      <c r="A87" t="s">
        <v>377</v>
      </c>
      <c r="B87" s="1" t="s">
        <v>378</v>
      </c>
      <c r="C87" s="1" t="s">
        <v>13</v>
      </c>
      <c r="D87" s="1" t="s">
        <v>229</v>
      </c>
      <c r="E87" s="3">
        <v>24387</v>
      </c>
      <c r="F87" s="1" t="str">
        <f>VLOOKUP(D87,Table17[[Name]:[Native]],3,FALSE)</f>
        <v>德城区</v>
      </c>
      <c r="G87" s="14" t="str">
        <f ca="1">VLOOKUP(F87,Table17[[Native]:[Population4]],5,FALSE)</f>
        <v>德州市</v>
      </c>
    </row>
    <row r="88" spans="1:7" ht="15.75" thickBot="1" x14ac:dyDescent="0.3">
      <c r="A88" t="s">
        <v>379</v>
      </c>
      <c r="B88" s="1" t="s">
        <v>380</v>
      </c>
      <c r="C88" s="1" t="s">
        <v>7</v>
      </c>
      <c r="D88" s="1" t="s">
        <v>248</v>
      </c>
      <c r="E88" s="3">
        <v>27872</v>
      </c>
      <c r="F88" s="1" t="str">
        <f>VLOOKUP(D88,Table17[[Name]:[Native]],3,FALSE)</f>
        <v>平原县</v>
      </c>
      <c r="G88" s="14" t="str">
        <f ca="1">VLOOKUP(F88,Table17[[Native]:[Population4]],5,FALSE)</f>
        <v>德州市</v>
      </c>
    </row>
    <row r="89" spans="1:7" ht="15.75" thickBot="1" x14ac:dyDescent="0.3">
      <c r="A89" t="s">
        <v>381</v>
      </c>
      <c r="B89" s="1" t="s">
        <v>382</v>
      </c>
      <c r="C89" s="1" t="s">
        <v>7</v>
      </c>
      <c r="D89" s="1" t="s">
        <v>229</v>
      </c>
      <c r="E89" s="3">
        <v>53577</v>
      </c>
      <c r="F89" s="1" t="str">
        <f>VLOOKUP(D89,Table17[[Name]:[Native]],3,FALSE)</f>
        <v>德城区</v>
      </c>
      <c r="G89" s="14" t="str">
        <f ca="1">VLOOKUP(F89,Table17[[Native]:[Population4]],5,FALSE)</f>
        <v>德州市</v>
      </c>
    </row>
    <row r="90" spans="1:7" ht="15.75" thickBot="1" x14ac:dyDescent="0.3">
      <c r="A90" t="s">
        <v>383</v>
      </c>
      <c r="B90" s="1" t="s">
        <v>384</v>
      </c>
      <c r="C90" s="1" t="s">
        <v>61</v>
      </c>
      <c r="D90" s="1" t="s">
        <v>210</v>
      </c>
      <c r="E90" s="3">
        <v>17069</v>
      </c>
      <c r="F90" s="1" t="str">
        <f>VLOOKUP(D90,Table17[[Name]:[Native]],3,FALSE)</f>
        <v>夏津县</v>
      </c>
      <c r="G90" s="14" t="str">
        <f ca="1">VLOOKUP(F90,Table17[[Native]:[Population4]],5,FALSE)</f>
        <v>德州市</v>
      </c>
    </row>
    <row r="91" spans="1:7" ht="15.75" thickBot="1" x14ac:dyDescent="0.3">
      <c r="A91" t="s">
        <v>385</v>
      </c>
      <c r="B91" s="1" t="s">
        <v>386</v>
      </c>
      <c r="C91" s="1" t="s">
        <v>13</v>
      </c>
      <c r="D91" s="1" t="s">
        <v>242</v>
      </c>
      <c r="E91" s="3">
        <v>25431</v>
      </c>
      <c r="F91" s="1" t="str">
        <f>VLOOKUP(D91,Table17[[Name]:[Native]],3,FALSE)</f>
        <v>乐陵市</v>
      </c>
      <c r="G91" s="14" t="str">
        <f ca="1">VLOOKUP(F91,Table17[[Native]:[Population4]],5,FALSE)</f>
        <v>德州市</v>
      </c>
    </row>
    <row r="92" spans="1:7" ht="15.75" thickBot="1" x14ac:dyDescent="0.3">
      <c r="A92" t="s">
        <v>387</v>
      </c>
      <c r="B92" s="1" t="s">
        <v>388</v>
      </c>
      <c r="C92" s="1" t="s">
        <v>13</v>
      </c>
      <c r="D92" s="1" t="s">
        <v>248</v>
      </c>
      <c r="E92" s="3">
        <v>22430</v>
      </c>
      <c r="F92" s="1" t="str">
        <f>VLOOKUP(D92,Table17[[Name]:[Native]],3,FALSE)</f>
        <v>平原县</v>
      </c>
      <c r="G92" s="14" t="str">
        <f ca="1">VLOOKUP(F92,Table17[[Native]:[Population4]],5,FALSE)</f>
        <v>德州市</v>
      </c>
    </row>
    <row r="93" spans="1:7" ht="15.75" thickBot="1" x14ac:dyDescent="0.3">
      <c r="A93" t="s">
        <v>389</v>
      </c>
      <c r="B93" s="1" t="s">
        <v>390</v>
      </c>
      <c r="C93" s="1" t="s">
        <v>13</v>
      </c>
      <c r="D93" s="1" t="s">
        <v>248</v>
      </c>
      <c r="E93" s="3">
        <v>51959</v>
      </c>
      <c r="F93" s="1" t="str">
        <f>VLOOKUP(D93,Table17[[Name]:[Native]],3,FALSE)</f>
        <v>平原县</v>
      </c>
      <c r="G93" s="14" t="str">
        <f ca="1">VLOOKUP(F93,Table17[[Native]:[Population4]],5,FALSE)</f>
        <v>德州市</v>
      </c>
    </row>
    <row r="94" spans="1:7" ht="15.75" thickBot="1" x14ac:dyDescent="0.3">
      <c r="A94" t="s">
        <v>391</v>
      </c>
      <c r="B94" s="1" t="s">
        <v>392</v>
      </c>
      <c r="C94" s="1" t="s">
        <v>13</v>
      </c>
      <c r="D94" s="1" t="s">
        <v>248</v>
      </c>
      <c r="E94" s="3">
        <v>28533</v>
      </c>
      <c r="F94" s="1" t="str">
        <f>VLOOKUP(D94,Table17[[Name]:[Native]],3,FALSE)</f>
        <v>平原县</v>
      </c>
      <c r="G94" s="14" t="str">
        <f ca="1">VLOOKUP(F94,Table17[[Native]:[Population4]],5,FALSE)</f>
        <v>德州市</v>
      </c>
    </row>
    <row r="95" spans="1:7" ht="15.75" thickBot="1" x14ac:dyDescent="0.3">
      <c r="A95" t="s">
        <v>393</v>
      </c>
      <c r="B95" s="1" t="s">
        <v>394</v>
      </c>
      <c r="C95" s="1" t="s">
        <v>13</v>
      </c>
      <c r="D95" s="1" t="s">
        <v>248</v>
      </c>
      <c r="E95" s="3">
        <v>33340</v>
      </c>
      <c r="F95" s="1" t="str">
        <f>VLOOKUP(D95,Table17[[Name]:[Native]],3,FALSE)</f>
        <v>平原县</v>
      </c>
      <c r="G95" s="14" t="str">
        <f ca="1">VLOOKUP(F95,Table17[[Native]:[Population4]],5,FALSE)</f>
        <v>德州市</v>
      </c>
    </row>
    <row r="96" spans="1:7" ht="15.75" thickBot="1" x14ac:dyDescent="0.3">
      <c r="A96" t="s">
        <v>395</v>
      </c>
      <c r="B96" s="1" t="s">
        <v>396</v>
      </c>
      <c r="C96" s="1" t="s">
        <v>13</v>
      </c>
      <c r="D96" s="1" t="s">
        <v>271</v>
      </c>
      <c r="E96" s="3">
        <v>57122</v>
      </c>
      <c r="F96" s="1" t="str">
        <f>VLOOKUP(D96,Table17[[Name]:[Native]],3,FALSE)</f>
        <v>武城县</v>
      </c>
      <c r="G96" s="14" t="str">
        <f ca="1">VLOOKUP(F96,Table17[[Native]:[Population4]],5,FALSE)</f>
        <v>德州市</v>
      </c>
    </row>
    <row r="97" spans="1:7" ht="15.75" thickBot="1" x14ac:dyDescent="0.3">
      <c r="A97" t="s">
        <v>397</v>
      </c>
      <c r="B97" s="1" t="s">
        <v>398</v>
      </c>
      <c r="C97" s="1" t="s">
        <v>13</v>
      </c>
      <c r="D97" s="1" t="s">
        <v>213</v>
      </c>
      <c r="E97" s="3">
        <v>23873</v>
      </c>
      <c r="F97" s="1" t="str">
        <f>VLOOKUP(D97,Table17[[Name]:[Native]],3,FALSE)</f>
        <v>宁津县</v>
      </c>
      <c r="G97" s="14" t="str">
        <f ca="1">VLOOKUP(F97,Table17[[Native]:[Population4]],5,FALSE)</f>
        <v>德州市</v>
      </c>
    </row>
    <row r="98" spans="1:7" ht="15.75" thickBot="1" x14ac:dyDescent="0.3">
      <c r="A98" t="s">
        <v>399</v>
      </c>
      <c r="B98" s="1" t="s">
        <v>400</v>
      </c>
      <c r="C98" s="1" t="s">
        <v>13</v>
      </c>
      <c r="D98" s="1" t="s">
        <v>210</v>
      </c>
      <c r="E98" s="3">
        <v>24875</v>
      </c>
      <c r="F98" s="1" t="str">
        <f>VLOOKUP(D98,Table17[[Name]:[Native]],3,FALSE)</f>
        <v>夏津县</v>
      </c>
      <c r="G98" s="14" t="str">
        <f ca="1">VLOOKUP(F98,Table17[[Native]:[Population4]],5,FALSE)</f>
        <v>德州市</v>
      </c>
    </row>
    <row r="99" spans="1:7" ht="15.75" thickBot="1" x14ac:dyDescent="0.3">
      <c r="A99" t="s">
        <v>401</v>
      </c>
      <c r="B99" s="1" t="s">
        <v>402</v>
      </c>
      <c r="C99" s="1" t="s">
        <v>61</v>
      </c>
      <c r="D99" s="1" t="s">
        <v>242</v>
      </c>
      <c r="E99" s="3">
        <v>24260</v>
      </c>
      <c r="F99" s="1" t="str">
        <f>VLOOKUP(D99,Table17[[Name]:[Native]],3,FALSE)</f>
        <v>乐陵市</v>
      </c>
      <c r="G99" s="14" t="str">
        <f ca="1">VLOOKUP(F99,Table17[[Native]:[Population4]],5,FALSE)</f>
        <v>德州市</v>
      </c>
    </row>
    <row r="100" spans="1:7" ht="15.75" thickBot="1" x14ac:dyDescent="0.3">
      <c r="A100" t="s">
        <v>181</v>
      </c>
      <c r="B100" s="1" t="s">
        <v>182</v>
      </c>
      <c r="C100" s="1" t="s">
        <v>13</v>
      </c>
      <c r="D100" s="1" t="s">
        <v>204</v>
      </c>
      <c r="E100" s="3">
        <v>31804</v>
      </c>
      <c r="F100" s="1" t="str">
        <f>VLOOKUP(D100,Table17[[Name]:[Native]],3,FALSE)</f>
        <v>禹城市</v>
      </c>
      <c r="G100" s="14" t="str">
        <f ca="1">VLOOKUP(F100,Table17[[Native]:[Population4]],5,FALSE)</f>
        <v>德州市</v>
      </c>
    </row>
    <row r="101" spans="1:7" ht="15.75" thickBot="1" x14ac:dyDescent="0.3">
      <c r="A101" t="s">
        <v>403</v>
      </c>
      <c r="B101" s="1" t="s">
        <v>404</v>
      </c>
      <c r="C101" s="1" t="s">
        <v>7</v>
      </c>
      <c r="D101" s="1" t="s">
        <v>245</v>
      </c>
      <c r="E101" s="3">
        <v>87500</v>
      </c>
      <c r="F101" s="1" t="str">
        <f>VLOOKUP(D101,Table17[[Name]:[Native]],3,FALSE)</f>
        <v>临邑县</v>
      </c>
      <c r="G101" s="14" t="str">
        <f ca="1">VLOOKUP(F101,Table17[[Native]:[Population4]],5,FALSE)</f>
        <v>德州市</v>
      </c>
    </row>
    <row r="102" spans="1:7" ht="15.75" thickBot="1" x14ac:dyDescent="0.3">
      <c r="A102" t="s">
        <v>405</v>
      </c>
      <c r="B102" s="1" t="s">
        <v>406</v>
      </c>
      <c r="C102" s="1" t="s">
        <v>13</v>
      </c>
      <c r="D102" s="1" t="s">
        <v>245</v>
      </c>
      <c r="E102" s="3">
        <v>38234</v>
      </c>
      <c r="F102" s="1" t="str">
        <f>VLOOKUP(D102,Table17[[Name]:[Native]],3,FALSE)</f>
        <v>临邑县</v>
      </c>
      <c r="G102" s="14" t="str">
        <f ca="1">VLOOKUP(F102,Table17[[Native]:[Population4]],5,FALSE)</f>
        <v>德州市</v>
      </c>
    </row>
    <row r="103" spans="1:7" ht="15.75" thickBot="1" x14ac:dyDescent="0.3">
      <c r="A103" t="s">
        <v>407</v>
      </c>
      <c r="B103" s="1" t="s">
        <v>408</v>
      </c>
      <c r="C103" s="1" t="s">
        <v>7</v>
      </c>
      <c r="D103" s="1" t="s">
        <v>229</v>
      </c>
      <c r="E103" s="3">
        <v>89861</v>
      </c>
      <c r="F103" s="1" t="str">
        <f>VLOOKUP(D103,Table17[[Name]:[Native]],3,FALSE)</f>
        <v>德城区</v>
      </c>
      <c r="G103" s="14" t="str">
        <f ca="1">VLOOKUP(F103,Table17[[Native]:[Population4]],5,FALSE)</f>
        <v>德州市</v>
      </c>
    </row>
    <row r="104" spans="1:7" ht="15.75" thickBot="1" x14ac:dyDescent="0.3">
      <c r="A104" t="s">
        <v>409</v>
      </c>
      <c r="B104" s="1" t="s">
        <v>410</v>
      </c>
      <c r="C104" s="1" t="s">
        <v>7</v>
      </c>
      <c r="D104" s="1" t="s">
        <v>229</v>
      </c>
      <c r="E104" s="3">
        <v>111659</v>
      </c>
      <c r="F104" s="1" t="str">
        <f>VLOOKUP(D104,Table17[[Name]:[Native]],3,FALSE)</f>
        <v>德城区</v>
      </c>
      <c r="G104" s="14" t="str">
        <f ca="1">VLOOKUP(F104,Table17[[Native]:[Population4]],5,FALSE)</f>
        <v>德州市</v>
      </c>
    </row>
    <row r="105" spans="1:7" ht="15.75" thickBot="1" x14ac:dyDescent="0.3">
      <c r="A105" t="s">
        <v>411</v>
      </c>
      <c r="B105" s="1" t="s">
        <v>412</v>
      </c>
      <c r="C105" s="1" t="s">
        <v>13</v>
      </c>
      <c r="D105" s="1" t="s">
        <v>210</v>
      </c>
      <c r="E105" s="3">
        <v>50556</v>
      </c>
      <c r="F105" s="1" t="str">
        <f>VLOOKUP(D105,Table17[[Name]:[Native]],3,FALSE)</f>
        <v>夏津县</v>
      </c>
      <c r="G105" s="14" t="str">
        <f ca="1">VLOOKUP(F105,Table17[[Native]:[Population4]],5,FALSE)</f>
        <v>德州市</v>
      </c>
    </row>
    <row r="106" spans="1:7" ht="15.75" thickBot="1" x14ac:dyDescent="0.3">
      <c r="A106" t="s">
        <v>413</v>
      </c>
      <c r="B106" s="1" t="s">
        <v>414</v>
      </c>
      <c r="C106" s="1" t="s">
        <v>13</v>
      </c>
      <c r="D106" s="1" t="s">
        <v>204</v>
      </c>
      <c r="E106" s="3">
        <v>39736</v>
      </c>
      <c r="F106" s="1" t="str">
        <f>VLOOKUP(D106,Table17[[Name]:[Native]],3,FALSE)</f>
        <v>禹城市</v>
      </c>
      <c r="G106" s="14" t="str">
        <f ca="1">VLOOKUP(F106,Table17[[Native]:[Population4]],5,FALSE)</f>
        <v>德州市</v>
      </c>
    </row>
    <row r="107" spans="1:7" ht="15.75" thickBot="1" x14ac:dyDescent="0.3">
      <c r="A107" t="s">
        <v>415</v>
      </c>
      <c r="B107" s="1" t="s">
        <v>416</v>
      </c>
      <c r="C107" s="1" t="s">
        <v>13</v>
      </c>
      <c r="D107" s="1" t="s">
        <v>207</v>
      </c>
      <c r="E107" s="3">
        <v>22506</v>
      </c>
      <c r="F107" s="1" t="str">
        <f>VLOOKUP(D107,Table17[[Name]:[Native]],3,FALSE)</f>
        <v>齐河县</v>
      </c>
      <c r="G107" s="14" t="str">
        <f ca="1">VLOOKUP(F107,Table17[[Native]:[Population4]],5,FALSE)</f>
        <v>德州市</v>
      </c>
    </row>
    <row r="108" spans="1:7" ht="15.75" thickBot="1" x14ac:dyDescent="0.3">
      <c r="A108" t="s">
        <v>417</v>
      </c>
      <c r="B108" s="1" t="s">
        <v>418</v>
      </c>
      <c r="C108" s="1" t="s">
        <v>61</v>
      </c>
      <c r="D108" s="1" t="s">
        <v>222</v>
      </c>
      <c r="E108" s="3">
        <v>16017</v>
      </c>
      <c r="F108" s="1" t="str">
        <f>VLOOKUP(D108,Table17[[Name]:[Native]],3,FALSE)</f>
        <v>庆云县</v>
      </c>
      <c r="G108" s="14" t="str">
        <f ca="1">VLOOKUP(F108,Table17[[Native]:[Population4]],5,FALSE)</f>
        <v>德州市</v>
      </c>
    </row>
    <row r="109" spans="1:7" ht="15.75" thickBot="1" x14ac:dyDescent="0.3">
      <c r="A109" t="s">
        <v>419</v>
      </c>
      <c r="B109" s="1" t="s">
        <v>420</v>
      </c>
      <c r="C109" s="1" t="s">
        <v>7</v>
      </c>
      <c r="D109" s="1" t="s">
        <v>207</v>
      </c>
      <c r="E109" s="3">
        <v>61485</v>
      </c>
      <c r="F109" s="1" t="str">
        <f>VLOOKUP(D109,Table17[[Name]:[Native]],3,FALSE)</f>
        <v>齐河县</v>
      </c>
      <c r="G109" s="14" t="str">
        <f ca="1">VLOOKUP(F109,Table17[[Native]:[Population4]],5,FALSE)</f>
        <v>德州市</v>
      </c>
    </row>
    <row r="110" spans="1:7" ht="15.75" thickBot="1" x14ac:dyDescent="0.3">
      <c r="A110" t="s">
        <v>421</v>
      </c>
      <c r="B110" s="1" t="s">
        <v>422</v>
      </c>
      <c r="C110" s="1" t="s">
        <v>7</v>
      </c>
      <c r="D110" s="1" t="s">
        <v>207</v>
      </c>
      <c r="E110" s="3">
        <v>82461</v>
      </c>
      <c r="F110" s="1" t="str">
        <f>VLOOKUP(D110,Table17[[Name]:[Native]],3,FALSE)</f>
        <v>齐河县</v>
      </c>
      <c r="G110" s="14" t="str">
        <f ca="1">VLOOKUP(F110,Table17[[Native]:[Population4]],5,FALSE)</f>
        <v>德州市</v>
      </c>
    </row>
    <row r="111" spans="1:7" ht="15.75" thickBot="1" x14ac:dyDescent="0.3">
      <c r="A111" t="s">
        <v>423</v>
      </c>
      <c r="B111" s="1" t="s">
        <v>424</v>
      </c>
      <c r="C111" s="1" t="s">
        <v>13</v>
      </c>
      <c r="D111" s="1" t="s">
        <v>242</v>
      </c>
      <c r="E111" s="3">
        <v>47374</v>
      </c>
      <c r="F111" s="1" t="str">
        <f>VLOOKUP(D111,Table17[[Name]:[Native]],3,FALSE)</f>
        <v>乐陵市</v>
      </c>
      <c r="G111" s="14" t="str">
        <f ca="1">VLOOKUP(F111,Table17[[Native]:[Population4]],5,FALSE)</f>
        <v>德州市</v>
      </c>
    </row>
    <row r="112" spans="1:7" ht="15.75" thickBot="1" x14ac:dyDescent="0.3">
      <c r="A112" t="s">
        <v>425</v>
      </c>
      <c r="B112" s="1" t="s">
        <v>426</v>
      </c>
      <c r="C112" s="1" t="s">
        <v>61</v>
      </c>
      <c r="D112" s="1" t="s">
        <v>222</v>
      </c>
      <c r="E112" s="3">
        <v>23400</v>
      </c>
      <c r="F112" s="1" t="str">
        <f>VLOOKUP(D112,Table17[[Name]:[Native]],3,FALSE)</f>
        <v>庆云县</v>
      </c>
      <c r="G112" s="14" t="str">
        <f ca="1">VLOOKUP(F112,Table17[[Native]:[Population4]],5,FALSE)</f>
        <v>德州市</v>
      </c>
    </row>
    <row r="113" spans="1:7" ht="15.75" thickBot="1" x14ac:dyDescent="0.3">
      <c r="A113" t="s">
        <v>427</v>
      </c>
      <c r="B113" s="1" t="s">
        <v>428</v>
      </c>
      <c r="C113" s="1" t="s">
        <v>13</v>
      </c>
      <c r="D113" s="1" t="s">
        <v>248</v>
      </c>
      <c r="E113" s="3">
        <v>26420</v>
      </c>
      <c r="F113" s="1" t="str">
        <f>VLOOKUP(D113,Table17[[Name]:[Native]],3,FALSE)</f>
        <v>平原县</v>
      </c>
      <c r="G113" s="14" t="str">
        <f ca="1">VLOOKUP(F113,Table17[[Native]:[Population4]],5,FALSE)</f>
        <v>德州市</v>
      </c>
    </row>
    <row r="114" spans="1:7" ht="15.75" thickBot="1" x14ac:dyDescent="0.3">
      <c r="A114" t="s">
        <v>429</v>
      </c>
      <c r="B114" s="1" t="s">
        <v>430</v>
      </c>
      <c r="C114" s="1" t="s">
        <v>13</v>
      </c>
      <c r="D114" s="1" t="s">
        <v>201</v>
      </c>
      <c r="E114" s="3">
        <v>33437</v>
      </c>
      <c r="F114" s="1" t="str">
        <f>VLOOKUP(D114,Table17[[Name]:[Native]],3,FALSE)</f>
        <v>陵城区</v>
      </c>
      <c r="G114" s="14" t="str">
        <f ca="1">VLOOKUP(F114,Table17[[Native]:[Population4]],5,FALSE)</f>
        <v>德州市</v>
      </c>
    </row>
    <row r="115" spans="1:7" ht="15.75" thickBot="1" x14ac:dyDescent="0.3">
      <c r="A115" t="s">
        <v>431</v>
      </c>
      <c r="B115" s="1" t="s">
        <v>432</v>
      </c>
      <c r="C115" s="1" t="s">
        <v>7</v>
      </c>
      <c r="D115" s="1" t="s">
        <v>210</v>
      </c>
      <c r="E115" s="3">
        <v>83990</v>
      </c>
      <c r="F115" s="1" t="str">
        <f>VLOOKUP(D115,Table17[[Name]:[Native]],3,FALSE)</f>
        <v>夏津县</v>
      </c>
      <c r="G115" s="14" t="str">
        <f ca="1">VLOOKUP(F115,Table17[[Native]:[Population4]],5,FALSE)</f>
        <v>德州市</v>
      </c>
    </row>
    <row r="116" spans="1:7" ht="15.75" thickBot="1" x14ac:dyDescent="0.3">
      <c r="A116" t="s">
        <v>433</v>
      </c>
      <c r="B116" s="1" t="s">
        <v>434</v>
      </c>
      <c r="C116" s="1" t="s">
        <v>13</v>
      </c>
      <c r="D116" s="1" t="s">
        <v>229</v>
      </c>
      <c r="E116" s="3">
        <v>20589</v>
      </c>
      <c r="F116" s="1" t="str">
        <f>VLOOKUP(D116,Table17[[Name]:[Native]],3,FALSE)</f>
        <v>德城区</v>
      </c>
      <c r="G116" s="14" t="str">
        <f ca="1">VLOOKUP(F116,Table17[[Native]:[Population4]],5,FALSE)</f>
        <v>德州市</v>
      </c>
    </row>
    <row r="117" spans="1:7" ht="15.75" thickBot="1" x14ac:dyDescent="0.3">
      <c r="A117" t="s">
        <v>435</v>
      </c>
      <c r="B117" s="1" t="s">
        <v>436</v>
      </c>
      <c r="C117" s="1" t="s">
        <v>61</v>
      </c>
      <c r="D117" s="1" t="s">
        <v>201</v>
      </c>
      <c r="E117" s="3">
        <v>21670</v>
      </c>
      <c r="F117" s="1" t="str">
        <f>VLOOKUP(D117,Table17[[Name]:[Native]],3,FALSE)</f>
        <v>陵城区</v>
      </c>
      <c r="G117" s="14" t="str">
        <f ca="1">VLOOKUP(F117,Table17[[Native]:[Population4]],5,FALSE)</f>
        <v>德州市</v>
      </c>
    </row>
    <row r="118" spans="1:7" ht="15.75" thickBot="1" x14ac:dyDescent="0.3">
      <c r="A118" t="s">
        <v>437</v>
      </c>
      <c r="B118" s="1" t="s">
        <v>438</v>
      </c>
      <c r="C118" s="1" t="s">
        <v>7</v>
      </c>
      <c r="D118" s="1" t="s">
        <v>229</v>
      </c>
      <c r="E118" s="3">
        <v>86765</v>
      </c>
      <c r="F118" s="1" t="str">
        <f>VLOOKUP(D118,Table17[[Name]:[Native]],3,FALSE)</f>
        <v>德城区</v>
      </c>
      <c r="G118" s="14" t="str">
        <f ca="1">VLOOKUP(F118,Table17[[Native]:[Population4]],5,FALSE)</f>
        <v>德州市</v>
      </c>
    </row>
    <row r="119" spans="1:7" ht="15.75" thickBot="1" x14ac:dyDescent="0.3">
      <c r="A119" t="s">
        <v>439</v>
      </c>
      <c r="B119" s="1" t="s">
        <v>440</v>
      </c>
      <c r="C119" s="1" t="s">
        <v>7</v>
      </c>
      <c r="D119" s="1" t="s">
        <v>242</v>
      </c>
      <c r="E119" s="3">
        <v>29424</v>
      </c>
      <c r="F119" s="1" t="str">
        <f>VLOOKUP(D119,Table17[[Name]:[Native]],3,FALSE)</f>
        <v>乐陵市</v>
      </c>
      <c r="G119" s="14" t="str">
        <f ca="1">VLOOKUP(F119,Table17[[Native]:[Population4]],5,FALSE)</f>
        <v>德州市</v>
      </c>
    </row>
    <row r="120" spans="1:7" ht="15.75" thickBot="1" x14ac:dyDescent="0.3">
      <c r="A120" t="s">
        <v>441</v>
      </c>
      <c r="B120" s="1" t="s">
        <v>442</v>
      </c>
      <c r="C120" s="1" t="s">
        <v>13</v>
      </c>
      <c r="D120" s="1" t="s">
        <v>245</v>
      </c>
      <c r="E120" s="3">
        <v>20933</v>
      </c>
      <c r="F120" s="1" t="str">
        <f>VLOOKUP(D120,Table17[[Name]:[Native]],3,FALSE)</f>
        <v>临邑县</v>
      </c>
      <c r="G120" s="14" t="str">
        <f ca="1">VLOOKUP(F120,Table17[[Native]:[Population4]],5,FALSE)</f>
        <v>德州市</v>
      </c>
    </row>
    <row r="121" spans="1:7" ht="15.75" thickBot="1" x14ac:dyDescent="0.3">
      <c r="A121" t="s">
        <v>443</v>
      </c>
      <c r="B121" s="1" t="s">
        <v>444</v>
      </c>
      <c r="C121" s="1" t="s">
        <v>61</v>
      </c>
      <c r="D121" s="1" t="s">
        <v>242</v>
      </c>
      <c r="E121" s="3">
        <v>19744</v>
      </c>
      <c r="F121" s="1" t="str">
        <f>VLOOKUP(D121,Table17[[Name]:[Native]],3,FALSE)</f>
        <v>乐陵市</v>
      </c>
      <c r="G121" s="14" t="str">
        <f ca="1">VLOOKUP(F121,Table17[[Native]:[Population4]],5,FALSE)</f>
        <v>德州市</v>
      </c>
    </row>
    <row r="122" spans="1:7" ht="15.75" thickBot="1" x14ac:dyDescent="0.3">
      <c r="A122" t="s">
        <v>445</v>
      </c>
      <c r="B122" s="1" t="s">
        <v>446</v>
      </c>
      <c r="C122" s="1" t="s">
        <v>13</v>
      </c>
      <c r="D122" s="1" t="s">
        <v>213</v>
      </c>
      <c r="E122" s="3">
        <v>35461</v>
      </c>
      <c r="F122" s="1" t="str">
        <f>VLOOKUP(D122,Table17[[Name]:[Native]],3,FALSE)</f>
        <v>宁津县</v>
      </c>
      <c r="G122" s="14" t="str">
        <f ca="1">VLOOKUP(F122,Table17[[Native]:[Population4]],5,FALSE)</f>
        <v>德州市</v>
      </c>
    </row>
    <row r="123" spans="1:7" ht="15.75" thickBot="1" x14ac:dyDescent="0.3">
      <c r="A123" t="s">
        <v>447</v>
      </c>
      <c r="B123" s="1" t="s">
        <v>448</v>
      </c>
      <c r="C123" s="1" t="s">
        <v>13</v>
      </c>
      <c r="D123" s="1" t="s">
        <v>248</v>
      </c>
      <c r="E123" s="3">
        <v>25195</v>
      </c>
      <c r="F123" s="1" t="str">
        <f>VLOOKUP(D123,Table17[[Name]:[Native]],3,FALSE)</f>
        <v>平原县</v>
      </c>
      <c r="G123" s="14" t="str">
        <f ca="1">VLOOKUP(F123,Table17[[Native]:[Population4]],5,FALSE)</f>
        <v>德州市</v>
      </c>
    </row>
    <row r="124" spans="1:7" ht="15.75" thickBot="1" x14ac:dyDescent="0.3">
      <c r="A124" t="s">
        <v>449</v>
      </c>
      <c r="B124" s="1" t="s">
        <v>450</v>
      </c>
      <c r="C124" s="1" t="s">
        <v>13</v>
      </c>
      <c r="D124" s="1" t="s">
        <v>204</v>
      </c>
      <c r="E124" s="3">
        <v>20630</v>
      </c>
      <c r="F124" s="1" t="str">
        <f>VLOOKUP(D124,Table17[[Name]:[Native]],3,FALSE)</f>
        <v>禹城市</v>
      </c>
      <c r="G124" s="14" t="str">
        <f ca="1">VLOOKUP(F124,Table17[[Native]:[Population4]],5,FALSE)</f>
        <v>德州市</v>
      </c>
    </row>
    <row r="125" spans="1:7" ht="15.75" thickBot="1" x14ac:dyDescent="0.3">
      <c r="A125" t="s">
        <v>451</v>
      </c>
      <c r="B125" s="1" t="s">
        <v>452</v>
      </c>
      <c r="C125" s="1" t="s">
        <v>13</v>
      </c>
      <c r="D125" s="1" t="s">
        <v>207</v>
      </c>
      <c r="E125" s="3">
        <v>31596</v>
      </c>
      <c r="F125" s="1" t="str">
        <f>VLOOKUP(D125,Table17[[Name]:[Native]],3,FALSE)</f>
        <v>齐河县</v>
      </c>
      <c r="G125" s="14" t="str">
        <f ca="1">VLOOKUP(F125,Table17[[Native]:[Population4]],5,FALSE)</f>
        <v>德州市</v>
      </c>
    </row>
    <row r="126" spans="1:7" ht="15.75" thickBot="1" x14ac:dyDescent="0.3">
      <c r="A126" t="s">
        <v>453</v>
      </c>
      <c r="B126" s="1" t="s">
        <v>454</v>
      </c>
      <c r="C126" s="1" t="s">
        <v>13</v>
      </c>
      <c r="D126" s="1" t="s">
        <v>229</v>
      </c>
      <c r="E126" s="3">
        <v>38964</v>
      </c>
      <c r="F126" s="1" t="str">
        <f>VLOOKUP(D126,Table17[[Name]:[Native]],3,FALSE)</f>
        <v>德城区</v>
      </c>
      <c r="G126" s="14" t="str">
        <f ca="1">VLOOKUP(F126,Table17[[Native]:[Population4]],5,FALSE)</f>
        <v>德州市</v>
      </c>
    </row>
    <row r="127" spans="1:7" ht="15.75" thickBot="1" x14ac:dyDescent="0.3">
      <c r="A127" t="s">
        <v>455</v>
      </c>
      <c r="B127" s="1" t="s">
        <v>456</v>
      </c>
      <c r="C127" s="1" t="s">
        <v>13</v>
      </c>
      <c r="D127" s="1" t="s">
        <v>210</v>
      </c>
      <c r="E127" s="3">
        <v>23421</v>
      </c>
      <c r="F127" s="1" t="str">
        <f>VLOOKUP(D127,Table17[[Name]:[Native]],3,FALSE)</f>
        <v>夏津县</v>
      </c>
      <c r="G127" s="14" t="str">
        <f ca="1">VLOOKUP(F127,Table17[[Native]:[Population4]],5,FALSE)</f>
        <v>德州市</v>
      </c>
    </row>
    <row r="128" spans="1:7" ht="15.75" thickBot="1" x14ac:dyDescent="0.3">
      <c r="A128" t="s">
        <v>457</v>
      </c>
      <c r="B128" s="1" t="s">
        <v>458</v>
      </c>
      <c r="C128" s="1" t="s">
        <v>13</v>
      </c>
      <c r="D128" s="1" t="s">
        <v>242</v>
      </c>
      <c r="E128" s="3">
        <v>59310</v>
      </c>
      <c r="F128" s="1" t="str">
        <f>VLOOKUP(D128,Table17[[Name]:[Native]],3,FALSE)</f>
        <v>乐陵市</v>
      </c>
      <c r="G128" s="14" t="str">
        <f ca="1">VLOOKUP(F128,Table17[[Native]:[Population4]],5,FALSE)</f>
        <v>德州市</v>
      </c>
    </row>
    <row r="129" spans="1:7" ht="15.75" thickBot="1" x14ac:dyDescent="0.3">
      <c r="A129" t="s">
        <v>459</v>
      </c>
      <c r="B129" s="1" t="s">
        <v>460</v>
      </c>
      <c r="C129" s="1" t="s">
        <v>13</v>
      </c>
      <c r="D129" s="1" t="s">
        <v>201</v>
      </c>
      <c r="E129" s="3">
        <v>43593</v>
      </c>
      <c r="F129" s="1" t="str">
        <f>VLOOKUP(D129,Table17[[Name]:[Native]],3,FALSE)</f>
        <v>陵城区</v>
      </c>
      <c r="G129" s="14" t="str">
        <f ca="1">VLOOKUP(F129,Table17[[Native]:[Population4]],5,FALSE)</f>
        <v>德州市</v>
      </c>
    </row>
    <row r="130" spans="1:7" ht="15.75" thickBot="1" x14ac:dyDescent="0.3">
      <c r="A130" t="s">
        <v>461</v>
      </c>
      <c r="B130" s="1" t="s">
        <v>462</v>
      </c>
      <c r="C130" s="1" t="s">
        <v>61</v>
      </c>
      <c r="D130" s="1" t="s">
        <v>222</v>
      </c>
      <c r="E130" s="3">
        <v>19070</v>
      </c>
      <c r="F130" s="1" t="str">
        <f>VLOOKUP(D130,Table17[[Name]:[Native]],3,FALSE)</f>
        <v>庆云县</v>
      </c>
      <c r="G130" s="14" t="str">
        <f ca="1">VLOOKUP(F130,Table17[[Native]:[Population4]],5,FALSE)</f>
        <v>德州市</v>
      </c>
    </row>
    <row r="131" spans="1:7" ht="15.75" thickBot="1" x14ac:dyDescent="0.3">
      <c r="A131" t="s">
        <v>463</v>
      </c>
      <c r="B131" s="1" t="s">
        <v>464</v>
      </c>
      <c r="C131" s="1" t="s">
        <v>13</v>
      </c>
      <c r="D131" s="1" t="s">
        <v>207</v>
      </c>
      <c r="E131" s="3">
        <v>57995</v>
      </c>
      <c r="F131" s="1" t="str">
        <f>VLOOKUP(D131,Table17[[Name]:[Native]],3,FALSE)</f>
        <v>齐河县</v>
      </c>
      <c r="G131" s="14" t="str">
        <f ca="1">VLOOKUP(F131,Table17[[Native]:[Population4]],5,FALSE)</f>
        <v>德州市</v>
      </c>
    </row>
    <row r="132" spans="1:7" ht="15.75" thickBot="1" x14ac:dyDescent="0.3">
      <c r="A132" t="s">
        <v>465</v>
      </c>
      <c r="B132" s="1" t="s">
        <v>466</v>
      </c>
      <c r="C132" s="1" t="s">
        <v>13</v>
      </c>
      <c r="D132" s="1" t="s">
        <v>242</v>
      </c>
      <c r="E132" s="3">
        <v>55801</v>
      </c>
      <c r="F132" s="1" t="str">
        <f>VLOOKUP(D132,Table17[[Name]:[Native]],3,FALSE)</f>
        <v>乐陵市</v>
      </c>
      <c r="G132" s="14" t="str">
        <f ca="1">VLOOKUP(F132,Table17[[Native]:[Population4]],5,FALSE)</f>
        <v>德州市</v>
      </c>
    </row>
    <row r="133" spans="1:7" ht="15.75" thickBot="1" x14ac:dyDescent="0.3">
      <c r="A133" t="s">
        <v>467</v>
      </c>
      <c r="B133" s="1" t="s">
        <v>468</v>
      </c>
      <c r="C133" s="1" t="s">
        <v>13</v>
      </c>
      <c r="D133" s="1" t="s">
        <v>201</v>
      </c>
      <c r="E133" s="3">
        <v>35326</v>
      </c>
      <c r="F133" s="10" t="str">
        <f>VLOOKUP(D133,Table17[[Name]:[Native]],3,FALSE)</f>
        <v>陵城区</v>
      </c>
      <c r="G133" s="14" t="str">
        <f ca="1">VLOOKUP(F133,Table17[[Native]:[Population4]],5,FALSE)</f>
        <v>德州市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A2D0D-E445-42DC-9095-EAF8ECD2E116}">
  <dimension ref="A1:G50"/>
  <sheetViews>
    <sheetView workbookViewId="0">
      <selection activeCell="A2" sqref="A2:G50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469</v>
      </c>
      <c r="B2" s="1" t="s">
        <v>470</v>
      </c>
      <c r="C2" s="1" t="s">
        <v>13</v>
      </c>
      <c r="D2" s="1" t="s">
        <v>471</v>
      </c>
      <c r="E2" s="3">
        <v>34309</v>
      </c>
      <c r="F2" s="9" t="str">
        <f>VLOOKUP(D2,Table17[[Name]:[Native]],3,FALSE)</f>
        <v>利津县</v>
      </c>
      <c r="G2" s="14" t="str">
        <f ca="1">VLOOKUP(F2,Table17[[Native]:[Population4]],5,FALSE)</f>
        <v>东营市</v>
      </c>
    </row>
    <row r="3" spans="1:7" ht="15.75" thickBot="1" x14ac:dyDescent="0.3">
      <c r="A3" t="s">
        <v>472</v>
      </c>
      <c r="B3" s="1" t="s">
        <v>473</v>
      </c>
      <c r="C3" s="1" t="s">
        <v>13</v>
      </c>
      <c r="D3" s="1" t="s">
        <v>474</v>
      </c>
      <c r="E3" s="3">
        <v>20256</v>
      </c>
      <c r="F3" s="1" t="str">
        <f>VLOOKUP(D3,Table17[[Name]:[Native]],3,FALSE)</f>
        <v>广饶县</v>
      </c>
      <c r="G3" s="14" t="str">
        <f ca="1">VLOOKUP(F3,Table17[[Native]:[Population4]],5,FALSE)</f>
        <v>东营市</v>
      </c>
    </row>
    <row r="4" spans="1:7" ht="15.75" thickBot="1" x14ac:dyDescent="0.3">
      <c r="A4" t="s">
        <v>475</v>
      </c>
      <c r="B4" s="1" t="s">
        <v>476</v>
      </c>
      <c r="C4" s="1" t="s">
        <v>13</v>
      </c>
      <c r="D4" s="1" t="s">
        <v>471</v>
      </c>
      <c r="E4" s="3">
        <v>50396</v>
      </c>
      <c r="F4" s="1" t="str">
        <f>VLOOKUP(D4,Table17[[Name]:[Native]],3,FALSE)</f>
        <v>利津县</v>
      </c>
      <c r="G4" s="14" t="str">
        <f ca="1">VLOOKUP(F4,Table17[[Native]:[Population4]],5,FALSE)</f>
        <v>东营市</v>
      </c>
    </row>
    <row r="5" spans="1:7" ht="15.75" thickBot="1" x14ac:dyDescent="0.3">
      <c r="A5" t="s">
        <v>477</v>
      </c>
      <c r="B5" s="1" t="s">
        <v>478</v>
      </c>
      <c r="C5" s="1" t="s">
        <v>13</v>
      </c>
      <c r="D5" s="1" t="s">
        <v>474</v>
      </c>
      <c r="E5" s="3">
        <v>44157</v>
      </c>
      <c r="F5" s="1" t="str">
        <f>VLOOKUP(D5,Table17[[Name]:[Native]],3,FALSE)</f>
        <v>广饶县</v>
      </c>
      <c r="G5" s="14" t="str">
        <f ca="1">VLOOKUP(F5,Table17[[Native]:[Population4]],5,FALSE)</f>
        <v>东营市</v>
      </c>
    </row>
    <row r="6" spans="1:7" ht="15.75" thickBot="1" x14ac:dyDescent="0.3">
      <c r="A6" t="s">
        <v>479</v>
      </c>
      <c r="B6" s="1" t="s">
        <v>480</v>
      </c>
      <c r="C6" s="1" t="s">
        <v>13</v>
      </c>
      <c r="D6" s="1" t="s">
        <v>474</v>
      </c>
      <c r="E6" s="3">
        <v>73604</v>
      </c>
      <c r="F6" s="1" t="str">
        <f>VLOOKUP(D6,Table17[[Name]:[Native]],3,FALSE)</f>
        <v>广饶县</v>
      </c>
      <c r="G6" s="14" t="str">
        <f ca="1">VLOOKUP(F6,Table17[[Native]:[Population4]],5,FALSE)</f>
        <v>东营市</v>
      </c>
    </row>
    <row r="7" spans="1:7" ht="15.75" thickBot="1" x14ac:dyDescent="0.3">
      <c r="A7" t="s">
        <v>481</v>
      </c>
      <c r="B7" s="1" t="s">
        <v>482</v>
      </c>
      <c r="C7" s="1" t="s">
        <v>13</v>
      </c>
      <c r="D7" s="1" t="s">
        <v>474</v>
      </c>
      <c r="E7" s="3">
        <v>98542</v>
      </c>
      <c r="F7" s="1" t="str">
        <f>VLOOKUP(D7,Table17[[Name]:[Native]],3,FALSE)</f>
        <v>广饶县</v>
      </c>
      <c r="G7" s="14" t="str">
        <f ca="1">VLOOKUP(F7,Table17[[Native]:[Population4]],5,FALSE)</f>
        <v>东营市</v>
      </c>
    </row>
    <row r="8" spans="1:7" ht="15.75" thickBot="1" x14ac:dyDescent="0.3">
      <c r="A8" t="s">
        <v>483</v>
      </c>
      <c r="B8" s="1" t="s">
        <v>484</v>
      </c>
      <c r="C8" s="1" t="s">
        <v>61</v>
      </c>
      <c r="D8" s="1" t="s">
        <v>471</v>
      </c>
      <c r="E8" s="3">
        <v>1934</v>
      </c>
      <c r="F8" s="1" t="str">
        <f>VLOOKUP(D8,Table17[[Name]:[Native]],3,FALSE)</f>
        <v>利津县</v>
      </c>
      <c r="G8" s="14" t="str">
        <f ca="1">VLOOKUP(F8,Table17[[Native]:[Population4]],5,FALSE)</f>
        <v>东营市</v>
      </c>
    </row>
    <row r="9" spans="1:7" ht="15.75" thickBot="1" x14ac:dyDescent="0.3">
      <c r="A9" t="s">
        <v>485</v>
      </c>
      <c r="B9" s="1" t="s">
        <v>486</v>
      </c>
      <c r="C9" s="1" t="s">
        <v>7</v>
      </c>
      <c r="D9" s="1" t="s">
        <v>474</v>
      </c>
      <c r="E9" s="3">
        <v>42014</v>
      </c>
      <c r="F9" s="1" t="str">
        <f>VLOOKUP(D9,Table17[[Name]:[Native]],3,FALSE)</f>
        <v>广饶县</v>
      </c>
      <c r="G9" s="14" t="str">
        <f ca="1">VLOOKUP(F9,Table17[[Native]:[Population4]],5,FALSE)</f>
        <v>东营市</v>
      </c>
    </row>
    <row r="10" spans="1:7" ht="15.75" thickBot="1" x14ac:dyDescent="0.3">
      <c r="A10" t="s">
        <v>487</v>
      </c>
      <c r="B10" s="1" t="s">
        <v>488</v>
      </c>
      <c r="C10" s="1" t="s">
        <v>7</v>
      </c>
      <c r="D10" s="1" t="s">
        <v>489</v>
      </c>
      <c r="E10" s="3">
        <v>112425</v>
      </c>
      <c r="F10" s="1" t="str">
        <f>VLOOKUP(D10,Table17[[Name]:[Native]],3,FALSE)</f>
        <v>东营区</v>
      </c>
      <c r="G10" s="14" t="str">
        <f ca="1">VLOOKUP(F10,Table17[[Native]:[Population4]],5,FALSE)</f>
        <v>东营市</v>
      </c>
    </row>
    <row r="11" spans="1:7" ht="15.75" thickBot="1" x14ac:dyDescent="0.3">
      <c r="A11" t="s">
        <v>490</v>
      </c>
      <c r="B11" s="1" t="s">
        <v>491</v>
      </c>
      <c r="C11" s="1" t="s">
        <v>13</v>
      </c>
      <c r="D11" s="1" t="s">
        <v>492</v>
      </c>
      <c r="E11" s="3">
        <v>18464</v>
      </c>
      <c r="F11" s="1" t="str">
        <f>VLOOKUP(D11,Table17[[Name]:[Native]],3,FALSE)</f>
        <v>垦利区</v>
      </c>
      <c r="G11" s="14" t="str">
        <f ca="1">VLOOKUP(F11,Table17[[Native]:[Population4]],5,FALSE)</f>
        <v>东营市</v>
      </c>
    </row>
    <row r="12" spans="1:7" ht="15.75" thickBot="1" x14ac:dyDescent="0.3">
      <c r="A12" s="1" t="s">
        <v>493</v>
      </c>
      <c r="B12" s="1" t="s">
        <v>494</v>
      </c>
      <c r="C12" s="1" t="s">
        <v>495</v>
      </c>
      <c r="D12" s="1" t="s">
        <v>496</v>
      </c>
      <c r="E12" s="3">
        <v>3898</v>
      </c>
      <c r="F12" s="1" t="str">
        <f>VLOOKUP(D12,Table17[[Name]:[Native]],3,FALSE)</f>
        <v>河口区</v>
      </c>
      <c r="G12" s="14" t="str">
        <f ca="1">VLOOKUP(F12,Table17[[Native]:[Population4]],5,FALSE)</f>
        <v>东营市</v>
      </c>
    </row>
    <row r="13" spans="1:7" ht="15.75" thickBot="1" x14ac:dyDescent="0.3">
      <c r="A13" s="1" t="s">
        <v>497</v>
      </c>
      <c r="B13" s="1" t="s">
        <v>498</v>
      </c>
      <c r="C13" s="1" t="s">
        <v>495</v>
      </c>
      <c r="D13" s="1" t="s">
        <v>489</v>
      </c>
      <c r="E13" s="3">
        <v>18881</v>
      </c>
      <c r="F13" s="1" t="str">
        <f>VLOOKUP(D13,Table17[[Name]:[Native]],3,FALSE)</f>
        <v>东营区</v>
      </c>
      <c r="G13" s="14" t="str">
        <f ca="1">VLOOKUP(F13,Table17[[Native]:[Population4]],5,FALSE)</f>
        <v>东营市</v>
      </c>
    </row>
    <row r="14" spans="1:7" ht="15.75" thickBot="1" x14ac:dyDescent="0.3">
      <c r="A14" t="s">
        <v>499</v>
      </c>
      <c r="B14" s="1" t="s">
        <v>500</v>
      </c>
      <c r="C14" s="1" t="s">
        <v>7</v>
      </c>
      <c r="D14" s="1" t="s">
        <v>471</v>
      </c>
      <c r="E14" s="3">
        <v>21198</v>
      </c>
      <c r="F14" s="1" t="str">
        <f>VLOOKUP(D14,Table17[[Name]:[Native]],3,FALSE)</f>
        <v>利津县</v>
      </c>
      <c r="G14" s="14" t="str">
        <f ca="1">VLOOKUP(F14,Table17[[Native]:[Population4]],5,FALSE)</f>
        <v>东营市</v>
      </c>
    </row>
    <row r="15" spans="1:7" ht="15.75" thickBot="1" x14ac:dyDescent="0.3">
      <c r="A15" s="1" t="s">
        <v>501</v>
      </c>
      <c r="B15" s="1" t="s">
        <v>502</v>
      </c>
      <c r="C15" s="1" t="s">
        <v>495</v>
      </c>
      <c r="D15" s="1" t="s">
        <v>474</v>
      </c>
      <c r="E15" s="3">
        <v>4962</v>
      </c>
      <c r="F15" s="1" t="str">
        <f>VLOOKUP(D15,Table17[[Name]:[Native]],3,FALSE)</f>
        <v>广饶县</v>
      </c>
      <c r="G15" s="14" t="str">
        <f ca="1">VLOOKUP(F15,Table17[[Native]:[Population4]],5,FALSE)</f>
        <v>东营市</v>
      </c>
    </row>
    <row r="16" spans="1:7" ht="15.75" thickBot="1" x14ac:dyDescent="0.3">
      <c r="A16" t="s">
        <v>503</v>
      </c>
      <c r="B16" s="1" t="s">
        <v>504</v>
      </c>
      <c r="C16" s="1" t="s">
        <v>7</v>
      </c>
      <c r="D16" s="1" t="s">
        <v>474</v>
      </c>
      <c r="E16" s="3">
        <v>102022</v>
      </c>
      <c r="F16" s="1" t="str">
        <f>VLOOKUP(D16,Table17[[Name]:[Native]],3,FALSE)</f>
        <v>广饶县</v>
      </c>
      <c r="G16" s="14" t="str">
        <f ca="1">VLOOKUP(F16,Table17[[Native]:[Population4]],5,FALSE)</f>
        <v>东营市</v>
      </c>
    </row>
    <row r="17" spans="1:7" ht="15.75" thickBot="1" x14ac:dyDescent="0.3">
      <c r="A17" t="s">
        <v>505</v>
      </c>
      <c r="B17" s="1" t="s">
        <v>506</v>
      </c>
      <c r="C17" s="1" t="s">
        <v>13</v>
      </c>
      <c r="D17" s="1" t="s">
        <v>496</v>
      </c>
      <c r="E17" s="3">
        <v>46068</v>
      </c>
      <c r="F17" s="1" t="str">
        <f>VLOOKUP(D17,Table17[[Name]:[Native]],3,FALSE)</f>
        <v>河口区</v>
      </c>
      <c r="G17" s="14" t="str">
        <f ca="1">VLOOKUP(F17,Table17[[Native]:[Population4]],5,FALSE)</f>
        <v>东营市</v>
      </c>
    </row>
    <row r="18" spans="1:7" ht="15.75" thickBot="1" x14ac:dyDescent="0.3">
      <c r="A18" t="s">
        <v>507</v>
      </c>
      <c r="B18" s="1" t="s">
        <v>508</v>
      </c>
      <c r="C18" s="1" t="s">
        <v>13</v>
      </c>
      <c r="D18" s="1" t="s">
        <v>492</v>
      </c>
      <c r="E18" s="3">
        <v>16241</v>
      </c>
      <c r="F18" s="1" t="str">
        <f>VLOOKUP(D18,Table17[[Name]:[Native]],3,FALSE)</f>
        <v>垦利区</v>
      </c>
      <c r="G18" s="14" t="str">
        <f ca="1">VLOOKUP(F18,Table17[[Native]:[Population4]],5,FALSE)</f>
        <v>东营市</v>
      </c>
    </row>
    <row r="19" spans="1:7" ht="15.75" thickBot="1" x14ac:dyDescent="0.3">
      <c r="A19" t="s">
        <v>509</v>
      </c>
      <c r="B19" s="1" t="s">
        <v>510</v>
      </c>
      <c r="C19" s="1" t="s">
        <v>7</v>
      </c>
      <c r="D19" s="1" t="s">
        <v>496</v>
      </c>
      <c r="E19" s="3">
        <v>78471</v>
      </c>
      <c r="F19" s="1" t="str">
        <f>VLOOKUP(D19,Table17[[Name]:[Native]],3,FALSE)</f>
        <v>河口区</v>
      </c>
      <c r="G19" s="14" t="str">
        <f ca="1">VLOOKUP(F19,Table17[[Native]:[Population4]],5,FALSE)</f>
        <v>东营市</v>
      </c>
    </row>
    <row r="20" spans="1:7" ht="15.75" thickBot="1" x14ac:dyDescent="0.3">
      <c r="A20" s="1" t="s">
        <v>511</v>
      </c>
      <c r="B20" s="1" t="s">
        <v>512</v>
      </c>
      <c r="C20" s="1" t="s">
        <v>495</v>
      </c>
      <c r="D20" s="1" t="s">
        <v>496</v>
      </c>
      <c r="E20" s="3">
        <v>1628</v>
      </c>
      <c r="F20" s="1" t="str">
        <f>VLOOKUP(D20,Table17[[Name]:[Native]],3,FALSE)</f>
        <v>河口区</v>
      </c>
      <c r="G20" s="14" t="str">
        <f ca="1">VLOOKUP(F20,Table17[[Native]:[Population4]],5,FALSE)</f>
        <v>东营市</v>
      </c>
    </row>
    <row r="21" spans="1:7" ht="15.75" thickBot="1" x14ac:dyDescent="0.3">
      <c r="A21" t="s">
        <v>513</v>
      </c>
      <c r="B21" s="1" t="s">
        <v>514</v>
      </c>
      <c r="C21" s="1" t="s">
        <v>495</v>
      </c>
      <c r="D21" s="1" t="s">
        <v>492</v>
      </c>
      <c r="E21" s="3">
        <v>1518</v>
      </c>
      <c r="F21" s="1" t="str">
        <f>VLOOKUP(D21,Table17[[Name]:[Native]],3,FALSE)</f>
        <v>垦利区</v>
      </c>
      <c r="G21" s="14" t="str">
        <f ca="1">VLOOKUP(F21,Table17[[Native]:[Population4]],5,FALSE)</f>
        <v>东营市</v>
      </c>
    </row>
    <row r="22" spans="1:7" ht="15.75" thickBot="1" x14ac:dyDescent="0.3">
      <c r="A22" t="s">
        <v>515</v>
      </c>
      <c r="B22" s="1" t="s">
        <v>516</v>
      </c>
      <c r="C22" s="1" t="s">
        <v>13</v>
      </c>
      <c r="D22" s="1" t="s">
        <v>474</v>
      </c>
      <c r="E22" s="3">
        <v>38180</v>
      </c>
      <c r="F22" s="1" t="str">
        <f>VLOOKUP(D22,Table17[[Name]:[Native]],3,FALSE)</f>
        <v>广饶县</v>
      </c>
      <c r="G22" s="14" t="str">
        <f ca="1">VLOOKUP(F22,Table17[[Native]:[Population4]],5,FALSE)</f>
        <v>东营市</v>
      </c>
    </row>
    <row r="23" spans="1:7" ht="15.75" thickBot="1" x14ac:dyDescent="0.3">
      <c r="A23" t="s">
        <v>517</v>
      </c>
      <c r="B23" s="1" t="s">
        <v>518</v>
      </c>
      <c r="C23" s="1" t="s">
        <v>13</v>
      </c>
      <c r="D23" s="1" t="s">
        <v>492</v>
      </c>
      <c r="E23" s="3">
        <v>23383</v>
      </c>
      <c r="F23" s="1" t="str">
        <f>VLOOKUP(D23,Table17[[Name]:[Native]],3,FALSE)</f>
        <v>垦利区</v>
      </c>
      <c r="G23" s="14" t="str">
        <f ca="1">VLOOKUP(F23,Table17[[Native]:[Population4]],5,FALSE)</f>
        <v>东营市</v>
      </c>
    </row>
    <row r="24" spans="1:7" ht="15.75" thickBot="1" x14ac:dyDescent="0.3">
      <c r="A24" t="s">
        <v>519</v>
      </c>
      <c r="B24" s="1" t="s">
        <v>520</v>
      </c>
      <c r="C24" s="1" t="s">
        <v>7</v>
      </c>
      <c r="D24" s="1" t="s">
        <v>489</v>
      </c>
      <c r="E24" s="3">
        <v>105776</v>
      </c>
      <c r="F24" s="1" t="str">
        <f>VLOOKUP(D24,Table17[[Name]:[Native]],3,FALSE)</f>
        <v>东营区</v>
      </c>
      <c r="G24" s="14" t="str">
        <f ca="1">VLOOKUP(F24,Table17[[Native]:[Population4]],5,FALSE)</f>
        <v>东营市</v>
      </c>
    </row>
    <row r="25" spans="1:7" ht="15.75" thickBot="1" x14ac:dyDescent="0.3">
      <c r="A25" t="s">
        <v>521</v>
      </c>
      <c r="B25" s="1" t="s">
        <v>522</v>
      </c>
      <c r="C25" s="1" t="s">
        <v>495</v>
      </c>
      <c r="D25" s="1" t="s">
        <v>492</v>
      </c>
      <c r="E25" s="3">
        <v>1888</v>
      </c>
      <c r="F25" s="1" t="str">
        <f>VLOOKUP(D25,Table17[[Name]:[Native]],3,FALSE)</f>
        <v>垦利区</v>
      </c>
      <c r="G25" s="14" t="str">
        <f ca="1">VLOOKUP(F25,Table17[[Native]:[Population4]],5,FALSE)</f>
        <v>东营市</v>
      </c>
    </row>
    <row r="26" spans="1:7" ht="15.75" thickBot="1" x14ac:dyDescent="0.3">
      <c r="A26" t="s">
        <v>523</v>
      </c>
      <c r="B26" s="1" t="s">
        <v>524</v>
      </c>
      <c r="C26" s="1" t="s">
        <v>7</v>
      </c>
      <c r="D26" s="1" t="s">
        <v>492</v>
      </c>
      <c r="E26" s="3">
        <v>55051</v>
      </c>
      <c r="F26" s="1" t="str">
        <f>VLOOKUP(D26,Table17[[Name]:[Native]],3,FALSE)</f>
        <v>垦利区</v>
      </c>
      <c r="G26" s="14" t="str">
        <f ca="1">VLOOKUP(F26,Table17[[Native]:[Population4]],5,FALSE)</f>
        <v>东营市</v>
      </c>
    </row>
    <row r="27" spans="1:7" ht="15.75" thickBot="1" x14ac:dyDescent="0.3">
      <c r="A27" t="s">
        <v>525</v>
      </c>
      <c r="B27" s="1" t="s">
        <v>526</v>
      </c>
      <c r="C27" s="1" t="s">
        <v>7</v>
      </c>
      <c r="D27" s="1" t="s">
        <v>492</v>
      </c>
      <c r="E27" s="3">
        <v>34507</v>
      </c>
      <c r="F27" s="1" t="str">
        <f>VLOOKUP(D27,Table17[[Name]:[Native]],3,FALSE)</f>
        <v>垦利区</v>
      </c>
      <c r="G27" s="14" t="str">
        <f ca="1">VLOOKUP(F27,Table17[[Native]:[Population4]],5,FALSE)</f>
        <v>东营市</v>
      </c>
    </row>
    <row r="28" spans="1:7" ht="15.75" thickBot="1" x14ac:dyDescent="0.3">
      <c r="A28" t="s">
        <v>527</v>
      </c>
      <c r="B28" s="1" t="s">
        <v>528</v>
      </c>
      <c r="C28" s="1" t="s">
        <v>7</v>
      </c>
      <c r="D28" s="1" t="s">
        <v>474</v>
      </c>
      <c r="E28" s="3">
        <v>49114</v>
      </c>
      <c r="F28" s="1" t="str">
        <f>VLOOKUP(D28,Table17[[Name]:[Native]],3,FALSE)</f>
        <v>广饶县</v>
      </c>
      <c r="G28" s="14" t="str">
        <f ca="1">VLOOKUP(F28,Table17[[Native]:[Population4]],5,FALSE)</f>
        <v>东营市</v>
      </c>
    </row>
    <row r="29" spans="1:7" ht="15.75" thickBot="1" x14ac:dyDescent="0.3">
      <c r="A29" t="s">
        <v>529</v>
      </c>
      <c r="B29" s="1" t="s">
        <v>530</v>
      </c>
      <c r="C29" s="1" t="s">
        <v>7</v>
      </c>
      <c r="D29" s="1" t="s">
        <v>471</v>
      </c>
      <c r="E29" s="3">
        <v>31710</v>
      </c>
      <c r="F29" s="1" t="str">
        <f>VLOOKUP(D29,Table17[[Name]:[Native]],3,FALSE)</f>
        <v>利津县</v>
      </c>
      <c r="G29" s="14" t="str">
        <f ca="1">VLOOKUP(F29,Table17[[Native]:[Population4]],5,FALSE)</f>
        <v>东营市</v>
      </c>
    </row>
    <row r="30" spans="1:7" ht="15.75" thickBot="1" x14ac:dyDescent="0.3">
      <c r="A30" t="s">
        <v>531</v>
      </c>
      <c r="B30" s="1" t="s">
        <v>532</v>
      </c>
      <c r="C30" s="1" t="s">
        <v>495</v>
      </c>
      <c r="D30" s="1" t="s">
        <v>471</v>
      </c>
      <c r="E30" s="3">
        <v>28347</v>
      </c>
      <c r="F30" s="1" t="str">
        <f>VLOOKUP(D30,Table17[[Name]:[Native]],3,FALSE)</f>
        <v>利津县</v>
      </c>
      <c r="G30" s="14" t="str">
        <f ca="1">VLOOKUP(F30,Table17[[Native]:[Population4]],5,FALSE)</f>
        <v>东营市</v>
      </c>
    </row>
    <row r="31" spans="1:7" ht="15.75" thickBot="1" x14ac:dyDescent="0.3">
      <c r="A31" t="s">
        <v>533</v>
      </c>
      <c r="B31" s="1" t="s">
        <v>534</v>
      </c>
      <c r="C31" s="1" t="s">
        <v>13</v>
      </c>
      <c r="D31" s="1" t="s">
        <v>474</v>
      </c>
      <c r="E31" s="3">
        <v>34672</v>
      </c>
      <c r="F31" s="1" t="str">
        <f>VLOOKUP(D31,Table17[[Name]:[Native]],3,FALSE)</f>
        <v>广饶县</v>
      </c>
      <c r="G31" s="14" t="str">
        <f ca="1">VLOOKUP(F31,Table17[[Native]:[Population4]],5,FALSE)</f>
        <v>东营市</v>
      </c>
    </row>
    <row r="32" spans="1:7" ht="15.75" thickBot="1" x14ac:dyDescent="0.3">
      <c r="A32" t="s">
        <v>535</v>
      </c>
      <c r="B32" s="1" t="s">
        <v>536</v>
      </c>
      <c r="C32" s="1" t="s">
        <v>7</v>
      </c>
      <c r="D32" s="1" t="s">
        <v>496</v>
      </c>
      <c r="E32" s="3">
        <v>30476</v>
      </c>
      <c r="F32" s="1" t="str">
        <f>VLOOKUP(D32,Table17[[Name]:[Native]],3,FALSE)</f>
        <v>河口区</v>
      </c>
      <c r="G32" s="14" t="str">
        <f ca="1">VLOOKUP(F32,Table17[[Native]:[Population4]],5,FALSE)</f>
        <v>东营市</v>
      </c>
    </row>
    <row r="33" spans="1:7" ht="15.75" thickBot="1" x14ac:dyDescent="0.3">
      <c r="A33" t="s">
        <v>537</v>
      </c>
      <c r="B33" s="1" t="s">
        <v>538</v>
      </c>
      <c r="C33" s="1" t="s">
        <v>13</v>
      </c>
      <c r="D33" s="1" t="s">
        <v>489</v>
      </c>
      <c r="E33" s="3">
        <v>16219</v>
      </c>
      <c r="F33" s="1" t="str">
        <f>VLOOKUP(D33,Table17[[Name]:[Native]],3,FALSE)</f>
        <v>东营区</v>
      </c>
      <c r="G33" s="14" t="str">
        <f ca="1">VLOOKUP(F33,Table17[[Native]:[Population4]],5,FALSE)</f>
        <v>东营市</v>
      </c>
    </row>
    <row r="34" spans="1:7" ht="15.75" thickBot="1" x14ac:dyDescent="0.3">
      <c r="A34" t="s">
        <v>539</v>
      </c>
      <c r="B34" s="1" t="s">
        <v>540</v>
      </c>
      <c r="C34" s="1" t="s">
        <v>13</v>
      </c>
      <c r="D34" s="1" t="s">
        <v>489</v>
      </c>
      <c r="E34" s="3">
        <v>31934</v>
      </c>
      <c r="F34" s="1" t="str">
        <f>VLOOKUP(D34,Table17[[Name]:[Native]],3,FALSE)</f>
        <v>东营区</v>
      </c>
      <c r="G34" s="14" t="str">
        <f ca="1">VLOOKUP(F34,Table17[[Native]:[Population4]],5,FALSE)</f>
        <v>东营市</v>
      </c>
    </row>
    <row r="35" spans="1:7" ht="15.75" thickBot="1" x14ac:dyDescent="0.3">
      <c r="A35" t="s">
        <v>541</v>
      </c>
      <c r="B35" s="1" t="s">
        <v>542</v>
      </c>
      <c r="C35" s="1" t="s">
        <v>61</v>
      </c>
      <c r="D35" s="1" t="s">
        <v>471</v>
      </c>
      <c r="E35" s="3">
        <v>15893</v>
      </c>
      <c r="F35" s="1" t="str">
        <f>VLOOKUP(D35,Table17[[Name]:[Native]],3,FALSE)</f>
        <v>利津县</v>
      </c>
      <c r="G35" s="14" t="str">
        <f ca="1">VLOOKUP(F35,Table17[[Native]:[Population4]],5,FALSE)</f>
        <v>东营市</v>
      </c>
    </row>
    <row r="36" spans="1:7" ht="15.75" thickBot="1" x14ac:dyDescent="0.3">
      <c r="A36" t="s">
        <v>543</v>
      </c>
      <c r="B36" s="1" t="s">
        <v>544</v>
      </c>
      <c r="C36" s="1" t="s">
        <v>13</v>
      </c>
      <c r="D36" s="1" t="s">
        <v>489</v>
      </c>
      <c r="E36" s="3">
        <v>35021</v>
      </c>
      <c r="F36" s="1" t="str">
        <f>VLOOKUP(D36,Table17[[Name]:[Native]],3,FALSE)</f>
        <v>东营区</v>
      </c>
      <c r="G36" s="14" t="str">
        <f ca="1">VLOOKUP(F36,Table17[[Native]:[Population4]],5,FALSE)</f>
        <v>东营市</v>
      </c>
    </row>
    <row r="37" spans="1:7" ht="15.75" thickBot="1" x14ac:dyDescent="0.3">
      <c r="A37" s="1" t="s">
        <v>545</v>
      </c>
      <c r="B37" s="1" t="s">
        <v>546</v>
      </c>
      <c r="C37" s="1" t="s">
        <v>495</v>
      </c>
      <c r="D37" s="1" t="s">
        <v>492</v>
      </c>
      <c r="E37" s="3">
        <v>3289</v>
      </c>
      <c r="F37" s="1" t="str">
        <f>VLOOKUP(D37,Table17[[Name]:[Native]],3,FALSE)</f>
        <v>垦利区</v>
      </c>
      <c r="G37" s="14" t="str">
        <f ca="1">VLOOKUP(F37,Table17[[Native]:[Population4]],5,FALSE)</f>
        <v>东营市</v>
      </c>
    </row>
    <row r="38" spans="1:7" ht="15.75" thickBot="1" x14ac:dyDescent="0.3">
      <c r="A38" t="s">
        <v>547</v>
      </c>
      <c r="B38" s="1" t="s">
        <v>548</v>
      </c>
      <c r="C38" s="1" t="s">
        <v>7</v>
      </c>
      <c r="D38" s="1" t="s">
        <v>489</v>
      </c>
      <c r="E38" s="3">
        <v>122650</v>
      </c>
      <c r="F38" s="1" t="str">
        <f>VLOOKUP(D38,Table17[[Name]:[Native]],3,FALSE)</f>
        <v>东营区</v>
      </c>
      <c r="G38" s="14" t="str">
        <f ca="1">VLOOKUP(F38,Table17[[Native]:[Population4]],5,FALSE)</f>
        <v>东营市</v>
      </c>
    </row>
    <row r="39" spans="1:7" ht="15.75" thickBot="1" x14ac:dyDescent="0.3">
      <c r="A39" t="s">
        <v>549</v>
      </c>
      <c r="B39" s="1" t="s">
        <v>550</v>
      </c>
      <c r="C39" s="1" t="s">
        <v>13</v>
      </c>
      <c r="D39" s="1" t="s">
        <v>492</v>
      </c>
      <c r="E39" s="3">
        <v>57109</v>
      </c>
      <c r="F39" s="1" t="str">
        <f>VLOOKUP(D39,Table17[[Name]:[Native]],3,FALSE)</f>
        <v>垦利区</v>
      </c>
      <c r="G39" s="14" t="str">
        <f ca="1">VLOOKUP(F39,Table17[[Native]:[Population4]],5,FALSE)</f>
        <v>东营市</v>
      </c>
    </row>
    <row r="40" spans="1:7" ht="15.75" thickBot="1" x14ac:dyDescent="0.3">
      <c r="A40" t="s">
        <v>551</v>
      </c>
      <c r="B40" s="1" t="s">
        <v>552</v>
      </c>
      <c r="C40" s="1" t="s">
        <v>7</v>
      </c>
      <c r="D40" s="1" t="s">
        <v>489</v>
      </c>
      <c r="E40" s="3">
        <v>18361</v>
      </c>
      <c r="F40" s="1" t="str">
        <f>VLOOKUP(D40,Table17[[Name]:[Native]],3,FALSE)</f>
        <v>东营区</v>
      </c>
      <c r="G40" s="14" t="str">
        <f ca="1">VLOOKUP(F40,Table17[[Native]:[Population4]],5,FALSE)</f>
        <v>东营市</v>
      </c>
    </row>
    <row r="41" spans="1:7" ht="15.75" thickBot="1" x14ac:dyDescent="0.3">
      <c r="A41" t="s">
        <v>553</v>
      </c>
      <c r="B41" s="1" t="s">
        <v>554</v>
      </c>
      <c r="C41" s="1" t="s">
        <v>13</v>
      </c>
      <c r="D41" s="1" t="s">
        <v>489</v>
      </c>
      <c r="E41" s="3">
        <v>34501</v>
      </c>
      <c r="F41" s="1" t="str">
        <f>VLOOKUP(D41,Table17[[Name]:[Native]],3,FALSE)</f>
        <v>东营区</v>
      </c>
      <c r="G41" s="14" t="str">
        <f ca="1">VLOOKUP(F41,Table17[[Native]:[Population4]],5,FALSE)</f>
        <v>东营市</v>
      </c>
    </row>
    <row r="42" spans="1:7" ht="15.75" thickBot="1" x14ac:dyDescent="0.3">
      <c r="A42" t="s">
        <v>555</v>
      </c>
      <c r="B42" s="1" t="s">
        <v>556</v>
      </c>
      <c r="C42" s="1" t="s">
        <v>13</v>
      </c>
      <c r="D42" s="1" t="s">
        <v>471</v>
      </c>
      <c r="E42" s="3">
        <v>28911</v>
      </c>
      <c r="F42" s="1" t="str">
        <f>VLOOKUP(D42,Table17[[Name]:[Native]],3,FALSE)</f>
        <v>利津县</v>
      </c>
      <c r="G42" s="14" t="str">
        <f ca="1">VLOOKUP(F42,Table17[[Native]:[Population4]],5,FALSE)</f>
        <v>东营市</v>
      </c>
    </row>
    <row r="43" spans="1:7" ht="15.75" thickBot="1" x14ac:dyDescent="0.3">
      <c r="A43" t="s">
        <v>557</v>
      </c>
      <c r="B43" s="1" t="s">
        <v>558</v>
      </c>
      <c r="C43" s="1" t="s">
        <v>7</v>
      </c>
      <c r="D43" s="1" t="s">
        <v>489</v>
      </c>
      <c r="E43" s="3">
        <v>123764</v>
      </c>
      <c r="F43" s="1" t="str">
        <f>VLOOKUP(D43,Table17[[Name]:[Native]],3,FALSE)</f>
        <v>东营区</v>
      </c>
      <c r="G43" s="14" t="str">
        <f ca="1">VLOOKUP(F43,Table17[[Native]:[Population4]],5,FALSE)</f>
        <v>东营市</v>
      </c>
    </row>
    <row r="44" spans="1:7" ht="15.75" thickBot="1" x14ac:dyDescent="0.3">
      <c r="A44" t="s">
        <v>559</v>
      </c>
      <c r="B44" s="1" t="s">
        <v>560</v>
      </c>
      <c r="C44" s="1" t="s">
        <v>13</v>
      </c>
      <c r="D44" s="1" t="s">
        <v>496</v>
      </c>
      <c r="E44" s="3">
        <v>45653</v>
      </c>
      <c r="F44" s="1" t="str">
        <f>VLOOKUP(D44,Table17[[Name]:[Native]],3,FALSE)</f>
        <v>河口区</v>
      </c>
      <c r="G44" s="14" t="str">
        <f ca="1">VLOOKUP(F44,Table17[[Native]:[Population4]],5,FALSE)</f>
        <v>东营市</v>
      </c>
    </row>
    <row r="45" spans="1:7" ht="15.75" thickBot="1" x14ac:dyDescent="0.3">
      <c r="A45" t="s">
        <v>561</v>
      </c>
      <c r="B45" s="1" t="s">
        <v>562</v>
      </c>
      <c r="C45" s="1" t="s">
        <v>7</v>
      </c>
      <c r="D45" s="1" t="s">
        <v>489</v>
      </c>
      <c r="E45" s="3">
        <v>137144</v>
      </c>
      <c r="F45" s="1" t="str">
        <f>VLOOKUP(D45,Table17[[Name]:[Native]],3,FALSE)</f>
        <v>东营区</v>
      </c>
      <c r="G45" s="14" t="str">
        <f ca="1">VLOOKUP(F45,Table17[[Native]:[Population4]],5,FALSE)</f>
        <v>东营市</v>
      </c>
    </row>
    <row r="46" spans="1:7" ht="15.75" thickBot="1" x14ac:dyDescent="0.3">
      <c r="A46" t="s">
        <v>563</v>
      </c>
      <c r="B46" s="1" t="s">
        <v>564</v>
      </c>
      <c r="C46" s="1" t="s">
        <v>7</v>
      </c>
      <c r="D46" s="1" t="s">
        <v>492</v>
      </c>
      <c r="E46" s="3">
        <v>13406</v>
      </c>
      <c r="F46" s="1" t="str">
        <f>VLOOKUP(D46,Table17[[Name]:[Native]],3,FALSE)</f>
        <v>垦利区</v>
      </c>
      <c r="G46" s="14" t="str">
        <f ca="1">VLOOKUP(F46,Table17[[Native]:[Population4]],5,FALSE)</f>
        <v>东营市</v>
      </c>
    </row>
    <row r="47" spans="1:7" ht="15.75" thickBot="1" x14ac:dyDescent="0.3">
      <c r="A47" t="s">
        <v>565</v>
      </c>
      <c r="B47" s="1" t="s">
        <v>566</v>
      </c>
      <c r="C47" s="1" t="s">
        <v>13</v>
      </c>
      <c r="D47" s="1" t="s">
        <v>496</v>
      </c>
      <c r="E47" s="3">
        <v>21086</v>
      </c>
      <c r="F47" s="1" t="str">
        <f>VLOOKUP(D47,Table17[[Name]:[Native]],3,FALSE)</f>
        <v>河口区</v>
      </c>
      <c r="G47" s="14" t="str">
        <f ca="1">VLOOKUP(F47,Table17[[Native]:[Population4]],5,FALSE)</f>
        <v>东营市</v>
      </c>
    </row>
    <row r="48" spans="1:7" ht="15.75" thickBot="1" x14ac:dyDescent="0.3">
      <c r="A48" t="s">
        <v>567</v>
      </c>
      <c r="B48" s="1" t="s">
        <v>568</v>
      </c>
      <c r="C48" s="1" t="s">
        <v>13</v>
      </c>
      <c r="D48" s="1" t="s">
        <v>471</v>
      </c>
      <c r="E48" s="3">
        <v>68554</v>
      </c>
      <c r="F48" s="1" t="str">
        <f>VLOOKUP(D48,Table17[[Name]:[Native]],3,FALSE)</f>
        <v>利津县</v>
      </c>
      <c r="G48" s="14" t="str">
        <f ca="1">VLOOKUP(F48,Table17[[Native]:[Population4]],5,FALSE)</f>
        <v>东营市</v>
      </c>
    </row>
    <row r="49" spans="1:7" ht="15.75" thickBot="1" x14ac:dyDescent="0.3">
      <c r="A49" t="s">
        <v>569</v>
      </c>
      <c r="B49" s="1" t="s">
        <v>570</v>
      </c>
      <c r="C49" s="1" t="s">
        <v>13</v>
      </c>
      <c r="D49" s="1" t="s">
        <v>496</v>
      </c>
      <c r="E49" s="3">
        <v>20315</v>
      </c>
      <c r="F49" s="1" t="str">
        <f>VLOOKUP(D49,Table17[[Name]:[Native]],3,FALSE)</f>
        <v>河口区</v>
      </c>
      <c r="G49" s="14" t="str">
        <f ca="1">VLOOKUP(F49,Table17[[Native]:[Population4]],5,FALSE)</f>
        <v>东营市</v>
      </c>
    </row>
    <row r="50" spans="1:7" ht="15.75" thickBot="1" x14ac:dyDescent="0.3">
      <c r="A50" t="s">
        <v>571</v>
      </c>
      <c r="B50" s="1" t="s">
        <v>572</v>
      </c>
      <c r="C50" s="1" t="s">
        <v>13</v>
      </c>
      <c r="D50" s="1" t="s">
        <v>492</v>
      </c>
      <c r="E50" s="3">
        <v>17436</v>
      </c>
      <c r="F50" s="10" t="str">
        <f>VLOOKUP(D50,Table17[[Name]:[Native]],3,FALSE)</f>
        <v>垦利区</v>
      </c>
      <c r="G50" s="14" t="str">
        <f ca="1">VLOOKUP(F50,Table17[[Native]:[Population4]],5,FALSE)</f>
        <v>东营市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28E3-4C84-45BA-B022-8BD193BD7C7F}">
  <dimension ref="A1:G169"/>
  <sheetViews>
    <sheetView workbookViewId="0">
      <selection activeCell="A2" sqref="A2:G16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573</v>
      </c>
      <c r="B2" s="1" t="s">
        <v>574</v>
      </c>
      <c r="C2" s="1" t="s">
        <v>13</v>
      </c>
      <c r="D2" s="1" t="s">
        <v>575</v>
      </c>
      <c r="E2" s="3">
        <v>50254</v>
      </c>
      <c r="F2" s="9" t="str">
        <f>VLOOKUP(D2,Table17[[Name]:[Native]],3,FALSE)</f>
        <v>曹县</v>
      </c>
      <c r="G2" s="14" t="str">
        <f ca="1">VLOOKUP(F2,Table17[[Native]:[Population4]],5,FALSE)</f>
        <v>菏泽市</v>
      </c>
    </row>
    <row r="3" spans="1:7" ht="15.75" thickBot="1" x14ac:dyDescent="0.3">
      <c r="A3" t="s">
        <v>576</v>
      </c>
      <c r="B3" s="1" t="s">
        <v>577</v>
      </c>
      <c r="C3" s="1" t="s">
        <v>13</v>
      </c>
      <c r="D3" s="1" t="s">
        <v>578</v>
      </c>
      <c r="E3" s="3">
        <v>40894</v>
      </c>
      <c r="F3" s="1" t="str">
        <f>VLOOKUP(D3,Table17[[Name]:[Native]],3,FALSE)</f>
        <v>牡丹区</v>
      </c>
      <c r="G3" s="14" t="str">
        <f ca="1">VLOOKUP(F3,Table17[[Native]:[Population4]],5,FALSE)</f>
        <v>菏泽市</v>
      </c>
    </row>
    <row r="4" spans="1:7" ht="15.75" thickBot="1" x14ac:dyDescent="0.3">
      <c r="A4" t="s">
        <v>579</v>
      </c>
      <c r="B4" s="1" t="s">
        <v>580</v>
      </c>
      <c r="C4" s="1" t="s">
        <v>13</v>
      </c>
      <c r="D4" s="1" t="s">
        <v>581</v>
      </c>
      <c r="E4" s="3">
        <v>34373</v>
      </c>
      <c r="F4" s="1" t="str">
        <f>VLOOKUP(D4,Table17[[Name]:[Native]],3,FALSE)</f>
        <v>定陶区</v>
      </c>
      <c r="G4" s="14" t="str">
        <f ca="1">VLOOKUP(F4,Table17[[Native]:[Population4]],5,FALSE)</f>
        <v>菏泽市</v>
      </c>
    </row>
    <row r="5" spans="1:7" ht="15.75" thickBot="1" x14ac:dyDescent="0.3">
      <c r="A5" t="s">
        <v>214</v>
      </c>
      <c r="B5" s="1" t="s">
        <v>215</v>
      </c>
      <c r="C5" s="1" t="s">
        <v>7</v>
      </c>
      <c r="D5" s="1" t="s">
        <v>578</v>
      </c>
      <c r="E5" s="3">
        <v>49283</v>
      </c>
      <c r="F5" s="1" t="str">
        <f>VLOOKUP(D5,Table17[[Name]:[Native]],3,FALSE)</f>
        <v>牡丹区</v>
      </c>
      <c r="G5" s="14" t="str">
        <f ca="1">VLOOKUP(F5,Table17[[Native]:[Population4]],5,FALSE)</f>
        <v>菏泽市</v>
      </c>
    </row>
    <row r="6" spans="1:7" ht="15.75" thickBot="1" x14ac:dyDescent="0.3">
      <c r="A6" t="s">
        <v>214</v>
      </c>
      <c r="B6" s="1" t="s">
        <v>215</v>
      </c>
      <c r="C6" s="1" t="s">
        <v>7</v>
      </c>
      <c r="D6" s="1" t="s">
        <v>582</v>
      </c>
      <c r="E6" s="3">
        <v>60124</v>
      </c>
      <c r="F6" s="1" t="str">
        <f>VLOOKUP(D6,Table17[[Name]:[Native]],3,FALSE)</f>
        <v>单县</v>
      </c>
      <c r="G6" s="14" t="str">
        <f ca="1">VLOOKUP(F6,Table17[[Native]:[Population4]],5,FALSE)</f>
        <v>菏泽市</v>
      </c>
    </row>
    <row r="7" spans="1:7" ht="15.75" thickBot="1" x14ac:dyDescent="0.3">
      <c r="A7" t="s">
        <v>583</v>
      </c>
      <c r="B7" s="1" t="s">
        <v>584</v>
      </c>
      <c r="C7" s="1" t="s">
        <v>7</v>
      </c>
      <c r="D7" s="1" t="s">
        <v>581</v>
      </c>
      <c r="E7" s="3">
        <v>57909</v>
      </c>
      <c r="F7" s="1" t="str">
        <f>VLOOKUP(D7,Table17[[Name]:[Native]],3,FALSE)</f>
        <v>定陶区</v>
      </c>
      <c r="G7" s="14" t="str">
        <f ca="1">VLOOKUP(F7,Table17[[Native]:[Population4]],5,FALSE)</f>
        <v>菏泽市</v>
      </c>
    </row>
    <row r="8" spans="1:7" ht="15.75" thickBot="1" x14ac:dyDescent="0.3">
      <c r="A8" t="s">
        <v>585</v>
      </c>
      <c r="B8" s="1" t="s">
        <v>586</v>
      </c>
      <c r="C8" s="1" t="s">
        <v>13</v>
      </c>
      <c r="D8" s="1" t="s">
        <v>582</v>
      </c>
      <c r="E8" s="3">
        <v>42460</v>
      </c>
      <c r="F8" s="1" t="str">
        <f>VLOOKUP(D8,Table17[[Name]:[Native]],3,FALSE)</f>
        <v>单县</v>
      </c>
      <c r="G8" s="14" t="str">
        <f ca="1">VLOOKUP(F8,Table17[[Native]:[Population4]],5,FALSE)</f>
        <v>菏泽市</v>
      </c>
    </row>
    <row r="9" spans="1:7" ht="15.75" thickBot="1" x14ac:dyDescent="0.3">
      <c r="A9" t="s">
        <v>587</v>
      </c>
      <c r="B9" s="1" t="s">
        <v>588</v>
      </c>
      <c r="C9" s="1" t="s">
        <v>13</v>
      </c>
      <c r="D9" s="1" t="s">
        <v>589</v>
      </c>
      <c r="E9" s="3">
        <v>41799</v>
      </c>
      <c r="F9" s="1" t="str">
        <f>VLOOKUP(D9,Table17[[Name]:[Native]],3,FALSE)</f>
        <v>东明县</v>
      </c>
      <c r="G9" s="14" t="str">
        <f ca="1">VLOOKUP(F9,Table17[[Native]:[Population4]],5,FALSE)</f>
        <v>菏泽市</v>
      </c>
    </row>
    <row r="10" spans="1:7" ht="15.75" thickBot="1" x14ac:dyDescent="0.3">
      <c r="A10" t="s">
        <v>590</v>
      </c>
      <c r="B10" s="1" t="s">
        <v>591</v>
      </c>
      <c r="C10" s="1" t="s">
        <v>7</v>
      </c>
      <c r="D10" s="1" t="s">
        <v>575</v>
      </c>
      <c r="E10" s="3">
        <v>88001</v>
      </c>
      <c r="F10" s="1" t="str">
        <f>VLOOKUP(D10,Table17[[Name]:[Native]],3,FALSE)</f>
        <v>曹县</v>
      </c>
      <c r="G10" s="14" t="str">
        <f ca="1">VLOOKUP(F10,Table17[[Native]:[Population4]],5,FALSE)</f>
        <v>菏泽市</v>
      </c>
    </row>
    <row r="11" spans="1:7" ht="15.75" thickBot="1" x14ac:dyDescent="0.3">
      <c r="A11" t="s">
        <v>592</v>
      </c>
      <c r="B11" s="1" t="s">
        <v>593</v>
      </c>
      <c r="C11" s="1" t="s">
        <v>13</v>
      </c>
      <c r="D11" s="1" t="s">
        <v>575</v>
      </c>
      <c r="E11" s="3">
        <v>35190</v>
      </c>
      <c r="F11" s="1" t="str">
        <f>VLOOKUP(D11,Table17[[Name]:[Native]],3,FALSE)</f>
        <v>曹县</v>
      </c>
      <c r="G11" s="14" t="str">
        <f ca="1">VLOOKUP(F11,Table17[[Native]:[Population4]],5,FALSE)</f>
        <v>菏泽市</v>
      </c>
    </row>
    <row r="12" spans="1:7" ht="15.75" thickBot="1" x14ac:dyDescent="0.3">
      <c r="A12" t="s">
        <v>594</v>
      </c>
      <c r="B12" s="1" t="s">
        <v>595</v>
      </c>
      <c r="C12" s="1" t="s">
        <v>13</v>
      </c>
      <c r="D12" s="1" t="s">
        <v>575</v>
      </c>
      <c r="E12" s="3">
        <v>33528</v>
      </c>
      <c r="F12" s="1" t="str">
        <f>VLOOKUP(D12,Table17[[Name]:[Native]],3,FALSE)</f>
        <v>曹县</v>
      </c>
      <c r="G12" s="14" t="str">
        <f ca="1">VLOOKUP(F12,Table17[[Native]:[Population4]],5,FALSE)</f>
        <v>菏泽市</v>
      </c>
    </row>
    <row r="13" spans="1:7" ht="15.75" thickBot="1" x14ac:dyDescent="0.3">
      <c r="A13" t="s">
        <v>596</v>
      </c>
      <c r="B13" s="1" t="s">
        <v>597</v>
      </c>
      <c r="C13" s="1" t="s">
        <v>13</v>
      </c>
      <c r="D13" s="1" t="s">
        <v>575</v>
      </c>
      <c r="E13" s="3">
        <v>47120</v>
      </c>
      <c r="F13" s="1" t="str">
        <f>VLOOKUP(D13,Table17[[Name]:[Native]],3,FALSE)</f>
        <v>曹县</v>
      </c>
      <c r="G13" s="14" t="str">
        <f ca="1">VLOOKUP(F13,Table17[[Native]:[Population4]],5,FALSE)</f>
        <v>菏泽市</v>
      </c>
    </row>
    <row r="14" spans="1:7" ht="15.75" thickBot="1" x14ac:dyDescent="0.3">
      <c r="A14" t="s">
        <v>598</v>
      </c>
      <c r="B14" s="1" t="s">
        <v>599</v>
      </c>
      <c r="C14" s="1" t="s">
        <v>13</v>
      </c>
      <c r="D14" s="1" t="s">
        <v>575</v>
      </c>
      <c r="E14" s="3">
        <v>28718</v>
      </c>
      <c r="F14" s="1" t="str">
        <f>VLOOKUP(D14,Table17[[Name]:[Native]],3,FALSE)</f>
        <v>曹县</v>
      </c>
      <c r="G14" s="14" t="str">
        <f ca="1">VLOOKUP(F14,Table17[[Native]:[Population4]],5,FALSE)</f>
        <v>菏泽市</v>
      </c>
    </row>
    <row r="15" spans="1:7" ht="15.75" thickBot="1" x14ac:dyDescent="0.3">
      <c r="A15" t="s">
        <v>600</v>
      </c>
      <c r="B15" s="1" t="s">
        <v>601</v>
      </c>
      <c r="C15" s="1" t="s">
        <v>13</v>
      </c>
      <c r="D15" s="1" t="s">
        <v>575</v>
      </c>
      <c r="E15" s="3">
        <v>29503</v>
      </c>
      <c r="F15" s="1" t="str">
        <f>VLOOKUP(D15,Table17[[Name]:[Native]],3,FALSE)</f>
        <v>曹县</v>
      </c>
      <c r="G15" s="14" t="str">
        <f ca="1">VLOOKUP(F15,Table17[[Native]:[Population4]],5,FALSE)</f>
        <v>菏泽市</v>
      </c>
    </row>
    <row r="16" spans="1:7" ht="15.75" thickBot="1" x14ac:dyDescent="0.3">
      <c r="A16" t="s">
        <v>602</v>
      </c>
      <c r="B16" s="1" t="s">
        <v>603</v>
      </c>
      <c r="C16" s="1" t="s">
        <v>13</v>
      </c>
      <c r="D16" s="1" t="s">
        <v>575</v>
      </c>
      <c r="E16" s="3">
        <v>25897</v>
      </c>
      <c r="F16" s="1" t="str">
        <f>VLOOKUP(D16,Table17[[Name]:[Native]],3,FALSE)</f>
        <v>曹县</v>
      </c>
      <c r="G16" s="14" t="str">
        <f ca="1">VLOOKUP(F16,Table17[[Native]:[Population4]],5,FALSE)</f>
        <v>菏泽市</v>
      </c>
    </row>
    <row r="17" spans="1:7" ht="15.75" thickBot="1" x14ac:dyDescent="0.3">
      <c r="A17" t="s">
        <v>604</v>
      </c>
      <c r="B17" s="1" t="s">
        <v>605</v>
      </c>
      <c r="C17" s="1" t="s">
        <v>61</v>
      </c>
      <c r="D17" s="1" t="s">
        <v>582</v>
      </c>
      <c r="E17" s="3">
        <v>24117</v>
      </c>
      <c r="F17" s="1" t="str">
        <f>VLOOKUP(D17,Table17[[Name]:[Native]],3,FALSE)</f>
        <v>单县</v>
      </c>
      <c r="G17" s="14" t="str">
        <f ca="1">VLOOKUP(F17,Table17[[Native]:[Population4]],5,FALSE)</f>
        <v>菏泽市</v>
      </c>
    </row>
    <row r="18" spans="1:7" ht="15.75" thickBot="1" x14ac:dyDescent="0.3">
      <c r="A18" t="s">
        <v>606</v>
      </c>
      <c r="B18" s="1" t="s">
        <v>607</v>
      </c>
      <c r="C18" s="1" t="s">
        <v>13</v>
      </c>
      <c r="D18" s="1" t="s">
        <v>575</v>
      </c>
      <c r="E18" s="3">
        <v>37712</v>
      </c>
      <c r="F18" s="1" t="str">
        <f>VLOOKUP(D18,Table17[[Name]:[Native]],3,FALSE)</f>
        <v>曹县</v>
      </c>
      <c r="G18" s="14" t="str">
        <f ca="1">VLOOKUP(F18,Table17[[Native]:[Population4]],5,FALSE)</f>
        <v>菏泽市</v>
      </c>
    </row>
    <row r="19" spans="1:7" ht="15.75" thickBot="1" x14ac:dyDescent="0.3">
      <c r="A19" t="s">
        <v>608</v>
      </c>
      <c r="B19" s="1" t="s">
        <v>609</v>
      </c>
      <c r="C19" s="1" t="s">
        <v>61</v>
      </c>
      <c r="D19" s="1" t="s">
        <v>589</v>
      </c>
      <c r="E19" s="3">
        <v>59852</v>
      </c>
      <c r="F19" s="1" t="str">
        <f>VLOOKUP(D19,Table17[[Name]:[Native]],3,FALSE)</f>
        <v>东明县</v>
      </c>
      <c r="G19" s="14" t="str">
        <f ca="1">VLOOKUP(F19,Table17[[Native]:[Population4]],5,FALSE)</f>
        <v>菏泽市</v>
      </c>
    </row>
    <row r="20" spans="1:7" ht="15.75" thickBot="1" x14ac:dyDescent="0.3">
      <c r="A20" t="s">
        <v>610</v>
      </c>
      <c r="B20" s="1" t="s">
        <v>611</v>
      </c>
      <c r="C20" s="1" t="s">
        <v>7</v>
      </c>
      <c r="D20" s="1" t="s">
        <v>589</v>
      </c>
      <c r="E20" s="3">
        <v>92605</v>
      </c>
      <c r="F20" s="1" t="str">
        <f>VLOOKUP(D20,Table17[[Name]:[Native]],3,FALSE)</f>
        <v>东明县</v>
      </c>
      <c r="G20" s="14" t="str">
        <f ca="1">VLOOKUP(F20,Table17[[Native]:[Population4]],5,FALSE)</f>
        <v>菏泽市</v>
      </c>
    </row>
    <row r="21" spans="1:7" ht="15.75" thickBot="1" x14ac:dyDescent="0.3">
      <c r="A21" t="s">
        <v>612</v>
      </c>
      <c r="B21" s="1" t="s">
        <v>613</v>
      </c>
      <c r="C21" s="1" t="s">
        <v>13</v>
      </c>
      <c r="D21" s="1" t="s">
        <v>614</v>
      </c>
      <c r="E21" s="3">
        <v>44252</v>
      </c>
      <c r="F21" s="1" t="str">
        <f>VLOOKUP(D21,Table17[[Name]:[Native]],3,FALSE)</f>
        <v>郓城县</v>
      </c>
      <c r="G21" s="14" t="str">
        <f ca="1">VLOOKUP(F21,Table17[[Native]:[Population4]],5,FALSE)</f>
        <v>菏泽市</v>
      </c>
    </row>
    <row r="22" spans="1:7" ht="15.75" thickBot="1" x14ac:dyDescent="0.3">
      <c r="A22" t="s">
        <v>615</v>
      </c>
      <c r="B22" s="1" t="s">
        <v>616</v>
      </c>
      <c r="C22" s="1" t="s">
        <v>13</v>
      </c>
      <c r="D22" s="1" t="s">
        <v>617</v>
      </c>
      <c r="E22" s="3">
        <v>42111</v>
      </c>
      <c r="F22" s="1" t="str">
        <f>VLOOKUP(D22,Table17[[Name]:[Native]],3,FALSE)</f>
        <v>成武县</v>
      </c>
      <c r="G22" s="14" t="str">
        <f ca="1">VLOOKUP(F22,Table17[[Native]:[Population4]],5,FALSE)</f>
        <v>菏泽市</v>
      </c>
    </row>
    <row r="23" spans="1:7" ht="15.75" thickBot="1" x14ac:dyDescent="0.3">
      <c r="A23" t="s">
        <v>618</v>
      </c>
      <c r="B23" s="1" t="s">
        <v>619</v>
      </c>
      <c r="C23" s="1" t="s">
        <v>13</v>
      </c>
      <c r="D23" s="1" t="s">
        <v>617</v>
      </c>
      <c r="E23" s="3">
        <v>49517</v>
      </c>
      <c r="F23" s="1" t="str">
        <f>VLOOKUP(D23,Table17[[Name]:[Native]],3,FALSE)</f>
        <v>成武县</v>
      </c>
      <c r="G23" s="14" t="str">
        <f ca="1">VLOOKUP(F23,Table17[[Native]:[Population4]],5,FALSE)</f>
        <v>菏泽市</v>
      </c>
    </row>
    <row r="24" spans="1:7" ht="15.75" thickBot="1" x14ac:dyDescent="0.3">
      <c r="A24" t="s">
        <v>620</v>
      </c>
      <c r="B24" s="1" t="s">
        <v>621</v>
      </c>
      <c r="C24" s="1" t="s">
        <v>13</v>
      </c>
      <c r="D24" s="1" t="s">
        <v>617</v>
      </c>
      <c r="E24" s="3">
        <v>32557</v>
      </c>
      <c r="F24" s="1" t="str">
        <f>VLOOKUP(D24,Table17[[Name]:[Native]],3,FALSE)</f>
        <v>成武县</v>
      </c>
      <c r="G24" s="14" t="str">
        <f ca="1">VLOOKUP(F24,Table17[[Native]:[Population4]],5,FALSE)</f>
        <v>菏泽市</v>
      </c>
    </row>
    <row r="25" spans="1:7" ht="15.75" thickBot="1" x14ac:dyDescent="0.3">
      <c r="A25" t="s">
        <v>622</v>
      </c>
      <c r="B25" s="1" t="s">
        <v>623</v>
      </c>
      <c r="C25" s="1" t="s">
        <v>13</v>
      </c>
      <c r="D25" s="1" t="s">
        <v>617</v>
      </c>
      <c r="E25" s="3">
        <v>71943</v>
      </c>
      <c r="F25" s="1" t="str">
        <f>VLOOKUP(D25,Table17[[Name]:[Native]],3,FALSE)</f>
        <v>成武县</v>
      </c>
      <c r="G25" s="14" t="str">
        <f ca="1">VLOOKUP(F25,Table17[[Native]:[Population4]],5,FALSE)</f>
        <v>菏泽市</v>
      </c>
    </row>
    <row r="26" spans="1:7" ht="15.75" thickBot="1" x14ac:dyDescent="0.3">
      <c r="A26" t="s">
        <v>624</v>
      </c>
      <c r="B26" s="1" t="s">
        <v>625</v>
      </c>
      <c r="C26" s="1" t="s">
        <v>13</v>
      </c>
      <c r="D26" s="1" t="s">
        <v>617</v>
      </c>
      <c r="E26" s="3">
        <v>35188</v>
      </c>
      <c r="F26" s="1" t="str">
        <f>VLOOKUP(D26,Table17[[Name]:[Native]],3,FALSE)</f>
        <v>成武县</v>
      </c>
      <c r="G26" s="14" t="str">
        <f ca="1">VLOOKUP(F26,Table17[[Native]:[Population4]],5,FALSE)</f>
        <v>菏泽市</v>
      </c>
    </row>
    <row r="27" spans="1:7" ht="15.75" thickBot="1" x14ac:dyDescent="0.3">
      <c r="A27" t="s">
        <v>626</v>
      </c>
      <c r="B27" s="1" t="s">
        <v>627</v>
      </c>
      <c r="C27" s="1" t="s">
        <v>13</v>
      </c>
      <c r="D27" s="1" t="s">
        <v>617</v>
      </c>
      <c r="E27" s="3">
        <v>56041</v>
      </c>
      <c r="F27" s="1" t="str">
        <f>VLOOKUP(D27,Table17[[Name]:[Native]],3,FALSE)</f>
        <v>成武县</v>
      </c>
      <c r="G27" s="14" t="str">
        <f ca="1">VLOOKUP(F27,Table17[[Native]:[Population4]],5,FALSE)</f>
        <v>菏泽市</v>
      </c>
    </row>
    <row r="28" spans="1:7" ht="15.75" thickBot="1" x14ac:dyDescent="0.3">
      <c r="A28" t="s">
        <v>628</v>
      </c>
      <c r="B28" s="1" t="s">
        <v>629</v>
      </c>
      <c r="C28" s="1" t="s">
        <v>13</v>
      </c>
      <c r="D28" s="1" t="s">
        <v>617</v>
      </c>
      <c r="E28" s="3">
        <v>41068</v>
      </c>
      <c r="F28" s="1" t="str">
        <f>VLOOKUP(D28,Table17[[Name]:[Native]],3,FALSE)</f>
        <v>成武县</v>
      </c>
      <c r="G28" s="14" t="str">
        <f ca="1">VLOOKUP(F28,Table17[[Native]:[Population4]],5,FALSE)</f>
        <v>菏泽市</v>
      </c>
    </row>
    <row r="29" spans="1:7" ht="15.75" thickBot="1" x14ac:dyDescent="0.3">
      <c r="A29" t="s">
        <v>630</v>
      </c>
      <c r="B29" s="1" t="s">
        <v>631</v>
      </c>
      <c r="C29" s="1" t="s">
        <v>13</v>
      </c>
      <c r="D29" s="1" t="s">
        <v>617</v>
      </c>
      <c r="E29" s="3">
        <v>48803</v>
      </c>
      <c r="F29" s="1" t="str">
        <f>VLOOKUP(D29,Table17[[Name]:[Native]],3,FALSE)</f>
        <v>成武县</v>
      </c>
      <c r="G29" s="14" t="str">
        <f ca="1">VLOOKUP(F29,Table17[[Native]:[Population4]],5,FALSE)</f>
        <v>菏泽市</v>
      </c>
    </row>
    <row r="30" spans="1:7" ht="15.75" thickBot="1" x14ac:dyDescent="0.3">
      <c r="A30" t="s">
        <v>632</v>
      </c>
      <c r="B30" s="1" t="s">
        <v>633</v>
      </c>
      <c r="C30" s="1" t="s">
        <v>13</v>
      </c>
      <c r="D30" s="1" t="s">
        <v>617</v>
      </c>
      <c r="E30" s="3">
        <v>38350</v>
      </c>
      <c r="F30" s="1" t="str">
        <f>VLOOKUP(D30,Table17[[Name]:[Native]],3,FALSE)</f>
        <v>成武县</v>
      </c>
      <c r="G30" s="14" t="str">
        <f ca="1">VLOOKUP(F30,Table17[[Native]:[Population4]],5,FALSE)</f>
        <v>菏泽市</v>
      </c>
    </row>
    <row r="31" spans="1:7" ht="15.75" thickBot="1" x14ac:dyDescent="0.3">
      <c r="A31" t="s">
        <v>634</v>
      </c>
      <c r="B31" s="1" t="s">
        <v>635</v>
      </c>
      <c r="C31" s="1" t="s">
        <v>13</v>
      </c>
      <c r="D31" s="1" t="s">
        <v>617</v>
      </c>
      <c r="E31" s="3">
        <v>61592</v>
      </c>
      <c r="F31" s="1" t="str">
        <f>VLOOKUP(D31,Table17[[Name]:[Native]],3,FALSE)</f>
        <v>成武县</v>
      </c>
      <c r="G31" s="14" t="str">
        <f ca="1">VLOOKUP(F31,Table17[[Native]:[Population4]],5,FALSE)</f>
        <v>菏泽市</v>
      </c>
    </row>
    <row r="32" spans="1:7" ht="15.75" thickBot="1" x14ac:dyDescent="0.3">
      <c r="A32" t="s">
        <v>636</v>
      </c>
      <c r="B32" s="1" t="s">
        <v>637</v>
      </c>
      <c r="C32" s="1" t="s">
        <v>13</v>
      </c>
      <c r="D32" s="1" t="s">
        <v>617</v>
      </c>
      <c r="E32" s="3">
        <v>30838</v>
      </c>
      <c r="F32" s="1" t="str">
        <f>VLOOKUP(D32,Table17[[Name]:[Native]],3,FALSE)</f>
        <v>成武县</v>
      </c>
      <c r="G32" s="14" t="str">
        <f ca="1">VLOOKUP(F32,Table17[[Native]:[Population4]],5,FALSE)</f>
        <v>菏泽市</v>
      </c>
    </row>
    <row r="33" spans="1:7" ht="15.75" thickBot="1" x14ac:dyDescent="0.3">
      <c r="A33" t="s">
        <v>638</v>
      </c>
      <c r="B33" s="1" t="s">
        <v>639</v>
      </c>
      <c r="C33" s="1" t="s">
        <v>13</v>
      </c>
      <c r="D33" s="1" t="s">
        <v>581</v>
      </c>
      <c r="E33" s="3">
        <v>57941</v>
      </c>
      <c r="F33" s="1" t="str">
        <f>VLOOKUP(D33,Table17[[Name]:[Native]],3,FALSE)</f>
        <v>定陶区</v>
      </c>
      <c r="G33" s="14" t="str">
        <f ca="1">VLOOKUP(F33,Table17[[Native]:[Population4]],5,FALSE)</f>
        <v>菏泽市</v>
      </c>
    </row>
    <row r="34" spans="1:7" ht="15.75" thickBot="1" x14ac:dyDescent="0.3">
      <c r="A34" t="s">
        <v>640</v>
      </c>
      <c r="B34" s="1" t="s">
        <v>641</v>
      </c>
      <c r="C34" s="1" t="s">
        <v>61</v>
      </c>
      <c r="D34" s="1" t="s">
        <v>614</v>
      </c>
      <c r="E34" s="3">
        <v>23130</v>
      </c>
      <c r="F34" s="1" t="str">
        <f>VLOOKUP(D34,Table17[[Name]:[Native]],3,FALSE)</f>
        <v>郓城县</v>
      </c>
      <c r="G34" s="14" t="str">
        <f ca="1">VLOOKUP(F34,Table17[[Native]:[Population4]],5,FALSE)</f>
        <v>菏泽市</v>
      </c>
    </row>
    <row r="35" spans="1:7" ht="15.75" thickBot="1" x14ac:dyDescent="0.3">
      <c r="A35" t="s">
        <v>642</v>
      </c>
      <c r="B35" s="1" t="s">
        <v>643</v>
      </c>
      <c r="C35" s="1" t="s">
        <v>7</v>
      </c>
      <c r="D35" s="1" t="s">
        <v>644</v>
      </c>
      <c r="E35" s="3">
        <v>29736</v>
      </c>
      <c r="F35" s="1" t="str">
        <f>VLOOKUP(D35,Table17[[Name]:[Native]],3,FALSE)</f>
        <v>鄄城县</v>
      </c>
      <c r="G35" s="14" t="str">
        <f ca="1">VLOOKUP(F35,Table17[[Native]:[Population4]],5,FALSE)</f>
        <v>菏泽市</v>
      </c>
    </row>
    <row r="36" spans="1:7" ht="15.75" thickBot="1" x14ac:dyDescent="0.3">
      <c r="A36" t="s">
        <v>645</v>
      </c>
      <c r="B36" s="1" t="s">
        <v>646</v>
      </c>
      <c r="C36" s="1" t="s">
        <v>13</v>
      </c>
      <c r="D36" s="1" t="s">
        <v>578</v>
      </c>
      <c r="E36" s="3">
        <v>42956</v>
      </c>
      <c r="F36" s="1" t="str">
        <f>VLOOKUP(D36,Table17[[Name]:[Native]],3,FALSE)</f>
        <v>牡丹区</v>
      </c>
      <c r="G36" s="14" t="str">
        <f ca="1">VLOOKUP(F36,Table17[[Native]:[Population4]],5,FALSE)</f>
        <v>菏泽市</v>
      </c>
    </row>
    <row r="37" spans="1:7" ht="15.75" thickBot="1" x14ac:dyDescent="0.3">
      <c r="A37" t="s">
        <v>647</v>
      </c>
      <c r="B37" s="1" t="s">
        <v>648</v>
      </c>
      <c r="C37" s="1" t="s">
        <v>13</v>
      </c>
      <c r="D37" s="1" t="s">
        <v>644</v>
      </c>
      <c r="E37" s="3">
        <v>26903</v>
      </c>
      <c r="F37" s="1" t="str">
        <f>VLOOKUP(D37,Table17[[Name]:[Native]],3,FALSE)</f>
        <v>鄄城县</v>
      </c>
      <c r="G37" s="14" t="str">
        <f ca="1">VLOOKUP(F37,Table17[[Native]:[Population4]],5,FALSE)</f>
        <v>菏泽市</v>
      </c>
    </row>
    <row r="38" spans="1:7" ht="15.75" thickBot="1" x14ac:dyDescent="0.3">
      <c r="A38" t="s">
        <v>649</v>
      </c>
      <c r="B38" s="1" t="s">
        <v>650</v>
      </c>
      <c r="C38" s="1" t="s">
        <v>7</v>
      </c>
      <c r="D38" s="1" t="s">
        <v>578</v>
      </c>
      <c r="E38" s="3">
        <v>101666</v>
      </c>
      <c r="F38" s="1" t="str">
        <f>VLOOKUP(D38,Table17[[Name]:[Native]],3,FALSE)</f>
        <v>牡丹区</v>
      </c>
      <c r="G38" s="14" t="str">
        <f ca="1">VLOOKUP(F38,Table17[[Native]:[Population4]],5,FALSE)</f>
        <v>菏泽市</v>
      </c>
    </row>
    <row r="39" spans="1:7" ht="15.75" thickBot="1" x14ac:dyDescent="0.3">
      <c r="A39" t="s">
        <v>651</v>
      </c>
      <c r="B39" s="1" t="s">
        <v>652</v>
      </c>
      <c r="C39" s="1" t="s">
        <v>13</v>
      </c>
      <c r="D39" s="1" t="s">
        <v>589</v>
      </c>
      <c r="E39" s="3">
        <v>40513</v>
      </c>
      <c r="F39" s="1" t="str">
        <f>VLOOKUP(D39,Table17[[Name]:[Native]],3,FALSE)</f>
        <v>东明县</v>
      </c>
      <c r="G39" s="14" t="str">
        <f ca="1">VLOOKUP(F39,Table17[[Native]:[Population4]],5,FALSE)</f>
        <v>菏泽市</v>
      </c>
    </row>
    <row r="40" spans="1:7" ht="15.75" thickBot="1" x14ac:dyDescent="0.3">
      <c r="A40" t="s">
        <v>653</v>
      </c>
      <c r="B40" s="1" t="s">
        <v>654</v>
      </c>
      <c r="C40" s="1" t="s">
        <v>13</v>
      </c>
      <c r="D40" s="1" t="s">
        <v>655</v>
      </c>
      <c r="E40" s="3">
        <v>57075</v>
      </c>
      <c r="F40" s="1" t="str">
        <f>VLOOKUP(D40,Table17[[Name]:[Native]],3,FALSE)</f>
        <v>巨野县</v>
      </c>
      <c r="G40" s="14" t="str">
        <f ca="1">VLOOKUP(F40,Table17[[Native]:[Population4]],5,FALSE)</f>
        <v>菏泽市</v>
      </c>
    </row>
    <row r="41" spans="1:7" ht="15.75" thickBot="1" x14ac:dyDescent="0.3">
      <c r="A41" t="s">
        <v>656</v>
      </c>
      <c r="B41" s="1" t="s">
        <v>657</v>
      </c>
      <c r="C41" s="1" t="s">
        <v>13</v>
      </c>
      <c r="D41" s="1" t="s">
        <v>655</v>
      </c>
      <c r="E41" s="3">
        <v>61542</v>
      </c>
      <c r="F41" s="1" t="str">
        <f>VLOOKUP(D41,Table17[[Name]:[Native]],3,FALSE)</f>
        <v>巨野县</v>
      </c>
      <c r="G41" s="14" t="str">
        <f ca="1">VLOOKUP(F41,Table17[[Native]:[Population4]],5,FALSE)</f>
        <v>菏泽市</v>
      </c>
    </row>
    <row r="42" spans="1:7" ht="15.75" thickBot="1" x14ac:dyDescent="0.3">
      <c r="A42" t="s">
        <v>658</v>
      </c>
      <c r="B42" s="1" t="s">
        <v>659</v>
      </c>
      <c r="C42" s="1" t="s">
        <v>7</v>
      </c>
      <c r="D42" s="1" t="s">
        <v>578</v>
      </c>
      <c r="E42" s="3">
        <v>44620</v>
      </c>
      <c r="F42" s="1" t="str">
        <f>VLOOKUP(D42,Table17[[Name]:[Native]],3,FALSE)</f>
        <v>牡丹区</v>
      </c>
      <c r="G42" s="14" t="str">
        <f ca="1">VLOOKUP(F42,Table17[[Native]:[Population4]],5,FALSE)</f>
        <v>菏泽市</v>
      </c>
    </row>
    <row r="43" spans="1:7" ht="15.75" thickBot="1" x14ac:dyDescent="0.3">
      <c r="A43" t="s">
        <v>660</v>
      </c>
      <c r="B43" s="1" t="s">
        <v>661</v>
      </c>
      <c r="C43" s="1" t="s">
        <v>7</v>
      </c>
      <c r="D43" s="1" t="s">
        <v>614</v>
      </c>
      <c r="E43" s="3">
        <v>36875</v>
      </c>
      <c r="F43" s="1" t="str">
        <f>VLOOKUP(D43,Table17[[Name]:[Native]],3,FALSE)</f>
        <v>郓城县</v>
      </c>
      <c r="G43" s="14" t="str">
        <f ca="1">VLOOKUP(F43,Table17[[Native]:[Population4]],5,FALSE)</f>
        <v>菏泽市</v>
      </c>
    </row>
    <row r="44" spans="1:7" ht="15.75" thickBot="1" x14ac:dyDescent="0.3">
      <c r="A44" t="s">
        <v>487</v>
      </c>
      <c r="B44" s="1" t="s">
        <v>488</v>
      </c>
      <c r="C44" s="1" t="s">
        <v>7</v>
      </c>
      <c r="D44" s="1" t="s">
        <v>578</v>
      </c>
      <c r="E44" s="3">
        <v>71458</v>
      </c>
      <c r="F44" s="1" t="str">
        <f>VLOOKUP(D44,Table17[[Name]:[Native]],3,FALSE)</f>
        <v>牡丹区</v>
      </c>
      <c r="G44" s="14" t="str">
        <f ca="1">VLOOKUP(F44,Table17[[Native]:[Population4]],5,FALSE)</f>
        <v>菏泽市</v>
      </c>
    </row>
    <row r="45" spans="1:7" ht="15.75" thickBot="1" x14ac:dyDescent="0.3">
      <c r="A45" t="s">
        <v>487</v>
      </c>
      <c r="B45" s="1" t="s">
        <v>488</v>
      </c>
      <c r="C45" s="1" t="s">
        <v>7</v>
      </c>
      <c r="D45" s="1" t="s">
        <v>582</v>
      </c>
      <c r="E45" s="3">
        <v>26105</v>
      </c>
      <c r="F45" s="1" t="str">
        <f>VLOOKUP(D45,Table17[[Name]:[Native]],3,FALSE)</f>
        <v>单县</v>
      </c>
      <c r="G45" s="14" t="str">
        <f ca="1">VLOOKUP(F45,Table17[[Native]:[Population4]],5,FALSE)</f>
        <v>菏泽市</v>
      </c>
    </row>
    <row r="46" spans="1:7" ht="15.75" thickBot="1" x14ac:dyDescent="0.3">
      <c r="A46" t="s">
        <v>662</v>
      </c>
      <c r="B46" s="1" t="s">
        <v>663</v>
      </c>
      <c r="C46" s="1" t="s">
        <v>13</v>
      </c>
      <c r="D46" s="1" t="s">
        <v>655</v>
      </c>
      <c r="E46" s="3">
        <v>50416</v>
      </c>
      <c r="F46" s="1" t="str">
        <f>VLOOKUP(D46,Table17[[Name]:[Native]],3,FALSE)</f>
        <v>巨野县</v>
      </c>
      <c r="G46" s="14" t="str">
        <f ca="1">VLOOKUP(F46,Table17[[Native]:[Population4]],5,FALSE)</f>
        <v>菏泽市</v>
      </c>
    </row>
    <row r="47" spans="1:7" ht="15.75" thickBot="1" x14ac:dyDescent="0.3">
      <c r="A47" t="s">
        <v>664</v>
      </c>
      <c r="B47" s="1" t="s">
        <v>665</v>
      </c>
      <c r="C47" s="1" t="s">
        <v>13</v>
      </c>
      <c r="D47" s="1" t="s">
        <v>644</v>
      </c>
      <c r="E47" s="3">
        <v>53279</v>
      </c>
      <c r="F47" s="1" t="str">
        <f>VLOOKUP(D47,Table17[[Name]:[Native]],3,FALSE)</f>
        <v>鄄城县</v>
      </c>
      <c r="G47" s="14" t="str">
        <f ca="1">VLOOKUP(F47,Table17[[Native]:[Population4]],5,FALSE)</f>
        <v>菏泽市</v>
      </c>
    </row>
    <row r="48" spans="1:7" ht="15.75" thickBot="1" x14ac:dyDescent="0.3">
      <c r="A48" t="s">
        <v>666</v>
      </c>
      <c r="B48" s="1" t="s">
        <v>667</v>
      </c>
      <c r="C48" s="1" t="s">
        <v>13</v>
      </c>
      <c r="D48" s="1" t="s">
        <v>589</v>
      </c>
      <c r="E48" s="3">
        <v>53132</v>
      </c>
      <c r="F48" s="1" t="str">
        <f>VLOOKUP(D48,Table17[[Name]:[Native]],3,FALSE)</f>
        <v>东明县</v>
      </c>
      <c r="G48" s="14" t="str">
        <f ca="1">VLOOKUP(F48,Table17[[Native]:[Population4]],5,FALSE)</f>
        <v>菏泽市</v>
      </c>
    </row>
    <row r="49" spans="1:7" ht="15.75" thickBot="1" x14ac:dyDescent="0.3">
      <c r="A49" t="s">
        <v>668</v>
      </c>
      <c r="B49" s="1" t="s">
        <v>669</v>
      </c>
      <c r="C49" s="1" t="s">
        <v>13</v>
      </c>
      <c r="D49" s="1" t="s">
        <v>655</v>
      </c>
      <c r="E49" s="3">
        <v>55139</v>
      </c>
      <c r="F49" s="1" t="str">
        <f>VLOOKUP(D49,Table17[[Name]:[Native]],3,FALSE)</f>
        <v>巨野县</v>
      </c>
      <c r="G49" s="14" t="str">
        <f ca="1">VLOOKUP(F49,Table17[[Native]:[Population4]],5,FALSE)</f>
        <v>菏泽市</v>
      </c>
    </row>
    <row r="50" spans="1:7" ht="15.75" thickBot="1" x14ac:dyDescent="0.3">
      <c r="A50" t="s">
        <v>670</v>
      </c>
      <c r="B50" s="1" t="s">
        <v>671</v>
      </c>
      <c r="C50" s="1" t="s">
        <v>13</v>
      </c>
      <c r="D50" s="1" t="s">
        <v>578</v>
      </c>
      <c r="E50" s="3">
        <v>31441</v>
      </c>
      <c r="F50" s="1" t="str">
        <f>VLOOKUP(D50,Table17[[Name]:[Native]],3,FALSE)</f>
        <v>牡丹区</v>
      </c>
      <c r="G50" s="14" t="str">
        <f ca="1">VLOOKUP(F50,Table17[[Native]:[Population4]],5,FALSE)</f>
        <v>菏泽市</v>
      </c>
    </row>
    <row r="51" spans="1:7" ht="15.75" thickBot="1" x14ac:dyDescent="0.3">
      <c r="A51" t="s">
        <v>672</v>
      </c>
      <c r="B51" s="1" t="s">
        <v>673</v>
      </c>
      <c r="C51" s="1" t="s">
        <v>13</v>
      </c>
      <c r="D51" s="1" t="s">
        <v>581</v>
      </c>
      <c r="E51" s="3">
        <v>26239</v>
      </c>
      <c r="F51" s="1" t="str">
        <f>VLOOKUP(D51,Table17[[Name]:[Native]],3,FALSE)</f>
        <v>定陶区</v>
      </c>
      <c r="G51" s="14" t="str">
        <f ca="1">VLOOKUP(F51,Table17[[Native]:[Population4]],5,FALSE)</f>
        <v>菏泽市</v>
      </c>
    </row>
    <row r="52" spans="1:7" ht="15.75" thickBot="1" x14ac:dyDescent="0.3">
      <c r="A52" t="s">
        <v>674</v>
      </c>
      <c r="B52" s="1" t="s">
        <v>675</v>
      </c>
      <c r="C52" s="1" t="s">
        <v>13</v>
      </c>
      <c r="D52" s="1" t="s">
        <v>581</v>
      </c>
      <c r="E52" s="3">
        <v>46639</v>
      </c>
      <c r="F52" s="1" t="str">
        <f>VLOOKUP(D52,Table17[[Name]:[Native]],3,FALSE)</f>
        <v>定陶区</v>
      </c>
      <c r="G52" s="14" t="str">
        <f ca="1">VLOOKUP(F52,Table17[[Native]:[Population4]],5,FALSE)</f>
        <v>菏泽市</v>
      </c>
    </row>
    <row r="53" spans="1:7" ht="15.75" thickBot="1" x14ac:dyDescent="0.3">
      <c r="A53" t="s">
        <v>676</v>
      </c>
      <c r="B53" s="1" t="s">
        <v>677</v>
      </c>
      <c r="C53" s="1" t="s">
        <v>7</v>
      </c>
      <c r="D53" s="1" t="s">
        <v>655</v>
      </c>
      <c r="E53" s="3">
        <v>65039</v>
      </c>
      <c r="F53" s="1" t="str">
        <f>VLOOKUP(D53,Table17[[Name]:[Native]],3,FALSE)</f>
        <v>巨野县</v>
      </c>
      <c r="G53" s="14" t="str">
        <f ca="1">VLOOKUP(F53,Table17[[Native]:[Population4]],5,FALSE)</f>
        <v>菏泽市</v>
      </c>
    </row>
    <row r="54" spans="1:7" ht="15.75" thickBot="1" x14ac:dyDescent="0.3">
      <c r="A54" t="s">
        <v>678</v>
      </c>
      <c r="B54" s="1" t="s">
        <v>679</v>
      </c>
      <c r="C54" s="1" t="s">
        <v>13</v>
      </c>
      <c r="D54" s="1" t="s">
        <v>644</v>
      </c>
      <c r="E54" s="3">
        <v>34758</v>
      </c>
      <c r="F54" s="1" t="str">
        <f>VLOOKUP(D54,Table17[[Name]:[Native]],3,FALSE)</f>
        <v>鄄城县</v>
      </c>
      <c r="G54" s="14" t="str">
        <f ca="1">VLOOKUP(F54,Table17[[Native]:[Population4]],5,FALSE)</f>
        <v>菏泽市</v>
      </c>
    </row>
    <row r="55" spans="1:7" ht="15.75" thickBot="1" x14ac:dyDescent="0.3">
      <c r="A55" t="s">
        <v>680</v>
      </c>
      <c r="B55" s="1" t="s">
        <v>681</v>
      </c>
      <c r="C55" s="1" t="s">
        <v>13</v>
      </c>
      <c r="D55" s="1" t="s">
        <v>644</v>
      </c>
      <c r="E55" s="3">
        <v>31410</v>
      </c>
      <c r="F55" s="1" t="str">
        <f>VLOOKUP(D55,Table17[[Name]:[Native]],3,FALSE)</f>
        <v>鄄城县</v>
      </c>
      <c r="G55" s="14" t="str">
        <f ca="1">VLOOKUP(F55,Table17[[Native]:[Population4]],5,FALSE)</f>
        <v>菏泽市</v>
      </c>
    </row>
    <row r="56" spans="1:7" ht="15.75" thickBot="1" x14ac:dyDescent="0.3">
      <c r="A56" t="s">
        <v>682</v>
      </c>
      <c r="B56" s="1" t="s">
        <v>683</v>
      </c>
      <c r="C56" s="1" t="s">
        <v>13</v>
      </c>
      <c r="D56" s="1" t="s">
        <v>582</v>
      </c>
      <c r="E56" s="3">
        <v>55092</v>
      </c>
      <c r="F56" s="1" t="str">
        <f>VLOOKUP(D56,Table17[[Name]:[Native]],3,FALSE)</f>
        <v>单县</v>
      </c>
      <c r="G56" s="14" t="str">
        <f ca="1">VLOOKUP(F56,Table17[[Native]:[Population4]],5,FALSE)</f>
        <v>菏泽市</v>
      </c>
    </row>
    <row r="57" spans="1:7" ht="15.75" thickBot="1" x14ac:dyDescent="0.3">
      <c r="A57" t="s">
        <v>684</v>
      </c>
      <c r="B57" s="1" t="s">
        <v>685</v>
      </c>
      <c r="C57" s="1" t="s">
        <v>61</v>
      </c>
      <c r="D57" s="1" t="s">
        <v>582</v>
      </c>
      <c r="E57" s="3">
        <v>52459</v>
      </c>
      <c r="F57" s="1" t="str">
        <f>VLOOKUP(D57,Table17[[Name]:[Native]],3,FALSE)</f>
        <v>单县</v>
      </c>
      <c r="G57" s="14" t="str">
        <f ca="1">VLOOKUP(F57,Table17[[Native]:[Population4]],5,FALSE)</f>
        <v>菏泽市</v>
      </c>
    </row>
    <row r="58" spans="1:7" ht="15.75" thickBot="1" x14ac:dyDescent="0.3">
      <c r="A58" t="s">
        <v>686</v>
      </c>
      <c r="B58" s="1" t="s">
        <v>687</v>
      </c>
      <c r="C58" s="1" t="s">
        <v>13</v>
      </c>
      <c r="D58" s="1" t="s">
        <v>582</v>
      </c>
      <c r="E58" s="3">
        <v>37750</v>
      </c>
      <c r="F58" s="1" t="str">
        <f>VLOOKUP(D58,Table17[[Name]:[Native]],3,FALSE)</f>
        <v>单县</v>
      </c>
      <c r="G58" s="14" t="str">
        <f ca="1">VLOOKUP(F58,Table17[[Native]:[Population4]],5,FALSE)</f>
        <v>菏泽市</v>
      </c>
    </row>
    <row r="59" spans="1:7" ht="15.75" thickBot="1" x14ac:dyDescent="0.3">
      <c r="A59" t="s">
        <v>688</v>
      </c>
      <c r="B59" s="1" t="s">
        <v>689</v>
      </c>
      <c r="C59" s="1" t="s">
        <v>13</v>
      </c>
      <c r="D59" s="1" t="s">
        <v>578</v>
      </c>
      <c r="E59" s="3">
        <v>56476</v>
      </c>
      <c r="F59" s="1" t="str">
        <f>VLOOKUP(D59,Table17[[Name]:[Native]],3,FALSE)</f>
        <v>牡丹区</v>
      </c>
      <c r="G59" s="14" t="str">
        <f ca="1">VLOOKUP(F59,Table17[[Native]:[Population4]],5,FALSE)</f>
        <v>菏泽市</v>
      </c>
    </row>
    <row r="60" spans="1:7" ht="15.75" thickBot="1" x14ac:dyDescent="0.3">
      <c r="A60" t="s">
        <v>690</v>
      </c>
      <c r="B60" s="1" t="s">
        <v>691</v>
      </c>
      <c r="C60" s="1" t="s">
        <v>13</v>
      </c>
      <c r="D60" s="1" t="s">
        <v>582</v>
      </c>
      <c r="E60" s="3">
        <v>64595</v>
      </c>
      <c r="F60" s="1" t="str">
        <f>VLOOKUP(D60,Table17[[Name]:[Native]],3,FALSE)</f>
        <v>单县</v>
      </c>
      <c r="G60" s="14" t="str">
        <f ca="1">VLOOKUP(F60,Table17[[Native]:[Population4]],5,FALSE)</f>
        <v>菏泽市</v>
      </c>
    </row>
    <row r="61" spans="1:7" ht="15.75" thickBot="1" x14ac:dyDescent="0.3">
      <c r="A61" t="s">
        <v>692</v>
      </c>
      <c r="B61" s="1" t="s">
        <v>693</v>
      </c>
      <c r="C61" s="1" t="s">
        <v>13</v>
      </c>
      <c r="D61" s="1" t="s">
        <v>614</v>
      </c>
      <c r="E61" s="3">
        <v>33021</v>
      </c>
      <c r="F61" s="1" t="str">
        <f>VLOOKUP(D61,Table17[[Name]:[Native]],3,FALSE)</f>
        <v>郓城县</v>
      </c>
      <c r="G61" s="14" t="str">
        <f ca="1">VLOOKUP(F61,Table17[[Native]:[Population4]],5,FALSE)</f>
        <v>菏泽市</v>
      </c>
    </row>
    <row r="62" spans="1:7" ht="15.75" thickBot="1" x14ac:dyDescent="0.3">
      <c r="A62" t="s">
        <v>694</v>
      </c>
      <c r="B62" s="1" t="s">
        <v>695</v>
      </c>
      <c r="C62" s="1" t="s">
        <v>7</v>
      </c>
      <c r="D62" s="1" t="s">
        <v>644</v>
      </c>
      <c r="E62" s="3">
        <v>82262</v>
      </c>
      <c r="F62" s="1" t="str">
        <f>VLOOKUP(D62,Table17[[Name]:[Native]],3,FALSE)</f>
        <v>鄄城县</v>
      </c>
      <c r="G62" s="14" t="str">
        <f ca="1">VLOOKUP(F62,Table17[[Native]:[Population4]],5,FALSE)</f>
        <v>菏泽市</v>
      </c>
    </row>
    <row r="63" spans="1:7" ht="15.75" thickBot="1" x14ac:dyDescent="0.3">
      <c r="A63" t="s">
        <v>696</v>
      </c>
      <c r="B63" s="1" t="s">
        <v>697</v>
      </c>
      <c r="C63" s="1" t="s">
        <v>13</v>
      </c>
      <c r="D63" s="1" t="s">
        <v>575</v>
      </c>
      <c r="E63" s="3">
        <v>72807</v>
      </c>
      <c r="F63" s="1" t="str">
        <f>VLOOKUP(D63,Table17[[Name]:[Native]],3,FALSE)</f>
        <v>曹县</v>
      </c>
      <c r="G63" s="14" t="str">
        <f ca="1">VLOOKUP(F63,Table17[[Native]:[Population4]],5,FALSE)</f>
        <v>菏泽市</v>
      </c>
    </row>
    <row r="64" spans="1:7" ht="15.75" thickBot="1" x14ac:dyDescent="0.3">
      <c r="A64" t="s">
        <v>698</v>
      </c>
      <c r="B64" s="1" t="s">
        <v>699</v>
      </c>
      <c r="C64" s="1" t="s">
        <v>13</v>
      </c>
      <c r="D64" s="1" t="s">
        <v>575</v>
      </c>
      <c r="E64" s="3">
        <v>48622</v>
      </c>
      <c r="F64" s="1" t="str">
        <f>VLOOKUP(D64,Table17[[Name]:[Native]],3,FALSE)</f>
        <v>曹县</v>
      </c>
      <c r="G64" s="14" t="str">
        <f ca="1">VLOOKUP(F64,Table17[[Native]:[Population4]],5,FALSE)</f>
        <v>菏泽市</v>
      </c>
    </row>
    <row r="65" spans="1:7" ht="15.75" thickBot="1" x14ac:dyDescent="0.3">
      <c r="A65" t="s">
        <v>700</v>
      </c>
      <c r="B65" s="1" t="s">
        <v>701</v>
      </c>
      <c r="C65" s="1" t="s">
        <v>7</v>
      </c>
      <c r="D65" s="1" t="s">
        <v>578</v>
      </c>
      <c r="E65" s="3">
        <v>70357</v>
      </c>
      <c r="F65" s="1" t="str">
        <f>VLOOKUP(D65,Table17[[Name]:[Native]],3,FALSE)</f>
        <v>牡丹区</v>
      </c>
      <c r="G65" s="14" t="str">
        <f ca="1">VLOOKUP(F65,Table17[[Native]:[Population4]],5,FALSE)</f>
        <v>菏泽市</v>
      </c>
    </row>
    <row r="66" spans="1:7" ht="15.75" thickBot="1" x14ac:dyDescent="0.3">
      <c r="A66" t="s">
        <v>702</v>
      </c>
      <c r="B66" s="1" t="s">
        <v>703</v>
      </c>
      <c r="C66" s="1" t="s">
        <v>13</v>
      </c>
      <c r="D66" s="1" t="s">
        <v>655</v>
      </c>
      <c r="E66" s="3">
        <v>27488</v>
      </c>
      <c r="F66" s="1" t="str">
        <f>VLOOKUP(D66,Table17[[Name]:[Native]],3,FALSE)</f>
        <v>巨野县</v>
      </c>
      <c r="G66" s="14" t="str">
        <f ca="1">VLOOKUP(F66,Table17[[Native]:[Population4]],5,FALSE)</f>
        <v>菏泽市</v>
      </c>
    </row>
    <row r="67" spans="1:7" ht="15.75" thickBot="1" x14ac:dyDescent="0.3">
      <c r="A67" t="s">
        <v>704</v>
      </c>
      <c r="B67" s="1" t="s">
        <v>705</v>
      </c>
      <c r="C67" s="1" t="s">
        <v>13</v>
      </c>
      <c r="D67" s="1" t="s">
        <v>644</v>
      </c>
      <c r="E67" s="3">
        <v>30354</v>
      </c>
      <c r="F67" s="1" t="str">
        <f>VLOOKUP(D67,Table17[[Name]:[Native]],3,FALSE)</f>
        <v>鄄城县</v>
      </c>
      <c r="G67" s="14" t="str">
        <f ca="1">VLOOKUP(F67,Table17[[Native]:[Population4]],5,FALSE)</f>
        <v>菏泽市</v>
      </c>
    </row>
    <row r="68" spans="1:7" ht="15.75" thickBot="1" x14ac:dyDescent="0.3">
      <c r="A68" t="s">
        <v>706</v>
      </c>
      <c r="B68" s="1" t="s">
        <v>707</v>
      </c>
      <c r="C68" s="1" t="s">
        <v>13</v>
      </c>
      <c r="D68" s="1" t="s">
        <v>575</v>
      </c>
      <c r="E68" s="3">
        <v>34698</v>
      </c>
      <c r="F68" s="1" t="str">
        <f>VLOOKUP(D68,Table17[[Name]:[Native]],3,FALSE)</f>
        <v>曹县</v>
      </c>
      <c r="G68" s="14" t="str">
        <f ca="1">VLOOKUP(F68,Table17[[Native]:[Population4]],5,FALSE)</f>
        <v>菏泽市</v>
      </c>
    </row>
    <row r="69" spans="1:7" ht="15.75" thickBot="1" x14ac:dyDescent="0.3">
      <c r="A69" t="s">
        <v>708</v>
      </c>
      <c r="B69" s="1" t="s">
        <v>709</v>
      </c>
      <c r="C69" s="1" t="s">
        <v>13</v>
      </c>
      <c r="D69" s="1" t="s">
        <v>614</v>
      </c>
      <c r="E69" s="3">
        <v>54258</v>
      </c>
      <c r="F69" s="1" t="str">
        <f>VLOOKUP(D69,Table17[[Name]:[Native]],3,FALSE)</f>
        <v>郓城县</v>
      </c>
      <c r="G69" s="14" t="str">
        <f ca="1">VLOOKUP(F69,Table17[[Native]:[Population4]],5,FALSE)</f>
        <v>菏泽市</v>
      </c>
    </row>
    <row r="70" spans="1:7" ht="15.75" thickBot="1" x14ac:dyDescent="0.3">
      <c r="A70" t="s">
        <v>710</v>
      </c>
      <c r="B70" s="1" t="s">
        <v>711</v>
      </c>
      <c r="C70" s="1" t="s">
        <v>13</v>
      </c>
      <c r="D70" s="1" t="s">
        <v>614</v>
      </c>
      <c r="E70" s="3">
        <v>56167</v>
      </c>
      <c r="F70" s="1" t="str">
        <f>VLOOKUP(D70,Table17[[Name]:[Native]],3,FALSE)</f>
        <v>郓城县</v>
      </c>
      <c r="G70" s="14" t="str">
        <f ca="1">VLOOKUP(F70,Table17[[Native]:[Population4]],5,FALSE)</f>
        <v>菏泽市</v>
      </c>
    </row>
    <row r="71" spans="1:7" ht="15.75" thickBot="1" x14ac:dyDescent="0.3">
      <c r="A71" t="s">
        <v>712</v>
      </c>
      <c r="B71" s="1" t="s">
        <v>713</v>
      </c>
      <c r="C71" s="1" t="s">
        <v>13</v>
      </c>
      <c r="D71" s="1" t="s">
        <v>581</v>
      </c>
      <c r="E71" s="3">
        <v>60840</v>
      </c>
      <c r="F71" s="1" t="str">
        <f>VLOOKUP(D71,Table17[[Name]:[Native]],3,FALSE)</f>
        <v>定陶区</v>
      </c>
      <c r="G71" s="14" t="str">
        <f ca="1">VLOOKUP(F71,Table17[[Native]:[Population4]],5,FALSE)</f>
        <v>菏泽市</v>
      </c>
    </row>
    <row r="72" spans="1:7" ht="15.75" thickBot="1" x14ac:dyDescent="0.3">
      <c r="A72" t="s">
        <v>714</v>
      </c>
      <c r="B72" s="1" t="s">
        <v>715</v>
      </c>
      <c r="C72" s="1" t="s">
        <v>13</v>
      </c>
      <c r="D72" s="1" t="s">
        <v>578</v>
      </c>
      <c r="E72" s="3">
        <v>66150</v>
      </c>
      <c r="F72" s="1" t="str">
        <f>VLOOKUP(D72,Table17[[Name]:[Native]],3,FALSE)</f>
        <v>牡丹区</v>
      </c>
      <c r="G72" s="14" t="str">
        <f ca="1">VLOOKUP(F72,Table17[[Native]:[Population4]],5,FALSE)</f>
        <v>菏泽市</v>
      </c>
    </row>
    <row r="73" spans="1:7" ht="15.75" thickBot="1" x14ac:dyDescent="0.3">
      <c r="A73" t="s">
        <v>716</v>
      </c>
      <c r="B73" s="1" t="s">
        <v>717</v>
      </c>
      <c r="C73" s="1" t="s">
        <v>13</v>
      </c>
      <c r="D73" s="1" t="s">
        <v>582</v>
      </c>
      <c r="E73" s="3">
        <v>66540</v>
      </c>
      <c r="F73" s="1" t="str">
        <f>VLOOKUP(D73,Table17[[Name]:[Native]],3,FALSE)</f>
        <v>单县</v>
      </c>
      <c r="G73" s="14" t="str">
        <f ca="1">VLOOKUP(F73,Table17[[Native]:[Population4]],5,FALSE)</f>
        <v>菏泽市</v>
      </c>
    </row>
    <row r="74" spans="1:7" ht="15.75" thickBot="1" x14ac:dyDescent="0.3">
      <c r="A74" t="s">
        <v>718</v>
      </c>
      <c r="B74" s="1" t="s">
        <v>719</v>
      </c>
      <c r="C74" s="1" t="s">
        <v>13</v>
      </c>
      <c r="D74" s="1" t="s">
        <v>614</v>
      </c>
      <c r="E74" s="3">
        <v>38738</v>
      </c>
      <c r="F74" s="1" t="str">
        <f>VLOOKUP(D74,Table17[[Name]:[Native]],3,FALSE)</f>
        <v>郓城县</v>
      </c>
      <c r="G74" s="14" t="str">
        <f ca="1">VLOOKUP(F74,Table17[[Native]:[Population4]],5,FALSE)</f>
        <v>菏泽市</v>
      </c>
    </row>
    <row r="75" spans="1:7" ht="15.75" thickBot="1" x14ac:dyDescent="0.3">
      <c r="A75" t="s">
        <v>720</v>
      </c>
      <c r="B75" s="1" t="s">
        <v>721</v>
      </c>
      <c r="C75" s="1" t="s">
        <v>13</v>
      </c>
      <c r="D75" s="1" t="s">
        <v>614</v>
      </c>
      <c r="E75" s="3">
        <v>34456</v>
      </c>
      <c r="F75" s="1" t="str">
        <f>VLOOKUP(D75,Table17[[Name]:[Native]],3,FALSE)</f>
        <v>郓城县</v>
      </c>
      <c r="G75" s="14" t="str">
        <f ca="1">VLOOKUP(F75,Table17[[Native]:[Population4]],5,FALSE)</f>
        <v>菏泽市</v>
      </c>
    </row>
    <row r="76" spans="1:7" ht="15.75" thickBot="1" x14ac:dyDescent="0.3">
      <c r="A76" t="s">
        <v>722</v>
      </c>
      <c r="B76" s="1" t="s">
        <v>723</v>
      </c>
      <c r="C76" s="1" t="s">
        <v>7</v>
      </c>
      <c r="D76" s="1" t="s">
        <v>578</v>
      </c>
      <c r="E76" s="3">
        <v>30418</v>
      </c>
      <c r="F76" s="1" t="str">
        <f>VLOOKUP(D76,Table17[[Name]:[Native]],3,FALSE)</f>
        <v>牡丹区</v>
      </c>
      <c r="G76" s="14" t="str">
        <f ca="1">VLOOKUP(F76,Table17[[Native]:[Population4]],5,FALSE)</f>
        <v>菏泽市</v>
      </c>
    </row>
    <row r="77" spans="1:7" ht="15.75" thickBot="1" x14ac:dyDescent="0.3">
      <c r="A77" t="s">
        <v>79</v>
      </c>
      <c r="B77" s="1" t="s">
        <v>80</v>
      </c>
      <c r="C77" s="1" t="s">
        <v>13</v>
      </c>
      <c r="D77" s="1" t="s">
        <v>578</v>
      </c>
      <c r="E77" s="3">
        <v>34397</v>
      </c>
      <c r="F77" s="1" t="str">
        <f>VLOOKUP(D77,Table17[[Name]:[Native]],3,FALSE)</f>
        <v>牡丹区</v>
      </c>
      <c r="G77" s="14" t="str">
        <f ca="1">VLOOKUP(F77,Table17[[Native]:[Population4]],5,FALSE)</f>
        <v>菏泽市</v>
      </c>
    </row>
    <row r="78" spans="1:7" ht="15.75" thickBot="1" x14ac:dyDescent="0.3">
      <c r="A78" t="s">
        <v>724</v>
      </c>
      <c r="B78" s="1" t="s">
        <v>725</v>
      </c>
      <c r="C78" s="1" t="s">
        <v>61</v>
      </c>
      <c r="D78" s="1" t="s">
        <v>589</v>
      </c>
      <c r="E78" s="3">
        <v>43179</v>
      </c>
      <c r="F78" s="1" t="str">
        <f>VLOOKUP(D78,Table17[[Name]:[Native]],3,FALSE)</f>
        <v>东明县</v>
      </c>
      <c r="G78" s="14" t="str">
        <f ca="1">VLOOKUP(F78,Table17[[Native]:[Population4]],5,FALSE)</f>
        <v>菏泽市</v>
      </c>
    </row>
    <row r="79" spans="1:7" ht="15.75" thickBot="1" x14ac:dyDescent="0.3">
      <c r="A79" t="s">
        <v>726</v>
      </c>
      <c r="B79" s="1" t="s">
        <v>727</v>
      </c>
      <c r="C79" s="1" t="s">
        <v>13</v>
      </c>
      <c r="D79" s="1" t="s">
        <v>644</v>
      </c>
      <c r="E79" s="3">
        <v>46597</v>
      </c>
      <c r="F79" s="1" t="str">
        <f>VLOOKUP(D79,Table17[[Name]:[Native]],3,FALSE)</f>
        <v>鄄城县</v>
      </c>
      <c r="G79" s="14" t="str">
        <f ca="1">VLOOKUP(F79,Table17[[Native]:[Population4]],5,FALSE)</f>
        <v>菏泽市</v>
      </c>
    </row>
    <row r="80" spans="1:7" ht="15.75" thickBot="1" x14ac:dyDescent="0.3">
      <c r="A80" t="s">
        <v>728</v>
      </c>
      <c r="B80" s="1" t="s">
        <v>729</v>
      </c>
      <c r="C80" s="1" t="s">
        <v>13</v>
      </c>
      <c r="D80" s="1" t="s">
        <v>644</v>
      </c>
      <c r="E80" s="3">
        <v>55028</v>
      </c>
      <c r="F80" s="1" t="str">
        <f>VLOOKUP(D80,Table17[[Name]:[Native]],3,FALSE)</f>
        <v>鄄城县</v>
      </c>
      <c r="G80" s="14" t="str">
        <f ca="1">VLOOKUP(F80,Table17[[Native]:[Population4]],5,FALSE)</f>
        <v>菏泽市</v>
      </c>
    </row>
    <row r="81" spans="1:7" ht="15.75" thickBot="1" x14ac:dyDescent="0.3">
      <c r="A81" t="s">
        <v>730</v>
      </c>
      <c r="B81" s="1" t="s">
        <v>731</v>
      </c>
      <c r="C81" s="1" t="s">
        <v>13</v>
      </c>
      <c r="D81" s="1" t="s">
        <v>582</v>
      </c>
      <c r="E81" s="3">
        <v>47402</v>
      </c>
      <c r="F81" s="1" t="str">
        <f>VLOOKUP(D81,Table17[[Name]:[Native]],3,FALSE)</f>
        <v>单县</v>
      </c>
      <c r="G81" s="14" t="str">
        <f ca="1">VLOOKUP(F81,Table17[[Native]:[Population4]],5,FALSE)</f>
        <v>菏泽市</v>
      </c>
    </row>
    <row r="82" spans="1:7" ht="15.75" thickBot="1" x14ac:dyDescent="0.3">
      <c r="A82" t="s">
        <v>732</v>
      </c>
      <c r="B82" s="1" t="s">
        <v>733</v>
      </c>
      <c r="C82" s="1" t="s">
        <v>13</v>
      </c>
      <c r="D82" s="1" t="s">
        <v>575</v>
      </c>
      <c r="E82" s="3">
        <v>38240</v>
      </c>
      <c r="F82" s="1" t="str">
        <f>VLOOKUP(D82,Table17[[Name]:[Native]],3,FALSE)</f>
        <v>曹县</v>
      </c>
      <c r="G82" s="14" t="str">
        <f ca="1">VLOOKUP(F82,Table17[[Native]:[Population4]],5,FALSE)</f>
        <v>菏泽市</v>
      </c>
    </row>
    <row r="83" spans="1:7" ht="15.75" thickBot="1" x14ac:dyDescent="0.3">
      <c r="A83" t="s">
        <v>734</v>
      </c>
      <c r="B83" s="1" t="s">
        <v>735</v>
      </c>
      <c r="C83" s="1" t="s">
        <v>13</v>
      </c>
      <c r="D83" s="1" t="s">
        <v>578</v>
      </c>
      <c r="E83" s="3">
        <v>52868</v>
      </c>
      <c r="F83" s="1" t="str">
        <f>VLOOKUP(D83,Table17[[Name]:[Native]],3,FALSE)</f>
        <v>牡丹区</v>
      </c>
      <c r="G83" s="14" t="str">
        <f ca="1">VLOOKUP(F83,Table17[[Native]:[Population4]],5,FALSE)</f>
        <v>菏泽市</v>
      </c>
    </row>
    <row r="84" spans="1:7" ht="15.75" thickBot="1" x14ac:dyDescent="0.3">
      <c r="A84" t="s">
        <v>736</v>
      </c>
      <c r="B84" s="1" t="s">
        <v>737</v>
      </c>
      <c r="C84" s="1" t="s">
        <v>13</v>
      </c>
      <c r="D84" s="1" t="s">
        <v>644</v>
      </c>
      <c r="E84" s="3">
        <v>24589</v>
      </c>
      <c r="F84" s="1" t="str">
        <f>VLOOKUP(D84,Table17[[Name]:[Native]],3,FALSE)</f>
        <v>鄄城县</v>
      </c>
      <c r="G84" s="14" t="str">
        <f ca="1">VLOOKUP(F84,Table17[[Native]:[Population4]],5,FALSE)</f>
        <v>菏泽市</v>
      </c>
    </row>
    <row r="85" spans="1:7" ht="15.75" thickBot="1" x14ac:dyDescent="0.3">
      <c r="A85" t="s">
        <v>738</v>
      </c>
      <c r="B85" s="1" t="s">
        <v>739</v>
      </c>
      <c r="C85" s="1" t="s">
        <v>13</v>
      </c>
      <c r="D85" s="1" t="s">
        <v>614</v>
      </c>
      <c r="E85" s="3">
        <v>45596</v>
      </c>
      <c r="F85" s="1" t="str">
        <f>VLOOKUP(D85,Table17[[Name]:[Native]],3,FALSE)</f>
        <v>郓城县</v>
      </c>
      <c r="G85" s="14" t="str">
        <f ca="1">VLOOKUP(F85,Table17[[Native]:[Population4]],5,FALSE)</f>
        <v>菏泽市</v>
      </c>
    </row>
    <row r="86" spans="1:7" ht="15.75" thickBot="1" x14ac:dyDescent="0.3">
      <c r="A86" t="s">
        <v>740</v>
      </c>
      <c r="B86" s="1" t="s">
        <v>741</v>
      </c>
      <c r="C86" s="1" t="s">
        <v>13</v>
      </c>
      <c r="D86" s="1" t="s">
        <v>644</v>
      </c>
      <c r="E86" s="3">
        <v>32725</v>
      </c>
      <c r="F86" s="1" t="str">
        <f>VLOOKUP(D86,Table17[[Name]:[Native]],3,FALSE)</f>
        <v>鄄城县</v>
      </c>
      <c r="G86" s="14" t="str">
        <f ca="1">VLOOKUP(F86,Table17[[Native]:[Population4]],5,FALSE)</f>
        <v>菏泽市</v>
      </c>
    </row>
    <row r="87" spans="1:7" ht="15.75" thickBot="1" x14ac:dyDescent="0.3">
      <c r="A87" t="s">
        <v>742</v>
      </c>
      <c r="B87" s="1" t="s">
        <v>743</v>
      </c>
      <c r="C87" s="1" t="s">
        <v>13</v>
      </c>
      <c r="D87" s="1" t="s">
        <v>582</v>
      </c>
      <c r="E87" s="3">
        <v>43067</v>
      </c>
      <c r="F87" s="1" t="str">
        <f>VLOOKUP(D87,Table17[[Name]:[Native]],3,FALSE)</f>
        <v>单县</v>
      </c>
      <c r="G87" s="14" t="str">
        <f ca="1">VLOOKUP(F87,Table17[[Native]:[Population4]],5,FALSE)</f>
        <v>菏泽市</v>
      </c>
    </row>
    <row r="88" spans="1:7" ht="15.75" thickBot="1" x14ac:dyDescent="0.3">
      <c r="A88" t="s">
        <v>744</v>
      </c>
      <c r="B88" s="1" t="s">
        <v>745</v>
      </c>
      <c r="C88" s="1" t="s">
        <v>13</v>
      </c>
      <c r="D88" s="1" t="s">
        <v>655</v>
      </c>
      <c r="E88" s="3">
        <v>50907</v>
      </c>
      <c r="F88" s="1" t="str">
        <f>VLOOKUP(D88,Table17[[Name]:[Native]],3,FALSE)</f>
        <v>巨野县</v>
      </c>
      <c r="G88" s="14" t="str">
        <f ca="1">VLOOKUP(F88,Table17[[Native]:[Population4]],5,FALSE)</f>
        <v>菏泽市</v>
      </c>
    </row>
    <row r="89" spans="1:7" ht="15.75" thickBot="1" x14ac:dyDescent="0.3">
      <c r="A89" t="s">
        <v>746</v>
      </c>
      <c r="B89" s="1" t="s">
        <v>747</v>
      </c>
      <c r="C89" s="1" t="s">
        <v>13</v>
      </c>
      <c r="D89" s="1" t="s">
        <v>589</v>
      </c>
      <c r="E89" s="3">
        <v>42438</v>
      </c>
      <c r="F89" s="1" t="str">
        <f>VLOOKUP(D89,Table17[[Name]:[Native]],3,FALSE)</f>
        <v>东明县</v>
      </c>
      <c r="G89" s="14" t="str">
        <f ca="1">VLOOKUP(F89,Table17[[Native]:[Population4]],5,FALSE)</f>
        <v>菏泽市</v>
      </c>
    </row>
    <row r="90" spans="1:7" ht="15.75" thickBot="1" x14ac:dyDescent="0.3">
      <c r="A90" t="s">
        <v>748</v>
      </c>
      <c r="B90" s="1" t="s">
        <v>749</v>
      </c>
      <c r="C90" s="1" t="s">
        <v>13</v>
      </c>
      <c r="D90" s="1" t="s">
        <v>582</v>
      </c>
      <c r="E90" s="3">
        <v>34010</v>
      </c>
      <c r="F90" s="1" t="str">
        <f>VLOOKUP(D90,Table17[[Name]:[Native]],3,FALSE)</f>
        <v>单县</v>
      </c>
      <c r="G90" s="14" t="str">
        <f ca="1">VLOOKUP(F90,Table17[[Native]:[Population4]],5,FALSE)</f>
        <v>菏泽市</v>
      </c>
    </row>
    <row r="91" spans="1:7" ht="15.75" thickBot="1" x14ac:dyDescent="0.3">
      <c r="A91" t="s">
        <v>750</v>
      </c>
      <c r="B91" s="1" t="s">
        <v>751</v>
      </c>
      <c r="C91" s="1" t="s">
        <v>13</v>
      </c>
      <c r="D91" s="1" t="s">
        <v>655</v>
      </c>
      <c r="E91" s="3">
        <v>54953</v>
      </c>
      <c r="F91" s="1" t="str">
        <f>VLOOKUP(D91,Table17[[Name]:[Native]],3,FALSE)</f>
        <v>巨野县</v>
      </c>
      <c r="G91" s="14" t="str">
        <f ca="1">VLOOKUP(F91,Table17[[Native]:[Population4]],5,FALSE)</f>
        <v>菏泽市</v>
      </c>
    </row>
    <row r="92" spans="1:7" ht="15.75" thickBot="1" x14ac:dyDescent="0.3">
      <c r="A92" t="s">
        <v>752</v>
      </c>
      <c r="B92" s="1" t="s">
        <v>753</v>
      </c>
      <c r="C92" s="1" t="s">
        <v>13</v>
      </c>
      <c r="D92" s="1" t="s">
        <v>582</v>
      </c>
      <c r="E92" s="3">
        <v>48085</v>
      </c>
      <c r="F92" s="1" t="str">
        <f>VLOOKUP(D92,Table17[[Name]:[Native]],3,FALSE)</f>
        <v>单县</v>
      </c>
      <c r="G92" s="14" t="str">
        <f ca="1">VLOOKUP(F92,Table17[[Native]:[Population4]],5,FALSE)</f>
        <v>菏泽市</v>
      </c>
    </row>
    <row r="93" spans="1:7" ht="15.75" thickBot="1" x14ac:dyDescent="0.3">
      <c r="A93" t="s">
        <v>754</v>
      </c>
      <c r="B93" s="1" t="s">
        <v>755</v>
      </c>
      <c r="C93" s="1" t="s">
        <v>13</v>
      </c>
      <c r="D93" s="1" t="s">
        <v>578</v>
      </c>
      <c r="E93" s="3">
        <v>51967</v>
      </c>
      <c r="F93" s="1" t="str">
        <f>VLOOKUP(D93,Table17[[Name]:[Native]],3,FALSE)</f>
        <v>牡丹区</v>
      </c>
      <c r="G93" s="14" t="str">
        <f ca="1">VLOOKUP(F93,Table17[[Native]:[Population4]],5,FALSE)</f>
        <v>菏泽市</v>
      </c>
    </row>
    <row r="94" spans="1:7" ht="15.75" thickBot="1" x14ac:dyDescent="0.3">
      <c r="A94" t="s">
        <v>756</v>
      </c>
      <c r="B94" s="1" t="s">
        <v>757</v>
      </c>
      <c r="C94" s="1" t="s">
        <v>13</v>
      </c>
      <c r="D94" s="1" t="s">
        <v>589</v>
      </c>
      <c r="E94" s="3">
        <v>75006</v>
      </c>
      <c r="F94" s="1" t="str">
        <f>VLOOKUP(D94,Table17[[Name]:[Native]],3,FALSE)</f>
        <v>东明县</v>
      </c>
      <c r="G94" s="14" t="str">
        <f ca="1">VLOOKUP(F94,Table17[[Native]:[Population4]],5,FALSE)</f>
        <v>菏泽市</v>
      </c>
    </row>
    <row r="95" spans="1:7" ht="15.75" thickBot="1" x14ac:dyDescent="0.3">
      <c r="A95" t="s">
        <v>334</v>
      </c>
      <c r="B95" s="1" t="s">
        <v>335</v>
      </c>
      <c r="C95" s="1" t="s">
        <v>13</v>
      </c>
      <c r="D95" s="1" t="s">
        <v>581</v>
      </c>
      <c r="E95" s="3">
        <v>45304</v>
      </c>
      <c r="F95" s="1" t="str">
        <f>VLOOKUP(D95,Table17[[Name]:[Native]],3,FALSE)</f>
        <v>定陶区</v>
      </c>
      <c r="G95" s="14" t="str">
        <f ca="1">VLOOKUP(F95,Table17[[Native]:[Population4]],5,FALSE)</f>
        <v>菏泽市</v>
      </c>
    </row>
    <row r="96" spans="1:7" ht="15.75" thickBot="1" x14ac:dyDescent="0.3">
      <c r="A96" t="s">
        <v>758</v>
      </c>
      <c r="B96" s="1" t="s">
        <v>759</v>
      </c>
      <c r="C96" s="1" t="s">
        <v>13</v>
      </c>
      <c r="D96" s="1" t="s">
        <v>578</v>
      </c>
      <c r="E96" s="3">
        <v>85107</v>
      </c>
      <c r="F96" s="1" t="str">
        <f>VLOOKUP(D96,Table17[[Name]:[Native]],3,FALSE)</f>
        <v>牡丹区</v>
      </c>
      <c r="G96" s="14" t="str">
        <f ca="1">VLOOKUP(F96,Table17[[Native]:[Population4]],5,FALSE)</f>
        <v>菏泽市</v>
      </c>
    </row>
    <row r="97" spans="1:7" ht="15.75" thickBot="1" x14ac:dyDescent="0.3">
      <c r="A97" t="s">
        <v>115</v>
      </c>
      <c r="B97" s="1" t="s">
        <v>760</v>
      </c>
      <c r="C97" s="1" t="s">
        <v>13</v>
      </c>
      <c r="D97" s="1" t="s">
        <v>589</v>
      </c>
      <c r="E97" s="3">
        <v>37665</v>
      </c>
      <c r="F97" s="1" t="str">
        <f>VLOOKUP(D97,Table17[[Name]:[Native]],3,FALSE)</f>
        <v>东明县</v>
      </c>
      <c r="G97" s="14" t="str">
        <f ca="1">VLOOKUP(F97,Table17[[Native]:[Population4]],5,FALSE)</f>
        <v>菏泽市</v>
      </c>
    </row>
    <row r="98" spans="1:7" ht="15.75" thickBot="1" x14ac:dyDescent="0.3">
      <c r="A98" t="s">
        <v>761</v>
      </c>
      <c r="B98" s="1" t="s">
        <v>762</v>
      </c>
      <c r="C98" s="1" t="s">
        <v>13</v>
      </c>
      <c r="D98" s="1" t="s">
        <v>581</v>
      </c>
      <c r="E98" s="3">
        <v>35301</v>
      </c>
      <c r="F98" s="1" t="str">
        <f>VLOOKUP(D98,Table17[[Name]:[Native]],3,FALSE)</f>
        <v>定陶区</v>
      </c>
      <c r="G98" s="14" t="str">
        <f ca="1">VLOOKUP(F98,Table17[[Native]:[Population4]],5,FALSE)</f>
        <v>菏泽市</v>
      </c>
    </row>
    <row r="99" spans="1:7" ht="15.75" thickBot="1" x14ac:dyDescent="0.3">
      <c r="A99" t="s">
        <v>763</v>
      </c>
      <c r="B99" s="1" t="s">
        <v>764</v>
      </c>
      <c r="C99" s="1" t="s">
        <v>7</v>
      </c>
      <c r="D99" s="1" t="s">
        <v>578</v>
      </c>
      <c r="E99" s="3">
        <v>61065</v>
      </c>
      <c r="F99" s="1" t="str">
        <f>VLOOKUP(D99,Table17[[Name]:[Native]],3,FALSE)</f>
        <v>牡丹区</v>
      </c>
      <c r="G99" s="14" t="str">
        <f ca="1">VLOOKUP(F99,Table17[[Native]:[Population4]],5,FALSE)</f>
        <v>菏泽市</v>
      </c>
    </row>
    <row r="100" spans="1:7" ht="15.75" thickBot="1" x14ac:dyDescent="0.3">
      <c r="A100" t="s">
        <v>765</v>
      </c>
      <c r="B100" s="1" t="s">
        <v>766</v>
      </c>
      <c r="C100" s="1" t="s">
        <v>7</v>
      </c>
      <c r="D100" s="1" t="s">
        <v>578</v>
      </c>
      <c r="E100" s="3">
        <v>64576</v>
      </c>
      <c r="F100" s="1" t="str">
        <f>VLOOKUP(D100,Table17[[Name]:[Native]],3,FALSE)</f>
        <v>牡丹区</v>
      </c>
      <c r="G100" s="14" t="str">
        <f ca="1">VLOOKUP(F100,Table17[[Native]:[Population4]],5,FALSE)</f>
        <v>菏泽市</v>
      </c>
    </row>
    <row r="101" spans="1:7" ht="15.75" thickBot="1" x14ac:dyDescent="0.3">
      <c r="A101" t="s">
        <v>765</v>
      </c>
      <c r="B101" s="1" t="s">
        <v>766</v>
      </c>
      <c r="C101" s="1" t="s">
        <v>7</v>
      </c>
      <c r="D101" s="1" t="s">
        <v>582</v>
      </c>
      <c r="E101" s="3">
        <v>91016</v>
      </c>
      <c r="F101" s="1" t="str">
        <f>VLOOKUP(D101,Table17[[Name]:[Native]],3,FALSE)</f>
        <v>单县</v>
      </c>
      <c r="G101" s="14" t="str">
        <f ca="1">VLOOKUP(F101,Table17[[Native]:[Population4]],5,FALSE)</f>
        <v>菏泽市</v>
      </c>
    </row>
    <row r="102" spans="1:7" ht="15.75" thickBot="1" x14ac:dyDescent="0.3">
      <c r="A102" t="s">
        <v>767</v>
      </c>
      <c r="B102" s="1" t="s">
        <v>768</v>
      </c>
      <c r="C102" s="1" t="s">
        <v>13</v>
      </c>
      <c r="D102" s="1" t="s">
        <v>581</v>
      </c>
      <c r="E102" s="3">
        <v>24514</v>
      </c>
      <c r="F102" s="1" t="str">
        <f>VLOOKUP(D102,Table17[[Name]:[Native]],3,FALSE)</f>
        <v>定陶区</v>
      </c>
      <c r="G102" s="14" t="str">
        <f ca="1">VLOOKUP(F102,Table17[[Native]:[Population4]],5,FALSE)</f>
        <v>菏泽市</v>
      </c>
    </row>
    <row r="103" spans="1:7" ht="15.75" thickBot="1" x14ac:dyDescent="0.3">
      <c r="A103" t="s">
        <v>769</v>
      </c>
      <c r="B103" s="1" t="s">
        <v>770</v>
      </c>
      <c r="C103" s="1" t="s">
        <v>13</v>
      </c>
      <c r="D103" s="1" t="s">
        <v>614</v>
      </c>
      <c r="E103" s="3">
        <v>35051</v>
      </c>
      <c r="F103" s="1" t="str">
        <f>VLOOKUP(D103,Table17[[Name]:[Native]],3,FALSE)</f>
        <v>郓城县</v>
      </c>
      <c r="G103" s="14" t="str">
        <f ca="1">VLOOKUP(F103,Table17[[Native]:[Population4]],5,FALSE)</f>
        <v>菏泽市</v>
      </c>
    </row>
    <row r="104" spans="1:7" ht="15.75" thickBot="1" x14ac:dyDescent="0.3">
      <c r="A104" t="s">
        <v>771</v>
      </c>
      <c r="B104" s="1" t="s">
        <v>772</v>
      </c>
      <c r="C104" s="1" t="s">
        <v>7</v>
      </c>
      <c r="D104" s="1" t="s">
        <v>575</v>
      </c>
      <c r="E104" s="3">
        <v>37888</v>
      </c>
      <c r="F104" s="1" t="str">
        <f>VLOOKUP(D104,Table17[[Name]:[Native]],3,FALSE)</f>
        <v>曹县</v>
      </c>
      <c r="G104" s="14" t="str">
        <f ca="1">VLOOKUP(F104,Table17[[Native]:[Population4]],5,FALSE)</f>
        <v>菏泽市</v>
      </c>
    </row>
    <row r="105" spans="1:7" ht="15.75" thickBot="1" x14ac:dyDescent="0.3">
      <c r="A105" t="s">
        <v>773</v>
      </c>
      <c r="B105" s="1" t="s">
        <v>774</v>
      </c>
      <c r="C105" s="1" t="s">
        <v>13</v>
      </c>
      <c r="D105" s="1" t="s">
        <v>614</v>
      </c>
      <c r="E105" s="3">
        <v>45446</v>
      </c>
      <c r="F105" s="1" t="str">
        <f>VLOOKUP(D105,Table17[[Name]:[Native]],3,FALSE)</f>
        <v>郓城县</v>
      </c>
      <c r="G105" s="14" t="str">
        <f ca="1">VLOOKUP(F105,Table17[[Native]:[Population4]],5,FALSE)</f>
        <v>菏泽市</v>
      </c>
    </row>
    <row r="106" spans="1:7" ht="15.75" thickBot="1" x14ac:dyDescent="0.3">
      <c r="A106" t="s">
        <v>775</v>
      </c>
      <c r="B106" s="1" t="s">
        <v>776</v>
      </c>
      <c r="C106" s="1" t="s">
        <v>7</v>
      </c>
      <c r="D106" s="1" t="s">
        <v>575</v>
      </c>
      <c r="E106" s="3">
        <v>89295</v>
      </c>
      <c r="F106" s="1" t="str">
        <f>VLOOKUP(D106,Table17[[Name]:[Native]],3,FALSE)</f>
        <v>曹县</v>
      </c>
      <c r="G106" s="14" t="str">
        <f ca="1">VLOOKUP(F106,Table17[[Native]:[Population4]],5,FALSE)</f>
        <v>菏泽市</v>
      </c>
    </row>
    <row r="107" spans="1:7" ht="15.75" thickBot="1" x14ac:dyDescent="0.3">
      <c r="A107" t="s">
        <v>777</v>
      </c>
      <c r="B107" s="1" t="s">
        <v>778</v>
      </c>
      <c r="C107" s="1" t="s">
        <v>13</v>
      </c>
      <c r="D107" s="1" t="s">
        <v>644</v>
      </c>
      <c r="E107" s="3">
        <v>52541</v>
      </c>
      <c r="F107" s="1" t="str">
        <f>VLOOKUP(D107,Table17[[Name]:[Native]],3,FALSE)</f>
        <v>鄄城县</v>
      </c>
      <c r="G107" s="14" t="str">
        <f ca="1">VLOOKUP(F107,Table17[[Native]:[Population4]],5,FALSE)</f>
        <v>菏泽市</v>
      </c>
    </row>
    <row r="108" spans="1:7" ht="15.75" thickBot="1" x14ac:dyDescent="0.3">
      <c r="A108" t="s">
        <v>779</v>
      </c>
      <c r="B108" s="1" t="s">
        <v>780</v>
      </c>
      <c r="C108" s="1" t="s">
        <v>13</v>
      </c>
      <c r="D108" s="1" t="s">
        <v>575</v>
      </c>
      <c r="E108" s="3">
        <v>33914</v>
      </c>
      <c r="F108" s="1" t="str">
        <f>VLOOKUP(D108,Table17[[Name]:[Native]],3,FALSE)</f>
        <v>曹县</v>
      </c>
      <c r="G108" s="14" t="str">
        <f ca="1">VLOOKUP(F108,Table17[[Native]:[Population4]],5,FALSE)</f>
        <v>菏泽市</v>
      </c>
    </row>
    <row r="109" spans="1:7" ht="15.75" thickBot="1" x14ac:dyDescent="0.3">
      <c r="A109" t="s">
        <v>781</v>
      </c>
      <c r="B109" s="1" t="s">
        <v>782</v>
      </c>
      <c r="C109" s="1" t="s">
        <v>13</v>
      </c>
      <c r="D109" s="1" t="s">
        <v>655</v>
      </c>
      <c r="E109" s="3">
        <v>56147</v>
      </c>
      <c r="F109" s="1" t="str">
        <f>VLOOKUP(D109,Table17[[Name]:[Native]],3,FALSE)</f>
        <v>巨野县</v>
      </c>
      <c r="G109" s="14" t="str">
        <f ca="1">VLOOKUP(F109,Table17[[Native]:[Population4]],5,FALSE)</f>
        <v>菏泽市</v>
      </c>
    </row>
    <row r="110" spans="1:7" ht="15.75" thickBot="1" x14ac:dyDescent="0.3">
      <c r="A110" t="s">
        <v>783</v>
      </c>
      <c r="B110" s="1" t="s">
        <v>784</v>
      </c>
      <c r="C110" s="1" t="s">
        <v>13</v>
      </c>
      <c r="D110" s="1" t="s">
        <v>575</v>
      </c>
      <c r="E110" s="3">
        <v>45875</v>
      </c>
      <c r="F110" s="1" t="str">
        <f>VLOOKUP(D110,Table17[[Name]:[Native]],3,FALSE)</f>
        <v>曹县</v>
      </c>
      <c r="G110" s="14" t="str">
        <f ca="1">VLOOKUP(F110,Table17[[Native]:[Population4]],5,FALSE)</f>
        <v>菏泽市</v>
      </c>
    </row>
    <row r="111" spans="1:7" ht="15.75" thickBot="1" x14ac:dyDescent="0.3">
      <c r="A111" t="s">
        <v>785</v>
      </c>
      <c r="B111" s="1" t="s">
        <v>786</v>
      </c>
      <c r="C111" s="1" t="s">
        <v>13</v>
      </c>
      <c r="D111" s="1" t="s">
        <v>575</v>
      </c>
      <c r="E111" s="3">
        <v>84437</v>
      </c>
      <c r="F111" s="1" t="str">
        <f>VLOOKUP(D111,Table17[[Name]:[Native]],3,FALSE)</f>
        <v>曹县</v>
      </c>
      <c r="G111" s="14" t="str">
        <f ca="1">VLOOKUP(F111,Table17[[Native]:[Population4]],5,FALSE)</f>
        <v>菏泽市</v>
      </c>
    </row>
    <row r="112" spans="1:7" ht="15.75" thickBot="1" x14ac:dyDescent="0.3">
      <c r="A112" t="s">
        <v>787</v>
      </c>
      <c r="B112" s="1" t="s">
        <v>788</v>
      </c>
      <c r="C112" s="1" t="s">
        <v>7</v>
      </c>
      <c r="D112" s="1" t="s">
        <v>575</v>
      </c>
      <c r="E112" s="3">
        <v>62860</v>
      </c>
      <c r="F112" s="1" t="str">
        <f>VLOOKUP(D112,Table17[[Name]:[Native]],3,FALSE)</f>
        <v>曹县</v>
      </c>
      <c r="G112" s="14" t="str">
        <f ca="1">VLOOKUP(F112,Table17[[Native]:[Population4]],5,FALSE)</f>
        <v>菏泽市</v>
      </c>
    </row>
    <row r="113" spans="1:7" ht="15.75" thickBot="1" x14ac:dyDescent="0.3">
      <c r="A113" t="s">
        <v>789</v>
      </c>
      <c r="B113" s="1" t="s">
        <v>790</v>
      </c>
      <c r="C113" s="1" t="s">
        <v>13</v>
      </c>
      <c r="D113" s="1" t="s">
        <v>581</v>
      </c>
      <c r="E113" s="3">
        <v>75263</v>
      </c>
      <c r="F113" s="1" t="str">
        <f>VLOOKUP(D113,Table17[[Name]:[Native]],3,FALSE)</f>
        <v>定陶区</v>
      </c>
      <c r="G113" s="14" t="str">
        <f ca="1">VLOOKUP(F113,Table17[[Native]:[Population4]],5,FALSE)</f>
        <v>菏泽市</v>
      </c>
    </row>
    <row r="114" spans="1:7" ht="15.75" thickBot="1" x14ac:dyDescent="0.3">
      <c r="A114" t="s">
        <v>791</v>
      </c>
      <c r="B114" s="1" t="s">
        <v>792</v>
      </c>
      <c r="C114" s="1" t="s">
        <v>13</v>
      </c>
      <c r="D114" s="1" t="s">
        <v>589</v>
      </c>
      <c r="E114" s="3">
        <v>36692</v>
      </c>
      <c r="F114" s="1" t="str">
        <f>VLOOKUP(D114,Table17[[Name]:[Native]],3,FALSE)</f>
        <v>东明县</v>
      </c>
      <c r="G114" s="14" t="str">
        <f ca="1">VLOOKUP(F114,Table17[[Native]:[Population4]],5,FALSE)</f>
        <v>菏泽市</v>
      </c>
    </row>
    <row r="115" spans="1:7" ht="15.75" thickBot="1" x14ac:dyDescent="0.3">
      <c r="A115" t="s">
        <v>793</v>
      </c>
      <c r="B115" s="1" t="s">
        <v>794</v>
      </c>
      <c r="C115" s="1" t="s">
        <v>13</v>
      </c>
      <c r="D115" s="1" t="s">
        <v>578</v>
      </c>
      <c r="E115" s="3">
        <v>85006</v>
      </c>
      <c r="F115" s="1" t="str">
        <f>VLOOKUP(D115,Table17[[Name]:[Native]],3,FALSE)</f>
        <v>牡丹区</v>
      </c>
      <c r="G115" s="14" t="str">
        <f ca="1">VLOOKUP(F115,Table17[[Native]:[Population4]],5,FALSE)</f>
        <v>菏泽市</v>
      </c>
    </row>
    <row r="116" spans="1:7" ht="15.75" thickBot="1" x14ac:dyDescent="0.3">
      <c r="A116" t="s">
        <v>795</v>
      </c>
      <c r="B116" s="1" t="s">
        <v>796</v>
      </c>
      <c r="C116" s="1" t="s">
        <v>13</v>
      </c>
      <c r="D116" s="1" t="s">
        <v>589</v>
      </c>
      <c r="E116" s="3">
        <v>63538</v>
      </c>
      <c r="F116" s="1" t="str">
        <f>VLOOKUP(D116,Table17[[Name]:[Native]],3,FALSE)</f>
        <v>东明县</v>
      </c>
      <c r="G116" s="14" t="str">
        <f ca="1">VLOOKUP(F116,Table17[[Native]:[Population4]],5,FALSE)</f>
        <v>菏泽市</v>
      </c>
    </row>
    <row r="117" spans="1:7" ht="15.75" thickBot="1" x14ac:dyDescent="0.3">
      <c r="A117" t="s">
        <v>360</v>
      </c>
      <c r="B117" s="1" t="s">
        <v>797</v>
      </c>
      <c r="C117" s="1" t="s">
        <v>13</v>
      </c>
      <c r="D117" s="1" t="s">
        <v>644</v>
      </c>
      <c r="E117" s="3">
        <v>54024</v>
      </c>
      <c r="F117" s="1" t="str">
        <f>VLOOKUP(D117,Table17[[Name]:[Native]],3,FALSE)</f>
        <v>鄄城县</v>
      </c>
      <c r="G117" s="14" t="str">
        <f ca="1">VLOOKUP(F117,Table17[[Native]:[Population4]],5,FALSE)</f>
        <v>菏泽市</v>
      </c>
    </row>
    <row r="118" spans="1:7" ht="15.75" thickBot="1" x14ac:dyDescent="0.3">
      <c r="A118" t="s">
        <v>798</v>
      </c>
      <c r="B118" s="1" t="s">
        <v>799</v>
      </c>
      <c r="C118" s="1" t="s">
        <v>13</v>
      </c>
      <c r="D118" s="1" t="s">
        <v>582</v>
      </c>
      <c r="E118" s="3">
        <v>37098</v>
      </c>
      <c r="F118" s="1" t="str">
        <f>VLOOKUP(D118,Table17[[Name]:[Native]],3,FALSE)</f>
        <v>单县</v>
      </c>
      <c r="G118" s="14" t="str">
        <f ca="1">VLOOKUP(F118,Table17[[Native]:[Population4]],5,FALSE)</f>
        <v>菏泽市</v>
      </c>
    </row>
    <row r="119" spans="1:7" ht="15.75" thickBot="1" x14ac:dyDescent="0.3">
      <c r="A119" t="s">
        <v>800</v>
      </c>
      <c r="B119" s="1" t="s">
        <v>801</v>
      </c>
      <c r="C119" s="1" t="s">
        <v>13</v>
      </c>
      <c r="D119" s="1" t="s">
        <v>614</v>
      </c>
      <c r="E119" s="3">
        <v>48048</v>
      </c>
      <c r="F119" s="1" t="str">
        <f>VLOOKUP(D119,Table17[[Name]:[Native]],3,FALSE)</f>
        <v>郓城县</v>
      </c>
      <c r="G119" s="14" t="str">
        <f ca="1">VLOOKUP(F119,Table17[[Native]:[Population4]],5,FALSE)</f>
        <v>菏泽市</v>
      </c>
    </row>
    <row r="120" spans="1:7" ht="15.75" thickBot="1" x14ac:dyDescent="0.3">
      <c r="A120" t="s">
        <v>802</v>
      </c>
      <c r="B120" s="1" t="s">
        <v>803</v>
      </c>
      <c r="C120" s="1" t="s">
        <v>61</v>
      </c>
      <c r="D120" s="1" t="s">
        <v>614</v>
      </c>
      <c r="E120" s="3">
        <v>19588</v>
      </c>
      <c r="F120" s="1" t="str">
        <f>VLOOKUP(D120,Table17[[Name]:[Native]],3,FALSE)</f>
        <v>郓城县</v>
      </c>
      <c r="G120" s="14" t="str">
        <f ca="1">VLOOKUP(F120,Table17[[Native]:[Population4]],5,FALSE)</f>
        <v>菏泽市</v>
      </c>
    </row>
    <row r="121" spans="1:7" ht="15.75" thickBot="1" x14ac:dyDescent="0.3">
      <c r="A121" t="s">
        <v>804</v>
      </c>
      <c r="B121" s="1" t="s">
        <v>805</v>
      </c>
      <c r="C121" s="1" t="s">
        <v>13</v>
      </c>
      <c r="D121" s="1" t="s">
        <v>614</v>
      </c>
      <c r="E121" s="3">
        <v>48362</v>
      </c>
      <c r="F121" s="1" t="str">
        <f>VLOOKUP(D121,Table17[[Name]:[Native]],3,FALSE)</f>
        <v>郓城县</v>
      </c>
      <c r="G121" s="14" t="str">
        <f ca="1">VLOOKUP(F121,Table17[[Native]:[Population4]],5,FALSE)</f>
        <v>菏泽市</v>
      </c>
    </row>
    <row r="122" spans="1:7" ht="15.75" thickBot="1" x14ac:dyDescent="0.3">
      <c r="A122" t="s">
        <v>806</v>
      </c>
      <c r="B122" s="1" t="s">
        <v>807</v>
      </c>
      <c r="C122" s="1" t="s">
        <v>13</v>
      </c>
      <c r="D122" s="1" t="s">
        <v>575</v>
      </c>
      <c r="E122" s="3">
        <v>68498</v>
      </c>
      <c r="F122" s="1" t="str">
        <f>VLOOKUP(D122,Table17[[Name]:[Native]],3,FALSE)</f>
        <v>曹县</v>
      </c>
      <c r="G122" s="14" t="str">
        <f ca="1">VLOOKUP(F122,Table17[[Native]:[Population4]],5,FALSE)</f>
        <v>菏泽市</v>
      </c>
    </row>
    <row r="123" spans="1:7" ht="15.75" thickBot="1" x14ac:dyDescent="0.3">
      <c r="A123" t="s">
        <v>808</v>
      </c>
      <c r="B123" s="1" t="s">
        <v>809</v>
      </c>
      <c r="C123" s="1" t="s">
        <v>13</v>
      </c>
      <c r="D123" s="1" t="s">
        <v>575</v>
      </c>
      <c r="E123" s="3">
        <v>44338</v>
      </c>
      <c r="F123" s="1" t="str">
        <f>VLOOKUP(D123,Table17[[Name]:[Native]],3,FALSE)</f>
        <v>曹县</v>
      </c>
      <c r="G123" s="14" t="str">
        <f ca="1">VLOOKUP(F123,Table17[[Native]:[Population4]],5,FALSE)</f>
        <v>菏泽市</v>
      </c>
    </row>
    <row r="124" spans="1:7" ht="15.75" thickBot="1" x14ac:dyDescent="0.3">
      <c r="A124" t="s">
        <v>810</v>
      </c>
      <c r="B124" s="1" t="s">
        <v>811</v>
      </c>
      <c r="C124" s="1" t="s">
        <v>13</v>
      </c>
      <c r="D124" s="1" t="s">
        <v>655</v>
      </c>
      <c r="E124" s="3">
        <v>42452</v>
      </c>
      <c r="F124" s="1" t="str">
        <f>VLOOKUP(D124,Table17[[Name]:[Native]],3,FALSE)</f>
        <v>巨野县</v>
      </c>
      <c r="G124" s="14" t="str">
        <f ca="1">VLOOKUP(F124,Table17[[Native]:[Population4]],5,FALSE)</f>
        <v>菏泽市</v>
      </c>
    </row>
    <row r="125" spans="1:7" ht="15.75" thickBot="1" x14ac:dyDescent="0.3">
      <c r="A125" t="s">
        <v>812</v>
      </c>
      <c r="B125" s="1" t="s">
        <v>813</v>
      </c>
      <c r="C125" s="1" t="s">
        <v>13</v>
      </c>
      <c r="D125" s="1" t="s">
        <v>614</v>
      </c>
      <c r="E125" s="3">
        <v>46963</v>
      </c>
      <c r="F125" s="1" t="str">
        <f>VLOOKUP(D125,Table17[[Name]:[Native]],3,FALSE)</f>
        <v>郓城县</v>
      </c>
      <c r="G125" s="14" t="str">
        <f ca="1">VLOOKUP(F125,Table17[[Native]:[Population4]],5,FALSE)</f>
        <v>菏泽市</v>
      </c>
    </row>
    <row r="126" spans="1:7" ht="15.75" thickBot="1" x14ac:dyDescent="0.3">
      <c r="A126" t="s">
        <v>814</v>
      </c>
      <c r="B126" s="1" t="s">
        <v>815</v>
      </c>
      <c r="C126" s="1" t="s">
        <v>7</v>
      </c>
      <c r="D126" s="1" t="s">
        <v>614</v>
      </c>
      <c r="E126" s="3">
        <v>53145</v>
      </c>
      <c r="F126" s="1" t="str">
        <f>VLOOKUP(D126,Table17[[Name]:[Native]],3,FALSE)</f>
        <v>郓城县</v>
      </c>
      <c r="G126" s="14" t="str">
        <f ca="1">VLOOKUP(F126,Table17[[Native]:[Population4]],5,FALSE)</f>
        <v>菏泽市</v>
      </c>
    </row>
    <row r="127" spans="1:7" ht="15.75" thickBot="1" x14ac:dyDescent="0.3">
      <c r="A127" t="s">
        <v>816</v>
      </c>
      <c r="B127" s="1" t="s">
        <v>817</v>
      </c>
      <c r="C127" s="1" t="s">
        <v>13</v>
      </c>
      <c r="D127" s="1" t="s">
        <v>655</v>
      </c>
      <c r="E127" s="3">
        <v>35539</v>
      </c>
      <c r="F127" s="1" t="str">
        <f>VLOOKUP(D127,Table17[[Name]:[Native]],3,FALSE)</f>
        <v>巨野县</v>
      </c>
      <c r="G127" s="14" t="str">
        <f ca="1">VLOOKUP(F127,Table17[[Native]:[Population4]],5,FALSE)</f>
        <v>菏泽市</v>
      </c>
    </row>
    <row r="128" spans="1:7" ht="15.75" thickBot="1" x14ac:dyDescent="0.3">
      <c r="A128" t="s">
        <v>818</v>
      </c>
      <c r="B128" s="1" t="s">
        <v>819</v>
      </c>
      <c r="C128" s="1" t="s">
        <v>13</v>
      </c>
      <c r="D128" s="1" t="s">
        <v>575</v>
      </c>
      <c r="E128" s="3">
        <v>68842</v>
      </c>
      <c r="F128" s="1" t="str">
        <f>VLOOKUP(D128,Table17[[Name]:[Native]],3,FALSE)</f>
        <v>曹县</v>
      </c>
      <c r="G128" s="14" t="str">
        <f ca="1">VLOOKUP(F128,Table17[[Native]:[Population4]],5,FALSE)</f>
        <v>菏泽市</v>
      </c>
    </row>
    <row r="129" spans="1:7" ht="15.75" thickBot="1" x14ac:dyDescent="0.3">
      <c r="A129" t="s">
        <v>820</v>
      </c>
      <c r="B129" s="1" t="s">
        <v>821</v>
      </c>
      <c r="C129" s="1" t="s">
        <v>13</v>
      </c>
      <c r="D129" s="1" t="s">
        <v>655</v>
      </c>
      <c r="E129" s="3">
        <v>36651</v>
      </c>
      <c r="F129" s="1" t="str">
        <f>VLOOKUP(D129,Table17[[Name]:[Native]],3,FALSE)</f>
        <v>巨野县</v>
      </c>
      <c r="G129" s="14" t="str">
        <f ca="1">VLOOKUP(F129,Table17[[Native]:[Population4]],5,FALSE)</f>
        <v>菏泽市</v>
      </c>
    </row>
    <row r="130" spans="1:7" ht="15.75" thickBot="1" x14ac:dyDescent="0.3">
      <c r="A130" t="s">
        <v>822</v>
      </c>
      <c r="B130" s="1" t="s">
        <v>823</v>
      </c>
      <c r="C130" s="1" t="s">
        <v>7</v>
      </c>
      <c r="D130" s="1" t="s">
        <v>581</v>
      </c>
      <c r="E130" s="3">
        <v>56495</v>
      </c>
      <c r="F130" s="1" t="str">
        <f>VLOOKUP(D130,Table17[[Name]:[Native]],3,FALSE)</f>
        <v>定陶区</v>
      </c>
      <c r="G130" s="14" t="str">
        <f ca="1">VLOOKUP(F130,Table17[[Native]:[Population4]],5,FALSE)</f>
        <v>菏泽市</v>
      </c>
    </row>
    <row r="131" spans="1:7" ht="15.75" thickBot="1" x14ac:dyDescent="0.3">
      <c r="A131" t="s">
        <v>824</v>
      </c>
      <c r="B131" s="1" t="s">
        <v>825</v>
      </c>
      <c r="C131" s="1" t="s">
        <v>13</v>
      </c>
      <c r="D131" s="1" t="s">
        <v>655</v>
      </c>
      <c r="E131" s="3">
        <v>47030</v>
      </c>
      <c r="F131" s="1" t="str">
        <f>VLOOKUP(D131,Table17[[Name]:[Native]],3,FALSE)</f>
        <v>巨野县</v>
      </c>
      <c r="G131" s="14" t="str">
        <f ca="1">VLOOKUP(F131,Table17[[Native]:[Population4]],5,FALSE)</f>
        <v>菏泽市</v>
      </c>
    </row>
    <row r="132" spans="1:7" ht="15.75" thickBot="1" x14ac:dyDescent="0.3">
      <c r="A132" t="s">
        <v>826</v>
      </c>
      <c r="B132" s="1" t="s">
        <v>827</v>
      </c>
      <c r="C132" s="1" t="s">
        <v>13</v>
      </c>
      <c r="D132" s="1" t="s">
        <v>655</v>
      </c>
      <c r="E132" s="3">
        <v>59034</v>
      </c>
      <c r="F132" s="1" t="str">
        <f>VLOOKUP(D132,Table17[[Name]:[Native]],3,FALSE)</f>
        <v>巨野县</v>
      </c>
      <c r="G132" s="14" t="str">
        <f ca="1">VLOOKUP(F132,Table17[[Native]:[Population4]],5,FALSE)</f>
        <v>菏泽市</v>
      </c>
    </row>
    <row r="133" spans="1:7" ht="15.75" thickBot="1" x14ac:dyDescent="0.3">
      <c r="A133" t="s">
        <v>828</v>
      </c>
      <c r="B133" s="1" t="s">
        <v>829</v>
      </c>
      <c r="C133" s="1" t="s">
        <v>7</v>
      </c>
      <c r="D133" s="1" t="s">
        <v>578</v>
      </c>
      <c r="E133" s="3">
        <v>44537</v>
      </c>
      <c r="F133" s="1" t="str">
        <f>VLOOKUP(D133,Table17[[Name]:[Native]],3,FALSE)</f>
        <v>牡丹区</v>
      </c>
      <c r="G133" s="14" t="str">
        <f ca="1">VLOOKUP(F133,Table17[[Native]:[Population4]],5,FALSE)</f>
        <v>菏泽市</v>
      </c>
    </row>
    <row r="134" spans="1:7" ht="15.75" thickBot="1" x14ac:dyDescent="0.3">
      <c r="A134" t="s">
        <v>830</v>
      </c>
      <c r="B134" s="1" t="s">
        <v>831</v>
      </c>
      <c r="C134" s="1" t="s">
        <v>13</v>
      </c>
      <c r="D134" s="1" t="s">
        <v>578</v>
      </c>
      <c r="E134" s="3">
        <v>48230</v>
      </c>
      <c r="F134" s="1" t="str">
        <f>VLOOKUP(D134,Table17[[Name]:[Native]],3,FALSE)</f>
        <v>牡丹区</v>
      </c>
      <c r="G134" s="14" t="str">
        <f ca="1">VLOOKUP(F134,Table17[[Native]:[Population4]],5,FALSE)</f>
        <v>菏泽市</v>
      </c>
    </row>
    <row r="135" spans="1:7" ht="15.75" thickBot="1" x14ac:dyDescent="0.3">
      <c r="A135" t="s">
        <v>832</v>
      </c>
      <c r="B135" s="1" t="s">
        <v>833</v>
      </c>
      <c r="C135" s="1" t="s">
        <v>13</v>
      </c>
      <c r="D135" s="1" t="s">
        <v>575</v>
      </c>
      <c r="E135" s="3">
        <v>59661</v>
      </c>
      <c r="F135" s="1" t="str">
        <f>VLOOKUP(D135,Table17[[Name]:[Native]],3,FALSE)</f>
        <v>曹县</v>
      </c>
      <c r="G135" s="14" t="str">
        <f ca="1">VLOOKUP(F135,Table17[[Native]:[Population4]],5,FALSE)</f>
        <v>菏泽市</v>
      </c>
    </row>
    <row r="136" spans="1:7" ht="15.75" thickBot="1" x14ac:dyDescent="0.3">
      <c r="A136" t="s">
        <v>834</v>
      </c>
      <c r="B136" s="1" t="s">
        <v>835</v>
      </c>
      <c r="C136" s="1" t="s">
        <v>7</v>
      </c>
      <c r="D136" s="1" t="s">
        <v>617</v>
      </c>
      <c r="E136" s="3">
        <v>45436</v>
      </c>
      <c r="F136" s="1" t="str">
        <f>VLOOKUP(D136,Table17[[Name]:[Native]],3,FALSE)</f>
        <v>成武县</v>
      </c>
      <c r="G136" s="14" t="str">
        <f ca="1">VLOOKUP(F136,Table17[[Native]:[Population4]],5,FALSE)</f>
        <v>菏泽市</v>
      </c>
    </row>
    <row r="137" spans="1:7" ht="15.75" thickBot="1" x14ac:dyDescent="0.3">
      <c r="A137" t="s">
        <v>836</v>
      </c>
      <c r="B137" s="1" t="s">
        <v>837</v>
      </c>
      <c r="C137" s="1" t="s">
        <v>13</v>
      </c>
      <c r="D137" s="1" t="s">
        <v>614</v>
      </c>
      <c r="E137" s="3">
        <v>63645</v>
      </c>
      <c r="F137" s="1" t="str">
        <f>VLOOKUP(D137,Table17[[Name]:[Native]],3,FALSE)</f>
        <v>郓城县</v>
      </c>
      <c r="G137" s="14" t="str">
        <f ca="1">VLOOKUP(F137,Table17[[Native]:[Population4]],5,FALSE)</f>
        <v>菏泽市</v>
      </c>
    </row>
    <row r="138" spans="1:7" ht="15.75" thickBot="1" x14ac:dyDescent="0.3">
      <c r="A138" t="s">
        <v>838</v>
      </c>
      <c r="B138" s="1" t="s">
        <v>839</v>
      </c>
      <c r="C138" s="1" t="s">
        <v>13</v>
      </c>
      <c r="D138" s="1" t="s">
        <v>578</v>
      </c>
      <c r="E138" s="3">
        <v>48570</v>
      </c>
      <c r="F138" s="1" t="str">
        <f>VLOOKUP(D138,Table17[[Name]:[Native]],3,FALSE)</f>
        <v>牡丹区</v>
      </c>
      <c r="G138" s="14" t="str">
        <f ca="1">VLOOKUP(F138,Table17[[Native]:[Population4]],5,FALSE)</f>
        <v>菏泽市</v>
      </c>
    </row>
    <row r="139" spans="1:7" ht="15.75" thickBot="1" x14ac:dyDescent="0.3">
      <c r="A139" t="s">
        <v>840</v>
      </c>
      <c r="B139" s="1" t="s">
        <v>841</v>
      </c>
      <c r="C139" s="1" t="s">
        <v>13</v>
      </c>
      <c r="D139" s="1" t="s">
        <v>589</v>
      </c>
      <c r="E139" s="3">
        <v>43812</v>
      </c>
      <c r="F139" s="1" t="str">
        <f>VLOOKUP(D139,Table17[[Name]:[Native]],3,FALSE)</f>
        <v>东明县</v>
      </c>
      <c r="G139" s="14" t="str">
        <f ca="1">VLOOKUP(F139,Table17[[Native]:[Population4]],5,FALSE)</f>
        <v>菏泽市</v>
      </c>
    </row>
    <row r="140" spans="1:7" ht="15.75" thickBot="1" x14ac:dyDescent="0.3">
      <c r="A140" t="s">
        <v>842</v>
      </c>
      <c r="B140" s="1" t="s">
        <v>843</v>
      </c>
      <c r="C140" s="1" t="s">
        <v>13</v>
      </c>
      <c r="D140" s="1" t="s">
        <v>589</v>
      </c>
      <c r="E140" s="3">
        <v>45131</v>
      </c>
      <c r="F140" s="1" t="str">
        <f>VLOOKUP(D140,Table17[[Name]:[Native]],3,FALSE)</f>
        <v>东明县</v>
      </c>
      <c r="G140" s="14" t="str">
        <f ca="1">VLOOKUP(F140,Table17[[Native]:[Population4]],5,FALSE)</f>
        <v>菏泽市</v>
      </c>
    </row>
    <row r="141" spans="1:7" ht="15.75" thickBot="1" x14ac:dyDescent="0.3">
      <c r="A141" t="s">
        <v>844</v>
      </c>
      <c r="B141" s="1" t="s">
        <v>845</v>
      </c>
      <c r="C141" s="1" t="s">
        <v>13</v>
      </c>
      <c r="D141" s="1" t="s">
        <v>578</v>
      </c>
      <c r="E141" s="3">
        <v>47600</v>
      </c>
      <c r="F141" s="1" t="str">
        <f>VLOOKUP(D141,Table17[[Name]:[Native]],3,FALSE)</f>
        <v>牡丹区</v>
      </c>
      <c r="G141" s="14" t="str">
        <f ca="1">VLOOKUP(F141,Table17[[Native]:[Population4]],5,FALSE)</f>
        <v>菏泽市</v>
      </c>
    </row>
    <row r="142" spans="1:7" ht="15.75" thickBot="1" x14ac:dyDescent="0.3">
      <c r="A142" t="s">
        <v>846</v>
      </c>
      <c r="B142" s="1" t="s">
        <v>847</v>
      </c>
      <c r="C142" s="1" t="s">
        <v>7</v>
      </c>
      <c r="D142" s="1" t="s">
        <v>578</v>
      </c>
      <c r="E142" s="3">
        <v>58131</v>
      </c>
      <c r="F142" s="1" t="str">
        <f>VLOOKUP(D142,Table17[[Name]:[Native]],3,FALSE)</f>
        <v>牡丹区</v>
      </c>
      <c r="G142" s="14" t="str">
        <f ca="1">VLOOKUP(F142,Table17[[Native]:[Population4]],5,FALSE)</f>
        <v>菏泽市</v>
      </c>
    </row>
    <row r="143" spans="1:7" ht="15.75" thickBot="1" x14ac:dyDescent="0.3">
      <c r="A143" t="s">
        <v>848</v>
      </c>
      <c r="B143" s="1" t="s">
        <v>849</v>
      </c>
      <c r="C143" s="1" t="s">
        <v>13</v>
      </c>
      <c r="D143" s="1" t="s">
        <v>582</v>
      </c>
      <c r="E143" s="3">
        <v>51957</v>
      </c>
      <c r="F143" s="1" t="str">
        <f>VLOOKUP(D143,Table17[[Name]:[Native]],3,FALSE)</f>
        <v>单县</v>
      </c>
      <c r="G143" s="14" t="str">
        <f ca="1">VLOOKUP(F143,Table17[[Native]:[Population4]],5,FALSE)</f>
        <v>菏泽市</v>
      </c>
    </row>
    <row r="144" spans="1:7" ht="15.75" thickBot="1" x14ac:dyDescent="0.3">
      <c r="A144" t="s">
        <v>850</v>
      </c>
      <c r="B144" s="1" t="s">
        <v>851</v>
      </c>
      <c r="C144" s="1" t="s">
        <v>13</v>
      </c>
      <c r="D144" s="1" t="s">
        <v>582</v>
      </c>
      <c r="E144" s="3">
        <v>58053</v>
      </c>
      <c r="F144" s="1" t="str">
        <f>VLOOKUP(D144,Table17[[Name]:[Native]],3,FALSE)</f>
        <v>单县</v>
      </c>
      <c r="G144" s="14" t="str">
        <f ca="1">VLOOKUP(F144,Table17[[Native]:[Population4]],5,FALSE)</f>
        <v>菏泽市</v>
      </c>
    </row>
    <row r="145" spans="1:7" ht="15.75" thickBot="1" x14ac:dyDescent="0.3">
      <c r="A145" t="s">
        <v>852</v>
      </c>
      <c r="B145" s="1" t="s">
        <v>853</v>
      </c>
      <c r="C145" s="1" t="s">
        <v>13</v>
      </c>
      <c r="D145" s="1" t="s">
        <v>575</v>
      </c>
      <c r="E145" s="3">
        <v>48146</v>
      </c>
      <c r="F145" s="1" t="str">
        <f>VLOOKUP(D145,Table17[[Name]:[Native]],3,FALSE)</f>
        <v>曹县</v>
      </c>
      <c r="G145" s="14" t="str">
        <f ca="1">VLOOKUP(F145,Table17[[Native]:[Population4]],5,FALSE)</f>
        <v>菏泽市</v>
      </c>
    </row>
    <row r="146" spans="1:7" ht="15.75" thickBot="1" x14ac:dyDescent="0.3">
      <c r="A146" t="s">
        <v>854</v>
      </c>
      <c r="B146" s="1" t="s">
        <v>855</v>
      </c>
      <c r="C146" s="1" t="s">
        <v>13</v>
      </c>
      <c r="D146" s="1" t="s">
        <v>582</v>
      </c>
      <c r="E146" s="3">
        <v>43436</v>
      </c>
      <c r="F146" s="1" t="str">
        <f>VLOOKUP(D146,Table17[[Name]:[Native]],3,FALSE)</f>
        <v>单县</v>
      </c>
      <c r="G146" s="14" t="str">
        <f ca="1">VLOOKUP(F146,Table17[[Native]:[Population4]],5,FALSE)</f>
        <v>菏泽市</v>
      </c>
    </row>
    <row r="147" spans="1:7" ht="15.75" thickBot="1" x14ac:dyDescent="0.3">
      <c r="A147" t="s">
        <v>856</v>
      </c>
      <c r="B147" s="1" t="s">
        <v>857</v>
      </c>
      <c r="C147" s="1" t="s">
        <v>13</v>
      </c>
      <c r="D147" s="1" t="s">
        <v>614</v>
      </c>
      <c r="E147" s="3">
        <v>50045</v>
      </c>
      <c r="F147" s="1" t="str">
        <f>VLOOKUP(D147,Table17[[Name]:[Native]],3,FALSE)</f>
        <v>郓城县</v>
      </c>
      <c r="G147" s="14" t="str">
        <f ca="1">VLOOKUP(F147,Table17[[Native]:[Population4]],5,FALSE)</f>
        <v>菏泽市</v>
      </c>
    </row>
    <row r="148" spans="1:7" ht="15.75" thickBot="1" x14ac:dyDescent="0.3">
      <c r="A148" t="s">
        <v>858</v>
      </c>
      <c r="B148" s="1" t="s">
        <v>859</v>
      </c>
      <c r="C148" s="1" t="s">
        <v>13</v>
      </c>
      <c r="D148" s="1" t="s">
        <v>644</v>
      </c>
      <c r="E148" s="3">
        <v>49418</v>
      </c>
      <c r="F148" s="1" t="str">
        <f>VLOOKUP(D148,Table17[[Name]:[Native]],3,FALSE)</f>
        <v>鄄城县</v>
      </c>
      <c r="G148" s="14" t="str">
        <f ca="1">VLOOKUP(F148,Table17[[Native]:[Population4]],5,FALSE)</f>
        <v>菏泽市</v>
      </c>
    </row>
    <row r="149" spans="1:7" ht="15.75" thickBot="1" x14ac:dyDescent="0.3">
      <c r="A149" t="s">
        <v>860</v>
      </c>
      <c r="B149" s="1" t="s">
        <v>861</v>
      </c>
      <c r="C149" s="1" t="s">
        <v>13</v>
      </c>
      <c r="D149" s="1" t="s">
        <v>655</v>
      </c>
      <c r="E149" s="3">
        <v>33448</v>
      </c>
      <c r="F149" s="1" t="str">
        <f>VLOOKUP(D149,Table17[[Name]:[Native]],3,FALSE)</f>
        <v>巨野县</v>
      </c>
      <c r="G149" s="14" t="str">
        <f ca="1">VLOOKUP(F149,Table17[[Native]:[Population4]],5,FALSE)</f>
        <v>菏泽市</v>
      </c>
    </row>
    <row r="150" spans="1:7" ht="15.75" thickBot="1" x14ac:dyDescent="0.3">
      <c r="A150" t="s">
        <v>862</v>
      </c>
      <c r="B150" s="1" t="s">
        <v>863</v>
      </c>
      <c r="C150" s="1" t="s">
        <v>13</v>
      </c>
      <c r="D150" s="1" t="s">
        <v>644</v>
      </c>
      <c r="E150" s="3">
        <v>27608</v>
      </c>
      <c r="F150" s="1" t="str">
        <f>VLOOKUP(D150,Table17[[Name]:[Native]],3,FALSE)</f>
        <v>鄄城县</v>
      </c>
      <c r="G150" s="14" t="str">
        <f ca="1">VLOOKUP(F150,Table17[[Native]:[Population4]],5,FALSE)</f>
        <v>菏泽市</v>
      </c>
    </row>
    <row r="151" spans="1:7" ht="15.75" thickBot="1" x14ac:dyDescent="0.3">
      <c r="A151" t="s">
        <v>864</v>
      </c>
      <c r="B151" s="1" t="s">
        <v>865</v>
      </c>
      <c r="C151" s="1" t="s">
        <v>7</v>
      </c>
      <c r="D151" s="1" t="s">
        <v>617</v>
      </c>
      <c r="E151" s="3">
        <v>58572</v>
      </c>
      <c r="F151" s="1" t="str">
        <f>VLOOKUP(D151,Table17[[Name]:[Native]],3,FALSE)</f>
        <v>成武县</v>
      </c>
      <c r="G151" s="14" t="str">
        <f ca="1">VLOOKUP(F151,Table17[[Native]:[Population4]],5,FALSE)</f>
        <v>菏泽市</v>
      </c>
    </row>
    <row r="152" spans="1:7" ht="15.75" thickBot="1" x14ac:dyDescent="0.3">
      <c r="A152" t="s">
        <v>866</v>
      </c>
      <c r="B152" s="1" t="s">
        <v>867</v>
      </c>
      <c r="C152" s="1" t="s">
        <v>7</v>
      </c>
      <c r="D152" s="1" t="s">
        <v>655</v>
      </c>
      <c r="E152" s="3">
        <v>92118</v>
      </c>
      <c r="F152" s="1" t="str">
        <f>VLOOKUP(D152,Table17[[Name]:[Native]],3,FALSE)</f>
        <v>巨野县</v>
      </c>
      <c r="G152" s="14" t="str">
        <f ca="1">VLOOKUP(F152,Table17[[Native]:[Population4]],5,FALSE)</f>
        <v>菏泽市</v>
      </c>
    </row>
    <row r="153" spans="1:7" ht="15.75" thickBot="1" x14ac:dyDescent="0.3">
      <c r="A153" t="s">
        <v>868</v>
      </c>
      <c r="B153" s="1" t="s">
        <v>869</v>
      </c>
      <c r="C153" s="1" t="s">
        <v>7</v>
      </c>
      <c r="D153" s="1" t="s">
        <v>582</v>
      </c>
      <c r="E153" s="3">
        <v>44809</v>
      </c>
      <c r="F153" s="1" t="str">
        <f>VLOOKUP(D153,Table17[[Name]:[Native]],3,FALSE)</f>
        <v>单县</v>
      </c>
      <c r="G153" s="14" t="str">
        <f ca="1">VLOOKUP(F153,Table17[[Native]:[Population4]],5,FALSE)</f>
        <v>菏泽市</v>
      </c>
    </row>
    <row r="154" spans="1:7" ht="15.75" thickBot="1" x14ac:dyDescent="0.3">
      <c r="A154" t="s">
        <v>870</v>
      </c>
      <c r="B154" s="1" t="s">
        <v>871</v>
      </c>
      <c r="C154" s="1" t="s">
        <v>7</v>
      </c>
      <c r="D154" s="1" t="s">
        <v>578</v>
      </c>
      <c r="E154" s="3">
        <v>58944</v>
      </c>
      <c r="F154" s="1" t="str">
        <f>VLOOKUP(D154,Table17[[Name]:[Native]],3,FALSE)</f>
        <v>牡丹区</v>
      </c>
      <c r="G154" s="14" t="str">
        <f ca="1">VLOOKUP(F154,Table17[[Native]:[Population4]],5,FALSE)</f>
        <v>菏泽市</v>
      </c>
    </row>
    <row r="155" spans="1:7" ht="15.75" thickBot="1" x14ac:dyDescent="0.3">
      <c r="A155" t="s">
        <v>872</v>
      </c>
      <c r="B155" s="1" t="s">
        <v>873</v>
      </c>
      <c r="C155" s="1" t="s">
        <v>13</v>
      </c>
      <c r="D155" s="1" t="s">
        <v>614</v>
      </c>
      <c r="E155" s="3">
        <v>46709</v>
      </c>
      <c r="F155" s="1" t="str">
        <f>VLOOKUP(D155,Table17[[Name]:[Native]],3,FALSE)</f>
        <v>郓城县</v>
      </c>
      <c r="G155" s="14" t="str">
        <f ca="1">VLOOKUP(F155,Table17[[Native]:[Population4]],5,FALSE)</f>
        <v>菏泽市</v>
      </c>
    </row>
    <row r="156" spans="1:7" ht="15.75" thickBot="1" x14ac:dyDescent="0.3">
      <c r="A156" t="s">
        <v>874</v>
      </c>
      <c r="B156" s="1" t="s">
        <v>875</v>
      </c>
      <c r="C156" s="1" t="s">
        <v>7</v>
      </c>
      <c r="D156" s="1" t="s">
        <v>614</v>
      </c>
      <c r="E156" s="3">
        <v>132736</v>
      </c>
      <c r="F156" s="1" t="str">
        <f>VLOOKUP(D156,Table17[[Name]:[Native]],3,FALSE)</f>
        <v>郓城县</v>
      </c>
      <c r="G156" s="14" t="str">
        <f ca="1">VLOOKUP(F156,Table17[[Native]:[Population4]],5,FALSE)</f>
        <v>菏泽市</v>
      </c>
    </row>
    <row r="157" spans="1:7" ht="15.75" thickBot="1" x14ac:dyDescent="0.3">
      <c r="A157" t="s">
        <v>876</v>
      </c>
      <c r="B157" s="1" t="s">
        <v>877</v>
      </c>
      <c r="C157" s="1" t="s">
        <v>7</v>
      </c>
      <c r="D157" s="1" t="s">
        <v>589</v>
      </c>
      <c r="E157" s="3">
        <v>35718</v>
      </c>
      <c r="F157" s="1" t="str">
        <f>VLOOKUP(D157,Table17[[Name]:[Native]],3,FALSE)</f>
        <v>东明县</v>
      </c>
      <c r="G157" s="14" t="str">
        <f ca="1">VLOOKUP(F157,Table17[[Native]:[Population4]],5,FALSE)</f>
        <v>菏泽市</v>
      </c>
    </row>
    <row r="158" spans="1:7" ht="15.75" thickBot="1" x14ac:dyDescent="0.3">
      <c r="A158" t="s">
        <v>878</v>
      </c>
      <c r="B158" s="1" t="s">
        <v>879</v>
      </c>
      <c r="C158" s="1" t="s">
        <v>13</v>
      </c>
      <c r="D158" s="1" t="s">
        <v>655</v>
      </c>
      <c r="E158" s="3">
        <v>35603</v>
      </c>
      <c r="F158" s="1" t="str">
        <f>VLOOKUP(D158,Table17[[Name]:[Native]],3,FALSE)</f>
        <v>巨野县</v>
      </c>
      <c r="G158" s="14" t="str">
        <f ca="1">VLOOKUP(F158,Table17[[Native]:[Population4]],5,FALSE)</f>
        <v>菏泽市</v>
      </c>
    </row>
    <row r="159" spans="1:7" ht="15.75" thickBot="1" x14ac:dyDescent="0.3">
      <c r="A159" t="s">
        <v>880</v>
      </c>
      <c r="B159" s="1" t="s">
        <v>881</v>
      </c>
      <c r="C159" s="1" t="s">
        <v>13</v>
      </c>
      <c r="D159" s="1" t="s">
        <v>582</v>
      </c>
      <c r="E159" s="3">
        <v>40655</v>
      </c>
      <c r="F159" s="1" t="str">
        <f>VLOOKUP(D159,Table17[[Name]:[Native]],3,FALSE)</f>
        <v>单县</v>
      </c>
      <c r="G159" s="14" t="str">
        <f ca="1">VLOOKUP(F159,Table17[[Native]:[Population4]],5,FALSE)</f>
        <v>菏泽市</v>
      </c>
    </row>
    <row r="160" spans="1:7" ht="15.75" thickBot="1" x14ac:dyDescent="0.3">
      <c r="A160" t="s">
        <v>882</v>
      </c>
      <c r="B160" s="1" t="s">
        <v>883</v>
      </c>
      <c r="C160" s="1" t="s">
        <v>13</v>
      </c>
      <c r="D160" s="1" t="s">
        <v>614</v>
      </c>
      <c r="E160" s="3">
        <v>32239</v>
      </c>
      <c r="F160" s="1" t="str">
        <f>VLOOKUP(D160,Table17[[Name]:[Native]],3,FALSE)</f>
        <v>郓城县</v>
      </c>
      <c r="G160" s="14" t="str">
        <f ca="1">VLOOKUP(F160,Table17[[Native]:[Population4]],5,FALSE)</f>
        <v>菏泽市</v>
      </c>
    </row>
    <row r="161" spans="1:7" ht="15.75" thickBot="1" x14ac:dyDescent="0.3">
      <c r="A161" t="s">
        <v>884</v>
      </c>
      <c r="B161" s="1" t="s">
        <v>885</v>
      </c>
      <c r="C161" s="1" t="s">
        <v>13</v>
      </c>
      <c r="D161" s="1" t="s">
        <v>581</v>
      </c>
      <c r="E161" s="3">
        <v>44975</v>
      </c>
      <c r="F161" s="1" t="str">
        <f>VLOOKUP(D161,Table17[[Name]:[Native]],3,FALSE)</f>
        <v>定陶区</v>
      </c>
      <c r="G161" s="14" t="str">
        <f ca="1">VLOOKUP(F161,Table17[[Native]:[Population4]],5,FALSE)</f>
        <v>菏泽市</v>
      </c>
    </row>
    <row r="162" spans="1:7" ht="15.75" thickBot="1" x14ac:dyDescent="0.3">
      <c r="A162" t="s">
        <v>886</v>
      </c>
      <c r="B162" s="1" t="s">
        <v>887</v>
      </c>
      <c r="C162" s="1" t="s">
        <v>7</v>
      </c>
      <c r="D162" s="1" t="s">
        <v>614</v>
      </c>
      <c r="E162" s="3">
        <v>52220</v>
      </c>
      <c r="F162" s="1" t="str">
        <f>VLOOKUP(D162,Table17[[Name]:[Native]],3,FALSE)</f>
        <v>郓城县</v>
      </c>
      <c r="G162" s="14" t="str">
        <f ca="1">VLOOKUP(F162,Table17[[Native]:[Population4]],5,FALSE)</f>
        <v>菏泽市</v>
      </c>
    </row>
    <row r="163" spans="1:7" ht="15.75" thickBot="1" x14ac:dyDescent="0.3">
      <c r="A163" t="s">
        <v>888</v>
      </c>
      <c r="B163" s="1" t="s">
        <v>889</v>
      </c>
      <c r="C163" s="1" t="s">
        <v>13</v>
      </c>
      <c r="D163" s="1" t="s">
        <v>644</v>
      </c>
      <c r="E163" s="3">
        <v>50446</v>
      </c>
      <c r="F163" s="1" t="str">
        <f>VLOOKUP(D163,Table17[[Name]:[Native]],3,FALSE)</f>
        <v>鄄城县</v>
      </c>
      <c r="G163" s="14" t="str">
        <f ca="1">VLOOKUP(F163,Table17[[Native]:[Population4]],5,FALSE)</f>
        <v>菏泽市</v>
      </c>
    </row>
    <row r="164" spans="1:7" ht="15.75" thickBot="1" x14ac:dyDescent="0.3">
      <c r="A164" t="s">
        <v>890</v>
      </c>
      <c r="B164" s="1" t="s">
        <v>891</v>
      </c>
      <c r="C164" s="1" t="s">
        <v>7</v>
      </c>
      <c r="D164" s="1" t="s">
        <v>575</v>
      </c>
      <c r="E164" s="3">
        <v>50728</v>
      </c>
      <c r="F164" s="1" t="str">
        <f>VLOOKUP(D164,Table17[[Name]:[Native]],3,FALSE)</f>
        <v>曹县</v>
      </c>
      <c r="G164" s="14" t="str">
        <f ca="1">VLOOKUP(F164,Table17[[Native]:[Population4]],5,FALSE)</f>
        <v>菏泽市</v>
      </c>
    </row>
    <row r="165" spans="1:7" ht="15.75" thickBot="1" x14ac:dyDescent="0.3">
      <c r="A165" t="s">
        <v>892</v>
      </c>
      <c r="B165" s="1" t="s">
        <v>893</v>
      </c>
      <c r="C165" s="1" t="s">
        <v>13</v>
      </c>
      <c r="D165" s="1" t="s">
        <v>582</v>
      </c>
      <c r="E165" s="3">
        <v>65959</v>
      </c>
      <c r="F165" s="1" t="str">
        <f>VLOOKUP(D165,Table17[[Name]:[Native]],3,FALSE)</f>
        <v>单县</v>
      </c>
      <c r="G165" s="14" t="str">
        <f ca="1">VLOOKUP(F165,Table17[[Native]:[Population4]],5,FALSE)</f>
        <v>菏泽市</v>
      </c>
    </row>
    <row r="166" spans="1:7" ht="15.75" thickBot="1" x14ac:dyDescent="0.3">
      <c r="A166" t="s">
        <v>894</v>
      </c>
      <c r="B166" s="1" t="s">
        <v>895</v>
      </c>
      <c r="C166" s="1" t="s">
        <v>13</v>
      </c>
      <c r="D166" s="1" t="s">
        <v>575</v>
      </c>
      <c r="E166" s="3">
        <v>68544</v>
      </c>
      <c r="F166" s="1" t="str">
        <f>VLOOKUP(D166,Table17[[Name]:[Native]],3,FALSE)</f>
        <v>曹县</v>
      </c>
      <c r="G166" s="14" t="str">
        <f ca="1">VLOOKUP(F166,Table17[[Native]:[Population4]],5,FALSE)</f>
        <v>菏泽市</v>
      </c>
    </row>
    <row r="167" spans="1:7" ht="15.75" thickBot="1" x14ac:dyDescent="0.3">
      <c r="A167" t="s">
        <v>896</v>
      </c>
      <c r="B167" s="1" t="s">
        <v>897</v>
      </c>
      <c r="C167" s="1" t="s">
        <v>13</v>
      </c>
      <c r="D167" s="1" t="s">
        <v>575</v>
      </c>
      <c r="E167" s="3">
        <v>32359</v>
      </c>
      <c r="F167" s="1" t="str">
        <f>VLOOKUP(D167,Table17[[Name]:[Native]],3,FALSE)</f>
        <v>曹县</v>
      </c>
      <c r="G167" s="14" t="str">
        <f ca="1">VLOOKUP(F167,Table17[[Native]:[Population4]],5,FALSE)</f>
        <v>菏泽市</v>
      </c>
    </row>
    <row r="168" spans="1:7" ht="15.75" thickBot="1" x14ac:dyDescent="0.3">
      <c r="A168" t="s">
        <v>465</v>
      </c>
      <c r="B168" s="1" t="s">
        <v>466</v>
      </c>
      <c r="C168" s="1" t="s">
        <v>13</v>
      </c>
      <c r="D168" s="1" t="s">
        <v>582</v>
      </c>
      <c r="E168" s="3">
        <v>28454</v>
      </c>
      <c r="F168" s="1" t="str">
        <f>VLOOKUP(D168,Table17[[Name]:[Native]],3,FALSE)</f>
        <v>单县</v>
      </c>
      <c r="G168" s="14" t="str">
        <f ca="1">VLOOKUP(F168,Table17[[Native]:[Population4]],5,FALSE)</f>
        <v>菏泽市</v>
      </c>
    </row>
    <row r="169" spans="1:7" ht="15.75" thickBot="1" x14ac:dyDescent="0.3">
      <c r="A169" t="s">
        <v>898</v>
      </c>
      <c r="B169" s="1" t="s">
        <v>899</v>
      </c>
      <c r="C169" s="1" t="s">
        <v>13</v>
      </c>
      <c r="D169" s="1" t="s">
        <v>644</v>
      </c>
      <c r="E169" s="3">
        <v>40220</v>
      </c>
      <c r="F169" s="10" t="str">
        <f>VLOOKUP(D169,Table17[[Name]:[Native]],3,FALSE)</f>
        <v>鄄城县</v>
      </c>
      <c r="G169" s="14" t="str">
        <f ca="1">VLOOKUP(F169,Table17[[Native]:[Population4]],5,FALSE)</f>
        <v>菏泽市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D2E9-4435-4D95-8EBF-80B249BC029E}">
  <dimension ref="A1:G162"/>
  <sheetViews>
    <sheetView topLeftCell="A69" workbookViewId="0">
      <selection activeCell="F11" sqref="F1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900</v>
      </c>
      <c r="B2" s="1" t="s">
        <v>901</v>
      </c>
      <c r="C2" s="1" t="s">
        <v>7</v>
      </c>
      <c r="D2" s="1" t="s">
        <v>902</v>
      </c>
      <c r="E2" s="3">
        <v>80813</v>
      </c>
      <c r="F2" s="9" t="str">
        <f>VLOOKUP(D2,Table17[[Name]:[Native]],3,FALSE)</f>
        <v>钢城区</v>
      </c>
      <c r="G2" s="14" t="str">
        <f ca="1">VLOOKUP(F2,Table17[[Native]:[Population4]],5,FALSE)</f>
        <v>济南市</v>
      </c>
    </row>
    <row r="3" spans="1:7" ht="15.75" thickBot="1" x14ac:dyDescent="0.3">
      <c r="A3" t="s">
        <v>903</v>
      </c>
      <c r="B3" s="1" t="s">
        <v>904</v>
      </c>
      <c r="C3" s="1" t="s">
        <v>13</v>
      </c>
      <c r="D3" s="1" t="s">
        <v>905</v>
      </c>
      <c r="E3" s="3">
        <v>32716</v>
      </c>
      <c r="F3" s="1" t="str">
        <f>VLOOKUP(D3,Table17[[Name]:[Native]],3,FALSE)</f>
        <v>平阴县</v>
      </c>
      <c r="G3" s="14" t="str">
        <f ca="1">VLOOKUP(F3,Table17[[Native]:[Population4]],5,FALSE)</f>
        <v>济南市</v>
      </c>
    </row>
    <row r="4" spans="1:7" ht="15.75" thickBot="1" x14ac:dyDescent="0.3">
      <c r="A4" t="s">
        <v>906</v>
      </c>
      <c r="B4" s="1" t="s">
        <v>907</v>
      </c>
      <c r="C4" s="1" t="s">
        <v>7</v>
      </c>
      <c r="D4" s="1" t="s">
        <v>908</v>
      </c>
      <c r="E4" s="3">
        <v>55977</v>
      </c>
      <c r="F4" s="1" t="str">
        <f>VLOOKUP(D4,Table17[[Name]:[Native]],3,FALSE)</f>
        <v>市中区</v>
      </c>
      <c r="G4" s="14" t="str">
        <f ca="1">VLOOKUP(F4,Table17[[Native]:[Population4]],5,FALSE)</f>
        <v>济南市</v>
      </c>
    </row>
    <row r="5" spans="1:7" ht="15.75" thickBot="1" x14ac:dyDescent="0.3">
      <c r="A5" t="s">
        <v>909</v>
      </c>
      <c r="B5" s="1" t="s">
        <v>910</v>
      </c>
      <c r="C5" s="1" t="s">
        <v>13</v>
      </c>
      <c r="D5" s="1" t="s">
        <v>911</v>
      </c>
      <c r="E5" s="3">
        <v>44996</v>
      </c>
      <c r="F5" s="1" t="str">
        <f>VLOOKUP(D5,Table17[[Name]:[Native]],3,FALSE)</f>
        <v>商河县</v>
      </c>
      <c r="G5" s="14" t="str">
        <f ca="1">VLOOKUP(F5,Table17[[Native]:[Population4]],5,FALSE)</f>
        <v>济南市</v>
      </c>
    </row>
    <row r="6" spans="1:7" ht="15.75" thickBot="1" x14ac:dyDescent="0.3">
      <c r="A6" t="s">
        <v>912</v>
      </c>
      <c r="B6" s="1" t="s">
        <v>913</v>
      </c>
      <c r="C6" s="1" t="s">
        <v>7</v>
      </c>
      <c r="D6" s="1" t="s">
        <v>914</v>
      </c>
      <c r="E6" s="3">
        <v>33315</v>
      </c>
      <c r="F6" s="1" t="str">
        <f>VLOOKUP(D6,Table17[[Name]:[Native]],3,FALSE)</f>
        <v>章丘区</v>
      </c>
      <c r="G6" s="14" t="str">
        <f ca="1">VLOOKUP(F6,Table17[[Native]:[Population4]],5,FALSE)</f>
        <v>济南市</v>
      </c>
    </row>
    <row r="7" spans="1:7" ht="15.75" thickBot="1" x14ac:dyDescent="0.3">
      <c r="A7" t="s">
        <v>915</v>
      </c>
      <c r="B7" s="1" t="s">
        <v>916</v>
      </c>
      <c r="C7" s="1" t="s">
        <v>7</v>
      </c>
      <c r="D7" s="1" t="s">
        <v>917</v>
      </c>
      <c r="E7" s="3">
        <v>6580</v>
      </c>
      <c r="F7" s="1" t="str">
        <f>VLOOKUP(D7,Table17[[Name]:[Native]],3,FALSE)</f>
        <v>天桥区</v>
      </c>
      <c r="G7" s="14" t="str">
        <f ca="1">VLOOKUP(F7,Table17[[Native]:[Population4]],5,FALSE)</f>
        <v>济南市</v>
      </c>
    </row>
    <row r="8" spans="1:7" ht="15.75" thickBot="1" x14ac:dyDescent="0.3">
      <c r="A8" t="s">
        <v>918</v>
      </c>
      <c r="B8" s="1" t="s">
        <v>919</v>
      </c>
      <c r="C8" s="1" t="s">
        <v>7</v>
      </c>
      <c r="D8" s="1" t="s">
        <v>920</v>
      </c>
      <c r="E8" s="3">
        <v>80175</v>
      </c>
      <c r="F8" s="1" t="str">
        <f>VLOOKUP(D8,Table17[[Name]:[Native]],3,FALSE)</f>
        <v>历城区</v>
      </c>
      <c r="G8" s="14" t="str">
        <f ca="1">VLOOKUP(F8,Table17[[Native]:[Population4]],5,FALSE)</f>
        <v>济南市</v>
      </c>
    </row>
    <row r="9" spans="1:7" ht="15.75" thickBot="1" x14ac:dyDescent="0.3">
      <c r="A9" t="s">
        <v>921</v>
      </c>
      <c r="B9" s="1" t="s">
        <v>922</v>
      </c>
      <c r="C9" s="1" t="s">
        <v>7</v>
      </c>
      <c r="D9" s="1" t="s">
        <v>923</v>
      </c>
      <c r="E9" s="3">
        <v>53874</v>
      </c>
      <c r="F9" s="1" t="str">
        <f>VLOOKUP(D9,Table17[[Name]:[Native]],3,FALSE)</f>
        <v>历下区</v>
      </c>
      <c r="G9" s="14" t="str">
        <f ca="1">VLOOKUP(F9,Table17[[Native]:[Population4]],5,FALSE)</f>
        <v>济南市</v>
      </c>
    </row>
    <row r="10" spans="1:7" ht="15.75" thickBot="1" x14ac:dyDescent="0.3">
      <c r="A10" t="s">
        <v>924</v>
      </c>
      <c r="B10" s="1" t="s">
        <v>925</v>
      </c>
      <c r="C10" s="1" t="s">
        <v>7</v>
      </c>
      <c r="D10" s="1" t="s">
        <v>917</v>
      </c>
      <c r="E10" s="3">
        <v>26622</v>
      </c>
      <c r="F10" s="1" t="str">
        <f>VLOOKUP(D10,Table17[[Name]:[Native]],3,FALSE)</f>
        <v>天桥区</v>
      </c>
      <c r="G10" s="14" t="str">
        <f ca="1">VLOOKUP(F10,Table17[[Native]:[Population4]],5,FALSE)</f>
        <v>济南市</v>
      </c>
    </row>
    <row r="11" spans="1:7" ht="15.75" thickBot="1" x14ac:dyDescent="0.3">
      <c r="A11" t="s">
        <v>926</v>
      </c>
      <c r="B11" s="1" t="s">
        <v>927</v>
      </c>
      <c r="C11" s="1" t="s">
        <v>7</v>
      </c>
      <c r="D11" s="1" t="s">
        <v>917</v>
      </c>
      <c r="E11" s="3">
        <v>15209</v>
      </c>
      <c r="F11" s="1" t="str">
        <f>VLOOKUP(D11,Table17[[Name]:[Native]],3,FALSE)</f>
        <v>天桥区</v>
      </c>
      <c r="G11" s="14" t="str">
        <f ca="1">VLOOKUP(F11,Table17[[Native]:[Population4]],5,FALSE)</f>
        <v>济南市</v>
      </c>
    </row>
    <row r="12" spans="1:7" ht="15.75" thickBot="1" x14ac:dyDescent="0.3">
      <c r="A12" t="s">
        <v>928</v>
      </c>
      <c r="B12" s="1" t="s">
        <v>929</v>
      </c>
      <c r="C12" s="1" t="s">
        <v>7</v>
      </c>
      <c r="D12" s="1" t="s">
        <v>917</v>
      </c>
      <c r="E12" s="3">
        <v>205191</v>
      </c>
      <c r="F12" s="1" t="str">
        <f>VLOOKUP(D12,Table17[[Name]:[Native]],3,FALSE)</f>
        <v>天桥区</v>
      </c>
      <c r="G12" s="14" t="str">
        <f ca="1">VLOOKUP(F12,Table17[[Native]:[Population4]],5,FALSE)</f>
        <v>济南市</v>
      </c>
    </row>
    <row r="13" spans="1:7" ht="15.75" thickBot="1" x14ac:dyDescent="0.3">
      <c r="A13" t="s">
        <v>930</v>
      </c>
      <c r="B13" s="1" t="s">
        <v>931</v>
      </c>
      <c r="C13" s="1" t="s">
        <v>7</v>
      </c>
      <c r="D13" s="1" t="s">
        <v>914</v>
      </c>
      <c r="E13" s="3">
        <v>33376</v>
      </c>
      <c r="F13" s="1" t="str">
        <f>VLOOKUP(D13,Table17[[Name]:[Native]],3,FALSE)</f>
        <v>章丘区</v>
      </c>
      <c r="G13" s="14" t="str">
        <f ca="1">VLOOKUP(F13,Table17[[Native]:[Population4]],5,FALSE)</f>
        <v>济南市</v>
      </c>
    </row>
    <row r="14" spans="1:7" ht="15.75" thickBot="1" x14ac:dyDescent="0.3">
      <c r="A14" t="s">
        <v>932</v>
      </c>
      <c r="B14" s="1" t="s">
        <v>933</v>
      </c>
      <c r="C14" s="1" t="s">
        <v>7</v>
      </c>
      <c r="D14" s="1" t="s">
        <v>920</v>
      </c>
      <c r="E14" s="3">
        <v>52570</v>
      </c>
      <c r="F14" s="1" t="str">
        <f>VLOOKUP(D14,Table17[[Name]:[Native]],3,FALSE)</f>
        <v>历城区</v>
      </c>
      <c r="G14" s="14" t="str">
        <f ca="1">VLOOKUP(F14,Table17[[Native]:[Population4]],5,FALSE)</f>
        <v>济南市</v>
      </c>
    </row>
    <row r="15" spans="1:7" ht="15.75" thickBot="1" x14ac:dyDescent="0.3">
      <c r="A15" t="s">
        <v>934</v>
      </c>
      <c r="B15" s="1" t="s">
        <v>935</v>
      </c>
      <c r="C15" s="1" t="s">
        <v>7</v>
      </c>
      <c r="D15" s="1" t="s">
        <v>914</v>
      </c>
      <c r="E15" s="3">
        <v>33225</v>
      </c>
      <c r="F15" s="1" t="str">
        <f>VLOOKUP(D15,Table17[[Name]:[Native]],3,FALSE)</f>
        <v>章丘区</v>
      </c>
      <c r="G15" s="14" t="str">
        <f ca="1">VLOOKUP(F15,Table17[[Native]:[Population4]],5,FALSE)</f>
        <v>济南市</v>
      </c>
    </row>
    <row r="16" spans="1:7" ht="15.75" thickBot="1" x14ac:dyDescent="0.3">
      <c r="A16" t="s">
        <v>936</v>
      </c>
      <c r="B16" s="1" t="s">
        <v>937</v>
      </c>
      <c r="C16" s="1" t="s">
        <v>13</v>
      </c>
      <c r="D16" s="1" t="s">
        <v>938</v>
      </c>
      <c r="E16" s="3">
        <v>33585</v>
      </c>
      <c r="F16" s="1" t="str">
        <f>VLOOKUP(D16,Table17[[Name]:[Native]],3,FALSE)</f>
        <v>莱芜区</v>
      </c>
      <c r="G16" s="14" t="str">
        <f ca="1">VLOOKUP(F16,Table17[[Native]:[Population4]],5,FALSE)</f>
        <v>济南市</v>
      </c>
    </row>
    <row r="17" spans="1:7" ht="15.75" thickBot="1" x14ac:dyDescent="0.3">
      <c r="A17" t="s">
        <v>939</v>
      </c>
      <c r="B17" s="1" t="s">
        <v>940</v>
      </c>
      <c r="C17" s="1" t="s">
        <v>7</v>
      </c>
      <c r="D17" s="1" t="s">
        <v>941</v>
      </c>
      <c r="E17" s="3">
        <v>46873</v>
      </c>
      <c r="F17" s="1" t="str">
        <f>VLOOKUP(D17,Table17[[Name]:[Native]],3,FALSE)</f>
        <v>济阳区</v>
      </c>
      <c r="G17" s="14" t="str">
        <f ca="1">VLOOKUP(F17,Table17[[Native]:[Population4]],5,FALSE)</f>
        <v>济南市</v>
      </c>
    </row>
    <row r="18" spans="1:7" ht="15.75" thickBot="1" x14ac:dyDescent="0.3">
      <c r="A18" t="s">
        <v>942</v>
      </c>
      <c r="B18" s="1" t="s">
        <v>943</v>
      </c>
      <c r="C18" s="1" t="s">
        <v>7</v>
      </c>
      <c r="D18" s="1" t="s">
        <v>908</v>
      </c>
      <c r="E18" s="3">
        <v>18822</v>
      </c>
      <c r="F18" s="1" t="str">
        <f>VLOOKUP(D18,Table17[[Name]:[Native]],3,FALSE)</f>
        <v>市中区</v>
      </c>
      <c r="G18" s="14" t="str">
        <f ca="1">VLOOKUP(F18,Table17[[Native]:[Population4]],5,FALSE)</f>
        <v>济南市</v>
      </c>
    </row>
    <row r="19" spans="1:7" ht="15.75" thickBot="1" x14ac:dyDescent="0.3">
      <c r="A19" t="s">
        <v>944</v>
      </c>
      <c r="B19" s="1" t="s">
        <v>945</v>
      </c>
      <c r="C19" s="1" t="s">
        <v>7</v>
      </c>
      <c r="D19" s="1" t="s">
        <v>923</v>
      </c>
      <c r="E19" s="3">
        <v>22197</v>
      </c>
      <c r="F19" s="1" t="str">
        <f>VLOOKUP(D19,Table17[[Name]:[Native]],3,FALSE)</f>
        <v>历下区</v>
      </c>
      <c r="G19" s="14" t="str">
        <f ca="1">VLOOKUP(F19,Table17[[Native]:[Population4]],5,FALSE)</f>
        <v>济南市</v>
      </c>
    </row>
    <row r="20" spans="1:7" ht="15.75" thickBot="1" x14ac:dyDescent="0.3">
      <c r="A20" t="s">
        <v>946</v>
      </c>
      <c r="B20" s="1" t="s">
        <v>947</v>
      </c>
      <c r="C20" s="1" t="s">
        <v>7</v>
      </c>
      <c r="D20" s="1" t="s">
        <v>908</v>
      </c>
      <c r="E20" s="3">
        <v>42514</v>
      </c>
      <c r="F20" s="1" t="str">
        <f>VLOOKUP(D20,Table17[[Name]:[Native]],3,FALSE)</f>
        <v>市中区</v>
      </c>
      <c r="G20" s="14" t="str">
        <f ca="1">VLOOKUP(F20,Table17[[Native]:[Population4]],5,FALSE)</f>
        <v>济南市</v>
      </c>
    </row>
    <row r="21" spans="1:7" ht="15.75" thickBot="1" x14ac:dyDescent="0.3">
      <c r="A21" t="s">
        <v>948</v>
      </c>
      <c r="B21" s="1" t="s">
        <v>949</v>
      </c>
      <c r="C21" s="1" t="s">
        <v>7</v>
      </c>
      <c r="D21" s="1" t="s">
        <v>950</v>
      </c>
      <c r="E21" s="3">
        <v>16206</v>
      </c>
      <c r="F21" s="1" t="str">
        <f>VLOOKUP(D21,Table17[[Name]:[Native]],3,FALSE)</f>
        <v>槐荫区</v>
      </c>
      <c r="G21" s="14" t="str">
        <f ca="1">VLOOKUP(F21,Table17[[Native]:[Population4]],5,FALSE)</f>
        <v>济南市</v>
      </c>
    </row>
    <row r="22" spans="1:7" ht="15.75" thickBot="1" x14ac:dyDescent="0.3">
      <c r="A22" t="s">
        <v>951</v>
      </c>
      <c r="B22" s="1" t="s">
        <v>952</v>
      </c>
      <c r="C22" s="1" t="s">
        <v>7</v>
      </c>
      <c r="D22" s="1" t="s">
        <v>917</v>
      </c>
      <c r="E22" s="3">
        <v>50060</v>
      </c>
      <c r="F22" s="1" t="str">
        <f>VLOOKUP(D22,Table17[[Name]:[Native]],3,FALSE)</f>
        <v>天桥区</v>
      </c>
      <c r="G22" s="14" t="str">
        <f ca="1">VLOOKUP(F22,Table17[[Native]:[Population4]],5,FALSE)</f>
        <v>济南市</v>
      </c>
    </row>
    <row r="23" spans="1:7" ht="15.75" thickBot="1" x14ac:dyDescent="0.3">
      <c r="A23" t="s">
        <v>953</v>
      </c>
      <c r="B23" s="1" t="s">
        <v>954</v>
      </c>
      <c r="C23" s="1" t="s">
        <v>13</v>
      </c>
      <c r="D23" s="1" t="s">
        <v>938</v>
      </c>
      <c r="E23" s="3">
        <v>40131</v>
      </c>
      <c r="F23" s="1" t="str">
        <f>VLOOKUP(D23,Table17[[Name]:[Native]],3,FALSE)</f>
        <v>莱芜区</v>
      </c>
      <c r="G23" s="14" t="str">
        <f ca="1">VLOOKUP(F23,Table17[[Native]:[Population4]],5,FALSE)</f>
        <v>济南市</v>
      </c>
    </row>
    <row r="24" spans="1:7" ht="15.75" thickBot="1" x14ac:dyDescent="0.3">
      <c r="A24" t="s">
        <v>955</v>
      </c>
      <c r="B24" s="1" t="s">
        <v>956</v>
      </c>
      <c r="C24" s="1" t="s">
        <v>7</v>
      </c>
      <c r="D24" s="1" t="s">
        <v>923</v>
      </c>
      <c r="E24" s="3">
        <v>48977</v>
      </c>
      <c r="F24" s="1" t="str">
        <f>VLOOKUP(D24,Table17[[Name]:[Native]],3,FALSE)</f>
        <v>历下区</v>
      </c>
      <c r="G24" s="14" t="str">
        <f ca="1">VLOOKUP(F24,Table17[[Native]:[Population4]],5,FALSE)</f>
        <v>济南市</v>
      </c>
    </row>
    <row r="25" spans="1:7" ht="15.75" thickBot="1" x14ac:dyDescent="0.3">
      <c r="A25" t="s">
        <v>957</v>
      </c>
      <c r="B25" s="1" t="s">
        <v>958</v>
      </c>
      <c r="C25" s="1" t="s">
        <v>7</v>
      </c>
      <c r="D25" s="1" t="s">
        <v>914</v>
      </c>
      <c r="E25" s="3">
        <v>62031</v>
      </c>
      <c r="F25" s="1" t="str">
        <f>VLOOKUP(D25,Table17[[Name]:[Native]],3,FALSE)</f>
        <v>章丘区</v>
      </c>
      <c r="G25" s="14" t="str">
        <f ca="1">VLOOKUP(F25,Table17[[Native]:[Population4]],5,FALSE)</f>
        <v>济南市</v>
      </c>
    </row>
    <row r="26" spans="1:7" ht="15.75" thickBot="1" x14ac:dyDescent="0.3">
      <c r="A26" t="s">
        <v>959</v>
      </c>
      <c r="B26" s="1" t="s">
        <v>960</v>
      </c>
      <c r="C26" s="1" t="s">
        <v>7</v>
      </c>
      <c r="D26" s="1" t="s">
        <v>917</v>
      </c>
      <c r="E26" s="3">
        <v>68413</v>
      </c>
      <c r="F26" s="1" t="str">
        <f>VLOOKUP(D26,Table17[[Name]:[Native]],3,FALSE)</f>
        <v>天桥区</v>
      </c>
      <c r="G26" s="14" t="str">
        <f ca="1">VLOOKUP(F26,Table17[[Native]:[Population4]],5,FALSE)</f>
        <v>济南市</v>
      </c>
    </row>
    <row r="27" spans="1:7" ht="15.75" thickBot="1" x14ac:dyDescent="0.3">
      <c r="A27" t="s">
        <v>961</v>
      </c>
      <c r="B27" s="1" t="s">
        <v>962</v>
      </c>
      <c r="C27" s="1" t="s">
        <v>13</v>
      </c>
      <c r="D27" s="1" t="s">
        <v>905</v>
      </c>
      <c r="E27" s="3">
        <v>29326</v>
      </c>
      <c r="F27" s="1" t="str">
        <f>VLOOKUP(D27,Table17[[Name]:[Native]],3,FALSE)</f>
        <v>平阴县</v>
      </c>
      <c r="G27" s="14" t="str">
        <f ca="1">VLOOKUP(F27,Table17[[Native]:[Population4]],5,FALSE)</f>
        <v>济南市</v>
      </c>
    </row>
    <row r="28" spans="1:7" ht="15.75" thickBot="1" x14ac:dyDescent="0.3">
      <c r="A28" t="s">
        <v>963</v>
      </c>
      <c r="B28" s="1" t="s">
        <v>964</v>
      </c>
      <c r="C28" s="1" t="s">
        <v>7</v>
      </c>
      <c r="D28" s="1" t="s">
        <v>920</v>
      </c>
      <c r="E28" s="3">
        <v>99367</v>
      </c>
      <c r="F28" s="1" t="str">
        <f>VLOOKUP(D28,Table17[[Name]:[Native]],3,FALSE)</f>
        <v>历城区</v>
      </c>
      <c r="G28" s="14" t="str">
        <f ca="1">VLOOKUP(F28,Table17[[Native]:[Population4]],5,FALSE)</f>
        <v>济南市</v>
      </c>
    </row>
    <row r="29" spans="1:7" ht="15.75" thickBot="1" x14ac:dyDescent="0.3">
      <c r="A29" t="s">
        <v>965</v>
      </c>
      <c r="B29" s="1" t="s">
        <v>966</v>
      </c>
      <c r="C29" s="1" t="s">
        <v>7</v>
      </c>
      <c r="D29" s="1" t="s">
        <v>923</v>
      </c>
      <c r="E29" s="3">
        <v>51919</v>
      </c>
      <c r="F29" s="1" t="str">
        <f>VLOOKUP(D29,Table17[[Name]:[Native]],3,FALSE)</f>
        <v>历下区</v>
      </c>
      <c r="G29" s="14" t="str">
        <f ca="1">VLOOKUP(F29,Table17[[Native]:[Population4]],5,FALSE)</f>
        <v>济南市</v>
      </c>
    </row>
    <row r="30" spans="1:7" ht="15.75" thickBot="1" x14ac:dyDescent="0.3">
      <c r="A30" t="s">
        <v>967</v>
      </c>
      <c r="B30" s="1" t="s">
        <v>968</v>
      </c>
      <c r="C30" s="1" t="s">
        <v>7</v>
      </c>
      <c r="D30" s="1" t="s">
        <v>920</v>
      </c>
      <c r="E30" s="3">
        <v>44870</v>
      </c>
      <c r="F30" s="1" t="str">
        <f>VLOOKUP(D30,Table17[[Name]:[Native]],3,FALSE)</f>
        <v>历城区</v>
      </c>
      <c r="G30" s="14" t="str">
        <f ca="1">VLOOKUP(F30,Table17[[Native]:[Population4]],5,FALSE)</f>
        <v>济南市</v>
      </c>
    </row>
    <row r="31" spans="1:7" ht="15.75" thickBot="1" x14ac:dyDescent="0.3">
      <c r="A31" t="s">
        <v>969</v>
      </c>
      <c r="B31" s="1" t="s">
        <v>970</v>
      </c>
      <c r="C31" s="1" t="s">
        <v>7</v>
      </c>
      <c r="D31" s="1" t="s">
        <v>908</v>
      </c>
      <c r="E31" s="3">
        <v>27036</v>
      </c>
      <c r="F31" s="1" t="str">
        <f>VLOOKUP(D31,Table17[[Name]:[Native]],3,FALSE)</f>
        <v>市中区</v>
      </c>
      <c r="G31" s="14" t="str">
        <f ca="1">VLOOKUP(F31,Table17[[Native]:[Population4]],5,FALSE)</f>
        <v>济南市</v>
      </c>
    </row>
    <row r="32" spans="1:7" ht="15.75" thickBot="1" x14ac:dyDescent="0.3">
      <c r="A32" t="s">
        <v>971</v>
      </c>
      <c r="B32" s="1" t="s">
        <v>972</v>
      </c>
      <c r="C32" s="1" t="s">
        <v>7</v>
      </c>
      <c r="D32" s="1" t="s">
        <v>950</v>
      </c>
      <c r="E32" s="3">
        <v>42317</v>
      </c>
      <c r="F32" s="1" t="str">
        <f>VLOOKUP(D32,Table17[[Name]:[Native]],3,FALSE)</f>
        <v>槐荫区</v>
      </c>
      <c r="G32" s="14" t="str">
        <f ca="1">VLOOKUP(F32,Table17[[Native]:[Population4]],5,FALSE)</f>
        <v>济南市</v>
      </c>
    </row>
    <row r="33" spans="1:7" ht="15.75" thickBot="1" x14ac:dyDescent="0.3">
      <c r="A33" t="s">
        <v>973</v>
      </c>
      <c r="B33" s="1" t="s">
        <v>974</v>
      </c>
      <c r="C33" s="1" t="s">
        <v>7</v>
      </c>
      <c r="D33" s="1" t="s">
        <v>941</v>
      </c>
      <c r="E33" s="3">
        <v>67907</v>
      </c>
      <c r="F33" s="1" t="str">
        <f>VLOOKUP(D33,Table17[[Name]:[Native]],3,FALSE)</f>
        <v>济阳区</v>
      </c>
      <c r="G33" s="14" t="str">
        <f ca="1">VLOOKUP(F33,Table17[[Native]:[Population4]],5,FALSE)</f>
        <v>济南市</v>
      </c>
    </row>
    <row r="34" spans="1:7" ht="15.75" thickBot="1" x14ac:dyDescent="0.3">
      <c r="A34" t="s">
        <v>975</v>
      </c>
      <c r="B34" s="1" t="s">
        <v>976</v>
      </c>
      <c r="C34" s="1" t="s">
        <v>13</v>
      </c>
      <c r="D34" s="1" t="s">
        <v>914</v>
      </c>
      <c r="E34" s="3">
        <v>28086</v>
      </c>
      <c r="F34" s="1" t="str">
        <f>VLOOKUP(D34,Table17[[Name]:[Native]],3,FALSE)</f>
        <v>章丘区</v>
      </c>
      <c r="G34" s="14" t="str">
        <f ca="1">VLOOKUP(F34,Table17[[Native]:[Population4]],5,FALSE)</f>
        <v>济南市</v>
      </c>
    </row>
    <row r="35" spans="1:7" ht="15.75" thickBot="1" x14ac:dyDescent="0.3">
      <c r="A35" t="s">
        <v>977</v>
      </c>
      <c r="B35" s="1" t="s">
        <v>978</v>
      </c>
      <c r="C35" s="1" t="s">
        <v>7</v>
      </c>
      <c r="D35" s="1" t="s">
        <v>908</v>
      </c>
      <c r="E35" s="3">
        <v>39006</v>
      </c>
      <c r="F35" s="1" t="str">
        <f>VLOOKUP(D35,Table17[[Name]:[Native]],3,FALSE)</f>
        <v>市中区</v>
      </c>
      <c r="G35" s="14" t="str">
        <f ca="1">VLOOKUP(F35,Table17[[Native]:[Population4]],5,FALSE)</f>
        <v>济南市</v>
      </c>
    </row>
    <row r="36" spans="1:7" ht="15.75" thickBot="1" x14ac:dyDescent="0.3">
      <c r="A36" t="s">
        <v>979</v>
      </c>
      <c r="B36" s="1" t="s">
        <v>980</v>
      </c>
      <c r="C36" s="1" t="s">
        <v>7</v>
      </c>
      <c r="D36" s="1" t="s">
        <v>938</v>
      </c>
      <c r="E36" s="3">
        <v>58374</v>
      </c>
      <c r="F36" s="1" t="str">
        <f>VLOOKUP(D36,Table17[[Name]:[Native]],3,FALSE)</f>
        <v>莱芜区</v>
      </c>
      <c r="G36" s="14" t="str">
        <f ca="1">VLOOKUP(F36,Table17[[Native]:[Population4]],5,FALSE)</f>
        <v>济南市</v>
      </c>
    </row>
    <row r="37" spans="1:7" ht="15.75" thickBot="1" x14ac:dyDescent="0.3">
      <c r="A37" t="s">
        <v>981</v>
      </c>
      <c r="B37" s="1" t="s">
        <v>982</v>
      </c>
      <c r="C37" s="1" t="s">
        <v>7</v>
      </c>
      <c r="D37" s="1" t="s">
        <v>938</v>
      </c>
      <c r="E37" s="3">
        <v>206688</v>
      </c>
      <c r="F37" s="1" t="str">
        <f>VLOOKUP(D37,Table17[[Name]:[Native]],3,FALSE)</f>
        <v>莱芜区</v>
      </c>
      <c r="G37" s="14" t="str">
        <f ca="1">VLOOKUP(F37,Table17[[Native]:[Population4]],5,FALSE)</f>
        <v>济南市</v>
      </c>
    </row>
    <row r="38" spans="1:7" ht="15.75" thickBot="1" x14ac:dyDescent="0.3">
      <c r="A38" t="s">
        <v>983</v>
      </c>
      <c r="B38" s="1" t="s">
        <v>984</v>
      </c>
      <c r="C38" s="1" t="s">
        <v>7</v>
      </c>
      <c r="D38" s="1" t="s">
        <v>920</v>
      </c>
      <c r="E38" s="3">
        <v>66856</v>
      </c>
      <c r="F38" s="1" t="str">
        <f>VLOOKUP(D38,Table17[[Name]:[Native]],3,FALSE)</f>
        <v>历城区</v>
      </c>
      <c r="G38" s="14" t="str">
        <f ca="1">VLOOKUP(F38,Table17[[Native]:[Population4]],5,FALSE)</f>
        <v>济南市</v>
      </c>
    </row>
    <row r="39" spans="1:7" ht="15.75" thickBot="1" x14ac:dyDescent="0.3">
      <c r="A39" t="s">
        <v>985</v>
      </c>
      <c r="B39" s="1" t="s">
        <v>986</v>
      </c>
      <c r="C39" s="1" t="s">
        <v>7</v>
      </c>
      <c r="D39" s="1" t="s">
        <v>908</v>
      </c>
      <c r="E39" s="3">
        <v>44318</v>
      </c>
      <c r="F39" s="1" t="str">
        <f>VLOOKUP(D39,Table17[[Name]:[Native]],3,FALSE)</f>
        <v>市中区</v>
      </c>
      <c r="G39" s="14" t="str">
        <f ca="1">VLOOKUP(F39,Table17[[Native]:[Population4]],5,FALSE)</f>
        <v>济南市</v>
      </c>
    </row>
    <row r="40" spans="1:7" ht="15.75" thickBot="1" x14ac:dyDescent="0.3">
      <c r="A40" t="s">
        <v>987</v>
      </c>
      <c r="B40" s="1" t="s">
        <v>988</v>
      </c>
      <c r="C40" s="1" t="s">
        <v>7</v>
      </c>
      <c r="D40" s="1" t="s">
        <v>914</v>
      </c>
      <c r="E40" s="3">
        <v>49512</v>
      </c>
      <c r="F40" s="1" t="str">
        <f>VLOOKUP(D40,Table17[[Name]:[Native]],3,FALSE)</f>
        <v>章丘区</v>
      </c>
      <c r="G40" s="14" t="str">
        <f ca="1">VLOOKUP(F40,Table17[[Native]:[Population4]],5,FALSE)</f>
        <v>济南市</v>
      </c>
    </row>
    <row r="41" spans="1:7" ht="15.75" thickBot="1" x14ac:dyDescent="0.3">
      <c r="A41" t="s">
        <v>989</v>
      </c>
      <c r="B41" s="1" t="s">
        <v>990</v>
      </c>
      <c r="C41" s="1" t="s">
        <v>7</v>
      </c>
      <c r="D41" s="1" t="s">
        <v>938</v>
      </c>
      <c r="E41" s="3">
        <v>83349</v>
      </c>
      <c r="F41" s="1" t="str">
        <f>VLOOKUP(D41,Table17[[Name]:[Native]],3,FALSE)</f>
        <v>莱芜区</v>
      </c>
      <c r="G41" s="14" t="str">
        <f ca="1">VLOOKUP(F41,Table17[[Native]:[Population4]],5,FALSE)</f>
        <v>济南市</v>
      </c>
    </row>
    <row r="42" spans="1:7" ht="15.75" thickBot="1" x14ac:dyDescent="0.3">
      <c r="A42" t="s">
        <v>991</v>
      </c>
      <c r="B42" s="1" t="s">
        <v>992</v>
      </c>
      <c r="C42" s="1" t="s">
        <v>7</v>
      </c>
      <c r="D42" s="1" t="s">
        <v>917</v>
      </c>
      <c r="E42" s="3">
        <v>10058</v>
      </c>
      <c r="F42" s="1" t="str">
        <f>VLOOKUP(D42,Table17[[Name]:[Native]],3,FALSE)</f>
        <v>天桥区</v>
      </c>
      <c r="G42" s="14" t="str">
        <f ca="1">VLOOKUP(F42,Table17[[Native]:[Population4]],5,FALSE)</f>
        <v>济南市</v>
      </c>
    </row>
    <row r="43" spans="1:7" ht="15.75" thickBot="1" x14ac:dyDescent="0.3">
      <c r="A43" t="s">
        <v>993</v>
      </c>
      <c r="B43" s="1" t="s">
        <v>994</v>
      </c>
      <c r="C43" s="1" t="s">
        <v>7</v>
      </c>
      <c r="D43" s="1" t="s">
        <v>914</v>
      </c>
      <c r="E43" s="3">
        <v>47091</v>
      </c>
      <c r="F43" s="1" t="str">
        <f>VLOOKUP(D43,Table17[[Name]:[Native]],3,FALSE)</f>
        <v>章丘区</v>
      </c>
      <c r="G43" s="14" t="str">
        <f ca="1">VLOOKUP(F43,Table17[[Native]:[Population4]],5,FALSE)</f>
        <v>济南市</v>
      </c>
    </row>
    <row r="44" spans="1:7" ht="15.75" thickBot="1" x14ac:dyDescent="0.3">
      <c r="A44" t="s">
        <v>995</v>
      </c>
      <c r="B44" s="1" t="s">
        <v>996</v>
      </c>
      <c r="C44" s="1" t="s">
        <v>7</v>
      </c>
      <c r="D44" s="1" t="s">
        <v>997</v>
      </c>
      <c r="E44" s="3">
        <v>66395</v>
      </c>
      <c r="F44" s="1" t="str">
        <f>VLOOKUP(D44,Table17[[Name]:[Native]],3,FALSE)</f>
        <v>长清区</v>
      </c>
      <c r="G44" s="14" t="str">
        <f ca="1">VLOOKUP(F44,Table17[[Native]:[Population4]],5,FALSE)</f>
        <v>济南市</v>
      </c>
    </row>
    <row r="45" spans="1:7" ht="15.75" thickBot="1" x14ac:dyDescent="0.3">
      <c r="A45" t="s">
        <v>998</v>
      </c>
      <c r="B45" s="1" t="s">
        <v>999</v>
      </c>
      <c r="C45" s="1" t="s">
        <v>7</v>
      </c>
      <c r="D45" s="1" t="s">
        <v>920</v>
      </c>
      <c r="E45" s="3">
        <v>28565</v>
      </c>
      <c r="F45" s="1" t="str">
        <f>VLOOKUP(D45,Table17[[Name]:[Native]],3,FALSE)</f>
        <v>历城区</v>
      </c>
      <c r="G45" s="14" t="str">
        <f ca="1">VLOOKUP(F45,Table17[[Native]:[Population4]],5,FALSE)</f>
        <v>济南市</v>
      </c>
    </row>
    <row r="46" spans="1:7" ht="15.75" thickBot="1" x14ac:dyDescent="0.3">
      <c r="A46" t="s">
        <v>1000</v>
      </c>
      <c r="B46" s="1" t="s">
        <v>1001</v>
      </c>
      <c r="C46" s="1" t="s">
        <v>7</v>
      </c>
      <c r="D46" s="1" t="s">
        <v>997</v>
      </c>
      <c r="E46" s="3">
        <v>104823</v>
      </c>
      <c r="F46" s="1" t="str">
        <f>VLOOKUP(D46,Table17[[Name]:[Native]],3,FALSE)</f>
        <v>长清区</v>
      </c>
      <c r="G46" s="14" t="str">
        <f ca="1">VLOOKUP(F46,Table17[[Native]:[Population4]],5,FALSE)</f>
        <v>济南市</v>
      </c>
    </row>
    <row r="47" spans="1:7" ht="15.75" thickBot="1" x14ac:dyDescent="0.3">
      <c r="A47" t="s">
        <v>1002</v>
      </c>
      <c r="B47" s="1" t="s">
        <v>1003</v>
      </c>
      <c r="C47" s="1" t="s">
        <v>13</v>
      </c>
      <c r="D47" s="1" t="s">
        <v>911</v>
      </c>
      <c r="E47" s="3">
        <v>30633</v>
      </c>
      <c r="F47" s="1" t="str">
        <f>VLOOKUP(D47,Table17[[Name]:[Native]],3,FALSE)</f>
        <v>商河县</v>
      </c>
      <c r="G47" s="14" t="str">
        <f ca="1">VLOOKUP(F47,Table17[[Native]:[Population4]],5,FALSE)</f>
        <v>济南市</v>
      </c>
    </row>
    <row r="48" spans="1:7" ht="15.75" thickBot="1" x14ac:dyDescent="0.3">
      <c r="A48" t="s">
        <v>1004</v>
      </c>
      <c r="B48" s="1" t="s">
        <v>1005</v>
      </c>
      <c r="C48" s="1" t="s">
        <v>7</v>
      </c>
      <c r="D48" s="1" t="s">
        <v>920</v>
      </c>
      <c r="E48" s="3">
        <v>21782</v>
      </c>
      <c r="F48" s="1" t="str">
        <f>VLOOKUP(D48,Table17[[Name]:[Native]],3,FALSE)</f>
        <v>历城区</v>
      </c>
      <c r="G48" s="14" t="str">
        <f ca="1">VLOOKUP(F48,Table17[[Native]:[Population4]],5,FALSE)</f>
        <v>济南市</v>
      </c>
    </row>
    <row r="49" spans="1:7" ht="15.75" thickBot="1" x14ac:dyDescent="0.3">
      <c r="A49" t="s">
        <v>1006</v>
      </c>
      <c r="B49" s="1" t="s">
        <v>1007</v>
      </c>
      <c r="C49" s="1" t="s">
        <v>13</v>
      </c>
      <c r="D49" s="1" t="s">
        <v>938</v>
      </c>
      <c r="E49" s="3">
        <v>23576</v>
      </c>
      <c r="F49" s="1" t="str">
        <f>VLOOKUP(D49,Table17[[Name]:[Native]],3,FALSE)</f>
        <v>莱芜区</v>
      </c>
      <c r="G49" s="14" t="str">
        <f ca="1">VLOOKUP(F49,Table17[[Native]:[Population4]],5,FALSE)</f>
        <v>济南市</v>
      </c>
    </row>
    <row r="50" spans="1:7" ht="15.75" thickBot="1" x14ac:dyDescent="0.3">
      <c r="A50" t="s">
        <v>1008</v>
      </c>
      <c r="B50" s="1" t="s">
        <v>1009</v>
      </c>
      <c r="C50" s="1" t="s">
        <v>13</v>
      </c>
      <c r="D50" s="1" t="s">
        <v>905</v>
      </c>
      <c r="E50" s="3">
        <v>20762</v>
      </c>
      <c r="F50" s="1" t="str">
        <f>VLOOKUP(D50,Table17[[Name]:[Native]],3,FALSE)</f>
        <v>平阴县</v>
      </c>
      <c r="G50" s="14" t="str">
        <f ca="1">VLOOKUP(F50,Table17[[Native]:[Population4]],5,FALSE)</f>
        <v>济南市</v>
      </c>
    </row>
    <row r="51" spans="1:7" ht="15.75" thickBot="1" x14ac:dyDescent="0.3">
      <c r="A51" t="s">
        <v>1010</v>
      </c>
      <c r="B51" s="1" t="s">
        <v>1011</v>
      </c>
      <c r="C51" s="1" t="s">
        <v>7</v>
      </c>
      <c r="D51" s="1" t="s">
        <v>920</v>
      </c>
      <c r="E51" s="3">
        <v>43152</v>
      </c>
      <c r="F51" s="1" t="str">
        <f>VLOOKUP(D51,Table17[[Name]:[Native]],3,FALSE)</f>
        <v>历城区</v>
      </c>
      <c r="G51" s="14" t="str">
        <f ca="1">VLOOKUP(F51,Table17[[Native]:[Population4]],5,FALSE)</f>
        <v>济南市</v>
      </c>
    </row>
    <row r="52" spans="1:7" ht="15.75" thickBot="1" x14ac:dyDescent="0.3">
      <c r="A52" t="s">
        <v>1012</v>
      </c>
      <c r="B52" s="1" t="s">
        <v>1013</v>
      </c>
      <c r="C52" s="1" t="s">
        <v>13</v>
      </c>
      <c r="D52" s="1" t="s">
        <v>911</v>
      </c>
      <c r="E52" s="3">
        <v>28928</v>
      </c>
      <c r="F52" s="1" t="str">
        <f>VLOOKUP(D52,Table17[[Name]:[Native]],3,FALSE)</f>
        <v>商河县</v>
      </c>
      <c r="G52" s="14" t="str">
        <f ca="1">VLOOKUP(F52,Table17[[Native]:[Population4]],5,FALSE)</f>
        <v>济南市</v>
      </c>
    </row>
    <row r="53" spans="1:7" ht="15.75" thickBot="1" x14ac:dyDescent="0.3">
      <c r="A53" t="s">
        <v>1014</v>
      </c>
      <c r="B53" s="1" t="s">
        <v>1015</v>
      </c>
      <c r="C53" s="1" t="s">
        <v>7</v>
      </c>
      <c r="D53" s="1" t="s">
        <v>914</v>
      </c>
      <c r="E53" s="3">
        <v>50237</v>
      </c>
      <c r="F53" s="1" t="str">
        <f>VLOOKUP(D53,Table17[[Name]:[Native]],3,FALSE)</f>
        <v>章丘区</v>
      </c>
      <c r="G53" s="14" t="str">
        <f ca="1">VLOOKUP(F53,Table17[[Native]:[Population4]],5,FALSE)</f>
        <v>济南市</v>
      </c>
    </row>
    <row r="54" spans="1:7" ht="15.75" thickBot="1" x14ac:dyDescent="0.3">
      <c r="A54" t="s">
        <v>1016</v>
      </c>
      <c r="B54" s="1" t="s">
        <v>1017</v>
      </c>
      <c r="C54" s="1" t="s">
        <v>7</v>
      </c>
      <c r="D54" s="1" t="s">
        <v>920</v>
      </c>
      <c r="E54" s="3">
        <v>61613</v>
      </c>
      <c r="F54" s="1" t="str">
        <f>VLOOKUP(D54,Table17[[Name]:[Native]],3,FALSE)</f>
        <v>历城区</v>
      </c>
      <c r="G54" s="14" t="str">
        <f ca="1">VLOOKUP(F54,Table17[[Native]:[Population4]],5,FALSE)</f>
        <v>济南市</v>
      </c>
    </row>
    <row r="55" spans="1:7" ht="15.75" thickBot="1" x14ac:dyDescent="0.3">
      <c r="A55" t="s">
        <v>1018</v>
      </c>
      <c r="B55" s="1" t="s">
        <v>1019</v>
      </c>
      <c r="C55" s="1" t="s">
        <v>7</v>
      </c>
      <c r="D55" s="1" t="s">
        <v>941</v>
      </c>
      <c r="E55" s="3">
        <v>42095</v>
      </c>
      <c r="F55" s="1" t="str">
        <f>VLOOKUP(D55,Table17[[Name]:[Native]],3,FALSE)</f>
        <v>济阳区</v>
      </c>
      <c r="G55" s="14" t="str">
        <f ca="1">VLOOKUP(F55,Table17[[Native]:[Population4]],5,FALSE)</f>
        <v>济南市</v>
      </c>
    </row>
    <row r="56" spans="1:7" ht="15.75" thickBot="1" x14ac:dyDescent="0.3">
      <c r="A56" t="s">
        <v>1020</v>
      </c>
      <c r="B56" s="1" t="s">
        <v>1021</v>
      </c>
      <c r="C56" s="1" t="s">
        <v>7</v>
      </c>
      <c r="D56" s="1" t="s">
        <v>923</v>
      </c>
      <c r="E56" s="3">
        <v>45936</v>
      </c>
      <c r="F56" s="1" t="str">
        <f>VLOOKUP(D56,Table17[[Name]:[Native]],3,FALSE)</f>
        <v>历下区</v>
      </c>
      <c r="G56" s="14" t="str">
        <f ca="1">VLOOKUP(F56,Table17[[Native]:[Population4]],5,FALSE)</f>
        <v>济南市</v>
      </c>
    </row>
    <row r="57" spans="1:7" ht="15.75" thickBot="1" x14ac:dyDescent="0.3">
      <c r="A57" t="s">
        <v>1022</v>
      </c>
      <c r="B57" s="1" t="s">
        <v>1023</v>
      </c>
      <c r="C57" s="1" t="s">
        <v>13</v>
      </c>
      <c r="D57" s="1" t="s">
        <v>911</v>
      </c>
      <c r="E57" s="3">
        <v>46225</v>
      </c>
      <c r="F57" s="1" t="str">
        <f>VLOOKUP(D57,Table17[[Name]:[Native]],3,FALSE)</f>
        <v>商河县</v>
      </c>
      <c r="G57" s="14" t="str">
        <f ca="1">VLOOKUP(F57,Table17[[Native]:[Population4]],5,FALSE)</f>
        <v>济南市</v>
      </c>
    </row>
    <row r="58" spans="1:7" ht="15.75" thickBot="1" x14ac:dyDescent="0.3">
      <c r="A58" t="s">
        <v>1024</v>
      </c>
      <c r="B58" s="1" t="s">
        <v>1025</v>
      </c>
      <c r="C58" s="1" t="s">
        <v>7</v>
      </c>
      <c r="D58" s="1" t="s">
        <v>941</v>
      </c>
      <c r="E58" s="3">
        <v>31936</v>
      </c>
      <c r="F58" s="1" t="str">
        <f>VLOOKUP(D58,Table17[[Name]:[Native]],3,FALSE)</f>
        <v>济阳区</v>
      </c>
      <c r="G58" s="14" t="str">
        <f ca="1">VLOOKUP(F58,Table17[[Native]:[Population4]],5,FALSE)</f>
        <v>济南市</v>
      </c>
    </row>
    <row r="59" spans="1:7" ht="15.75" thickBot="1" x14ac:dyDescent="0.3">
      <c r="A59" t="s">
        <v>1026</v>
      </c>
      <c r="B59" s="1" t="s">
        <v>1027</v>
      </c>
      <c r="C59" s="1" t="s">
        <v>7</v>
      </c>
      <c r="D59" s="1" t="s">
        <v>923</v>
      </c>
      <c r="E59" s="3">
        <v>40750</v>
      </c>
      <c r="F59" s="1" t="str">
        <f>VLOOKUP(D59,Table17[[Name]:[Native]],3,FALSE)</f>
        <v>历下区</v>
      </c>
      <c r="G59" s="14" t="str">
        <f ca="1">VLOOKUP(F59,Table17[[Native]:[Population4]],5,FALSE)</f>
        <v>济南市</v>
      </c>
    </row>
    <row r="60" spans="1:7" ht="15.75" thickBot="1" x14ac:dyDescent="0.3">
      <c r="A60" t="s">
        <v>1028</v>
      </c>
      <c r="B60" s="1" t="s">
        <v>1029</v>
      </c>
      <c r="C60" s="1" t="s">
        <v>7</v>
      </c>
      <c r="D60" s="1" t="s">
        <v>905</v>
      </c>
      <c r="E60" s="3">
        <v>31416</v>
      </c>
      <c r="F60" s="1" t="str">
        <f>VLOOKUP(D60,Table17[[Name]:[Native]],3,FALSE)</f>
        <v>平阴县</v>
      </c>
      <c r="G60" s="14" t="str">
        <f ca="1">VLOOKUP(F60,Table17[[Native]:[Population4]],5,FALSE)</f>
        <v>济南市</v>
      </c>
    </row>
    <row r="61" spans="1:7" ht="15.75" thickBot="1" x14ac:dyDescent="0.3">
      <c r="A61" t="s">
        <v>1030</v>
      </c>
      <c r="B61" s="1" t="s">
        <v>1031</v>
      </c>
      <c r="C61" s="1" t="s">
        <v>7</v>
      </c>
      <c r="D61" s="1" t="s">
        <v>941</v>
      </c>
      <c r="E61" s="3">
        <v>73055</v>
      </c>
      <c r="F61" s="1" t="str">
        <f>VLOOKUP(D61,Table17[[Name]:[Native]],3,FALSE)</f>
        <v>济阳区</v>
      </c>
      <c r="G61" s="14" t="str">
        <f ca="1">VLOOKUP(F61,Table17[[Native]:[Population4]],5,FALSE)</f>
        <v>济南市</v>
      </c>
    </row>
    <row r="62" spans="1:7" ht="15.75" thickBot="1" x14ac:dyDescent="0.3">
      <c r="A62" t="s">
        <v>1032</v>
      </c>
      <c r="B62" s="1" t="s">
        <v>1033</v>
      </c>
      <c r="C62" s="1" t="s">
        <v>7</v>
      </c>
      <c r="D62" s="1" t="s">
        <v>920</v>
      </c>
      <c r="E62" s="3">
        <v>54497</v>
      </c>
      <c r="F62" s="1" t="str">
        <f>VLOOKUP(D62,Table17[[Name]:[Native]],3,FALSE)</f>
        <v>历城区</v>
      </c>
      <c r="G62" s="14" t="str">
        <f ca="1">VLOOKUP(F62,Table17[[Native]:[Population4]],5,FALSE)</f>
        <v>济南市</v>
      </c>
    </row>
    <row r="63" spans="1:7" ht="15.75" thickBot="1" x14ac:dyDescent="0.3">
      <c r="A63" t="s">
        <v>1034</v>
      </c>
      <c r="B63" s="1" t="s">
        <v>1035</v>
      </c>
      <c r="C63" s="1" t="s">
        <v>13</v>
      </c>
      <c r="D63" s="1" t="s">
        <v>905</v>
      </c>
      <c r="E63" s="3">
        <v>33117</v>
      </c>
      <c r="F63" s="1" t="str">
        <f>VLOOKUP(D63,Table17[[Name]:[Native]],3,FALSE)</f>
        <v>平阴县</v>
      </c>
      <c r="G63" s="14" t="str">
        <f ca="1">VLOOKUP(F63,Table17[[Native]:[Population4]],5,FALSE)</f>
        <v>济南市</v>
      </c>
    </row>
    <row r="64" spans="1:7" ht="15.75" thickBot="1" x14ac:dyDescent="0.3">
      <c r="A64" t="s">
        <v>1036</v>
      </c>
      <c r="B64" s="1" t="s">
        <v>1037</v>
      </c>
      <c r="C64" s="1" t="s">
        <v>7</v>
      </c>
      <c r="D64" s="1" t="s">
        <v>938</v>
      </c>
      <c r="E64" s="3">
        <v>78231</v>
      </c>
      <c r="F64" s="1" t="str">
        <f>VLOOKUP(D64,Table17[[Name]:[Native]],3,FALSE)</f>
        <v>莱芜区</v>
      </c>
      <c r="G64" s="14" t="str">
        <f ca="1">VLOOKUP(F64,Table17[[Native]:[Population4]],5,FALSE)</f>
        <v>济南市</v>
      </c>
    </row>
    <row r="65" spans="1:7" ht="15.75" thickBot="1" x14ac:dyDescent="0.3">
      <c r="A65" t="s">
        <v>1038</v>
      </c>
      <c r="B65" s="1" t="s">
        <v>1039</v>
      </c>
      <c r="C65" s="1" t="s">
        <v>7</v>
      </c>
      <c r="D65" s="1" t="s">
        <v>950</v>
      </c>
      <c r="E65" s="3">
        <v>54145</v>
      </c>
      <c r="F65" s="1" t="str">
        <f>VLOOKUP(D65,Table17[[Name]:[Native]],3,FALSE)</f>
        <v>槐荫区</v>
      </c>
      <c r="G65" s="14" t="str">
        <f ca="1">VLOOKUP(F65,Table17[[Native]:[Population4]],5,FALSE)</f>
        <v>济南市</v>
      </c>
    </row>
    <row r="66" spans="1:7" ht="15.75" thickBot="1" x14ac:dyDescent="0.3">
      <c r="A66" t="s">
        <v>1040</v>
      </c>
      <c r="B66" s="1" t="s">
        <v>1041</v>
      </c>
      <c r="C66" s="1" t="s">
        <v>7</v>
      </c>
      <c r="D66" s="1" t="s">
        <v>920</v>
      </c>
      <c r="E66" s="3">
        <v>35533</v>
      </c>
      <c r="F66" s="1" t="str">
        <f>VLOOKUP(D66,Table17[[Name]:[Native]],3,FALSE)</f>
        <v>历城区</v>
      </c>
      <c r="G66" s="14" t="str">
        <f ca="1">VLOOKUP(F66,Table17[[Native]:[Population4]],5,FALSE)</f>
        <v>济南市</v>
      </c>
    </row>
    <row r="67" spans="1:7" ht="15.75" thickBot="1" x14ac:dyDescent="0.3">
      <c r="A67" t="s">
        <v>1042</v>
      </c>
      <c r="B67" s="1" t="s">
        <v>1043</v>
      </c>
      <c r="C67" s="1" t="s">
        <v>7</v>
      </c>
      <c r="D67" s="1" t="s">
        <v>920</v>
      </c>
      <c r="E67" s="3">
        <v>55307</v>
      </c>
      <c r="F67" s="1" t="str">
        <f>VLOOKUP(D67,Table17[[Name]:[Native]],3,FALSE)</f>
        <v>历城区</v>
      </c>
      <c r="G67" s="14" t="str">
        <f ca="1">VLOOKUP(F67,Table17[[Native]:[Population4]],5,FALSE)</f>
        <v>济南市</v>
      </c>
    </row>
    <row r="68" spans="1:7" ht="15.75" thickBot="1" x14ac:dyDescent="0.3">
      <c r="A68" t="s">
        <v>1044</v>
      </c>
      <c r="B68" s="1" t="s">
        <v>1045</v>
      </c>
      <c r="C68" s="1" t="s">
        <v>7</v>
      </c>
      <c r="D68" s="1" t="s">
        <v>908</v>
      </c>
      <c r="E68" s="3">
        <v>56414</v>
      </c>
      <c r="F68" s="1" t="str">
        <f>VLOOKUP(D68,Table17[[Name]:[Native]],3,FALSE)</f>
        <v>市中区</v>
      </c>
      <c r="G68" s="14" t="str">
        <f ca="1">VLOOKUP(F68,Table17[[Native]:[Population4]],5,FALSE)</f>
        <v>济南市</v>
      </c>
    </row>
    <row r="69" spans="1:7" ht="15.75" thickBot="1" x14ac:dyDescent="0.3">
      <c r="A69" t="s">
        <v>1046</v>
      </c>
      <c r="B69" s="1" t="s">
        <v>1047</v>
      </c>
      <c r="C69" s="1" t="s">
        <v>7</v>
      </c>
      <c r="D69" s="1" t="s">
        <v>902</v>
      </c>
      <c r="E69" s="3">
        <v>59969</v>
      </c>
      <c r="F69" s="1" t="str">
        <f>VLOOKUP(D69,Table17[[Name]:[Native]],3,FALSE)</f>
        <v>钢城区</v>
      </c>
      <c r="G69" s="14" t="str">
        <f ca="1">VLOOKUP(F69,Table17[[Native]:[Population4]],5,FALSE)</f>
        <v>济南市</v>
      </c>
    </row>
    <row r="70" spans="1:7" ht="15.75" thickBot="1" x14ac:dyDescent="0.3">
      <c r="A70" t="s">
        <v>1048</v>
      </c>
      <c r="B70" s="1" t="s">
        <v>1049</v>
      </c>
      <c r="C70" s="1" t="s">
        <v>7</v>
      </c>
      <c r="D70" s="1" t="s">
        <v>923</v>
      </c>
      <c r="E70" s="3">
        <v>31328</v>
      </c>
      <c r="F70" s="1" t="str">
        <f>VLOOKUP(D70,Table17[[Name]:[Native]],3,FALSE)</f>
        <v>历下区</v>
      </c>
      <c r="G70" s="14" t="str">
        <f ca="1">VLOOKUP(F70,Table17[[Native]:[Population4]],5,FALSE)</f>
        <v>济南市</v>
      </c>
    </row>
    <row r="71" spans="1:7" ht="15.75" thickBot="1" x14ac:dyDescent="0.3">
      <c r="A71" t="s">
        <v>1050</v>
      </c>
      <c r="B71" s="1" t="s">
        <v>1051</v>
      </c>
      <c r="C71" s="1" t="s">
        <v>13</v>
      </c>
      <c r="D71" s="1" t="s">
        <v>911</v>
      </c>
      <c r="E71" s="3">
        <v>38933</v>
      </c>
      <c r="F71" s="1" t="str">
        <f>VLOOKUP(D71,Table17[[Name]:[Native]],3,FALSE)</f>
        <v>商河县</v>
      </c>
      <c r="G71" s="14" t="str">
        <f ca="1">VLOOKUP(F71,Table17[[Native]:[Population4]],5,FALSE)</f>
        <v>济南市</v>
      </c>
    </row>
    <row r="72" spans="1:7" ht="15.75" thickBot="1" x14ac:dyDescent="0.3">
      <c r="A72" t="s">
        <v>1052</v>
      </c>
      <c r="B72" s="1" t="s">
        <v>1053</v>
      </c>
      <c r="C72" s="1" t="s">
        <v>7</v>
      </c>
      <c r="D72" s="1" t="s">
        <v>914</v>
      </c>
      <c r="E72" s="3">
        <v>57558</v>
      </c>
      <c r="F72" s="1" t="str">
        <f>VLOOKUP(D72,Table17[[Name]:[Native]],3,FALSE)</f>
        <v>章丘区</v>
      </c>
      <c r="G72" s="14" t="str">
        <f ca="1">VLOOKUP(F72,Table17[[Native]:[Population4]],5,FALSE)</f>
        <v>济南市</v>
      </c>
    </row>
    <row r="73" spans="1:7" ht="15.75" thickBot="1" x14ac:dyDescent="0.3">
      <c r="A73" t="s">
        <v>1054</v>
      </c>
      <c r="B73" s="1" t="s">
        <v>1055</v>
      </c>
      <c r="C73" s="1" t="s">
        <v>7</v>
      </c>
      <c r="D73" s="1" t="s">
        <v>917</v>
      </c>
      <c r="E73" s="3">
        <v>81762</v>
      </c>
      <c r="F73" s="1" t="str">
        <f>VLOOKUP(D73,Table17[[Name]:[Native]],3,FALSE)</f>
        <v>天桥区</v>
      </c>
      <c r="G73" s="14" t="str">
        <f ca="1">VLOOKUP(F73,Table17[[Native]:[Population4]],5,FALSE)</f>
        <v>济南市</v>
      </c>
    </row>
    <row r="74" spans="1:7" ht="15.75" thickBot="1" x14ac:dyDescent="0.3">
      <c r="A74" t="s">
        <v>1056</v>
      </c>
      <c r="B74" s="1" t="s">
        <v>1057</v>
      </c>
      <c r="C74" s="1" t="s">
        <v>7</v>
      </c>
      <c r="D74" s="1" t="s">
        <v>908</v>
      </c>
      <c r="E74" s="3">
        <v>24313</v>
      </c>
      <c r="F74" s="1" t="str">
        <f>VLOOKUP(D74,Table17[[Name]:[Native]],3,FALSE)</f>
        <v>市中区</v>
      </c>
      <c r="G74" s="14" t="str">
        <f ca="1">VLOOKUP(F74,Table17[[Native]:[Population4]],5,FALSE)</f>
        <v>济南市</v>
      </c>
    </row>
    <row r="75" spans="1:7" ht="15.75" thickBot="1" x14ac:dyDescent="0.3">
      <c r="A75" t="s">
        <v>1058</v>
      </c>
      <c r="B75" s="1" t="s">
        <v>1059</v>
      </c>
      <c r="C75" s="1" t="s">
        <v>13</v>
      </c>
      <c r="D75" s="1" t="s">
        <v>997</v>
      </c>
      <c r="E75" s="3">
        <v>25670</v>
      </c>
      <c r="F75" s="1" t="str">
        <f>VLOOKUP(D75,Table17[[Name]:[Native]],3,FALSE)</f>
        <v>长清区</v>
      </c>
      <c r="G75" s="14" t="str">
        <f ca="1">VLOOKUP(F75,Table17[[Native]:[Population4]],5,FALSE)</f>
        <v>济南市</v>
      </c>
    </row>
    <row r="76" spans="1:7" ht="15.75" thickBot="1" x14ac:dyDescent="0.3">
      <c r="A76" t="s">
        <v>1060</v>
      </c>
      <c r="B76" s="1" t="s">
        <v>1061</v>
      </c>
      <c r="C76" s="1" t="s">
        <v>13</v>
      </c>
      <c r="D76" s="1" t="s">
        <v>905</v>
      </c>
      <c r="E76" s="3">
        <v>35598</v>
      </c>
      <c r="F76" s="1" t="str">
        <f>VLOOKUP(D76,Table17[[Name]:[Native]],3,FALSE)</f>
        <v>平阴县</v>
      </c>
      <c r="G76" s="14" t="str">
        <f ca="1">VLOOKUP(F76,Table17[[Native]:[Population4]],5,FALSE)</f>
        <v>济南市</v>
      </c>
    </row>
    <row r="77" spans="1:7" ht="15.75" thickBot="1" x14ac:dyDescent="0.3">
      <c r="A77" t="s">
        <v>1062</v>
      </c>
      <c r="B77" s="1" t="s">
        <v>1063</v>
      </c>
      <c r="C77" s="1" t="s">
        <v>7</v>
      </c>
      <c r="D77" s="1" t="s">
        <v>950</v>
      </c>
      <c r="E77" s="3">
        <v>34654</v>
      </c>
      <c r="F77" s="1" t="str">
        <f>VLOOKUP(D77,Table17[[Name]:[Native]],3,FALSE)</f>
        <v>槐荫区</v>
      </c>
      <c r="G77" s="14" t="str">
        <f ca="1">VLOOKUP(F77,Table17[[Native]:[Population4]],5,FALSE)</f>
        <v>济南市</v>
      </c>
    </row>
    <row r="78" spans="1:7" ht="15.75" thickBot="1" x14ac:dyDescent="0.3">
      <c r="A78" t="s">
        <v>1064</v>
      </c>
      <c r="B78" s="1" t="s">
        <v>1065</v>
      </c>
      <c r="C78" s="1" t="s">
        <v>13</v>
      </c>
      <c r="D78" s="1" t="s">
        <v>938</v>
      </c>
      <c r="E78" s="3">
        <v>47195</v>
      </c>
      <c r="F78" s="1" t="str">
        <f>VLOOKUP(D78,Table17[[Name]:[Native]],3,FALSE)</f>
        <v>莱芜区</v>
      </c>
      <c r="G78" s="14" t="str">
        <f ca="1">VLOOKUP(F78,Table17[[Native]:[Population4]],5,FALSE)</f>
        <v>济南市</v>
      </c>
    </row>
    <row r="79" spans="1:7" ht="15.75" thickBot="1" x14ac:dyDescent="0.3">
      <c r="A79" t="s">
        <v>1066</v>
      </c>
      <c r="B79" s="1" t="s">
        <v>1067</v>
      </c>
      <c r="C79" s="1" t="s">
        <v>7</v>
      </c>
      <c r="D79" s="1" t="s">
        <v>914</v>
      </c>
      <c r="E79" s="3">
        <v>163072</v>
      </c>
      <c r="F79" s="1" t="str">
        <f>VLOOKUP(D79,Table17[[Name]:[Native]],3,FALSE)</f>
        <v>章丘区</v>
      </c>
      <c r="G79" s="14" t="str">
        <f ca="1">VLOOKUP(F79,Table17[[Native]:[Population4]],5,FALSE)</f>
        <v>济南市</v>
      </c>
    </row>
    <row r="80" spans="1:7" ht="15.75" thickBot="1" x14ac:dyDescent="0.3">
      <c r="A80" t="s">
        <v>1068</v>
      </c>
      <c r="B80" s="1" t="s">
        <v>1069</v>
      </c>
      <c r="C80" s="1" t="s">
        <v>7</v>
      </c>
      <c r="D80" s="1" t="s">
        <v>917</v>
      </c>
      <c r="E80" s="3">
        <v>33290</v>
      </c>
      <c r="F80" s="1" t="str">
        <f>VLOOKUP(D80,Table17[[Name]:[Native]],3,FALSE)</f>
        <v>天桥区</v>
      </c>
      <c r="G80" s="14" t="str">
        <f ca="1">VLOOKUP(F80,Table17[[Native]:[Population4]],5,FALSE)</f>
        <v>济南市</v>
      </c>
    </row>
    <row r="81" spans="1:7" ht="15.75" thickBot="1" x14ac:dyDescent="0.3">
      <c r="A81" t="s">
        <v>1070</v>
      </c>
      <c r="B81" s="1" t="s">
        <v>1071</v>
      </c>
      <c r="C81" s="1" t="s">
        <v>7</v>
      </c>
      <c r="D81" s="1" t="s">
        <v>950</v>
      </c>
      <c r="E81" s="3">
        <v>29330</v>
      </c>
      <c r="F81" s="1" t="str">
        <f>VLOOKUP(D81,Table17[[Name]:[Native]],3,FALSE)</f>
        <v>槐荫区</v>
      </c>
      <c r="G81" s="14" t="str">
        <f ca="1">VLOOKUP(F81,Table17[[Native]:[Population4]],5,FALSE)</f>
        <v>济南市</v>
      </c>
    </row>
    <row r="82" spans="1:7" ht="15.75" thickBot="1" x14ac:dyDescent="0.3">
      <c r="A82" t="s">
        <v>1072</v>
      </c>
      <c r="B82" s="1" t="s">
        <v>1073</v>
      </c>
      <c r="C82" s="1" t="s">
        <v>7</v>
      </c>
      <c r="D82" s="1" t="s">
        <v>914</v>
      </c>
      <c r="E82" s="3">
        <v>31030</v>
      </c>
      <c r="F82" s="1" t="str">
        <f>VLOOKUP(D82,Table17[[Name]:[Native]],3,FALSE)</f>
        <v>章丘区</v>
      </c>
      <c r="G82" s="14" t="str">
        <f ca="1">VLOOKUP(F82,Table17[[Native]:[Population4]],5,FALSE)</f>
        <v>济南市</v>
      </c>
    </row>
    <row r="83" spans="1:7" ht="15.75" thickBot="1" x14ac:dyDescent="0.3">
      <c r="A83" t="s">
        <v>1074</v>
      </c>
      <c r="B83" s="1" t="s">
        <v>1075</v>
      </c>
      <c r="C83" s="1" t="s">
        <v>13</v>
      </c>
      <c r="D83" s="1" t="s">
        <v>938</v>
      </c>
      <c r="E83" s="3">
        <v>65981</v>
      </c>
      <c r="F83" s="1" t="str">
        <f>VLOOKUP(D83,Table17[[Name]:[Native]],3,FALSE)</f>
        <v>莱芜区</v>
      </c>
      <c r="G83" s="14" t="str">
        <f ca="1">VLOOKUP(F83,Table17[[Native]:[Population4]],5,FALSE)</f>
        <v>济南市</v>
      </c>
    </row>
    <row r="84" spans="1:7" ht="15.75" thickBot="1" x14ac:dyDescent="0.3">
      <c r="A84" t="s">
        <v>1076</v>
      </c>
      <c r="B84" s="1" t="s">
        <v>1077</v>
      </c>
      <c r="C84" s="1" t="s">
        <v>7</v>
      </c>
      <c r="D84" s="1" t="s">
        <v>938</v>
      </c>
      <c r="E84" s="3">
        <v>87112</v>
      </c>
      <c r="F84" s="1" t="str">
        <f>VLOOKUP(D84,Table17[[Name]:[Native]],3,FALSE)</f>
        <v>莱芜区</v>
      </c>
      <c r="G84" s="14" t="str">
        <f ca="1">VLOOKUP(F84,Table17[[Native]:[Population4]],5,FALSE)</f>
        <v>济南市</v>
      </c>
    </row>
    <row r="85" spans="1:7" ht="15.75" thickBot="1" x14ac:dyDescent="0.3">
      <c r="A85" t="s">
        <v>1078</v>
      </c>
      <c r="B85" s="1" t="s">
        <v>1079</v>
      </c>
      <c r="C85" s="1" t="s">
        <v>7</v>
      </c>
      <c r="D85" s="1" t="s">
        <v>997</v>
      </c>
      <c r="E85" s="3">
        <v>60766</v>
      </c>
      <c r="F85" s="1" t="str">
        <f>VLOOKUP(D85,Table17[[Name]:[Native]],3,FALSE)</f>
        <v>长清区</v>
      </c>
      <c r="G85" s="14" t="str">
        <f ca="1">VLOOKUP(F85,Table17[[Native]:[Population4]],5,FALSE)</f>
        <v>济南市</v>
      </c>
    </row>
    <row r="86" spans="1:7" ht="15.75" thickBot="1" x14ac:dyDescent="0.3">
      <c r="A86" t="s">
        <v>1080</v>
      </c>
      <c r="B86" s="1" t="s">
        <v>1081</v>
      </c>
      <c r="C86" s="1" t="s">
        <v>7</v>
      </c>
      <c r="D86" s="1" t="s">
        <v>914</v>
      </c>
      <c r="E86" s="3">
        <v>56653</v>
      </c>
      <c r="F86" s="1" t="str">
        <f>VLOOKUP(D86,Table17[[Name]:[Native]],3,FALSE)</f>
        <v>章丘区</v>
      </c>
      <c r="G86" s="14" t="str">
        <f ca="1">VLOOKUP(F86,Table17[[Native]:[Population4]],5,FALSE)</f>
        <v>济南市</v>
      </c>
    </row>
    <row r="87" spans="1:7" ht="15.75" thickBot="1" x14ac:dyDescent="0.3">
      <c r="A87" t="s">
        <v>1082</v>
      </c>
      <c r="B87" s="1" t="s">
        <v>1083</v>
      </c>
      <c r="C87" s="1" t="s">
        <v>7</v>
      </c>
      <c r="D87" s="1" t="s">
        <v>923</v>
      </c>
      <c r="E87" s="3">
        <v>69818</v>
      </c>
      <c r="F87" s="1" t="str">
        <f>VLOOKUP(D87,Table17[[Name]:[Native]],3,FALSE)</f>
        <v>历下区</v>
      </c>
      <c r="G87" s="14" t="str">
        <f ca="1">VLOOKUP(F87,Table17[[Native]:[Population4]],5,FALSE)</f>
        <v>济南市</v>
      </c>
    </row>
    <row r="88" spans="1:7" ht="15.75" thickBot="1" x14ac:dyDescent="0.3">
      <c r="A88" t="s">
        <v>1084</v>
      </c>
      <c r="B88" s="1" t="s">
        <v>1085</v>
      </c>
      <c r="C88" s="1" t="s">
        <v>7</v>
      </c>
      <c r="D88" s="1" t="s">
        <v>908</v>
      </c>
      <c r="E88" s="3">
        <v>44090</v>
      </c>
      <c r="F88" s="1" t="str">
        <f>VLOOKUP(D88,Table17[[Name]:[Native]],3,FALSE)</f>
        <v>市中区</v>
      </c>
      <c r="G88" s="14" t="str">
        <f ca="1">VLOOKUP(F88,Table17[[Native]:[Population4]],5,FALSE)</f>
        <v>济南市</v>
      </c>
    </row>
    <row r="89" spans="1:7" ht="15.75" thickBot="1" x14ac:dyDescent="0.3">
      <c r="A89" t="s">
        <v>1086</v>
      </c>
      <c r="B89" s="1" t="s">
        <v>1087</v>
      </c>
      <c r="C89" s="1" t="s">
        <v>7</v>
      </c>
      <c r="D89" s="1" t="s">
        <v>950</v>
      </c>
      <c r="E89" s="3">
        <v>24733</v>
      </c>
      <c r="F89" s="1" t="str">
        <f>VLOOKUP(D89,Table17[[Name]:[Native]],3,FALSE)</f>
        <v>槐荫区</v>
      </c>
      <c r="G89" s="14" t="str">
        <f ca="1">VLOOKUP(F89,Table17[[Native]:[Population4]],5,FALSE)</f>
        <v>济南市</v>
      </c>
    </row>
    <row r="90" spans="1:7" ht="15.75" thickBot="1" x14ac:dyDescent="0.3">
      <c r="A90" t="s">
        <v>1088</v>
      </c>
      <c r="B90" s="1" t="s">
        <v>1089</v>
      </c>
      <c r="C90" s="1" t="s">
        <v>7</v>
      </c>
      <c r="D90" s="1" t="s">
        <v>908</v>
      </c>
      <c r="E90" s="3">
        <v>75636</v>
      </c>
      <c r="F90" s="1" t="str">
        <f>VLOOKUP(D90,Table17[[Name]:[Native]],3,FALSE)</f>
        <v>市中区</v>
      </c>
      <c r="G90" s="14" t="str">
        <f ca="1">VLOOKUP(F90,Table17[[Native]:[Population4]],5,FALSE)</f>
        <v>济南市</v>
      </c>
    </row>
    <row r="91" spans="1:7" ht="15.75" thickBot="1" x14ac:dyDescent="0.3">
      <c r="A91" t="s">
        <v>1090</v>
      </c>
      <c r="B91" s="1" t="s">
        <v>1091</v>
      </c>
      <c r="C91" s="1" t="s">
        <v>7</v>
      </c>
      <c r="D91" s="1" t="s">
        <v>923</v>
      </c>
      <c r="E91" s="3">
        <v>17717</v>
      </c>
      <c r="F91" s="1" t="str">
        <f>VLOOKUP(D91,Table17[[Name]:[Native]],3,FALSE)</f>
        <v>历下区</v>
      </c>
      <c r="G91" s="14" t="str">
        <f ca="1">VLOOKUP(F91,Table17[[Native]:[Population4]],5,FALSE)</f>
        <v>济南市</v>
      </c>
    </row>
    <row r="92" spans="1:7" ht="15.75" thickBot="1" x14ac:dyDescent="0.3">
      <c r="A92" t="s">
        <v>1092</v>
      </c>
      <c r="B92" s="1" t="s">
        <v>1093</v>
      </c>
      <c r="C92" s="1" t="s">
        <v>7</v>
      </c>
      <c r="D92" s="1" t="s">
        <v>920</v>
      </c>
      <c r="E92" s="3">
        <v>67528</v>
      </c>
      <c r="F92" s="1" t="str">
        <f>VLOOKUP(D92,Table17[[Name]:[Native]],3,FALSE)</f>
        <v>历城区</v>
      </c>
      <c r="G92" s="14" t="str">
        <f ca="1">VLOOKUP(F92,Table17[[Native]:[Population4]],5,FALSE)</f>
        <v>济南市</v>
      </c>
    </row>
    <row r="93" spans="1:7" ht="15.75" thickBot="1" x14ac:dyDescent="0.3">
      <c r="A93" t="s">
        <v>1094</v>
      </c>
      <c r="B93" s="1" t="s">
        <v>1095</v>
      </c>
      <c r="C93" s="1" t="s">
        <v>7</v>
      </c>
      <c r="D93" s="1" t="s">
        <v>941</v>
      </c>
      <c r="E93" s="3">
        <v>68646</v>
      </c>
      <c r="F93" s="1" t="str">
        <f>VLOOKUP(D93,Table17[[Name]:[Native]],3,FALSE)</f>
        <v>济阳区</v>
      </c>
      <c r="G93" s="14" t="str">
        <f ca="1">VLOOKUP(F93,Table17[[Native]:[Population4]],5,FALSE)</f>
        <v>济南市</v>
      </c>
    </row>
    <row r="94" spans="1:7" ht="15.75" thickBot="1" x14ac:dyDescent="0.3">
      <c r="A94" t="s">
        <v>1096</v>
      </c>
      <c r="B94" s="1" t="s">
        <v>1097</v>
      </c>
      <c r="C94" s="1" t="s">
        <v>13</v>
      </c>
      <c r="D94" s="1" t="s">
        <v>941</v>
      </c>
      <c r="E94" s="3">
        <v>56853</v>
      </c>
      <c r="F94" s="1" t="str">
        <f>VLOOKUP(D94,Table17[[Name]:[Native]],3,FALSE)</f>
        <v>济阳区</v>
      </c>
      <c r="G94" s="14" t="str">
        <f ca="1">VLOOKUP(F94,Table17[[Native]:[Population4]],5,FALSE)</f>
        <v>济南市</v>
      </c>
    </row>
    <row r="95" spans="1:7" ht="15.75" thickBot="1" x14ac:dyDescent="0.3">
      <c r="A95" t="s">
        <v>1098</v>
      </c>
      <c r="B95" s="1" t="s">
        <v>1099</v>
      </c>
      <c r="C95" s="1" t="s">
        <v>7</v>
      </c>
      <c r="D95" s="1" t="s">
        <v>917</v>
      </c>
      <c r="E95" s="3">
        <v>32304</v>
      </c>
      <c r="F95" s="1" t="str">
        <f>VLOOKUP(D95,Table17[[Name]:[Native]],3,FALSE)</f>
        <v>天桥区</v>
      </c>
      <c r="G95" s="14" t="str">
        <f ca="1">VLOOKUP(F95,Table17[[Native]:[Population4]],5,FALSE)</f>
        <v>济南市</v>
      </c>
    </row>
    <row r="96" spans="1:7" ht="15.75" thickBot="1" x14ac:dyDescent="0.3">
      <c r="A96" t="s">
        <v>1100</v>
      </c>
      <c r="B96" s="1" t="s">
        <v>1101</v>
      </c>
      <c r="C96" s="1" t="s">
        <v>13</v>
      </c>
      <c r="D96" s="1" t="s">
        <v>911</v>
      </c>
      <c r="E96" s="3">
        <v>38186</v>
      </c>
      <c r="F96" s="1" t="str">
        <f>VLOOKUP(D96,Table17[[Name]:[Native]],3,FALSE)</f>
        <v>商河县</v>
      </c>
      <c r="G96" s="14" t="str">
        <f ca="1">VLOOKUP(F96,Table17[[Native]:[Population4]],5,FALSE)</f>
        <v>济南市</v>
      </c>
    </row>
    <row r="97" spans="1:7" ht="15.75" thickBot="1" x14ac:dyDescent="0.3">
      <c r="A97" t="s">
        <v>1102</v>
      </c>
      <c r="B97" s="1" t="s">
        <v>1103</v>
      </c>
      <c r="C97" s="1" t="s">
        <v>7</v>
      </c>
      <c r="D97" s="1" t="s">
        <v>920</v>
      </c>
      <c r="E97" s="3">
        <v>67135</v>
      </c>
      <c r="F97" s="1" t="str">
        <f>VLOOKUP(D97,Table17[[Name]:[Native]],3,FALSE)</f>
        <v>历城区</v>
      </c>
      <c r="G97" s="14" t="str">
        <f ca="1">VLOOKUP(F97,Table17[[Native]:[Population4]],5,FALSE)</f>
        <v>济南市</v>
      </c>
    </row>
    <row r="98" spans="1:7" ht="15.75" thickBot="1" x14ac:dyDescent="0.3">
      <c r="A98" t="s">
        <v>1104</v>
      </c>
      <c r="B98" s="1" t="s">
        <v>1105</v>
      </c>
      <c r="C98" s="1" t="s">
        <v>7</v>
      </c>
      <c r="D98" s="1" t="s">
        <v>914</v>
      </c>
      <c r="E98" s="3">
        <v>42626</v>
      </c>
      <c r="F98" s="1" t="str">
        <f>VLOOKUP(D98,Table17[[Name]:[Native]],3,FALSE)</f>
        <v>章丘区</v>
      </c>
      <c r="G98" s="14" t="str">
        <f ca="1">VLOOKUP(F98,Table17[[Native]:[Population4]],5,FALSE)</f>
        <v>济南市</v>
      </c>
    </row>
    <row r="99" spans="1:7" ht="15.75" thickBot="1" x14ac:dyDescent="0.3">
      <c r="A99" t="s">
        <v>1106</v>
      </c>
      <c r="B99" s="1" t="s">
        <v>1107</v>
      </c>
      <c r="C99" s="1" t="s">
        <v>7</v>
      </c>
      <c r="D99" s="1" t="s">
        <v>908</v>
      </c>
      <c r="E99" s="3">
        <v>64477</v>
      </c>
      <c r="F99" s="1" t="str">
        <f>VLOOKUP(D99,Table17[[Name]:[Native]],3,FALSE)</f>
        <v>市中区</v>
      </c>
      <c r="G99" s="14" t="str">
        <f ca="1">VLOOKUP(F99,Table17[[Native]:[Population4]],5,FALSE)</f>
        <v>济南市</v>
      </c>
    </row>
    <row r="100" spans="1:7" ht="15.75" thickBot="1" x14ac:dyDescent="0.3">
      <c r="A100" t="s">
        <v>1108</v>
      </c>
      <c r="B100" s="1" t="s">
        <v>1109</v>
      </c>
      <c r="C100" s="1" t="s">
        <v>13</v>
      </c>
      <c r="D100" s="1" t="s">
        <v>997</v>
      </c>
      <c r="E100" s="3">
        <v>21674</v>
      </c>
      <c r="F100" s="1" t="str">
        <f>VLOOKUP(D100,Table17[[Name]:[Native]],3,FALSE)</f>
        <v>长清区</v>
      </c>
      <c r="G100" s="14" t="str">
        <f ca="1">VLOOKUP(F100,Table17[[Native]:[Population4]],5,FALSE)</f>
        <v>济南市</v>
      </c>
    </row>
    <row r="101" spans="1:7" ht="15.75" thickBot="1" x14ac:dyDescent="0.3">
      <c r="A101" t="s">
        <v>1110</v>
      </c>
      <c r="B101" s="1" t="s">
        <v>1111</v>
      </c>
      <c r="C101" s="1" t="s">
        <v>7</v>
      </c>
      <c r="D101" s="1" t="s">
        <v>914</v>
      </c>
      <c r="E101" s="3">
        <v>121487</v>
      </c>
      <c r="F101" s="1" t="str">
        <f>VLOOKUP(D101,Table17[[Name]:[Native]],3,FALSE)</f>
        <v>章丘区</v>
      </c>
      <c r="G101" s="14" t="str">
        <f ca="1">VLOOKUP(F101,Table17[[Native]:[Population4]],5,FALSE)</f>
        <v>济南市</v>
      </c>
    </row>
    <row r="102" spans="1:7" ht="15.75" thickBot="1" x14ac:dyDescent="0.3">
      <c r="A102" t="s">
        <v>1112</v>
      </c>
      <c r="B102" s="1" t="s">
        <v>1113</v>
      </c>
      <c r="C102" s="1" t="s">
        <v>13</v>
      </c>
      <c r="D102" s="1" t="s">
        <v>914</v>
      </c>
      <c r="E102" s="3">
        <v>34170</v>
      </c>
      <c r="F102" s="1" t="str">
        <f>VLOOKUP(D102,Table17[[Name]:[Native]],3,FALSE)</f>
        <v>章丘区</v>
      </c>
      <c r="G102" s="14" t="str">
        <f ca="1">VLOOKUP(F102,Table17[[Native]:[Population4]],5,FALSE)</f>
        <v>济南市</v>
      </c>
    </row>
    <row r="103" spans="1:7" ht="15.75" thickBot="1" x14ac:dyDescent="0.3">
      <c r="A103" t="s">
        <v>1114</v>
      </c>
      <c r="B103" s="1" t="s">
        <v>1115</v>
      </c>
      <c r="C103" s="1" t="s">
        <v>7</v>
      </c>
      <c r="D103" s="1" t="s">
        <v>908</v>
      </c>
      <c r="E103" s="3">
        <v>17512</v>
      </c>
      <c r="F103" s="1" t="str">
        <f>VLOOKUP(D103,Table17[[Name]:[Native]],3,FALSE)</f>
        <v>市中区</v>
      </c>
      <c r="G103" s="14" t="str">
        <f ca="1">VLOOKUP(F103,Table17[[Native]:[Population4]],5,FALSE)</f>
        <v>济南市</v>
      </c>
    </row>
    <row r="104" spans="1:7" ht="15.75" thickBot="1" x14ac:dyDescent="0.3">
      <c r="A104" t="s">
        <v>1116</v>
      </c>
      <c r="B104" s="1" t="s">
        <v>1117</v>
      </c>
      <c r="C104" s="1" t="s">
        <v>7</v>
      </c>
      <c r="D104" s="1" t="s">
        <v>923</v>
      </c>
      <c r="E104" s="3">
        <v>43717</v>
      </c>
      <c r="F104" s="1" t="str">
        <f>VLOOKUP(D104,Table17[[Name]:[Native]],3,FALSE)</f>
        <v>历下区</v>
      </c>
      <c r="G104" s="14" t="str">
        <f ca="1">VLOOKUP(F104,Table17[[Native]:[Population4]],5,FALSE)</f>
        <v>济南市</v>
      </c>
    </row>
    <row r="105" spans="1:7" ht="15.75" thickBot="1" x14ac:dyDescent="0.3">
      <c r="A105" t="s">
        <v>1118</v>
      </c>
      <c r="B105" s="1" t="s">
        <v>1119</v>
      </c>
      <c r="C105" s="1" t="s">
        <v>7</v>
      </c>
      <c r="D105" s="1" t="s">
        <v>908</v>
      </c>
      <c r="E105" s="3">
        <v>69131</v>
      </c>
      <c r="F105" s="1" t="str">
        <f>VLOOKUP(D105,Table17[[Name]:[Native]],3,FALSE)</f>
        <v>市中区</v>
      </c>
      <c r="G105" s="14" t="str">
        <f ca="1">VLOOKUP(F105,Table17[[Native]:[Population4]],5,FALSE)</f>
        <v>济南市</v>
      </c>
    </row>
    <row r="106" spans="1:7" ht="15.75" thickBot="1" x14ac:dyDescent="0.3">
      <c r="A106" t="s">
        <v>1120</v>
      </c>
      <c r="B106" s="1" t="s">
        <v>1121</v>
      </c>
      <c r="C106" s="1" t="s">
        <v>7</v>
      </c>
      <c r="D106" s="1" t="s">
        <v>908</v>
      </c>
      <c r="E106" s="3">
        <v>45527</v>
      </c>
      <c r="F106" s="1" t="str">
        <f>VLOOKUP(D106,Table17[[Name]:[Native]],3,FALSE)</f>
        <v>市中区</v>
      </c>
      <c r="G106" s="14" t="str">
        <f ca="1">VLOOKUP(F106,Table17[[Native]:[Population4]],5,FALSE)</f>
        <v>济南市</v>
      </c>
    </row>
    <row r="107" spans="1:7" ht="15.75" thickBot="1" x14ac:dyDescent="0.3">
      <c r="A107" t="s">
        <v>1122</v>
      </c>
      <c r="B107" s="1" t="s">
        <v>1123</v>
      </c>
      <c r="C107" s="1" t="s">
        <v>7</v>
      </c>
      <c r="D107" s="1" t="s">
        <v>920</v>
      </c>
      <c r="E107" s="3">
        <v>30937</v>
      </c>
      <c r="F107" s="1" t="str">
        <f>VLOOKUP(D107,Table17[[Name]:[Native]],3,FALSE)</f>
        <v>历城区</v>
      </c>
      <c r="G107" s="14" t="str">
        <f ca="1">VLOOKUP(F107,Table17[[Native]:[Population4]],5,FALSE)</f>
        <v>济南市</v>
      </c>
    </row>
    <row r="108" spans="1:7" ht="15.75" thickBot="1" x14ac:dyDescent="0.3">
      <c r="A108" t="s">
        <v>1124</v>
      </c>
      <c r="B108" s="1" t="s">
        <v>1125</v>
      </c>
      <c r="C108" s="1" t="s">
        <v>7</v>
      </c>
      <c r="D108" s="1" t="s">
        <v>941</v>
      </c>
      <c r="E108" s="3">
        <v>47308</v>
      </c>
      <c r="F108" s="1" t="str">
        <f>VLOOKUP(D108,Table17[[Name]:[Native]],3,FALSE)</f>
        <v>济阳区</v>
      </c>
      <c r="G108" s="14" t="str">
        <f ca="1">VLOOKUP(F108,Table17[[Native]:[Population4]],5,FALSE)</f>
        <v>济南市</v>
      </c>
    </row>
    <row r="109" spans="1:7" ht="15.75" thickBot="1" x14ac:dyDescent="0.3">
      <c r="A109" t="s">
        <v>1126</v>
      </c>
      <c r="B109" s="1" t="s">
        <v>1127</v>
      </c>
      <c r="C109" s="1" t="s">
        <v>13</v>
      </c>
      <c r="D109" s="1" t="s">
        <v>911</v>
      </c>
      <c r="E109" s="3">
        <v>45898</v>
      </c>
      <c r="F109" s="1" t="str">
        <f>VLOOKUP(D109,Table17[[Name]:[Native]],3,FALSE)</f>
        <v>商河县</v>
      </c>
      <c r="G109" s="14" t="str">
        <f ca="1">VLOOKUP(F109,Table17[[Native]:[Population4]],5,FALSE)</f>
        <v>济南市</v>
      </c>
    </row>
    <row r="110" spans="1:7" ht="15.75" thickBot="1" x14ac:dyDescent="0.3">
      <c r="A110" t="s">
        <v>1128</v>
      </c>
      <c r="B110" s="1" t="s">
        <v>1129</v>
      </c>
      <c r="C110" s="1" t="s">
        <v>7</v>
      </c>
      <c r="D110" s="1" t="s">
        <v>941</v>
      </c>
      <c r="E110" s="3">
        <v>47546</v>
      </c>
      <c r="F110" s="1" t="str">
        <f>VLOOKUP(D110,Table17[[Name]:[Native]],3,FALSE)</f>
        <v>济阳区</v>
      </c>
      <c r="G110" s="14" t="str">
        <f ca="1">VLOOKUP(F110,Table17[[Native]:[Population4]],5,FALSE)</f>
        <v>济南市</v>
      </c>
    </row>
    <row r="111" spans="1:7" ht="15.75" thickBot="1" x14ac:dyDescent="0.3">
      <c r="A111" t="s">
        <v>1130</v>
      </c>
      <c r="B111" s="1" t="s">
        <v>1131</v>
      </c>
      <c r="C111" s="1" t="s">
        <v>7</v>
      </c>
      <c r="D111" s="1" t="s">
        <v>920</v>
      </c>
      <c r="E111" s="3">
        <v>56270</v>
      </c>
      <c r="F111" s="1" t="str">
        <f>VLOOKUP(D111,Table17[[Name]:[Native]],3,FALSE)</f>
        <v>历城区</v>
      </c>
      <c r="G111" s="14" t="str">
        <f ca="1">VLOOKUP(F111,Table17[[Native]:[Population4]],5,FALSE)</f>
        <v>济南市</v>
      </c>
    </row>
    <row r="112" spans="1:7" ht="15.75" thickBot="1" x14ac:dyDescent="0.3">
      <c r="A112" t="s">
        <v>1132</v>
      </c>
      <c r="B112" s="1" t="s">
        <v>1133</v>
      </c>
      <c r="C112" s="1" t="s">
        <v>7</v>
      </c>
      <c r="D112" s="1" t="s">
        <v>920</v>
      </c>
      <c r="E112" s="3">
        <v>29089</v>
      </c>
      <c r="F112" s="1" t="str">
        <f>VLOOKUP(D112,Table17[[Name]:[Native]],3,FALSE)</f>
        <v>历城区</v>
      </c>
      <c r="G112" s="14" t="str">
        <f ca="1">VLOOKUP(F112,Table17[[Native]:[Population4]],5,FALSE)</f>
        <v>济南市</v>
      </c>
    </row>
    <row r="113" spans="1:7" ht="15.75" thickBot="1" x14ac:dyDescent="0.3">
      <c r="A113" t="s">
        <v>1134</v>
      </c>
      <c r="B113" s="1" t="s">
        <v>1135</v>
      </c>
      <c r="C113" s="1" t="s">
        <v>7</v>
      </c>
      <c r="D113" s="1" t="s">
        <v>917</v>
      </c>
      <c r="E113" s="3">
        <v>10376</v>
      </c>
      <c r="F113" s="1" t="str">
        <f>VLOOKUP(D113,Table17[[Name]:[Native]],3,FALSE)</f>
        <v>天桥区</v>
      </c>
      <c r="G113" s="14" t="str">
        <f ca="1">VLOOKUP(F113,Table17[[Native]:[Population4]],5,FALSE)</f>
        <v>济南市</v>
      </c>
    </row>
    <row r="114" spans="1:7" ht="15.75" thickBot="1" x14ac:dyDescent="0.3">
      <c r="A114" t="s">
        <v>1136</v>
      </c>
      <c r="B114" s="1" t="s">
        <v>1137</v>
      </c>
      <c r="C114" s="1" t="s">
        <v>7</v>
      </c>
      <c r="D114" s="1" t="s">
        <v>997</v>
      </c>
      <c r="E114" s="3">
        <v>67894</v>
      </c>
      <c r="F114" s="1" t="str">
        <f>VLOOKUP(D114,Table17[[Name]:[Native]],3,FALSE)</f>
        <v>长清区</v>
      </c>
      <c r="G114" s="14" t="str">
        <f ca="1">VLOOKUP(F114,Table17[[Native]:[Population4]],5,FALSE)</f>
        <v>济南市</v>
      </c>
    </row>
    <row r="115" spans="1:7" ht="15.75" thickBot="1" x14ac:dyDescent="0.3">
      <c r="A115" t="s">
        <v>1138</v>
      </c>
      <c r="B115" s="1" t="s">
        <v>1139</v>
      </c>
      <c r="C115" s="1" t="s">
        <v>7</v>
      </c>
      <c r="D115" s="1" t="s">
        <v>908</v>
      </c>
      <c r="E115" s="3">
        <v>41558</v>
      </c>
      <c r="F115" s="1" t="str">
        <f>VLOOKUP(D115,Table17[[Name]:[Native]],3,FALSE)</f>
        <v>市中区</v>
      </c>
      <c r="G115" s="14" t="str">
        <f ca="1">VLOOKUP(F115,Table17[[Native]:[Population4]],5,FALSE)</f>
        <v>济南市</v>
      </c>
    </row>
    <row r="116" spans="1:7" ht="15.75" thickBot="1" x14ac:dyDescent="0.3">
      <c r="A116" t="s">
        <v>1140</v>
      </c>
      <c r="B116" s="1" t="s">
        <v>1141</v>
      </c>
      <c r="C116" s="1" t="s">
        <v>7</v>
      </c>
      <c r="D116" s="1" t="s">
        <v>920</v>
      </c>
      <c r="E116" s="3">
        <v>66556</v>
      </c>
      <c r="F116" s="1" t="str">
        <f>VLOOKUP(D116,Table17[[Name]:[Native]],3,FALSE)</f>
        <v>历城区</v>
      </c>
      <c r="G116" s="14" t="str">
        <f ca="1">VLOOKUP(F116,Table17[[Native]:[Population4]],5,FALSE)</f>
        <v>济南市</v>
      </c>
    </row>
    <row r="117" spans="1:7" ht="15.75" thickBot="1" x14ac:dyDescent="0.3">
      <c r="A117" t="s">
        <v>1142</v>
      </c>
      <c r="B117" s="1" t="s">
        <v>1143</v>
      </c>
      <c r="C117" s="1" t="s">
        <v>7</v>
      </c>
      <c r="D117" s="1" t="s">
        <v>917</v>
      </c>
      <c r="E117" s="3">
        <v>29494</v>
      </c>
      <c r="F117" s="1" t="str">
        <f>VLOOKUP(D117,Table17[[Name]:[Native]],3,FALSE)</f>
        <v>天桥区</v>
      </c>
      <c r="G117" s="14" t="str">
        <f ca="1">VLOOKUP(F117,Table17[[Native]:[Population4]],5,FALSE)</f>
        <v>济南市</v>
      </c>
    </row>
    <row r="118" spans="1:7" ht="15.75" thickBot="1" x14ac:dyDescent="0.3">
      <c r="A118" t="s">
        <v>1144</v>
      </c>
      <c r="B118" s="1" t="s">
        <v>1145</v>
      </c>
      <c r="C118" s="1" t="s">
        <v>7</v>
      </c>
      <c r="D118" s="1" t="s">
        <v>908</v>
      </c>
      <c r="E118" s="3">
        <v>22002</v>
      </c>
      <c r="F118" s="1" t="str">
        <f>VLOOKUP(D118,Table17[[Name]:[Native]],3,FALSE)</f>
        <v>市中区</v>
      </c>
      <c r="G118" s="14" t="str">
        <f ca="1">VLOOKUP(F118,Table17[[Native]:[Population4]],5,FALSE)</f>
        <v>济南市</v>
      </c>
    </row>
    <row r="119" spans="1:7" ht="15.75" thickBot="1" x14ac:dyDescent="0.3">
      <c r="A119" t="s">
        <v>1146</v>
      </c>
      <c r="B119" s="1" t="s">
        <v>1147</v>
      </c>
      <c r="C119" s="1" t="s">
        <v>7</v>
      </c>
      <c r="D119" s="1" t="s">
        <v>997</v>
      </c>
      <c r="E119" s="3">
        <v>121327</v>
      </c>
      <c r="F119" s="1" t="str">
        <f>VLOOKUP(D119,Table17[[Name]:[Native]],3,FALSE)</f>
        <v>长清区</v>
      </c>
      <c r="G119" s="14" t="str">
        <f ca="1">VLOOKUP(F119,Table17[[Native]:[Population4]],5,FALSE)</f>
        <v>济南市</v>
      </c>
    </row>
    <row r="120" spans="1:7" ht="15.75" thickBot="1" x14ac:dyDescent="0.3">
      <c r="A120" t="s">
        <v>1148</v>
      </c>
      <c r="B120" s="1" t="s">
        <v>1149</v>
      </c>
      <c r="C120" s="1" t="s">
        <v>7</v>
      </c>
      <c r="D120" s="1" t="s">
        <v>923</v>
      </c>
      <c r="E120" s="3">
        <v>95770</v>
      </c>
      <c r="F120" s="1" t="str">
        <f>VLOOKUP(D120,Table17[[Name]:[Native]],3,FALSE)</f>
        <v>历下区</v>
      </c>
      <c r="G120" s="14" t="str">
        <f ca="1">VLOOKUP(F120,Table17[[Native]:[Population4]],5,FALSE)</f>
        <v>济南市</v>
      </c>
    </row>
    <row r="121" spans="1:7" ht="15.75" thickBot="1" x14ac:dyDescent="0.3">
      <c r="A121" t="s">
        <v>1150</v>
      </c>
      <c r="B121" s="1" t="s">
        <v>1151</v>
      </c>
      <c r="C121" s="1" t="s">
        <v>7</v>
      </c>
      <c r="D121" s="1" t="s">
        <v>902</v>
      </c>
      <c r="E121" s="3">
        <v>66346</v>
      </c>
      <c r="F121" s="1" t="str">
        <f>VLOOKUP(D121,Table17[[Name]:[Native]],3,FALSE)</f>
        <v>钢城区</v>
      </c>
      <c r="G121" s="14" t="str">
        <f ca="1">VLOOKUP(F121,Table17[[Native]:[Population4]],5,FALSE)</f>
        <v>济南市</v>
      </c>
    </row>
    <row r="122" spans="1:7" ht="15.75" thickBot="1" x14ac:dyDescent="0.3">
      <c r="A122" t="s">
        <v>1152</v>
      </c>
      <c r="B122" s="1" t="s">
        <v>1153</v>
      </c>
      <c r="C122" s="1" t="s">
        <v>7</v>
      </c>
      <c r="D122" s="1" t="s">
        <v>914</v>
      </c>
      <c r="E122" s="3">
        <v>41758</v>
      </c>
      <c r="F122" s="1" t="str">
        <f>VLOOKUP(D122,Table17[[Name]:[Native]],3,FALSE)</f>
        <v>章丘区</v>
      </c>
      <c r="G122" s="14" t="str">
        <f ca="1">VLOOKUP(F122,Table17[[Native]:[Population4]],5,FALSE)</f>
        <v>济南市</v>
      </c>
    </row>
    <row r="123" spans="1:7" ht="15.75" thickBot="1" x14ac:dyDescent="0.3">
      <c r="A123" t="s">
        <v>1154</v>
      </c>
      <c r="B123" s="1" t="s">
        <v>1155</v>
      </c>
      <c r="C123" s="1" t="s">
        <v>7</v>
      </c>
      <c r="D123" s="1" t="s">
        <v>997</v>
      </c>
      <c r="E123" s="3">
        <v>27378</v>
      </c>
      <c r="F123" s="1" t="str">
        <f>VLOOKUP(D123,Table17[[Name]:[Native]],3,FALSE)</f>
        <v>长清区</v>
      </c>
      <c r="G123" s="14" t="str">
        <f ca="1">VLOOKUP(F123,Table17[[Native]:[Population4]],5,FALSE)</f>
        <v>济南市</v>
      </c>
    </row>
    <row r="124" spans="1:7" ht="15.75" thickBot="1" x14ac:dyDescent="0.3">
      <c r="A124" t="s">
        <v>1156</v>
      </c>
      <c r="B124" s="1" t="s">
        <v>1157</v>
      </c>
      <c r="C124" s="1" t="s">
        <v>7</v>
      </c>
      <c r="D124" s="1" t="s">
        <v>950</v>
      </c>
      <c r="E124" s="3">
        <v>26936</v>
      </c>
      <c r="F124" s="1" t="str">
        <f>VLOOKUP(D124,Table17[[Name]:[Native]],3,FALSE)</f>
        <v>槐荫区</v>
      </c>
      <c r="G124" s="14" t="str">
        <f ca="1">VLOOKUP(F124,Table17[[Native]:[Population4]],5,FALSE)</f>
        <v>济南市</v>
      </c>
    </row>
    <row r="125" spans="1:7" ht="15.75" thickBot="1" x14ac:dyDescent="0.3">
      <c r="A125" t="s">
        <v>1158</v>
      </c>
      <c r="B125" s="1" t="s">
        <v>1159</v>
      </c>
      <c r="C125" s="1" t="s">
        <v>7</v>
      </c>
      <c r="D125" s="1" t="s">
        <v>950</v>
      </c>
      <c r="E125" s="3">
        <v>23285</v>
      </c>
      <c r="F125" s="1" t="str">
        <f>VLOOKUP(D125,Table17[[Name]:[Native]],3,FALSE)</f>
        <v>槐荫区</v>
      </c>
      <c r="G125" s="14" t="str">
        <f ca="1">VLOOKUP(F125,Table17[[Native]:[Population4]],5,FALSE)</f>
        <v>济南市</v>
      </c>
    </row>
    <row r="126" spans="1:7" ht="15.75" thickBot="1" x14ac:dyDescent="0.3">
      <c r="A126" t="s">
        <v>1160</v>
      </c>
      <c r="B126" s="1" t="s">
        <v>1161</v>
      </c>
      <c r="C126" s="1" t="s">
        <v>7</v>
      </c>
      <c r="D126" s="1" t="s">
        <v>917</v>
      </c>
      <c r="E126" s="3">
        <v>38006</v>
      </c>
      <c r="F126" s="1" t="str">
        <f>VLOOKUP(D126,Table17[[Name]:[Native]],3,FALSE)</f>
        <v>天桥区</v>
      </c>
      <c r="G126" s="14" t="str">
        <f ca="1">VLOOKUP(F126,Table17[[Native]:[Population4]],5,FALSE)</f>
        <v>济南市</v>
      </c>
    </row>
    <row r="127" spans="1:7" ht="15.75" thickBot="1" x14ac:dyDescent="0.3">
      <c r="A127" t="s">
        <v>1162</v>
      </c>
      <c r="B127" s="1" t="s">
        <v>1163</v>
      </c>
      <c r="C127" s="1" t="s">
        <v>7</v>
      </c>
      <c r="D127" s="1" t="s">
        <v>914</v>
      </c>
      <c r="E127" s="3">
        <v>58227</v>
      </c>
      <c r="F127" s="1" t="str">
        <f>VLOOKUP(D127,Table17[[Name]:[Native]],3,FALSE)</f>
        <v>章丘区</v>
      </c>
      <c r="G127" s="14" t="str">
        <f ca="1">VLOOKUP(F127,Table17[[Native]:[Population4]],5,FALSE)</f>
        <v>济南市</v>
      </c>
    </row>
    <row r="128" spans="1:7" ht="15.75" thickBot="1" x14ac:dyDescent="0.3">
      <c r="A128" t="s">
        <v>1164</v>
      </c>
      <c r="B128" s="1" t="s">
        <v>1165</v>
      </c>
      <c r="C128" s="1" t="s">
        <v>7</v>
      </c>
      <c r="D128" s="1" t="s">
        <v>997</v>
      </c>
      <c r="E128" s="3">
        <v>38512</v>
      </c>
      <c r="F128" s="1" t="str">
        <f>VLOOKUP(D128,Table17[[Name]:[Native]],3,FALSE)</f>
        <v>长清区</v>
      </c>
      <c r="G128" s="14" t="str">
        <f ca="1">VLOOKUP(F128,Table17[[Native]:[Population4]],5,FALSE)</f>
        <v>济南市</v>
      </c>
    </row>
    <row r="129" spans="1:7" ht="15.75" thickBot="1" x14ac:dyDescent="0.3">
      <c r="A129" t="s">
        <v>1166</v>
      </c>
      <c r="B129" s="1" t="s">
        <v>1167</v>
      </c>
      <c r="C129" s="1" t="s">
        <v>13</v>
      </c>
      <c r="D129" s="1" t="s">
        <v>905</v>
      </c>
      <c r="E129" s="3">
        <v>52683</v>
      </c>
      <c r="F129" s="1" t="str">
        <f>VLOOKUP(D129,Table17[[Name]:[Native]],3,FALSE)</f>
        <v>平阴县</v>
      </c>
      <c r="G129" s="14" t="str">
        <f ca="1">VLOOKUP(F129,Table17[[Native]:[Population4]],5,FALSE)</f>
        <v>济南市</v>
      </c>
    </row>
    <row r="130" spans="1:7" ht="15.75" thickBot="1" x14ac:dyDescent="0.3">
      <c r="A130" t="s">
        <v>1168</v>
      </c>
      <c r="B130" s="1" t="s">
        <v>1169</v>
      </c>
      <c r="C130" s="1" t="s">
        <v>7</v>
      </c>
      <c r="D130" s="1" t="s">
        <v>950</v>
      </c>
      <c r="E130" s="3">
        <v>84135</v>
      </c>
      <c r="F130" s="1" t="str">
        <f>VLOOKUP(D130,Table17[[Name]:[Native]],3,FALSE)</f>
        <v>槐荫区</v>
      </c>
      <c r="G130" s="14" t="str">
        <f ca="1">VLOOKUP(F130,Table17[[Native]:[Population4]],5,FALSE)</f>
        <v>济南市</v>
      </c>
    </row>
    <row r="131" spans="1:7" ht="15.75" thickBot="1" x14ac:dyDescent="0.3">
      <c r="A131" t="s">
        <v>563</v>
      </c>
      <c r="B131" s="1" t="s">
        <v>564</v>
      </c>
      <c r="C131" s="1" t="s">
        <v>7</v>
      </c>
      <c r="D131" s="1" t="s">
        <v>908</v>
      </c>
      <c r="E131" s="3">
        <v>25248</v>
      </c>
      <c r="F131" s="1" t="str">
        <f>VLOOKUP(D131,Table17[[Name]:[Native]],3,FALSE)</f>
        <v>市中区</v>
      </c>
      <c r="G131" s="14" t="str">
        <f ca="1">VLOOKUP(F131,Table17[[Native]:[Population4]],5,FALSE)</f>
        <v>济南市</v>
      </c>
    </row>
    <row r="132" spans="1:7" ht="15.75" thickBot="1" x14ac:dyDescent="0.3">
      <c r="A132" t="s">
        <v>1170</v>
      </c>
      <c r="B132" s="1" t="s">
        <v>1171</v>
      </c>
      <c r="C132" s="1" t="s">
        <v>13</v>
      </c>
      <c r="D132" s="1" t="s">
        <v>941</v>
      </c>
      <c r="E132" s="3">
        <v>35729</v>
      </c>
      <c r="F132" s="1" t="str">
        <f>VLOOKUP(D132,Table17[[Name]:[Native]],3,FALSE)</f>
        <v>济阳区</v>
      </c>
      <c r="G132" s="14" t="str">
        <f ca="1">VLOOKUP(F132,Table17[[Native]:[Population4]],5,FALSE)</f>
        <v>济南市</v>
      </c>
    </row>
    <row r="133" spans="1:7" ht="15.75" thickBot="1" x14ac:dyDescent="0.3">
      <c r="A133" t="s">
        <v>413</v>
      </c>
      <c r="B133" s="1" t="s">
        <v>414</v>
      </c>
      <c r="C133" s="1" t="s">
        <v>13</v>
      </c>
      <c r="D133" s="1" t="s">
        <v>914</v>
      </c>
      <c r="E133" s="3">
        <v>32814</v>
      </c>
      <c r="F133" s="1" t="str">
        <f>VLOOKUP(D133,Table17[[Name]:[Native]],3,FALSE)</f>
        <v>章丘区</v>
      </c>
      <c r="G133" s="14" t="str">
        <f ca="1">VLOOKUP(F133,Table17[[Native]:[Population4]],5,FALSE)</f>
        <v>济南市</v>
      </c>
    </row>
    <row r="134" spans="1:7" ht="15.75" thickBot="1" x14ac:dyDescent="0.3">
      <c r="A134" t="s">
        <v>1172</v>
      </c>
      <c r="B134" s="1" t="s">
        <v>1173</v>
      </c>
      <c r="C134" s="1" t="s">
        <v>7</v>
      </c>
      <c r="D134" s="1" t="s">
        <v>902</v>
      </c>
      <c r="E134" s="3">
        <v>46844</v>
      </c>
      <c r="F134" s="1" t="str">
        <f>VLOOKUP(D134,Table17[[Name]:[Native]],3,FALSE)</f>
        <v>钢城区</v>
      </c>
      <c r="G134" s="14" t="str">
        <f ca="1">VLOOKUP(F134,Table17[[Native]:[Population4]],5,FALSE)</f>
        <v>济南市</v>
      </c>
    </row>
    <row r="135" spans="1:7" ht="15.75" thickBot="1" x14ac:dyDescent="0.3">
      <c r="A135" t="s">
        <v>1174</v>
      </c>
      <c r="B135" s="1" t="s">
        <v>1175</v>
      </c>
      <c r="C135" s="1" t="s">
        <v>7</v>
      </c>
      <c r="D135" s="1" t="s">
        <v>950</v>
      </c>
      <c r="E135" s="3">
        <v>8181</v>
      </c>
      <c r="F135" s="1" t="str">
        <f>VLOOKUP(D135,Table17[[Name]:[Native]],3,FALSE)</f>
        <v>槐荫区</v>
      </c>
      <c r="G135" s="14" t="str">
        <f ca="1">VLOOKUP(F135,Table17[[Native]:[Population4]],5,FALSE)</f>
        <v>济南市</v>
      </c>
    </row>
    <row r="136" spans="1:7" ht="15.75" thickBot="1" x14ac:dyDescent="0.3">
      <c r="A136" t="s">
        <v>1176</v>
      </c>
      <c r="B136" s="1" t="s">
        <v>1177</v>
      </c>
      <c r="C136" s="1" t="s">
        <v>7</v>
      </c>
      <c r="D136" s="1" t="s">
        <v>914</v>
      </c>
      <c r="E136" s="3">
        <v>55158</v>
      </c>
      <c r="F136" s="1" t="str">
        <f>VLOOKUP(D136,Table17[[Name]:[Native]],3,FALSE)</f>
        <v>章丘区</v>
      </c>
      <c r="G136" s="14" t="str">
        <f ca="1">VLOOKUP(F136,Table17[[Native]:[Population4]],5,FALSE)</f>
        <v>济南市</v>
      </c>
    </row>
    <row r="137" spans="1:7" ht="15.75" thickBot="1" x14ac:dyDescent="0.3">
      <c r="A137" t="s">
        <v>1178</v>
      </c>
      <c r="B137" s="1" t="s">
        <v>1179</v>
      </c>
      <c r="C137" s="1" t="s">
        <v>7</v>
      </c>
      <c r="D137" s="1" t="s">
        <v>920</v>
      </c>
      <c r="E137" s="3">
        <v>28794</v>
      </c>
      <c r="F137" s="1" t="str">
        <f>VLOOKUP(D137,Table17[[Name]:[Native]],3,FALSE)</f>
        <v>历城区</v>
      </c>
      <c r="G137" s="14" t="str">
        <f ca="1">VLOOKUP(F137,Table17[[Native]:[Population4]],5,FALSE)</f>
        <v>济南市</v>
      </c>
    </row>
    <row r="138" spans="1:7" ht="15.75" thickBot="1" x14ac:dyDescent="0.3">
      <c r="A138" t="s">
        <v>1180</v>
      </c>
      <c r="B138" s="1" t="s">
        <v>1181</v>
      </c>
      <c r="C138" s="1" t="s">
        <v>7</v>
      </c>
      <c r="D138" s="1" t="s">
        <v>938</v>
      </c>
      <c r="E138" s="3">
        <v>41629</v>
      </c>
      <c r="F138" s="1" t="str">
        <f>VLOOKUP(D138,Table17[[Name]:[Native]],3,FALSE)</f>
        <v>莱芜区</v>
      </c>
      <c r="G138" s="14" t="str">
        <f ca="1">VLOOKUP(F138,Table17[[Native]:[Population4]],5,FALSE)</f>
        <v>济南市</v>
      </c>
    </row>
    <row r="139" spans="1:7" ht="15.75" thickBot="1" x14ac:dyDescent="0.3">
      <c r="A139" t="s">
        <v>1182</v>
      </c>
      <c r="B139" s="1" t="s">
        <v>1183</v>
      </c>
      <c r="C139" s="1" t="s">
        <v>7</v>
      </c>
      <c r="D139" s="1" t="s">
        <v>911</v>
      </c>
      <c r="E139" s="3">
        <v>101329</v>
      </c>
      <c r="F139" s="1" t="str">
        <f>VLOOKUP(D139,Table17[[Name]:[Native]],3,FALSE)</f>
        <v>商河县</v>
      </c>
      <c r="G139" s="14" t="str">
        <f ca="1">VLOOKUP(F139,Table17[[Native]:[Population4]],5,FALSE)</f>
        <v>济南市</v>
      </c>
    </row>
    <row r="140" spans="1:7" ht="15.75" thickBot="1" x14ac:dyDescent="0.3">
      <c r="A140" t="s">
        <v>1184</v>
      </c>
      <c r="B140" s="1" t="s">
        <v>1185</v>
      </c>
      <c r="C140" s="1" t="s">
        <v>7</v>
      </c>
      <c r="D140" s="1" t="s">
        <v>938</v>
      </c>
      <c r="E140" s="3">
        <v>54523</v>
      </c>
      <c r="F140" s="1" t="str">
        <f>VLOOKUP(D140,Table17[[Name]:[Native]],3,FALSE)</f>
        <v>莱芜区</v>
      </c>
      <c r="G140" s="14" t="str">
        <f ca="1">VLOOKUP(F140,Table17[[Native]:[Population4]],5,FALSE)</f>
        <v>济南市</v>
      </c>
    </row>
    <row r="141" spans="1:7" ht="15.75" thickBot="1" x14ac:dyDescent="0.3">
      <c r="A141" t="s">
        <v>1186</v>
      </c>
      <c r="B141" s="1" t="s">
        <v>1187</v>
      </c>
      <c r="C141" s="1" t="s">
        <v>13</v>
      </c>
      <c r="D141" s="1" t="s">
        <v>938</v>
      </c>
      <c r="E141" s="3">
        <v>43046</v>
      </c>
      <c r="F141" s="1" t="str">
        <f>VLOOKUP(D141,Table17[[Name]:[Native]],3,FALSE)</f>
        <v>莱芜区</v>
      </c>
      <c r="G141" s="14" t="str">
        <f ca="1">VLOOKUP(F141,Table17[[Native]:[Population4]],5,FALSE)</f>
        <v>济南市</v>
      </c>
    </row>
    <row r="142" spans="1:7" ht="15.75" thickBot="1" x14ac:dyDescent="0.3">
      <c r="A142" t="s">
        <v>1188</v>
      </c>
      <c r="B142" s="1" t="s">
        <v>1189</v>
      </c>
      <c r="C142" s="1" t="s">
        <v>7</v>
      </c>
      <c r="D142" s="1" t="s">
        <v>923</v>
      </c>
      <c r="E142" s="3">
        <v>43359</v>
      </c>
      <c r="F142" s="1" t="str">
        <f>VLOOKUP(D142,Table17[[Name]:[Native]],3,FALSE)</f>
        <v>历下区</v>
      </c>
      <c r="G142" s="14" t="str">
        <f ca="1">VLOOKUP(F142,Table17[[Native]:[Population4]],5,FALSE)</f>
        <v>济南市</v>
      </c>
    </row>
    <row r="143" spans="1:7" ht="15.75" thickBot="1" x14ac:dyDescent="0.3">
      <c r="A143" t="s">
        <v>1190</v>
      </c>
      <c r="B143" s="1" t="s">
        <v>1191</v>
      </c>
      <c r="C143" s="1" t="s">
        <v>7</v>
      </c>
      <c r="D143" s="1" t="s">
        <v>902</v>
      </c>
      <c r="E143" s="3">
        <v>55022</v>
      </c>
      <c r="F143" s="1" t="str">
        <f>VLOOKUP(D143,Table17[[Name]:[Native]],3,FALSE)</f>
        <v>钢城区</v>
      </c>
      <c r="G143" s="14" t="str">
        <f ca="1">VLOOKUP(F143,Table17[[Native]:[Population4]],5,FALSE)</f>
        <v>济南市</v>
      </c>
    </row>
    <row r="144" spans="1:7" ht="15.75" thickBot="1" x14ac:dyDescent="0.3">
      <c r="A144" t="s">
        <v>1192</v>
      </c>
      <c r="B144" s="1" t="s">
        <v>1193</v>
      </c>
      <c r="C144" s="1" t="s">
        <v>7</v>
      </c>
      <c r="D144" s="1" t="s">
        <v>923</v>
      </c>
      <c r="E144" s="3">
        <v>162929</v>
      </c>
      <c r="F144" s="1" t="str">
        <f>VLOOKUP(D144,Table17[[Name]:[Native]],3,FALSE)</f>
        <v>历下区</v>
      </c>
      <c r="G144" s="14" t="str">
        <f ca="1">VLOOKUP(F144,Table17[[Native]:[Population4]],5,FALSE)</f>
        <v>济南市</v>
      </c>
    </row>
    <row r="145" spans="1:7" ht="15.75" thickBot="1" x14ac:dyDescent="0.3">
      <c r="A145" t="s">
        <v>1194</v>
      </c>
      <c r="B145" s="1" t="s">
        <v>1195</v>
      </c>
      <c r="C145" s="1" t="s">
        <v>7</v>
      </c>
      <c r="D145" s="1" t="s">
        <v>920</v>
      </c>
      <c r="E145" s="3">
        <v>25732</v>
      </c>
      <c r="F145" s="1" t="str">
        <f>VLOOKUP(D145,Table17[[Name]:[Native]],3,FALSE)</f>
        <v>历城区</v>
      </c>
      <c r="G145" s="14" t="str">
        <f ca="1">VLOOKUP(F145,Table17[[Native]:[Population4]],5,FALSE)</f>
        <v>济南市</v>
      </c>
    </row>
    <row r="146" spans="1:7" ht="15.75" thickBot="1" x14ac:dyDescent="0.3">
      <c r="A146" t="s">
        <v>1196</v>
      </c>
      <c r="B146" s="1" t="s">
        <v>1197</v>
      </c>
      <c r="C146" s="1" t="s">
        <v>7</v>
      </c>
      <c r="D146" s="1" t="s">
        <v>917</v>
      </c>
      <c r="E146" s="3">
        <v>61504</v>
      </c>
      <c r="F146" s="1" t="str">
        <f>VLOOKUP(D146,Table17[[Name]:[Native]],3,FALSE)</f>
        <v>天桥区</v>
      </c>
      <c r="G146" s="14" t="str">
        <f ca="1">VLOOKUP(F146,Table17[[Native]:[Population4]],5,FALSE)</f>
        <v>济南市</v>
      </c>
    </row>
    <row r="147" spans="1:7" ht="15.75" thickBot="1" x14ac:dyDescent="0.3">
      <c r="A147" t="s">
        <v>1198</v>
      </c>
      <c r="B147" s="1" t="s">
        <v>1199</v>
      </c>
      <c r="C147" s="1" t="s">
        <v>7</v>
      </c>
      <c r="D147" s="1" t="s">
        <v>950</v>
      </c>
      <c r="E147" s="3">
        <v>27681</v>
      </c>
      <c r="F147" s="1" t="str">
        <f>VLOOKUP(D147,Table17[[Name]:[Native]],3,FALSE)</f>
        <v>槐荫区</v>
      </c>
      <c r="G147" s="14" t="str">
        <f ca="1">VLOOKUP(F147,Table17[[Native]:[Population4]],5,FALSE)</f>
        <v>济南市</v>
      </c>
    </row>
    <row r="148" spans="1:7" ht="15.75" thickBot="1" x14ac:dyDescent="0.3">
      <c r="A148" t="s">
        <v>1200</v>
      </c>
      <c r="B148" s="1" t="s">
        <v>1201</v>
      </c>
      <c r="C148" s="1" t="s">
        <v>13</v>
      </c>
      <c r="D148" s="1" t="s">
        <v>911</v>
      </c>
      <c r="E148" s="3">
        <v>50779</v>
      </c>
      <c r="F148" s="1" t="str">
        <f>VLOOKUP(D148,Table17[[Name]:[Native]],3,FALSE)</f>
        <v>商河县</v>
      </c>
      <c r="G148" s="14" t="str">
        <f ca="1">VLOOKUP(F148,Table17[[Native]:[Population4]],5,FALSE)</f>
        <v>济南市</v>
      </c>
    </row>
    <row r="149" spans="1:7" ht="15.75" thickBot="1" x14ac:dyDescent="0.3">
      <c r="A149" t="s">
        <v>872</v>
      </c>
      <c r="B149" s="1" t="s">
        <v>873</v>
      </c>
      <c r="C149" s="1" t="s">
        <v>13</v>
      </c>
      <c r="D149" s="1" t="s">
        <v>911</v>
      </c>
      <c r="E149" s="3">
        <v>59803</v>
      </c>
      <c r="F149" s="1" t="str">
        <f>VLOOKUP(D149,Table17[[Name]:[Native]],3,FALSE)</f>
        <v>商河县</v>
      </c>
      <c r="G149" s="14" t="str">
        <f ca="1">VLOOKUP(F149,Table17[[Native]:[Population4]],5,FALSE)</f>
        <v>济南市</v>
      </c>
    </row>
    <row r="150" spans="1:7" ht="15.75" thickBot="1" x14ac:dyDescent="0.3">
      <c r="A150" t="s">
        <v>1202</v>
      </c>
      <c r="B150" s="1" t="s">
        <v>1203</v>
      </c>
      <c r="C150" s="1" t="s">
        <v>7</v>
      </c>
      <c r="D150" s="1" t="s">
        <v>905</v>
      </c>
      <c r="E150" s="3">
        <v>96094</v>
      </c>
      <c r="F150" s="1" t="str">
        <f>VLOOKUP(D150,Table17[[Name]:[Native]],3,FALSE)</f>
        <v>平阴县</v>
      </c>
      <c r="G150" s="14" t="str">
        <f ca="1">VLOOKUP(F150,Table17[[Native]:[Population4]],5,FALSE)</f>
        <v>济南市</v>
      </c>
    </row>
    <row r="151" spans="1:7" ht="15.75" thickBot="1" x14ac:dyDescent="0.3">
      <c r="A151" t="s">
        <v>1204</v>
      </c>
      <c r="B151" s="1" t="s">
        <v>1205</v>
      </c>
      <c r="C151" s="1" t="s">
        <v>7</v>
      </c>
      <c r="D151" s="1" t="s">
        <v>914</v>
      </c>
      <c r="E151" s="3">
        <v>32784</v>
      </c>
      <c r="F151" s="1" t="str">
        <f>VLOOKUP(D151,Table17[[Name]:[Native]],3,FALSE)</f>
        <v>章丘区</v>
      </c>
      <c r="G151" s="14" t="str">
        <f ca="1">VLOOKUP(F151,Table17[[Native]:[Population4]],5,FALSE)</f>
        <v>济南市</v>
      </c>
    </row>
    <row r="152" spans="1:7" ht="15.75" thickBot="1" x14ac:dyDescent="0.3">
      <c r="A152" t="s">
        <v>1206</v>
      </c>
      <c r="B152" s="1" t="s">
        <v>1207</v>
      </c>
      <c r="C152" s="1" t="s">
        <v>13</v>
      </c>
      <c r="D152" s="1" t="s">
        <v>938</v>
      </c>
      <c r="E152" s="3">
        <v>53601</v>
      </c>
      <c r="F152" s="1" t="str">
        <f>VLOOKUP(D152,Table17[[Name]:[Native]],3,FALSE)</f>
        <v>莱芜区</v>
      </c>
      <c r="G152" s="14" t="str">
        <f ca="1">VLOOKUP(F152,Table17[[Native]:[Population4]],5,FALSE)</f>
        <v>济南市</v>
      </c>
    </row>
    <row r="153" spans="1:7" ht="15.75" thickBot="1" x14ac:dyDescent="0.3">
      <c r="A153" t="s">
        <v>1208</v>
      </c>
      <c r="B153" s="1" t="s">
        <v>1209</v>
      </c>
      <c r="C153" s="1" t="s">
        <v>13</v>
      </c>
      <c r="D153" s="1" t="s">
        <v>911</v>
      </c>
      <c r="E153" s="3">
        <v>20446</v>
      </c>
      <c r="F153" s="1" t="str">
        <f>VLOOKUP(D153,Table17[[Name]:[Native]],3,FALSE)</f>
        <v>商河县</v>
      </c>
      <c r="G153" s="14" t="str">
        <f ca="1">VLOOKUP(F153,Table17[[Native]:[Population4]],5,FALSE)</f>
        <v>济南市</v>
      </c>
    </row>
    <row r="154" spans="1:7" ht="15.75" thickBot="1" x14ac:dyDescent="0.3">
      <c r="A154" t="s">
        <v>1210</v>
      </c>
      <c r="B154" s="1" t="s">
        <v>1211</v>
      </c>
      <c r="C154" s="1" t="s">
        <v>7</v>
      </c>
      <c r="D154" s="1" t="s">
        <v>938</v>
      </c>
      <c r="E154" s="3">
        <v>72514</v>
      </c>
      <c r="F154" s="1" t="str">
        <f>VLOOKUP(D154,Table17[[Name]:[Native]],3,FALSE)</f>
        <v>莱芜区</v>
      </c>
      <c r="G154" s="14" t="str">
        <f ca="1">VLOOKUP(F154,Table17[[Native]:[Population4]],5,FALSE)</f>
        <v>济南市</v>
      </c>
    </row>
    <row r="155" spans="1:7" ht="15.75" thickBot="1" x14ac:dyDescent="0.3">
      <c r="A155" t="s">
        <v>1212</v>
      </c>
      <c r="B155" s="1" t="s">
        <v>1213</v>
      </c>
      <c r="C155" s="1" t="s">
        <v>7</v>
      </c>
      <c r="D155" s="1" t="s">
        <v>997</v>
      </c>
      <c r="E155" s="3">
        <v>44301</v>
      </c>
      <c r="F155" s="1" t="str">
        <f>VLOOKUP(D155,Table17[[Name]:[Native]],3,FALSE)</f>
        <v>长清区</v>
      </c>
      <c r="G155" s="14" t="str">
        <f ca="1">VLOOKUP(F155,Table17[[Native]:[Population4]],5,FALSE)</f>
        <v>济南市</v>
      </c>
    </row>
    <row r="156" spans="1:7" ht="15.75" thickBot="1" x14ac:dyDescent="0.3">
      <c r="A156" t="s">
        <v>1214</v>
      </c>
      <c r="B156" s="1" t="s">
        <v>1215</v>
      </c>
      <c r="C156" s="1" t="s">
        <v>7</v>
      </c>
      <c r="D156" s="1" t="s">
        <v>950</v>
      </c>
      <c r="E156" s="3">
        <v>48569</v>
      </c>
      <c r="F156" s="1" t="str">
        <f>VLOOKUP(D156,Table17[[Name]:[Native]],3,FALSE)</f>
        <v>槐荫区</v>
      </c>
      <c r="G156" s="14" t="str">
        <f ca="1">VLOOKUP(F156,Table17[[Native]:[Population4]],5,FALSE)</f>
        <v>济南市</v>
      </c>
    </row>
    <row r="157" spans="1:7" ht="15.75" thickBot="1" x14ac:dyDescent="0.3">
      <c r="A157" t="s">
        <v>1216</v>
      </c>
      <c r="B157" s="1" t="s">
        <v>1217</v>
      </c>
      <c r="C157" s="1" t="s">
        <v>13</v>
      </c>
      <c r="D157" s="1" t="s">
        <v>911</v>
      </c>
      <c r="E157" s="3">
        <v>57969</v>
      </c>
      <c r="F157" s="1" t="str">
        <f>VLOOKUP(D157,Table17[[Name]:[Native]],3,FALSE)</f>
        <v>商河县</v>
      </c>
      <c r="G157" s="14" t="str">
        <f ca="1">VLOOKUP(F157,Table17[[Native]:[Population4]],5,FALSE)</f>
        <v>济南市</v>
      </c>
    </row>
    <row r="158" spans="1:7" ht="15.75" thickBot="1" x14ac:dyDescent="0.3">
      <c r="A158" t="s">
        <v>1218</v>
      </c>
      <c r="B158" s="1" t="s">
        <v>1219</v>
      </c>
      <c r="C158" s="1" t="s">
        <v>7</v>
      </c>
      <c r="D158" s="1" t="s">
        <v>950</v>
      </c>
      <c r="E158" s="3">
        <v>39779</v>
      </c>
      <c r="F158" s="1" t="str">
        <f>VLOOKUP(D158,Table17[[Name]:[Native]],3,FALSE)</f>
        <v>槐荫区</v>
      </c>
      <c r="G158" s="14" t="str">
        <f ca="1">VLOOKUP(F158,Table17[[Native]:[Population4]],5,FALSE)</f>
        <v>济南市</v>
      </c>
    </row>
    <row r="159" spans="1:7" ht="15.75" thickBot="1" x14ac:dyDescent="0.3">
      <c r="A159" t="s">
        <v>1220</v>
      </c>
      <c r="B159" s="1" t="s">
        <v>1221</v>
      </c>
      <c r="C159" s="1" t="s">
        <v>7</v>
      </c>
      <c r="D159" s="1" t="s">
        <v>917</v>
      </c>
      <c r="E159" s="3">
        <v>19546</v>
      </c>
      <c r="F159" s="1" t="str">
        <f>VLOOKUP(D159,Table17[[Name]:[Native]],3,FALSE)</f>
        <v>天桥区</v>
      </c>
      <c r="G159" s="14" t="str">
        <f ca="1">VLOOKUP(F159,Table17[[Native]:[Population4]],5,FALSE)</f>
        <v>济南市</v>
      </c>
    </row>
    <row r="160" spans="1:7" ht="15.75" thickBot="1" x14ac:dyDescent="0.3">
      <c r="A160" t="s">
        <v>1222</v>
      </c>
      <c r="B160" s="1" t="s">
        <v>1223</v>
      </c>
      <c r="C160" s="1" t="s">
        <v>7</v>
      </c>
      <c r="D160" s="1" t="s">
        <v>923</v>
      </c>
      <c r="E160" s="3">
        <v>25845</v>
      </c>
      <c r="F160" s="1" t="str">
        <f>VLOOKUP(D160,Table17[[Name]:[Native]],3,FALSE)</f>
        <v>历下区</v>
      </c>
      <c r="G160" s="14" t="str">
        <f ca="1">VLOOKUP(F160,Table17[[Native]:[Population4]],5,FALSE)</f>
        <v>济南市</v>
      </c>
    </row>
    <row r="161" spans="1:7" ht="15.75" thickBot="1" x14ac:dyDescent="0.3">
      <c r="A161" t="s">
        <v>1224</v>
      </c>
      <c r="B161" s="1" t="s">
        <v>1225</v>
      </c>
      <c r="C161" s="1" t="s">
        <v>7</v>
      </c>
      <c r="D161" s="1" t="s">
        <v>950</v>
      </c>
      <c r="E161" s="3">
        <v>16860</v>
      </c>
      <c r="F161" s="1" t="str">
        <f>VLOOKUP(D161,Table17[[Name]:[Native]],3,FALSE)</f>
        <v>槐荫区</v>
      </c>
      <c r="G161" s="14" t="str">
        <f ca="1">VLOOKUP(F161,Table17[[Native]:[Population4]],5,FALSE)</f>
        <v>济南市</v>
      </c>
    </row>
    <row r="162" spans="1:7" ht="15.75" thickBot="1" x14ac:dyDescent="0.3">
      <c r="A162" t="s">
        <v>1226</v>
      </c>
      <c r="B162" s="1" t="s">
        <v>1227</v>
      </c>
      <c r="C162" s="1" t="s">
        <v>7</v>
      </c>
      <c r="D162" s="1" t="s">
        <v>920</v>
      </c>
      <c r="E162" s="3">
        <v>107978</v>
      </c>
      <c r="F162" s="10" t="str">
        <f>VLOOKUP(D162,Table17[[Name]:[Native]],3,FALSE)</f>
        <v>历城区</v>
      </c>
      <c r="G162" s="14" t="str">
        <f ca="1">VLOOKUP(F162,Table17[[Native]:[Population4]],5,FALSE)</f>
        <v>济南市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32A5-8543-4824-90EB-58D84AB6479D}">
  <dimension ref="A1:G158"/>
  <sheetViews>
    <sheetView workbookViewId="0">
      <selection activeCell="A2" sqref="A2:G15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1228</v>
      </c>
      <c r="B2" s="1" t="s">
        <v>1229</v>
      </c>
      <c r="C2" s="1" t="s">
        <v>7</v>
      </c>
      <c r="D2" s="1" t="s">
        <v>1230</v>
      </c>
      <c r="E2" s="3">
        <v>70296</v>
      </c>
      <c r="F2" s="9" t="str">
        <f>VLOOKUP(D2,Table17[[Name]:[Native]],3,FALSE)</f>
        <v>任城区</v>
      </c>
      <c r="G2" s="14" t="str">
        <f ca="1">VLOOKUP(F2,Table17[[Native]:[Population4]],5,FALSE)</f>
        <v>济宁市</v>
      </c>
    </row>
    <row r="3" spans="1:7" ht="15.75" thickBot="1" x14ac:dyDescent="0.3">
      <c r="A3" t="s">
        <v>1231</v>
      </c>
      <c r="B3" s="1" t="s">
        <v>1232</v>
      </c>
      <c r="C3" s="1" t="s">
        <v>13</v>
      </c>
      <c r="D3" s="1" t="s">
        <v>1233</v>
      </c>
      <c r="E3" s="3">
        <v>33688</v>
      </c>
      <c r="F3" s="1" t="str">
        <f>VLOOKUP(D3,Table17[[Name]:[Native]],3,FALSE)</f>
        <v>汶上县</v>
      </c>
      <c r="G3" s="14" t="str">
        <f ca="1">VLOOKUP(F3,Table17[[Native]:[Population4]],5,FALSE)</f>
        <v>济宁市</v>
      </c>
    </row>
    <row r="4" spans="1:7" ht="15.75" thickBot="1" x14ac:dyDescent="0.3">
      <c r="A4" t="s">
        <v>1234</v>
      </c>
      <c r="B4" s="1" t="s">
        <v>1235</v>
      </c>
      <c r="C4" s="1" t="s">
        <v>13</v>
      </c>
      <c r="D4" s="1" t="s">
        <v>1236</v>
      </c>
      <c r="E4" s="3">
        <v>106962</v>
      </c>
      <c r="F4" s="1" t="str">
        <f>VLOOKUP(D4,Table17[[Name]:[Native]],3,FALSE)</f>
        <v>邹城市</v>
      </c>
      <c r="G4" s="14" t="str">
        <f ca="1">VLOOKUP(F4,Table17[[Native]:[Population4]],5,FALSE)</f>
        <v>济宁市</v>
      </c>
    </row>
    <row r="5" spans="1:7" ht="15.75" thickBot="1" x14ac:dyDescent="0.3">
      <c r="A5" t="s">
        <v>1237</v>
      </c>
      <c r="B5" s="1" t="s">
        <v>1238</v>
      </c>
      <c r="C5" s="1" t="s">
        <v>7</v>
      </c>
      <c r="D5" s="1" t="s">
        <v>1239</v>
      </c>
      <c r="E5" s="3">
        <v>48710</v>
      </c>
      <c r="F5" s="1" t="str">
        <f>VLOOKUP(D5,Table17[[Name]:[Native]],3,FALSE)</f>
        <v>鱼台县</v>
      </c>
      <c r="G5" s="14" t="str">
        <f ca="1">VLOOKUP(F5,Table17[[Native]:[Population4]],5,FALSE)</f>
        <v>济宁市</v>
      </c>
    </row>
    <row r="6" spans="1:7" ht="15.75" thickBot="1" x14ac:dyDescent="0.3">
      <c r="A6" t="s">
        <v>1240</v>
      </c>
      <c r="B6" s="1" t="s">
        <v>1241</v>
      </c>
      <c r="C6" s="1" t="s">
        <v>13</v>
      </c>
      <c r="D6" s="1" t="s">
        <v>1242</v>
      </c>
      <c r="E6" s="3">
        <v>41728</v>
      </c>
      <c r="F6" s="1" t="str">
        <f>VLOOKUP(D6,Table17[[Name]:[Native]],3,FALSE)</f>
        <v>金乡县</v>
      </c>
      <c r="G6" s="14" t="str">
        <f ca="1">VLOOKUP(F6,Table17[[Native]:[Population4]],5,FALSE)</f>
        <v>济宁市</v>
      </c>
    </row>
    <row r="7" spans="1:7" ht="15.75" thickBot="1" x14ac:dyDescent="0.3">
      <c r="A7" t="s">
        <v>1243</v>
      </c>
      <c r="B7" s="1" t="s">
        <v>1244</v>
      </c>
      <c r="C7" s="1" t="s">
        <v>13</v>
      </c>
      <c r="D7" s="1" t="s">
        <v>1245</v>
      </c>
      <c r="E7" s="3">
        <v>28659</v>
      </c>
      <c r="F7" s="1" t="str">
        <f>VLOOKUP(D7,Table17[[Name]:[Native]],3,FALSE)</f>
        <v>兖州区</v>
      </c>
      <c r="G7" s="14" t="str">
        <f ca="1">VLOOKUP(F7,Table17[[Native]:[Population4]],5,FALSE)</f>
        <v>济宁市</v>
      </c>
    </row>
    <row r="8" spans="1:7" ht="15.75" thickBot="1" x14ac:dyDescent="0.3">
      <c r="A8" t="s">
        <v>1246</v>
      </c>
      <c r="B8" s="1" t="s">
        <v>1247</v>
      </c>
      <c r="C8" s="1" t="s">
        <v>13</v>
      </c>
      <c r="D8" s="1" t="s">
        <v>1230</v>
      </c>
      <c r="E8" s="3">
        <v>57058</v>
      </c>
      <c r="F8" s="1" t="str">
        <f>VLOOKUP(D8,Table17[[Name]:[Native]],3,FALSE)</f>
        <v>任城区</v>
      </c>
      <c r="G8" s="14" t="str">
        <f ca="1">VLOOKUP(F8,Table17[[Native]:[Population4]],5,FALSE)</f>
        <v>济宁市</v>
      </c>
    </row>
    <row r="9" spans="1:7" ht="15.75" thickBot="1" x14ac:dyDescent="0.3">
      <c r="A9" t="s">
        <v>1248</v>
      </c>
      <c r="B9" s="1" t="s">
        <v>1249</v>
      </c>
      <c r="C9" s="1" t="s">
        <v>13</v>
      </c>
      <c r="D9" s="1" t="s">
        <v>1236</v>
      </c>
      <c r="E9" s="3">
        <v>71465</v>
      </c>
      <c r="F9" s="1" t="str">
        <f>VLOOKUP(D9,Table17[[Name]:[Native]],3,FALSE)</f>
        <v>邹城市</v>
      </c>
      <c r="G9" s="14" t="str">
        <f ca="1">VLOOKUP(F9,Table17[[Native]:[Population4]],5,FALSE)</f>
        <v>济宁市</v>
      </c>
    </row>
    <row r="10" spans="1:7" ht="15.75" thickBot="1" x14ac:dyDescent="0.3">
      <c r="A10" t="s">
        <v>1250</v>
      </c>
      <c r="B10" s="1" t="s">
        <v>1251</v>
      </c>
      <c r="C10" s="1" t="s">
        <v>13</v>
      </c>
      <c r="D10" s="1" t="s">
        <v>1233</v>
      </c>
      <c r="E10" s="3">
        <v>70562</v>
      </c>
      <c r="F10" s="1" t="str">
        <f>VLOOKUP(D10,Table17[[Name]:[Native]],3,FALSE)</f>
        <v>汶上县</v>
      </c>
      <c r="G10" s="14" t="str">
        <f ca="1">VLOOKUP(F10,Table17[[Native]:[Population4]],5,FALSE)</f>
        <v>济宁市</v>
      </c>
    </row>
    <row r="11" spans="1:7" ht="15.75" thickBot="1" x14ac:dyDescent="0.3">
      <c r="A11" t="s">
        <v>1252</v>
      </c>
      <c r="B11" s="1" t="s">
        <v>1253</v>
      </c>
      <c r="C11" s="1" t="s">
        <v>13</v>
      </c>
      <c r="D11" s="1" t="s">
        <v>1245</v>
      </c>
      <c r="E11" s="3">
        <v>83853</v>
      </c>
      <c r="F11" s="1" t="str">
        <f>VLOOKUP(D11,Table17[[Name]:[Native]],3,FALSE)</f>
        <v>兖州区</v>
      </c>
      <c r="G11" s="14" t="str">
        <f ca="1">VLOOKUP(F11,Table17[[Native]:[Population4]],5,FALSE)</f>
        <v>济宁市</v>
      </c>
    </row>
    <row r="12" spans="1:7" ht="15.75" thickBot="1" x14ac:dyDescent="0.3">
      <c r="A12" t="s">
        <v>1254</v>
      </c>
      <c r="B12" s="1" t="s">
        <v>1255</v>
      </c>
      <c r="C12" s="1" t="s">
        <v>61</v>
      </c>
      <c r="D12" s="1" t="s">
        <v>1256</v>
      </c>
      <c r="E12" s="3">
        <v>30889</v>
      </c>
      <c r="F12" s="1" t="str">
        <f>VLOOKUP(D12,Table17[[Name]:[Native]],3,FALSE)</f>
        <v>梁山县</v>
      </c>
      <c r="G12" s="14" t="str">
        <f ca="1">VLOOKUP(F12,Table17[[Native]:[Population4]],5,FALSE)</f>
        <v>济宁市</v>
      </c>
    </row>
    <row r="13" spans="1:7" ht="15.75" thickBot="1" x14ac:dyDescent="0.3">
      <c r="A13" t="s">
        <v>1257</v>
      </c>
      <c r="B13" s="1" t="s">
        <v>1258</v>
      </c>
      <c r="C13" s="1" t="s">
        <v>13</v>
      </c>
      <c r="D13" s="1" t="s">
        <v>1236</v>
      </c>
      <c r="E13" s="3">
        <v>73414</v>
      </c>
      <c r="F13" s="1" t="str">
        <f>VLOOKUP(D13,Table17[[Name]:[Native]],3,FALSE)</f>
        <v>邹城市</v>
      </c>
      <c r="G13" s="14" t="str">
        <f ca="1">VLOOKUP(F13,Table17[[Native]:[Population4]],5,FALSE)</f>
        <v>济宁市</v>
      </c>
    </row>
    <row r="14" spans="1:7" ht="15.75" thickBot="1" x14ac:dyDescent="0.3">
      <c r="A14" t="s">
        <v>1259</v>
      </c>
      <c r="B14" s="1" t="s">
        <v>1260</v>
      </c>
      <c r="C14" s="1" t="s">
        <v>13</v>
      </c>
      <c r="D14" s="1" t="s">
        <v>1261</v>
      </c>
      <c r="E14" s="3">
        <v>36667</v>
      </c>
      <c r="F14" s="1" t="str">
        <f>VLOOKUP(D14,Table17[[Name]:[Native]],3,FALSE)</f>
        <v>嘉祥县</v>
      </c>
      <c r="G14" s="14" t="str">
        <f ca="1">VLOOKUP(F14,Table17[[Native]:[Population4]],5,FALSE)</f>
        <v>济宁市</v>
      </c>
    </row>
    <row r="15" spans="1:7" ht="15.75" thickBot="1" x14ac:dyDescent="0.3">
      <c r="A15" t="s">
        <v>1262</v>
      </c>
      <c r="B15" s="1" t="s">
        <v>1263</v>
      </c>
      <c r="C15" s="1" t="s">
        <v>13</v>
      </c>
      <c r="D15" s="1" t="s">
        <v>1264</v>
      </c>
      <c r="E15" s="3">
        <v>38286</v>
      </c>
      <c r="F15" s="1" t="str">
        <f>VLOOKUP(D15,Table17[[Name]:[Native]],3,FALSE)</f>
        <v>曲阜市</v>
      </c>
      <c r="G15" s="14" t="str">
        <f ca="1">VLOOKUP(F15,Table17[[Native]:[Population4]],5,FALSE)</f>
        <v>济宁市</v>
      </c>
    </row>
    <row r="16" spans="1:7" ht="15.75" thickBot="1" x14ac:dyDescent="0.3">
      <c r="A16" t="s">
        <v>1265</v>
      </c>
      <c r="B16" s="1" t="s">
        <v>1266</v>
      </c>
      <c r="C16" s="1" t="s">
        <v>7</v>
      </c>
      <c r="D16" s="1" t="s">
        <v>1267</v>
      </c>
      <c r="E16" s="3">
        <v>41049</v>
      </c>
      <c r="F16" s="1" t="str">
        <f>VLOOKUP(D16,Table17[[Name]:[Native]],3,FALSE)</f>
        <v>微山县</v>
      </c>
      <c r="G16" s="14" t="str">
        <f ca="1">VLOOKUP(F16,Table17[[Native]:[Population4]],5,FALSE)</f>
        <v>济宁市</v>
      </c>
    </row>
    <row r="17" spans="1:7" ht="15.75" thickBot="1" x14ac:dyDescent="0.3">
      <c r="A17" t="s">
        <v>1268</v>
      </c>
      <c r="B17" s="1" t="s">
        <v>1269</v>
      </c>
      <c r="C17" s="1" t="s">
        <v>7</v>
      </c>
      <c r="D17" s="1" t="s">
        <v>1230</v>
      </c>
      <c r="E17" s="3">
        <v>124926</v>
      </c>
      <c r="F17" s="1" t="str">
        <f>VLOOKUP(D17,Table17[[Name]:[Native]],3,FALSE)</f>
        <v>任城区</v>
      </c>
      <c r="G17" s="14" t="str">
        <f ca="1">VLOOKUP(F17,Table17[[Native]:[Population4]],5,FALSE)</f>
        <v>济宁市</v>
      </c>
    </row>
    <row r="18" spans="1:7" ht="15.75" thickBot="1" x14ac:dyDescent="0.3">
      <c r="A18" t="s">
        <v>1270</v>
      </c>
      <c r="B18" s="1" t="s">
        <v>1271</v>
      </c>
      <c r="C18" s="1" t="s">
        <v>7</v>
      </c>
      <c r="D18" s="1" t="s">
        <v>1236</v>
      </c>
      <c r="E18" s="3">
        <v>62766</v>
      </c>
      <c r="F18" s="1" t="str">
        <f>VLOOKUP(D18,Table17[[Name]:[Native]],3,FALSE)</f>
        <v>邹城市</v>
      </c>
      <c r="G18" s="14" t="str">
        <f ca="1">VLOOKUP(F18,Table17[[Native]:[Population4]],5,FALSE)</f>
        <v>济宁市</v>
      </c>
    </row>
    <row r="19" spans="1:7" ht="15.75" thickBot="1" x14ac:dyDescent="0.3">
      <c r="A19" t="s">
        <v>1272</v>
      </c>
      <c r="B19" s="1" t="s">
        <v>1273</v>
      </c>
      <c r="C19" s="1" t="s">
        <v>7</v>
      </c>
      <c r="D19" s="1" t="s">
        <v>1236</v>
      </c>
      <c r="E19" s="3">
        <v>123014</v>
      </c>
      <c r="F19" s="1" t="str">
        <f>VLOOKUP(D19,Table17[[Name]:[Native]],3,FALSE)</f>
        <v>邹城市</v>
      </c>
      <c r="G19" s="14" t="str">
        <f ca="1">VLOOKUP(F19,Table17[[Native]:[Population4]],5,FALSE)</f>
        <v>济宁市</v>
      </c>
    </row>
    <row r="20" spans="1:7" ht="15.75" thickBot="1" x14ac:dyDescent="0.3">
      <c r="A20" t="s">
        <v>1274</v>
      </c>
      <c r="B20" s="1" t="s">
        <v>1275</v>
      </c>
      <c r="C20" s="1" t="s">
        <v>7</v>
      </c>
      <c r="D20" s="1" t="s">
        <v>1242</v>
      </c>
      <c r="E20" s="3">
        <v>32246</v>
      </c>
      <c r="F20" s="1" t="str">
        <f>VLOOKUP(D20,Table17[[Name]:[Native]],3,FALSE)</f>
        <v>金乡县</v>
      </c>
      <c r="G20" s="14" t="str">
        <f ca="1">VLOOKUP(F20,Table17[[Native]:[Population4]],5,FALSE)</f>
        <v>济宁市</v>
      </c>
    </row>
    <row r="21" spans="1:7" ht="15.75" thickBot="1" x14ac:dyDescent="0.3">
      <c r="A21" t="s">
        <v>1276</v>
      </c>
      <c r="B21" s="1" t="s">
        <v>1277</v>
      </c>
      <c r="C21" s="1" t="s">
        <v>61</v>
      </c>
      <c r="D21" s="1" t="s">
        <v>1267</v>
      </c>
      <c r="E21" s="3">
        <v>16371</v>
      </c>
      <c r="F21" s="1" t="str">
        <f>VLOOKUP(D21,Table17[[Name]:[Native]],3,FALSE)</f>
        <v>微山县</v>
      </c>
      <c r="G21" s="14" t="str">
        <f ca="1">VLOOKUP(F21,Table17[[Native]:[Population4]],5,FALSE)</f>
        <v>济宁市</v>
      </c>
    </row>
    <row r="22" spans="1:7" ht="15.75" thickBot="1" x14ac:dyDescent="0.3">
      <c r="A22" t="s">
        <v>1278</v>
      </c>
      <c r="B22" s="1" t="s">
        <v>1279</v>
      </c>
      <c r="C22" s="1" t="s">
        <v>13</v>
      </c>
      <c r="D22" s="1" t="s">
        <v>1280</v>
      </c>
      <c r="E22" s="3">
        <v>37414</v>
      </c>
      <c r="F22" s="1" t="str">
        <f>VLOOKUP(D22,Table17[[Name]:[Native]],3,FALSE)</f>
        <v>泗水县</v>
      </c>
      <c r="G22" s="14" t="str">
        <f ca="1">VLOOKUP(F22,Table17[[Native]:[Population4]],5,FALSE)</f>
        <v>济宁市</v>
      </c>
    </row>
    <row r="23" spans="1:7" ht="15.75" thickBot="1" x14ac:dyDescent="0.3">
      <c r="A23" t="s">
        <v>1281</v>
      </c>
      <c r="B23" s="1" t="s">
        <v>1282</v>
      </c>
      <c r="C23" s="1" t="s">
        <v>7</v>
      </c>
      <c r="D23" s="1" t="s">
        <v>1230</v>
      </c>
      <c r="E23" s="3">
        <v>30852</v>
      </c>
      <c r="F23" s="1" t="str">
        <f>VLOOKUP(D23,Table17[[Name]:[Native]],3,FALSE)</f>
        <v>任城区</v>
      </c>
      <c r="G23" s="14" t="str">
        <f ca="1">VLOOKUP(F23,Table17[[Native]:[Population4]],5,FALSE)</f>
        <v>济宁市</v>
      </c>
    </row>
    <row r="24" spans="1:7" ht="15.75" thickBot="1" x14ac:dyDescent="0.3">
      <c r="A24" t="s">
        <v>1283</v>
      </c>
      <c r="B24" s="1" t="s">
        <v>1284</v>
      </c>
      <c r="C24" s="1" t="s">
        <v>7</v>
      </c>
      <c r="D24" s="1" t="s">
        <v>1230</v>
      </c>
      <c r="E24" s="3">
        <v>65600</v>
      </c>
      <c r="F24" s="1" t="str">
        <f>VLOOKUP(D24,Table17[[Name]:[Native]],3,FALSE)</f>
        <v>任城区</v>
      </c>
      <c r="G24" s="14" t="str">
        <f ca="1">VLOOKUP(F24,Table17[[Native]:[Population4]],5,FALSE)</f>
        <v>济宁市</v>
      </c>
    </row>
    <row r="25" spans="1:7" ht="15.75" thickBot="1" x14ac:dyDescent="0.3">
      <c r="A25" t="s">
        <v>1285</v>
      </c>
      <c r="B25" s="1" t="s">
        <v>1286</v>
      </c>
      <c r="C25" s="1" t="s">
        <v>13</v>
      </c>
      <c r="D25" s="1" t="s">
        <v>1256</v>
      </c>
      <c r="E25" s="3">
        <v>46913</v>
      </c>
      <c r="F25" s="1" t="str">
        <f>VLOOKUP(D25,Table17[[Name]:[Native]],3,FALSE)</f>
        <v>梁山县</v>
      </c>
      <c r="G25" s="14" t="str">
        <f ca="1">VLOOKUP(F25,Table17[[Native]:[Population4]],5,FALSE)</f>
        <v>济宁市</v>
      </c>
    </row>
    <row r="26" spans="1:7" ht="15.75" thickBot="1" x14ac:dyDescent="0.3">
      <c r="A26" t="s">
        <v>1287</v>
      </c>
      <c r="B26" s="1" t="s">
        <v>1288</v>
      </c>
      <c r="C26" s="1" t="s">
        <v>7</v>
      </c>
      <c r="D26" s="1" t="s">
        <v>1230</v>
      </c>
      <c r="E26" s="3">
        <v>62130</v>
      </c>
      <c r="F26" s="1" t="str">
        <f>VLOOKUP(D26,Table17[[Name]:[Native]],3,FALSE)</f>
        <v>任城区</v>
      </c>
      <c r="G26" s="14" t="str">
        <f ca="1">VLOOKUP(F26,Table17[[Native]:[Population4]],5,FALSE)</f>
        <v>济宁市</v>
      </c>
    </row>
    <row r="27" spans="1:7" ht="15.75" thickBot="1" x14ac:dyDescent="0.3">
      <c r="A27" t="s">
        <v>1289</v>
      </c>
      <c r="B27" s="1" t="s">
        <v>1290</v>
      </c>
      <c r="C27" s="1" t="s">
        <v>7</v>
      </c>
      <c r="D27" s="1" t="s">
        <v>1245</v>
      </c>
      <c r="E27" s="3">
        <v>98636</v>
      </c>
      <c r="F27" s="1" t="str">
        <f>VLOOKUP(D27,Table17[[Name]:[Native]],3,FALSE)</f>
        <v>兖州区</v>
      </c>
      <c r="G27" s="14" t="str">
        <f ca="1">VLOOKUP(F27,Table17[[Native]:[Population4]],5,FALSE)</f>
        <v>济宁市</v>
      </c>
    </row>
    <row r="28" spans="1:7" ht="15.75" thickBot="1" x14ac:dyDescent="0.3">
      <c r="A28" t="s">
        <v>1291</v>
      </c>
      <c r="B28" s="1" t="s">
        <v>1292</v>
      </c>
      <c r="C28" s="1" t="s">
        <v>13</v>
      </c>
      <c r="D28" s="1" t="s">
        <v>1233</v>
      </c>
      <c r="E28" s="3">
        <v>31067</v>
      </c>
      <c r="F28" s="1" t="str">
        <f>VLOOKUP(D28,Table17[[Name]:[Native]],3,FALSE)</f>
        <v>汶上县</v>
      </c>
      <c r="G28" s="14" t="str">
        <f ca="1">VLOOKUP(F28,Table17[[Native]:[Population4]],5,FALSE)</f>
        <v>济宁市</v>
      </c>
    </row>
    <row r="29" spans="1:7" ht="15.75" thickBot="1" x14ac:dyDescent="0.3">
      <c r="A29" t="s">
        <v>1293</v>
      </c>
      <c r="B29" s="1" t="s">
        <v>1294</v>
      </c>
      <c r="C29" s="1" t="s">
        <v>13</v>
      </c>
      <c r="D29" s="1" t="s">
        <v>1236</v>
      </c>
      <c r="E29" s="3">
        <v>42555</v>
      </c>
      <c r="F29" s="1" t="str">
        <f>VLOOKUP(D29,Table17[[Name]:[Native]],3,FALSE)</f>
        <v>邹城市</v>
      </c>
      <c r="G29" s="14" t="str">
        <f ca="1">VLOOKUP(F29,Table17[[Native]:[Population4]],5,FALSE)</f>
        <v>济宁市</v>
      </c>
    </row>
    <row r="30" spans="1:7" ht="15.75" thickBot="1" x14ac:dyDescent="0.3">
      <c r="A30" t="s">
        <v>1295</v>
      </c>
      <c r="B30" s="1" t="s">
        <v>1296</v>
      </c>
      <c r="C30" s="1" t="s">
        <v>13</v>
      </c>
      <c r="D30" s="1" t="s">
        <v>1233</v>
      </c>
      <c r="E30" s="3">
        <v>39780</v>
      </c>
      <c r="F30" s="1" t="str">
        <f>VLOOKUP(D30,Table17[[Name]:[Native]],3,FALSE)</f>
        <v>汶上县</v>
      </c>
      <c r="G30" s="14" t="str">
        <f ca="1">VLOOKUP(F30,Table17[[Native]:[Population4]],5,FALSE)</f>
        <v>济宁市</v>
      </c>
    </row>
    <row r="31" spans="1:7" ht="15.75" thickBot="1" x14ac:dyDescent="0.3">
      <c r="A31" t="s">
        <v>1297</v>
      </c>
      <c r="B31" s="1" t="s">
        <v>1298</v>
      </c>
      <c r="C31" s="1" t="s">
        <v>7</v>
      </c>
      <c r="D31" s="1" t="s">
        <v>1239</v>
      </c>
      <c r="E31" s="3">
        <v>37242</v>
      </c>
      <c r="F31" s="1" t="str">
        <f>VLOOKUP(D31,Table17[[Name]:[Native]],3,FALSE)</f>
        <v>鱼台县</v>
      </c>
      <c r="G31" s="14" t="str">
        <f ca="1">VLOOKUP(F31,Table17[[Native]:[Population4]],5,FALSE)</f>
        <v>济宁市</v>
      </c>
    </row>
    <row r="32" spans="1:7" ht="15.75" thickBot="1" x14ac:dyDescent="0.3">
      <c r="A32" t="s">
        <v>1299</v>
      </c>
      <c r="B32" s="1" t="s">
        <v>1300</v>
      </c>
      <c r="C32" s="1" t="s">
        <v>13</v>
      </c>
      <c r="D32" s="1" t="s">
        <v>1256</v>
      </c>
      <c r="E32" s="3">
        <v>54871</v>
      </c>
      <c r="F32" s="1" t="str">
        <f>VLOOKUP(D32,Table17[[Name]:[Native]],3,FALSE)</f>
        <v>梁山县</v>
      </c>
      <c r="G32" s="14" t="str">
        <f ca="1">VLOOKUP(F32,Table17[[Native]:[Population4]],5,FALSE)</f>
        <v>济宁市</v>
      </c>
    </row>
    <row r="33" spans="1:7" ht="15.75" thickBot="1" x14ac:dyDescent="0.3">
      <c r="A33" t="s">
        <v>1301</v>
      </c>
      <c r="B33" s="1" t="s">
        <v>1302</v>
      </c>
      <c r="C33" s="1" t="s">
        <v>13</v>
      </c>
      <c r="D33" s="1" t="s">
        <v>1256</v>
      </c>
      <c r="E33" s="3">
        <v>55142</v>
      </c>
      <c r="F33" s="1" t="str">
        <f>VLOOKUP(D33,Table17[[Name]:[Native]],3,FALSE)</f>
        <v>梁山县</v>
      </c>
      <c r="G33" s="14" t="str">
        <f ca="1">VLOOKUP(F33,Table17[[Native]:[Population4]],5,FALSE)</f>
        <v>济宁市</v>
      </c>
    </row>
    <row r="34" spans="1:7" ht="15.75" thickBot="1" x14ac:dyDescent="0.3">
      <c r="A34" t="s">
        <v>1303</v>
      </c>
      <c r="B34" s="1" t="s">
        <v>1304</v>
      </c>
      <c r="C34" s="1" t="s">
        <v>13</v>
      </c>
      <c r="D34" s="1" t="s">
        <v>1267</v>
      </c>
      <c r="E34" s="3">
        <v>57342</v>
      </c>
      <c r="F34" s="1" t="str">
        <f>VLOOKUP(D34,Table17[[Name]:[Native]],3,FALSE)</f>
        <v>微山县</v>
      </c>
      <c r="G34" s="14" t="str">
        <f ca="1">VLOOKUP(F34,Table17[[Native]:[Population4]],5,FALSE)</f>
        <v>济宁市</v>
      </c>
    </row>
    <row r="35" spans="1:7" ht="15.75" thickBot="1" x14ac:dyDescent="0.3">
      <c r="A35" t="s">
        <v>1305</v>
      </c>
      <c r="B35" s="1" t="s">
        <v>1306</v>
      </c>
      <c r="C35" s="1" t="s">
        <v>13</v>
      </c>
      <c r="D35" s="1" t="s">
        <v>1256</v>
      </c>
      <c r="E35" s="3">
        <v>28819</v>
      </c>
      <c r="F35" s="1" t="str">
        <f>VLOOKUP(D35,Table17[[Name]:[Native]],3,FALSE)</f>
        <v>梁山县</v>
      </c>
      <c r="G35" s="14" t="str">
        <f ca="1">VLOOKUP(F35,Table17[[Native]:[Population4]],5,FALSE)</f>
        <v>济宁市</v>
      </c>
    </row>
    <row r="36" spans="1:7" ht="15.75" thickBot="1" x14ac:dyDescent="0.3">
      <c r="A36" t="s">
        <v>1307</v>
      </c>
      <c r="B36" s="1" t="s">
        <v>1308</v>
      </c>
      <c r="C36" s="1" t="s">
        <v>13</v>
      </c>
      <c r="D36" s="1" t="s">
        <v>1280</v>
      </c>
      <c r="E36" s="3">
        <v>21550</v>
      </c>
      <c r="F36" s="1" t="str">
        <f>VLOOKUP(D36,Table17[[Name]:[Native]],3,FALSE)</f>
        <v>泗水县</v>
      </c>
      <c r="G36" s="14" t="str">
        <f ca="1">VLOOKUP(F36,Table17[[Native]:[Population4]],5,FALSE)</f>
        <v>济宁市</v>
      </c>
    </row>
    <row r="37" spans="1:7" ht="15.75" thickBot="1" x14ac:dyDescent="0.3">
      <c r="A37" t="s">
        <v>1309</v>
      </c>
      <c r="B37" s="1" t="s">
        <v>1310</v>
      </c>
      <c r="C37" s="1" t="s">
        <v>13</v>
      </c>
      <c r="D37" s="1" t="s">
        <v>1267</v>
      </c>
      <c r="E37" s="3">
        <v>84056</v>
      </c>
      <c r="F37" s="1" t="str">
        <f>VLOOKUP(D37,Table17[[Name]:[Native]],3,FALSE)</f>
        <v>微山县</v>
      </c>
      <c r="G37" s="14" t="str">
        <f ca="1">VLOOKUP(F37,Table17[[Native]:[Population4]],5,FALSE)</f>
        <v>济宁市</v>
      </c>
    </row>
    <row r="38" spans="1:7" ht="15.75" thickBot="1" x14ac:dyDescent="0.3">
      <c r="A38" t="s">
        <v>1311</v>
      </c>
      <c r="B38" s="1" t="s">
        <v>1312</v>
      </c>
      <c r="C38" s="1" t="s">
        <v>13</v>
      </c>
      <c r="D38" s="1" t="s">
        <v>1261</v>
      </c>
      <c r="E38" s="3">
        <v>30821</v>
      </c>
      <c r="F38" s="1" t="str">
        <f>VLOOKUP(D38,Table17[[Name]:[Native]],3,FALSE)</f>
        <v>嘉祥县</v>
      </c>
      <c r="G38" s="14" t="str">
        <f ca="1">VLOOKUP(F38,Table17[[Native]:[Population4]],5,FALSE)</f>
        <v>济宁市</v>
      </c>
    </row>
    <row r="39" spans="1:7" ht="15.75" thickBot="1" x14ac:dyDescent="0.3">
      <c r="A39" t="s">
        <v>1313</v>
      </c>
      <c r="B39" s="1" t="s">
        <v>1314</v>
      </c>
      <c r="C39" s="1" t="s">
        <v>7</v>
      </c>
      <c r="D39" s="1" t="s">
        <v>1245</v>
      </c>
      <c r="E39" s="3">
        <v>24060</v>
      </c>
      <c r="F39" s="1" t="str">
        <f>VLOOKUP(D39,Table17[[Name]:[Native]],3,FALSE)</f>
        <v>兖州区</v>
      </c>
      <c r="G39" s="14" t="str">
        <f ca="1">VLOOKUP(F39,Table17[[Native]:[Population4]],5,FALSE)</f>
        <v>济宁市</v>
      </c>
    </row>
    <row r="40" spans="1:7" ht="15.75" thickBot="1" x14ac:dyDescent="0.3">
      <c r="A40" t="s">
        <v>1315</v>
      </c>
      <c r="B40" s="1" t="s">
        <v>1316</v>
      </c>
      <c r="C40" s="1" t="s">
        <v>13</v>
      </c>
      <c r="D40" s="1" t="s">
        <v>1242</v>
      </c>
      <c r="E40" s="3">
        <v>45798</v>
      </c>
      <c r="F40" s="1" t="str">
        <f>VLOOKUP(D40,Table17[[Name]:[Native]],3,FALSE)</f>
        <v>金乡县</v>
      </c>
      <c r="G40" s="14" t="str">
        <f ca="1">VLOOKUP(F40,Table17[[Native]:[Population4]],5,FALSE)</f>
        <v>济宁市</v>
      </c>
    </row>
    <row r="41" spans="1:7" ht="15.75" thickBot="1" x14ac:dyDescent="0.3">
      <c r="A41" t="s">
        <v>79</v>
      </c>
      <c r="B41" s="1" t="s">
        <v>80</v>
      </c>
      <c r="C41" s="1" t="s">
        <v>13</v>
      </c>
      <c r="D41" s="1" t="s">
        <v>1242</v>
      </c>
      <c r="E41" s="3">
        <v>59504</v>
      </c>
      <c r="F41" s="1" t="str">
        <f>VLOOKUP(D41,Table17[[Name]:[Native]],3,FALSE)</f>
        <v>金乡县</v>
      </c>
      <c r="G41" s="14" t="str">
        <f ca="1">VLOOKUP(F41,Table17[[Native]:[Population4]],5,FALSE)</f>
        <v>济宁市</v>
      </c>
    </row>
    <row r="42" spans="1:7" ht="15.75" thickBot="1" x14ac:dyDescent="0.3">
      <c r="A42" t="s">
        <v>1317</v>
      </c>
      <c r="B42" s="1" t="s">
        <v>1318</v>
      </c>
      <c r="C42" s="1" t="s">
        <v>7</v>
      </c>
      <c r="D42" s="1" t="s">
        <v>1261</v>
      </c>
      <c r="E42" s="3">
        <v>108407</v>
      </c>
      <c r="F42" s="1" t="str">
        <f>VLOOKUP(D42,Table17[[Name]:[Native]],3,FALSE)</f>
        <v>嘉祥县</v>
      </c>
      <c r="G42" s="14" t="str">
        <f ca="1">VLOOKUP(F42,Table17[[Native]:[Population4]],5,FALSE)</f>
        <v>济宁市</v>
      </c>
    </row>
    <row r="43" spans="1:7" ht="15.75" thickBot="1" x14ac:dyDescent="0.3">
      <c r="A43" t="s">
        <v>1319</v>
      </c>
      <c r="B43" s="1" t="s">
        <v>1320</v>
      </c>
      <c r="C43" s="1" t="s">
        <v>7</v>
      </c>
      <c r="D43" s="1" t="s">
        <v>1230</v>
      </c>
      <c r="E43" s="3">
        <v>64512</v>
      </c>
      <c r="F43" s="1" t="str">
        <f>VLOOKUP(D43,Table17[[Name]:[Native]],3,FALSE)</f>
        <v>任城区</v>
      </c>
      <c r="G43" s="14" t="str">
        <f ca="1">VLOOKUP(F43,Table17[[Native]:[Population4]],5,FALSE)</f>
        <v>济宁市</v>
      </c>
    </row>
    <row r="44" spans="1:7" ht="15.75" thickBot="1" x14ac:dyDescent="0.3">
      <c r="A44" t="s">
        <v>1321</v>
      </c>
      <c r="B44" s="1" t="s">
        <v>1322</v>
      </c>
      <c r="C44" s="1" t="s">
        <v>7</v>
      </c>
      <c r="D44" s="1" t="s">
        <v>1280</v>
      </c>
      <c r="E44" s="3">
        <v>59145</v>
      </c>
      <c r="F44" s="1" t="str">
        <f>VLOOKUP(D44,Table17[[Name]:[Native]],3,FALSE)</f>
        <v>泗水县</v>
      </c>
      <c r="G44" s="14" t="str">
        <f ca="1">VLOOKUP(F44,Table17[[Native]:[Population4]],5,FALSE)</f>
        <v>济宁市</v>
      </c>
    </row>
    <row r="45" spans="1:7" ht="15.75" thickBot="1" x14ac:dyDescent="0.3">
      <c r="A45" t="s">
        <v>298</v>
      </c>
      <c r="B45" s="1" t="s">
        <v>1323</v>
      </c>
      <c r="C45" s="1" t="s">
        <v>7</v>
      </c>
      <c r="D45" s="1" t="s">
        <v>1230</v>
      </c>
      <c r="E45" s="3">
        <v>87556</v>
      </c>
      <c r="F45" s="1" t="str">
        <f>VLOOKUP(D45,Table17[[Name]:[Native]],3,FALSE)</f>
        <v>任城区</v>
      </c>
      <c r="G45" s="14" t="str">
        <f ca="1">VLOOKUP(F45,Table17[[Native]:[Population4]],5,FALSE)</f>
        <v>济宁市</v>
      </c>
    </row>
    <row r="46" spans="1:7" ht="15.75" thickBot="1" x14ac:dyDescent="0.3">
      <c r="A46" t="s">
        <v>1324</v>
      </c>
      <c r="B46" s="1" t="s">
        <v>1325</v>
      </c>
      <c r="C46" s="1" t="s">
        <v>13</v>
      </c>
      <c r="D46" s="1" t="s">
        <v>1261</v>
      </c>
      <c r="E46" s="3">
        <v>58967</v>
      </c>
      <c r="F46" s="1" t="str">
        <f>VLOOKUP(D46,Table17[[Name]:[Native]],3,FALSE)</f>
        <v>嘉祥县</v>
      </c>
      <c r="G46" s="14" t="str">
        <f ca="1">VLOOKUP(F46,Table17[[Native]:[Population4]],5,FALSE)</f>
        <v>济宁市</v>
      </c>
    </row>
    <row r="47" spans="1:7" ht="15.75" thickBot="1" x14ac:dyDescent="0.3">
      <c r="A47" t="s">
        <v>1326</v>
      </c>
      <c r="B47" s="1" t="s">
        <v>1327</v>
      </c>
      <c r="C47" s="1" t="s">
        <v>7</v>
      </c>
      <c r="D47" s="1" t="s">
        <v>1242</v>
      </c>
      <c r="E47" s="3">
        <v>96018</v>
      </c>
      <c r="F47" s="1" t="str">
        <f>VLOOKUP(D47,Table17[[Name]:[Native]],3,FALSE)</f>
        <v>金乡县</v>
      </c>
      <c r="G47" s="14" t="str">
        <f ca="1">VLOOKUP(F47,Table17[[Native]:[Population4]],5,FALSE)</f>
        <v>济宁市</v>
      </c>
    </row>
    <row r="48" spans="1:7" ht="15.75" thickBot="1" x14ac:dyDescent="0.3">
      <c r="A48" t="s">
        <v>1328</v>
      </c>
      <c r="B48" s="1" t="s">
        <v>1329</v>
      </c>
      <c r="C48" s="1" t="s">
        <v>13</v>
      </c>
      <c r="D48" s="1" t="s">
        <v>1280</v>
      </c>
      <c r="E48" s="3">
        <v>47288</v>
      </c>
      <c r="F48" s="1" t="str">
        <f>VLOOKUP(D48,Table17[[Name]:[Native]],3,FALSE)</f>
        <v>泗水县</v>
      </c>
      <c r="G48" s="14" t="str">
        <f ca="1">VLOOKUP(F48,Table17[[Native]:[Population4]],5,FALSE)</f>
        <v>济宁市</v>
      </c>
    </row>
    <row r="49" spans="1:7" ht="15.75" thickBot="1" x14ac:dyDescent="0.3">
      <c r="A49" t="s">
        <v>1330</v>
      </c>
      <c r="B49" s="1" t="s">
        <v>1331</v>
      </c>
      <c r="C49" s="1" t="s">
        <v>13</v>
      </c>
      <c r="D49" s="1" t="s">
        <v>1242</v>
      </c>
      <c r="E49" s="3">
        <v>58829</v>
      </c>
      <c r="F49" s="1" t="str">
        <f>VLOOKUP(D49,Table17[[Name]:[Native]],3,FALSE)</f>
        <v>金乡县</v>
      </c>
      <c r="G49" s="14" t="str">
        <f ca="1">VLOOKUP(F49,Table17[[Native]:[Population4]],5,FALSE)</f>
        <v>济宁市</v>
      </c>
    </row>
    <row r="50" spans="1:7" ht="15.75" thickBot="1" x14ac:dyDescent="0.3">
      <c r="A50" t="s">
        <v>1332</v>
      </c>
      <c r="B50" s="1" t="s">
        <v>1333</v>
      </c>
      <c r="C50" s="1" t="s">
        <v>7</v>
      </c>
      <c r="D50" s="1" t="s">
        <v>1245</v>
      </c>
      <c r="E50" s="3">
        <v>33991</v>
      </c>
      <c r="F50" s="1" t="str">
        <f>VLOOKUP(D50,Table17[[Name]:[Native]],3,FALSE)</f>
        <v>兖州区</v>
      </c>
      <c r="G50" s="14" t="str">
        <f ca="1">VLOOKUP(F50,Table17[[Native]:[Population4]],5,FALSE)</f>
        <v>济宁市</v>
      </c>
    </row>
    <row r="51" spans="1:7" ht="15.75" thickBot="1" x14ac:dyDescent="0.3">
      <c r="A51" t="s">
        <v>1030</v>
      </c>
      <c r="B51" s="1" t="s">
        <v>1031</v>
      </c>
      <c r="C51" s="1" t="s">
        <v>7</v>
      </c>
      <c r="D51" s="1" t="s">
        <v>1230</v>
      </c>
      <c r="E51" s="3">
        <v>38075</v>
      </c>
      <c r="F51" s="1" t="str">
        <f>VLOOKUP(D51,Table17[[Name]:[Native]],3,FALSE)</f>
        <v>任城区</v>
      </c>
      <c r="G51" s="14" t="str">
        <f ca="1">VLOOKUP(F51,Table17[[Native]:[Population4]],5,FALSE)</f>
        <v>济宁市</v>
      </c>
    </row>
    <row r="52" spans="1:7" ht="15.75" thickBot="1" x14ac:dyDescent="0.3">
      <c r="A52" t="s">
        <v>1334</v>
      </c>
      <c r="B52" s="1" t="s">
        <v>1335</v>
      </c>
      <c r="C52" s="1" t="s">
        <v>61</v>
      </c>
      <c r="D52" s="1" t="s">
        <v>1233</v>
      </c>
      <c r="E52" s="3">
        <v>21002</v>
      </c>
      <c r="F52" s="1" t="str">
        <f>VLOOKUP(D52,Table17[[Name]:[Native]],3,FALSE)</f>
        <v>汶上县</v>
      </c>
      <c r="G52" s="14" t="str">
        <f ca="1">VLOOKUP(F52,Table17[[Native]:[Population4]],5,FALSE)</f>
        <v>济宁市</v>
      </c>
    </row>
    <row r="53" spans="1:7" ht="15.75" thickBot="1" x14ac:dyDescent="0.3">
      <c r="A53" t="s">
        <v>1336</v>
      </c>
      <c r="B53" s="1" t="s">
        <v>1337</v>
      </c>
      <c r="C53" s="1" t="s">
        <v>13</v>
      </c>
      <c r="D53" s="1" t="s">
        <v>1233</v>
      </c>
      <c r="E53" s="3">
        <v>69191</v>
      </c>
      <c r="F53" s="1" t="str">
        <f>VLOOKUP(D53,Table17[[Name]:[Native]],3,FALSE)</f>
        <v>汶上县</v>
      </c>
      <c r="G53" s="14" t="str">
        <f ca="1">VLOOKUP(F53,Table17[[Native]:[Population4]],5,FALSE)</f>
        <v>济宁市</v>
      </c>
    </row>
    <row r="54" spans="1:7" ht="15.75" thickBot="1" x14ac:dyDescent="0.3">
      <c r="A54" t="s">
        <v>1338</v>
      </c>
      <c r="B54" s="1" t="s">
        <v>1339</v>
      </c>
      <c r="C54" s="1" t="s">
        <v>13</v>
      </c>
      <c r="D54" s="1" t="s">
        <v>1236</v>
      </c>
      <c r="E54" s="3">
        <v>31460</v>
      </c>
      <c r="F54" s="1" t="str">
        <f>VLOOKUP(D54,Table17[[Name]:[Native]],3,FALSE)</f>
        <v>邹城市</v>
      </c>
      <c r="G54" s="14" t="str">
        <f ca="1">VLOOKUP(F54,Table17[[Native]:[Population4]],5,FALSE)</f>
        <v>济宁市</v>
      </c>
    </row>
    <row r="55" spans="1:7" ht="15.75" thickBot="1" x14ac:dyDescent="0.3">
      <c r="A55" t="s">
        <v>1340</v>
      </c>
      <c r="B55" s="1" t="s">
        <v>1341</v>
      </c>
      <c r="C55" s="1" t="s">
        <v>13</v>
      </c>
      <c r="D55" s="1" t="s">
        <v>1261</v>
      </c>
      <c r="E55" s="3">
        <v>38458</v>
      </c>
      <c r="F55" s="1" t="str">
        <f>VLOOKUP(D55,Table17[[Name]:[Native]],3,FALSE)</f>
        <v>嘉祥县</v>
      </c>
      <c r="G55" s="14" t="str">
        <f ca="1">VLOOKUP(F55,Table17[[Native]:[Population4]],5,FALSE)</f>
        <v>济宁市</v>
      </c>
    </row>
    <row r="56" spans="1:7" ht="15.75" thickBot="1" x14ac:dyDescent="0.3">
      <c r="A56" t="s">
        <v>1342</v>
      </c>
      <c r="B56" s="1" t="s">
        <v>1343</v>
      </c>
      <c r="C56" s="1" t="s">
        <v>13</v>
      </c>
      <c r="D56" s="1" t="s">
        <v>1239</v>
      </c>
      <c r="E56" s="3">
        <v>24593</v>
      </c>
      <c r="F56" s="1" t="str">
        <f>VLOOKUP(D56,Table17[[Name]:[Native]],3,FALSE)</f>
        <v>鱼台县</v>
      </c>
      <c r="G56" s="14" t="str">
        <f ca="1">VLOOKUP(F56,Table17[[Native]:[Population4]],5,FALSE)</f>
        <v>济宁市</v>
      </c>
    </row>
    <row r="57" spans="1:7" ht="15.75" thickBot="1" x14ac:dyDescent="0.3">
      <c r="A57" t="s">
        <v>1344</v>
      </c>
      <c r="B57" s="1" t="s">
        <v>1345</v>
      </c>
      <c r="C57" s="1" t="s">
        <v>13</v>
      </c>
      <c r="D57" s="1" t="s">
        <v>1261</v>
      </c>
      <c r="E57" s="3">
        <v>64944</v>
      </c>
      <c r="F57" s="1" t="str">
        <f>VLOOKUP(D57,Table17[[Name]:[Native]],3,FALSE)</f>
        <v>嘉祥县</v>
      </c>
      <c r="G57" s="14" t="str">
        <f ca="1">VLOOKUP(F57,Table17[[Native]:[Population4]],5,FALSE)</f>
        <v>济宁市</v>
      </c>
    </row>
    <row r="58" spans="1:7" ht="15.75" thickBot="1" x14ac:dyDescent="0.3">
      <c r="A58" t="s">
        <v>1346</v>
      </c>
      <c r="B58" s="1" t="s">
        <v>1347</v>
      </c>
      <c r="C58" s="1" t="s">
        <v>13</v>
      </c>
      <c r="D58" s="1" t="s">
        <v>1267</v>
      </c>
      <c r="E58" s="3">
        <v>60258</v>
      </c>
      <c r="F58" s="1" t="str">
        <f>VLOOKUP(D58,Table17[[Name]:[Native]],3,FALSE)</f>
        <v>微山县</v>
      </c>
      <c r="G58" s="14" t="str">
        <f ca="1">VLOOKUP(F58,Table17[[Native]:[Population4]],5,FALSE)</f>
        <v>济宁市</v>
      </c>
    </row>
    <row r="59" spans="1:7" ht="15.75" thickBot="1" x14ac:dyDescent="0.3">
      <c r="A59" t="s">
        <v>1348</v>
      </c>
      <c r="B59" s="1" t="s">
        <v>1349</v>
      </c>
      <c r="C59" s="1" t="s">
        <v>7</v>
      </c>
      <c r="D59" s="1" t="s">
        <v>1256</v>
      </c>
      <c r="E59" s="3">
        <v>80415</v>
      </c>
      <c r="F59" s="1" t="str">
        <f>VLOOKUP(D59,Table17[[Name]:[Native]],3,FALSE)</f>
        <v>梁山县</v>
      </c>
      <c r="G59" s="14" t="str">
        <f ca="1">VLOOKUP(F59,Table17[[Native]:[Population4]],5,FALSE)</f>
        <v>济宁市</v>
      </c>
    </row>
    <row r="60" spans="1:7" ht="15.75" thickBot="1" x14ac:dyDescent="0.3">
      <c r="A60" t="s">
        <v>1350</v>
      </c>
      <c r="B60" s="1" t="s">
        <v>1351</v>
      </c>
      <c r="C60" s="1" t="s">
        <v>13</v>
      </c>
      <c r="D60" s="1" t="s">
        <v>1239</v>
      </c>
      <c r="E60" s="3">
        <v>37330</v>
      </c>
      <c r="F60" s="1" t="str">
        <f>VLOOKUP(D60,Table17[[Name]:[Native]],3,FALSE)</f>
        <v>鱼台县</v>
      </c>
      <c r="G60" s="14" t="str">
        <f ca="1">VLOOKUP(F60,Table17[[Native]:[Population4]],5,FALSE)</f>
        <v>济宁市</v>
      </c>
    </row>
    <row r="61" spans="1:7" ht="15.75" thickBot="1" x14ac:dyDescent="0.3">
      <c r="A61" t="s">
        <v>1352</v>
      </c>
      <c r="B61" s="1" t="s">
        <v>1353</v>
      </c>
      <c r="C61" s="1" t="s">
        <v>13</v>
      </c>
      <c r="D61" s="1" t="s">
        <v>1264</v>
      </c>
      <c r="E61" s="3">
        <v>60259</v>
      </c>
      <c r="F61" s="1" t="str">
        <f>VLOOKUP(D61,Table17[[Name]:[Native]],3,FALSE)</f>
        <v>曲阜市</v>
      </c>
      <c r="G61" s="14" t="str">
        <f ca="1">VLOOKUP(F61,Table17[[Native]:[Population4]],5,FALSE)</f>
        <v>济宁市</v>
      </c>
    </row>
    <row r="62" spans="1:7" ht="15.75" thickBot="1" x14ac:dyDescent="0.3">
      <c r="A62" t="s">
        <v>746</v>
      </c>
      <c r="B62" s="1" t="s">
        <v>747</v>
      </c>
      <c r="C62" s="1" t="s">
        <v>13</v>
      </c>
      <c r="D62" s="1" t="s">
        <v>1233</v>
      </c>
      <c r="E62" s="3">
        <v>33429</v>
      </c>
      <c r="F62" s="1" t="str">
        <f>VLOOKUP(D62,Table17[[Name]:[Native]],3,FALSE)</f>
        <v>汶上县</v>
      </c>
      <c r="G62" s="14" t="str">
        <f ca="1">VLOOKUP(F62,Table17[[Native]:[Population4]],5,FALSE)</f>
        <v>济宁市</v>
      </c>
    </row>
    <row r="63" spans="1:7" ht="15.75" thickBot="1" x14ac:dyDescent="0.3">
      <c r="A63" t="s">
        <v>1354</v>
      </c>
      <c r="B63" s="1" t="s">
        <v>1355</v>
      </c>
      <c r="C63" s="1" t="s">
        <v>7</v>
      </c>
      <c r="D63" s="1" t="s">
        <v>1230</v>
      </c>
      <c r="E63" s="3">
        <v>36530</v>
      </c>
      <c r="F63" s="1" t="str">
        <f>VLOOKUP(D63,Table17[[Name]:[Native]],3,FALSE)</f>
        <v>任城区</v>
      </c>
      <c r="G63" s="14" t="str">
        <f ca="1">VLOOKUP(F63,Table17[[Native]:[Population4]],5,FALSE)</f>
        <v>济宁市</v>
      </c>
    </row>
    <row r="64" spans="1:7" ht="15.75" thickBot="1" x14ac:dyDescent="0.3">
      <c r="A64" t="s">
        <v>1356</v>
      </c>
      <c r="B64" s="1" t="s">
        <v>1357</v>
      </c>
      <c r="C64" s="1" t="s">
        <v>13</v>
      </c>
      <c r="D64" s="1" t="s">
        <v>1267</v>
      </c>
      <c r="E64" s="3">
        <v>50386</v>
      </c>
      <c r="F64" s="1" t="str">
        <f>VLOOKUP(D64,Table17[[Name]:[Native]],3,FALSE)</f>
        <v>微山县</v>
      </c>
      <c r="G64" s="14" t="str">
        <f ca="1">VLOOKUP(F64,Table17[[Native]:[Population4]],5,FALSE)</f>
        <v>济宁市</v>
      </c>
    </row>
    <row r="65" spans="1:7" ht="15.75" thickBot="1" x14ac:dyDescent="0.3">
      <c r="A65" t="s">
        <v>1358</v>
      </c>
      <c r="B65" s="1" t="s">
        <v>1359</v>
      </c>
      <c r="C65" s="1" t="s">
        <v>7</v>
      </c>
      <c r="D65" s="1" t="s">
        <v>1230</v>
      </c>
      <c r="E65" s="3">
        <v>88346</v>
      </c>
      <c r="F65" s="1" t="str">
        <f>VLOOKUP(D65,Table17[[Name]:[Native]],3,FALSE)</f>
        <v>任城区</v>
      </c>
      <c r="G65" s="14" t="str">
        <f ca="1">VLOOKUP(F65,Table17[[Native]:[Population4]],5,FALSE)</f>
        <v>济宁市</v>
      </c>
    </row>
    <row r="66" spans="1:7" ht="15.75" thickBot="1" x14ac:dyDescent="0.3">
      <c r="A66" t="s">
        <v>1360</v>
      </c>
      <c r="B66" s="1" t="s">
        <v>1361</v>
      </c>
      <c r="C66" s="1" t="s">
        <v>7</v>
      </c>
      <c r="D66" s="1" t="s">
        <v>1245</v>
      </c>
      <c r="E66" s="3">
        <v>38081</v>
      </c>
      <c r="F66" s="1" t="str">
        <f>VLOOKUP(D66,Table17[[Name]:[Native]],3,FALSE)</f>
        <v>兖州区</v>
      </c>
      <c r="G66" s="14" t="str">
        <f ca="1">VLOOKUP(F66,Table17[[Native]:[Population4]],5,FALSE)</f>
        <v>济宁市</v>
      </c>
    </row>
    <row r="67" spans="1:7" ht="15.75" thickBot="1" x14ac:dyDescent="0.3">
      <c r="A67" t="s">
        <v>1362</v>
      </c>
      <c r="B67" s="1" t="s">
        <v>1363</v>
      </c>
      <c r="C67" s="1" t="s">
        <v>7</v>
      </c>
      <c r="D67" s="1" t="s">
        <v>1264</v>
      </c>
      <c r="E67" s="3">
        <v>159062</v>
      </c>
      <c r="F67" s="1" t="str">
        <f>VLOOKUP(D67,Table17[[Name]:[Native]],3,FALSE)</f>
        <v>曲阜市</v>
      </c>
      <c r="G67" s="14" t="str">
        <f ca="1">VLOOKUP(F67,Table17[[Native]:[Population4]],5,FALSE)</f>
        <v>济宁市</v>
      </c>
    </row>
    <row r="68" spans="1:7" ht="15.75" thickBot="1" x14ac:dyDescent="0.3">
      <c r="A68" t="s">
        <v>1364</v>
      </c>
      <c r="B68" s="1" t="s">
        <v>1365</v>
      </c>
      <c r="C68" s="1" t="s">
        <v>13</v>
      </c>
      <c r="D68" s="1" t="s">
        <v>1239</v>
      </c>
      <c r="E68" s="3">
        <v>28925</v>
      </c>
      <c r="F68" s="1" t="str">
        <f>VLOOKUP(D68,Table17[[Name]:[Native]],3,FALSE)</f>
        <v>鱼台县</v>
      </c>
      <c r="G68" s="14" t="str">
        <f ca="1">VLOOKUP(F68,Table17[[Native]:[Population4]],5,FALSE)</f>
        <v>济宁市</v>
      </c>
    </row>
    <row r="69" spans="1:7" ht="15.75" thickBot="1" x14ac:dyDescent="0.3">
      <c r="A69" t="s">
        <v>1366</v>
      </c>
      <c r="B69" s="1" t="s">
        <v>1367</v>
      </c>
      <c r="C69" s="1" t="s">
        <v>13</v>
      </c>
      <c r="D69" s="1" t="s">
        <v>1267</v>
      </c>
      <c r="E69" s="3">
        <v>44325</v>
      </c>
      <c r="F69" s="1" t="str">
        <f>VLOOKUP(D69,Table17[[Name]:[Native]],3,FALSE)</f>
        <v>微山县</v>
      </c>
      <c r="G69" s="14" t="str">
        <f ca="1">VLOOKUP(F69,Table17[[Native]:[Population4]],5,FALSE)</f>
        <v>济宁市</v>
      </c>
    </row>
    <row r="70" spans="1:7" ht="15.75" thickBot="1" x14ac:dyDescent="0.3">
      <c r="A70" t="s">
        <v>1368</v>
      </c>
      <c r="B70" s="1" t="s">
        <v>1369</v>
      </c>
      <c r="C70" s="1" t="s">
        <v>13</v>
      </c>
      <c r="D70" s="1" t="s">
        <v>1261</v>
      </c>
      <c r="E70" s="3">
        <v>41359</v>
      </c>
      <c r="F70" s="1" t="str">
        <f>VLOOKUP(D70,Table17[[Name]:[Native]],3,FALSE)</f>
        <v>嘉祥县</v>
      </c>
      <c r="G70" s="14" t="str">
        <f ca="1">VLOOKUP(F70,Table17[[Native]:[Population4]],5,FALSE)</f>
        <v>济宁市</v>
      </c>
    </row>
    <row r="71" spans="1:7" ht="15.75" thickBot="1" x14ac:dyDescent="0.3">
      <c r="A71" t="s">
        <v>334</v>
      </c>
      <c r="B71" s="1" t="s">
        <v>335</v>
      </c>
      <c r="C71" s="1" t="s">
        <v>13</v>
      </c>
      <c r="D71" s="1" t="s">
        <v>1261</v>
      </c>
      <c r="E71" s="3">
        <v>37526</v>
      </c>
      <c r="F71" s="1" t="str">
        <f>VLOOKUP(D71,Table17[[Name]:[Native]],3,FALSE)</f>
        <v>嘉祥县</v>
      </c>
      <c r="G71" s="14" t="str">
        <f ca="1">VLOOKUP(F71,Table17[[Native]:[Population4]],5,FALSE)</f>
        <v>济宁市</v>
      </c>
    </row>
    <row r="72" spans="1:7" ht="15.75" thickBot="1" x14ac:dyDescent="0.3">
      <c r="A72" t="s">
        <v>1370</v>
      </c>
      <c r="B72" s="1" t="s">
        <v>1371</v>
      </c>
      <c r="C72" s="1" t="s">
        <v>13</v>
      </c>
      <c r="D72" s="1" t="s">
        <v>1242</v>
      </c>
      <c r="E72" s="3">
        <v>52762</v>
      </c>
      <c r="F72" s="1" t="str">
        <f>VLOOKUP(D72,Table17[[Name]:[Native]],3,FALSE)</f>
        <v>金乡县</v>
      </c>
      <c r="G72" s="14" t="str">
        <f ca="1">VLOOKUP(F72,Table17[[Native]:[Population4]],5,FALSE)</f>
        <v>济宁市</v>
      </c>
    </row>
    <row r="73" spans="1:7" ht="15.75" thickBot="1" x14ac:dyDescent="0.3">
      <c r="A73" t="s">
        <v>1372</v>
      </c>
      <c r="B73" s="1" t="s">
        <v>1373</v>
      </c>
      <c r="C73" s="1" t="s">
        <v>13</v>
      </c>
      <c r="D73" s="1" t="s">
        <v>1261</v>
      </c>
      <c r="E73" s="3">
        <v>31997</v>
      </c>
      <c r="F73" s="1" t="str">
        <f>VLOOKUP(D73,Table17[[Name]:[Native]],3,FALSE)</f>
        <v>嘉祥县</v>
      </c>
      <c r="G73" s="14" t="str">
        <f ca="1">VLOOKUP(F73,Table17[[Native]:[Population4]],5,FALSE)</f>
        <v>济宁市</v>
      </c>
    </row>
    <row r="74" spans="1:7" ht="15.75" thickBot="1" x14ac:dyDescent="0.3">
      <c r="A74" t="s">
        <v>1374</v>
      </c>
      <c r="B74" s="1" t="s">
        <v>1375</v>
      </c>
      <c r="C74" s="1" t="s">
        <v>13</v>
      </c>
      <c r="D74" s="1" t="s">
        <v>1267</v>
      </c>
      <c r="E74" s="3">
        <v>53155</v>
      </c>
      <c r="F74" s="1" t="str">
        <f>VLOOKUP(D74,Table17[[Name]:[Native]],3,FALSE)</f>
        <v>微山县</v>
      </c>
      <c r="G74" s="14" t="str">
        <f ca="1">VLOOKUP(F74,Table17[[Native]:[Population4]],5,FALSE)</f>
        <v>济宁市</v>
      </c>
    </row>
    <row r="75" spans="1:7" ht="15.75" thickBot="1" x14ac:dyDescent="0.3">
      <c r="A75" t="s">
        <v>1376</v>
      </c>
      <c r="B75" s="1" t="s">
        <v>1377</v>
      </c>
      <c r="C75" s="1" t="s">
        <v>13</v>
      </c>
      <c r="D75" s="1" t="s">
        <v>1256</v>
      </c>
      <c r="E75" s="3">
        <v>30916</v>
      </c>
      <c r="F75" s="1" t="str">
        <f>VLOOKUP(D75,Table17[[Name]:[Native]],3,FALSE)</f>
        <v>梁山县</v>
      </c>
      <c r="G75" s="14" t="str">
        <f ca="1">VLOOKUP(F75,Table17[[Native]:[Population4]],5,FALSE)</f>
        <v>济宁市</v>
      </c>
    </row>
    <row r="76" spans="1:7" ht="15.75" thickBot="1" x14ac:dyDescent="0.3">
      <c r="A76" t="s">
        <v>1378</v>
      </c>
      <c r="B76" s="1" t="s">
        <v>1379</v>
      </c>
      <c r="C76" s="1" t="s">
        <v>13</v>
      </c>
      <c r="D76" s="1" t="s">
        <v>1261</v>
      </c>
      <c r="E76" s="3">
        <v>37751</v>
      </c>
      <c r="F76" s="1" t="str">
        <f>VLOOKUP(D76,Table17[[Name]:[Native]],3,FALSE)</f>
        <v>嘉祥县</v>
      </c>
      <c r="G76" s="14" t="str">
        <f ca="1">VLOOKUP(F76,Table17[[Native]:[Population4]],5,FALSE)</f>
        <v>济宁市</v>
      </c>
    </row>
    <row r="77" spans="1:7" ht="15.75" thickBot="1" x14ac:dyDescent="0.3">
      <c r="A77" t="s">
        <v>1380</v>
      </c>
      <c r="B77" s="1" t="s">
        <v>1381</v>
      </c>
      <c r="C77" s="1" t="s">
        <v>13</v>
      </c>
      <c r="D77" s="1" t="s">
        <v>1280</v>
      </c>
      <c r="E77" s="3">
        <v>44700</v>
      </c>
      <c r="F77" s="1" t="str">
        <f>VLOOKUP(D77,Table17[[Name]:[Native]],3,FALSE)</f>
        <v>泗水县</v>
      </c>
      <c r="G77" s="14" t="str">
        <f ca="1">VLOOKUP(F77,Table17[[Native]:[Population4]],5,FALSE)</f>
        <v>济宁市</v>
      </c>
    </row>
    <row r="78" spans="1:7" ht="15.75" thickBot="1" x14ac:dyDescent="0.3">
      <c r="A78" t="s">
        <v>1382</v>
      </c>
      <c r="B78" s="1" t="s">
        <v>1383</v>
      </c>
      <c r="C78" s="1" t="s">
        <v>13</v>
      </c>
      <c r="D78" s="1" t="s">
        <v>1233</v>
      </c>
      <c r="E78" s="3">
        <v>52452</v>
      </c>
      <c r="F78" s="1" t="str">
        <f>VLOOKUP(D78,Table17[[Name]:[Native]],3,FALSE)</f>
        <v>汶上县</v>
      </c>
      <c r="G78" s="14" t="str">
        <f ca="1">VLOOKUP(F78,Table17[[Native]:[Population4]],5,FALSE)</f>
        <v>济宁市</v>
      </c>
    </row>
    <row r="79" spans="1:7" ht="15.75" thickBot="1" x14ac:dyDescent="0.3">
      <c r="A79" t="s">
        <v>1384</v>
      </c>
      <c r="B79" s="1" t="s">
        <v>1385</v>
      </c>
      <c r="C79" s="1" t="s">
        <v>13</v>
      </c>
      <c r="D79" s="1" t="s">
        <v>1267</v>
      </c>
      <c r="E79" s="3">
        <v>24467</v>
      </c>
      <c r="F79" s="1" t="str">
        <f>VLOOKUP(D79,Table17[[Name]:[Native]],3,FALSE)</f>
        <v>微山县</v>
      </c>
      <c r="G79" s="14" t="str">
        <f ca="1">VLOOKUP(F79,Table17[[Native]:[Population4]],5,FALSE)</f>
        <v>济宁市</v>
      </c>
    </row>
    <row r="80" spans="1:7" ht="15.75" thickBot="1" x14ac:dyDescent="0.3">
      <c r="A80" t="s">
        <v>1386</v>
      </c>
      <c r="B80" s="1" t="s">
        <v>1387</v>
      </c>
      <c r="C80" s="1" t="s">
        <v>7</v>
      </c>
      <c r="D80" s="1" t="s">
        <v>1230</v>
      </c>
      <c r="E80" s="3">
        <v>39976</v>
      </c>
      <c r="F80" s="1" t="str">
        <f>VLOOKUP(D80,Table17[[Name]:[Native]],3,FALSE)</f>
        <v>任城区</v>
      </c>
      <c r="G80" s="14" t="str">
        <f ca="1">VLOOKUP(F80,Table17[[Native]:[Population4]],5,FALSE)</f>
        <v>济宁市</v>
      </c>
    </row>
    <row r="81" spans="1:7" ht="15.75" thickBot="1" x14ac:dyDescent="0.3">
      <c r="A81" t="s">
        <v>1388</v>
      </c>
      <c r="B81" s="1" t="s">
        <v>1389</v>
      </c>
      <c r="C81" s="1" t="s">
        <v>7</v>
      </c>
      <c r="D81" s="1" t="s">
        <v>1230</v>
      </c>
      <c r="E81" s="3">
        <v>62527</v>
      </c>
      <c r="F81" s="1" t="str">
        <f>VLOOKUP(D81,Table17[[Name]:[Native]],3,FALSE)</f>
        <v>任城区</v>
      </c>
      <c r="G81" s="14" t="str">
        <f ca="1">VLOOKUP(F81,Table17[[Native]:[Population4]],5,FALSE)</f>
        <v>济宁市</v>
      </c>
    </row>
    <row r="82" spans="1:7" ht="15.75" thickBot="1" x14ac:dyDescent="0.3">
      <c r="A82" t="s">
        <v>1390</v>
      </c>
      <c r="B82" s="1" t="s">
        <v>1391</v>
      </c>
      <c r="C82" s="1" t="s">
        <v>7</v>
      </c>
      <c r="D82" s="1" t="s">
        <v>1233</v>
      </c>
      <c r="E82" s="3">
        <v>70086</v>
      </c>
      <c r="F82" s="1" t="str">
        <f>VLOOKUP(D82,Table17[[Name]:[Native]],3,FALSE)</f>
        <v>汶上县</v>
      </c>
      <c r="G82" s="14" t="str">
        <f ca="1">VLOOKUP(F82,Table17[[Native]:[Population4]],5,FALSE)</f>
        <v>济宁市</v>
      </c>
    </row>
    <row r="83" spans="1:7" ht="15.75" thickBot="1" x14ac:dyDescent="0.3">
      <c r="A83" t="s">
        <v>1392</v>
      </c>
      <c r="B83" s="1" t="s">
        <v>1393</v>
      </c>
      <c r="C83" s="1" t="s">
        <v>7</v>
      </c>
      <c r="D83" s="1" t="s">
        <v>1230</v>
      </c>
      <c r="E83" s="3">
        <v>46645</v>
      </c>
      <c r="F83" s="1" t="str">
        <f>VLOOKUP(D83,Table17[[Name]:[Native]],3,FALSE)</f>
        <v>任城区</v>
      </c>
      <c r="G83" s="14" t="str">
        <f ca="1">VLOOKUP(F83,Table17[[Native]:[Population4]],5,FALSE)</f>
        <v>济宁市</v>
      </c>
    </row>
    <row r="84" spans="1:7" ht="15.75" thickBot="1" x14ac:dyDescent="0.3">
      <c r="A84" t="s">
        <v>1394</v>
      </c>
      <c r="B84" s="1" t="s">
        <v>1395</v>
      </c>
      <c r="C84" s="1" t="s">
        <v>13</v>
      </c>
      <c r="D84" s="1" t="s">
        <v>1264</v>
      </c>
      <c r="E84" s="3">
        <v>47677</v>
      </c>
      <c r="F84" s="1" t="str">
        <f>VLOOKUP(D84,Table17[[Name]:[Native]],3,FALSE)</f>
        <v>曲阜市</v>
      </c>
      <c r="G84" s="14" t="str">
        <f ca="1">VLOOKUP(F84,Table17[[Native]:[Population4]],5,FALSE)</f>
        <v>济宁市</v>
      </c>
    </row>
    <row r="85" spans="1:7" ht="15.75" thickBot="1" x14ac:dyDescent="0.3">
      <c r="A85" t="s">
        <v>1396</v>
      </c>
      <c r="B85" s="1" t="s">
        <v>1397</v>
      </c>
      <c r="C85" s="1" t="s">
        <v>7</v>
      </c>
      <c r="D85" s="1" t="s">
        <v>1236</v>
      </c>
      <c r="E85" s="3">
        <v>91620</v>
      </c>
      <c r="F85" s="1" t="str">
        <f>VLOOKUP(D85,Table17[[Name]:[Native]],3,FALSE)</f>
        <v>邹城市</v>
      </c>
      <c r="G85" s="14" t="str">
        <f ca="1">VLOOKUP(F85,Table17[[Native]:[Population4]],5,FALSE)</f>
        <v>济宁市</v>
      </c>
    </row>
    <row r="86" spans="1:7" ht="15.75" thickBot="1" x14ac:dyDescent="0.3">
      <c r="A86" t="s">
        <v>125</v>
      </c>
      <c r="B86" s="1" t="s">
        <v>126</v>
      </c>
      <c r="C86" s="1" t="s">
        <v>13</v>
      </c>
      <c r="D86" s="1" t="s">
        <v>1239</v>
      </c>
      <c r="E86" s="3">
        <v>40098</v>
      </c>
      <c r="F86" s="1" t="str">
        <f>VLOOKUP(D86,Table17[[Name]:[Native]],3,FALSE)</f>
        <v>鱼台县</v>
      </c>
      <c r="G86" s="14" t="str">
        <f ca="1">VLOOKUP(F86,Table17[[Native]:[Population4]],5,FALSE)</f>
        <v>济宁市</v>
      </c>
    </row>
    <row r="87" spans="1:7" ht="15.75" thickBot="1" x14ac:dyDescent="0.3">
      <c r="A87" t="s">
        <v>1398</v>
      </c>
      <c r="B87" s="1" t="s">
        <v>1399</v>
      </c>
      <c r="C87" s="1" t="s">
        <v>13</v>
      </c>
      <c r="D87" s="1" t="s">
        <v>1280</v>
      </c>
      <c r="E87" s="3">
        <v>56213</v>
      </c>
      <c r="F87" s="1" t="str">
        <f>VLOOKUP(D87,Table17[[Name]:[Native]],3,FALSE)</f>
        <v>泗水县</v>
      </c>
      <c r="G87" s="14" t="str">
        <f ca="1">VLOOKUP(F87,Table17[[Native]:[Population4]],5,FALSE)</f>
        <v>济宁市</v>
      </c>
    </row>
    <row r="88" spans="1:7" ht="15.75" thickBot="1" x14ac:dyDescent="0.3">
      <c r="A88" t="s">
        <v>1400</v>
      </c>
      <c r="B88" s="1" t="s">
        <v>1401</v>
      </c>
      <c r="C88" s="1" t="s">
        <v>13</v>
      </c>
      <c r="D88" s="1" t="s">
        <v>1256</v>
      </c>
      <c r="E88" s="3">
        <v>111714</v>
      </c>
      <c r="F88" s="1" t="str">
        <f>VLOOKUP(D88,Table17[[Name]:[Native]],3,FALSE)</f>
        <v>梁山县</v>
      </c>
      <c r="G88" s="14" t="str">
        <f ca="1">VLOOKUP(F88,Table17[[Native]:[Population4]],5,FALSE)</f>
        <v>济宁市</v>
      </c>
    </row>
    <row r="89" spans="1:7" ht="15.75" thickBot="1" x14ac:dyDescent="0.3">
      <c r="A89" t="s">
        <v>1402</v>
      </c>
      <c r="B89" s="1" t="s">
        <v>1403</v>
      </c>
      <c r="C89" s="1" t="s">
        <v>13</v>
      </c>
      <c r="D89" s="1" t="s">
        <v>1280</v>
      </c>
      <c r="E89" s="3">
        <v>37335</v>
      </c>
      <c r="F89" s="1" t="str">
        <f>VLOOKUP(D89,Table17[[Name]:[Native]],3,FALSE)</f>
        <v>泗水县</v>
      </c>
      <c r="G89" s="14" t="str">
        <f ca="1">VLOOKUP(F89,Table17[[Native]:[Population4]],5,FALSE)</f>
        <v>济宁市</v>
      </c>
    </row>
    <row r="90" spans="1:7" ht="15.75" thickBot="1" x14ac:dyDescent="0.3">
      <c r="A90" t="s">
        <v>1404</v>
      </c>
      <c r="B90" s="1" t="s">
        <v>1405</v>
      </c>
      <c r="C90" s="1" t="s">
        <v>13</v>
      </c>
      <c r="D90" s="1" t="s">
        <v>1264</v>
      </c>
      <c r="E90" s="3">
        <v>40046</v>
      </c>
      <c r="F90" s="1" t="str">
        <f>VLOOKUP(D90,Table17[[Name]:[Native]],3,FALSE)</f>
        <v>曲阜市</v>
      </c>
      <c r="G90" s="14" t="str">
        <f ca="1">VLOOKUP(F90,Table17[[Native]:[Population4]],5,FALSE)</f>
        <v>济宁市</v>
      </c>
    </row>
    <row r="91" spans="1:7" ht="15.75" thickBot="1" x14ac:dyDescent="0.3">
      <c r="A91" t="s">
        <v>1406</v>
      </c>
      <c r="B91" s="1" t="s">
        <v>1407</v>
      </c>
      <c r="C91" s="1" t="s">
        <v>13</v>
      </c>
      <c r="D91" s="1" t="s">
        <v>1236</v>
      </c>
      <c r="E91" s="3">
        <v>70098</v>
      </c>
      <c r="F91" s="1" t="str">
        <f>VLOOKUP(D91,Table17[[Name]:[Native]],3,FALSE)</f>
        <v>邹城市</v>
      </c>
      <c r="G91" s="14" t="str">
        <f ca="1">VLOOKUP(F91,Table17[[Native]:[Population4]],5,FALSE)</f>
        <v>济宁市</v>
      </c>
    </row>
    <row r="92" spans="1:7" ht="15.75" thickBot="1" x14ac:dyDescent="0.3">
      <c r="A92" t="s">
        <v>1408</v>
      </c>
      <c r="B92" s="1" t="s">
        <v>1409</v>
      </c>
      <c r="C92" s="1" t="s">
        <v>13</v>
      </c>
      <c r="D92" s="1" t="s">
        <v>1230</v>
      </c>
      <c r="E92" s="3">
        <v>46665</v>
      </c>
      <c r="F92" s="1" t="str">
        <f>VLOOKUP(D92,Table17[[Name]:[Native]],3,FALSE)</f>
        <v>任城区</v>
      </c>
      <c r="G92" s="14" t="str">
        <f ca="1">VLOOKUP(F92,Table17[[Native]:[Population4]],5,FALSE)</f>
        <v>济宁市</v>
      </c>
    </row>
    <row r="93" spans="1:7" ht="15.75" thickBot="1" x14ac:dyDescent="0.3">
      <c r="A93" t="s">
        <v>1410</v>
      </c>
      <c r="B93" s="1" t="s">
        <v>1411</v>
      </c>
      <c r="C93" s="1" t="s">
        <v>7</v>
      </c>
      <c r="D93" s="1" t="s">
        <v>1264</v>
      </c>
      <c r="E93" s="3">
        <v>53584</v>
      </c>
      <c r="F93" s="1" t="str">
        <f>VLOOKUP(D93,Table17[[Name]:[Native]],3,FALSE)</f>
        <v>曲阜市</v>
      </c>
      <c r="G93" s="14" t="str">
        <f ca="1">VLOOKUP(F93,Table17[[Native]:[Population4]],5,FALSE)</f>
        <v>济宁市</v>
      </c>
    </row>
    <row r="94" spans="1:7" ht="15.75" thickBot="1" x14ac:dyDescent="0.3">
      <c r="A94" t="s">
        <v>1412</v>
      </c>
      <c r="B94" s="1" t="s">
        <v>1413</v>
      </c>
      <c r="C94" s="1" t="s">
        <v>13</v>
      </c>
      <c r="D94" s="1" t="s">
        <v>1256</v>
      </c>
      <c r="E94" s="3">
        <v>34462</v>
      </c>
      <c r="F94" s="1" t="str">
        <f>VLOOKUP(D94,Table17[[Name]:[Native]],3,FALSE)</f>
        <v>梁山县</v>
      </c>
      <c r="G94" s="14" t="str">
        <f ca="1">VLOOKUP(F94,Table17[[Native]:[Population4]],5,FALSE)</f>
        <v>济宁市</v>
      </c>
    </row>
    <row r="95" spans="1:7" ht="15.75" thickBot="1" x14ac:dyDescent="0.3">
      <c r="A95" t="s">
        <v>1414</v>
      </c>
      <c r="B95" s="1" t="s">
        <v>1415</v>
      </c>
      <c r="C95" s="1" t="s">
        <v>7</v>
      </c>
      <c r="D95" s="1" t="s">
        <v>1256</v>
      </c>
      <c r="E95" s="3">
        <v>82339</v>
      </c>
      <c r="F95" s="1" t="str">
        <f>VLOOKUP(D95,Table17[[Name]:[Native]],3,FALSE)</f>
        <v>梁山县</v>
      </c>
      <c r="G95" s="14" t="str">
        <f ca="1">VLOOKUP(F95,Table17[[Native]:[Population4]],5,FALSE)</f>
        <v>济宁市</v>
      </c>
    </row>
    <row r="96" spans="1:7" ht="15.75" thickBot="1" x14ac:dyDescent="0.3">
      <c r="A96" t="s">
        <v>1416</v>
      </c>
      <c r="B96" s="1" t="s">
        <v>1417</v>
      </c>
      <c r="C96" s="1" t="s">
        <v>7</v>
      </c>
      <c r="D96" s="1" t="s">
        <v>1264</v>
      </c>
      <c r="E96" s="3">
        <v>33885</v>
      </c>
      <c r="F96" s="1" t="str">
        <f>VLOOKUP(D96,Table17[[Name]:[Native]],3,FALSE)</f>
        <v>曲阜市</v>
      </c>
      <c r="G96" s="14" t="str">
        <f ca="1">VLOOKUP(F96,Table17[[Native]:[Population4]],5,FALSE)</f>
        <v>济宁市</v>
      </c>
    </row>
    <row r="97" spans="1:7" ht="15.75" thickBot="1" x14ac:dyDescent="0.3">
      <c r="A97" t="s">
        <v>1418</v>
      </c>
      <c r="B97" s="1" t="s">
        <v>1419</v>
      </c>
      <c r="C97" s="1" t="s">
        <v>7</v>
      </c>
      <c r="D97" s="1" t="s">
        <v>1280</v>
      </c>
      <c r="E97" s="3">
        <v>53505</v>
      </c>
      <c r="F97" s="1" t="str">
        <f>VLOOKUP(D97,Table17[[Name]:[Native]],3,FALSE)</f>
        <v>泗水县</v>
      </c>
      <c r="G97" s="14" t="str">
        <f ca="1">VLOOKUP(F97,Table17[[Native]:[Population4]],5,FALSE)</f>
        <v>济宁市</v>
      </c>
    </row>
    <row r="98" spans="1:7" ht="15.75" thickBot="1" x14ac:dyDescent="0.3">
      <c r="A98" t="s">
        <v>1420</v>
      </c>
      <c r="B98" s="1" t="s">
        <v>1421</v>
      </c>
      <c r="C98" s="1" t="s">
        <v>13</v>
      </c>
      <c r="D98" s="1" t="s">
        <v>1242</v>
      </c>
      <c r="E98" s="3">
        <v>29199</v>
      </c>
      <c r="F98" s="1" t="str">
        <f>VLOOKUP(D98,Table17[[Name]:[Native]],3,FALSE)</f>
        <v>金乡县</v>
      </c>
      <c r="G98" s="14" t="str">
        <f ca="1">VLOOKUP(F98,Table17[[Native]:[Population4]],5,FALSE)</f>
        <v>济宁市</v>
      </c>
    </row>
    <row r="99" spans="1:7" ht="15.75" thickBot="1" x14ac:dyDescent="0.3">
      <c r="A99" t="s">
        <v>1422</v>
      </c>
      <c r="B99" s="1" t="s">
        <v>1423</v>
      </c>
      <c r="C99" s="1" t="s">
        <v>13</v>
      </c>
      <c r="D99" s="1" t="s">
        <v>1280</v>
      </c>
      <c r="E99" s="3">
        <v>41158</v>
      </c>
      <c r="F99" s="1" t="str">
        <f>VLOOKUP(D99,Table17[[Name]:[Native]],3,FALSE)</f>
        <v>泗水县</v>
      </c>
      <c r="G99" s="14" t="str">
        <f ca="1">VLOOKUP(F99,Table17[[Native]:[Population4]],5,FALSE)</f>
        <v>济宁市</v>
      </c>
    </row>
    <row r="100" spans="1:7" ht="15.75" thickBot="1" x14ac:dyDescent="0.3">
      <c r="A100" t="s">
        <v>810</v>
      </c>
      <c r="B100" s="1" t="s">
        <v>811</v>
      </c>
      <c r="C100" s="1" t="s">
        <v>13</v>
      </c>
      <c r="D100" s="1" t="s">
        <v>1236</v>
      </c>
      <c r="E100" s="3">
        <v>110992</v>
      </c>
      <c r="F100" s="1" t="str">
        <f>VLOOKUP(D100,Table17[[Name]:[Native]],3,FALSE)</f>
        <v>邹城市</v>
      </c>
      <c r="G100" s="14" t="str">
        <f ca="1">VLOOKUP(F100,Table17[[Native]:[Population4]],5,FALSE)</f>
        <v>济宁市</v>
      </c>
    </row>
    <row r="101" spans="1:7" ht="15.75" thickBot="1" x14ac:dyDescent="0.3">
      <c r="A101" t="s">
        <v>1424</v>
      </c>
      <c r="B101" s="1" t="s">
        <v>1425</v>
      </c>
      <c r="C101" s="1" t="s">
        <v>13</v>
      </c>
      <c r="D101" s="1" t="s">
        <v>1236</v>
      </c>
      <c r="E101" s="3">
        <v>36446</v>
      </c>
      <c r="F101" s="1" t="str">
        <f>VLOOKUP(D101,Table17[[Name]:[Native]],3,FALSE)</f>
        <v>邹城市</v>
      </c>
      <c r="G101" s="14" t="str">
        <f ca="1">VLOOKUP(F101,Table17[[Native]:[Population4]],5,FALSE)</f>
        <v>济宁市</v>
      </c>
    </row>
    <row r="102" spans="1:7" ht="15.75" thickBot="1" x14ac:dyDescent="0.3">
      <c r="A102" t="s">
        <v>1426</v>
      </c>
      <c r="B102" s="1" t="s">
        <v>1427</v>
      </c>
      <c r="C102" s="1" t="s">
        <v>7</v>
      </c>
      <c r="D102" s="1" t="s">
        <v>1230</v>
      </c>
      <c r="E102" s="3">
        <v>83191</v>
      </c>
      <c r="F102" s="1" t="str">
        <f>VLOOKUP(D102,Table17[[Name]:[Native]],3,FALSE)</f>
        <v>任城区</v>
      </c>
      <c r="G102" s="14" t="str">
        <f ca="1">VLOOKUP(F102,Table17[[Native]:[Population4]],5,FALSE)</f>
        <v>济宁市</v>
      </c>
    </row>
    <row r="103" spans="1:7" ht="15.75" thickBot="1" x14ac:dyDescent="0.3">
      <c r="A103" t="s">
        <v>1428</v>
      </c>
      <c r="B103" s="1" t="s">
        <v>1429</v>
      </c>
      <c r="C103" s="1" t="s">
        <v>13</v>
      </c>
      <c r="D103" s="1" t="s">
        <v>1239</v>
      </c>
      <c r="E103" s="3">
        <v>30004</v>
      </c>
      <c r="F103" s="1" t="str">
        <f>VLOOKUP(D103,Table17[[Name]:[Native]],3,FALSE)</f>
        <v>鱼台县</v>
      </c>
      <c r="G103" s="14" t="str">
        <f ca="1">VLOOKUP(F103,Table17[[Native]:[Population4]],5,FALSE)</f>
        <v>济宁市</v>
      </c>
    </row>
    <row r="104" spans="1:7" ht="15.75" thickBot="1" x14ac:dyDescent="0.3">
      <c r="A104" t="s">
        <v>1430</v>
      </c>
      <c r="B104" s="1" t="s">
        <v>1431</v>
      </c>
      <c r="C104" s="1" t="s">
        <v>13</v>
      </c>
      <c r="D104" s="1" t="s">
        <v>1236</v>
      </c>
      <c r="E104" s="3">
        <v>35677</v>
      </c>
      <c r="F104" s="1" t="str">
        <f>VLOOKUP(D104,Table17[[Name]:[Native]],3,FALSE)</f>
        <v>邹城市</v>
      </c>
      <c r="G104" s="14" t="str">
        <f ca="1">VLOOKUP(F104,Table17[[Native]:[Population4]],5,FALSE)</f>
        <v>济宁市</v>
      </c>
    </row>
    <row r="105" spans="1:7" ht="15.75" thickBot="1" x14ac:dyDescent="0.3">
      <c r="A105" t="s">
        <v>1432</v>
      </c>
      <c r="B105" s="1" t="s">
        <v>1433</v>
      </c>
      <c r="C105" s="1" t="s">
        <v>13</v>
      </c>
      <c r="D105" s="1" t="s">
        <v>1261</v>
      </c>
      <c r="E105" s="3">
        <v>90480</v>
      </c>
      <c r="F105" s="1" t="str">
        <f>VLOOKUP(D105,Table17[[Name]:[Native]],3,FALSE)</f>
        <v>嘉祥县</v>
      </c>
      <c r="G105" s="14" t="str">
        <f ca="1">VLOOKUP(F105,Table17[[Native]:[Population4]],5,FALSE)</f>
        <v>济宁市</v>
      </c>
    </row>
    <row r="106" spans="1:7" ht="15.75" thickBot="1" x14ac:dyDescent="0.3">
      <c r="A106" t="s">
        <v>1434</v>
      </c>
      <c r="B106" s="1" t="s">
        <v>1435</v>
      </c>
      <c r="C106" s="1" t="s">
        <v>13</v>
      </c>
      <c r="D106" s="1" t="s">
        <v>1239</v>
      </c>
      <c r="E106" s="3">
        <v>40210</v>
      </c>
      <c r="F106" s="1" t="str">
        <f>VLOOKUP(D106,Table17[[Name]:[Native]],3,FALSE)</f>
        <v>鱼台县</v>
      </c>
      <c r="G106" s="14" t="str">
        <f ca="1">VLOOKUP(F106,Table17[[Native]:[Population4]],5,FALSE)</f>
        <v>济宁市</v>
      </c>
    </row>
    <row r="107" spans="1:7" ht="15.75" thickBot="1" x14ac:dyDescent="0.3">
      <c r="A107" t="s">
        <v>393</v>
      </c>
      <c r="B107" s="1" t="s">
        <v>394</v>
      </c>
      <c r="C107" s="1" t="s">
        <v>13</v>
      </c>
      <c r="D107" s="1" t="s">
        <v>1239</v>
      </c>
      <c r="E107" s="3">
        <v>54954</v>
      </c>
      <c r="F107" s="1" t="str">
        <f>VLOOKUP(D107,Table17[[Name]:[Native]],3,FALSE)</f>
        <v>鱼台县</v>
      </c>
      <c r="G107" s="14" t="str">
        <f ca="1">VLOOKUP(F107,Table17[[Native]:[Population4]],5,FALSE)</f>
        <v>济宁市</v>
      </c>
    </row>
    <row r="108" spans="1:7" ht="15.75" thickBot="1" x14ac:dyDescent="0.3">
      <c r="A108" t="s">
        <v>1436</v>
      </c>
      <c r="B108" s="1" t="s">
        <v>1437</v>
      </c>
      <c r="C108" s="1" t="s">
        <v>7</v>
      </c>
      <c r="D108" s="1" t="s">
        <v>1242</v>
      </c>
      <c r="E108" s="3">
        <v>20503</v>
      </c>
      <c r="F108" s="1" t="str">
        <f>VLOOKUP(D108,Table17[[Name]:[Native]],3,FALSE)</f>
        <v>金乡县</v>
      </c>
      <c r="G108" s="14" t="str">
        <f ca="1">VLOOKUP(F108,Table17[[Native]:[Population4]],5,FALSE)</f>
        <v>济宁市</v>
      </c>
    </row>
    <row r="109" spans="1:7" ht="15.75" thickBot="1" x14ac:dyDescent="0.3">
      <c r="A109" t="s">
        <v>1438</v>
      </c>
      <c r="B109" s="1" t="s">
        <v>1439</v>
      </c>
      <c r="C109" s="1" t="s">
        <v>7</v>
      </c>
      <c r="D109" s="1" t="s">
        <v>1245</v>
      </c>
      <c r="E109" s="3">
        <v>60020</v>
      </c>
      <c r="F109" s="1" t="str">
        <f>VLOOKUP(D109,Table17[[Name]:[Native]],3,FALSE)</f>
        <v>兖州区</v>
      </c>
      <c r="G109" s="14" t="str">
        <f ca="1">VLOOKUP(F109,Table17[[Native]:[Population4]],5,FALSE)</f>
        <v>济宁市</v>
      </c>
    </row>
    <row r="110" spans="1:7" ht="15.75" thickBot="1" x14ac:dyDescent="0.3">
      <c r="A110" t="s">
        <v>1440</v>
      </c>
      <c r="B110" s="1" t="s">
        <v>1441</v>
      </c>
      <c r="C110" s="1" t="s">
        <v>13</v>
      </c>
      <c r="D110" s="1" t="s">
        <v>1264</v>
      </c>
      <c r="E110" s="3">
        <v>44668</v>
      </c>
      <c r="F110" s="1" t="str">
        <f>VLOOKUP(D110,Table17[[Name]:[Native]],3,FALSE)</f>
        <v>曲阜市</v>
      </c>
      <c r="G110" s="14" t="str">
        <f ca="1">VLOOKUP(F110,Table17[[Native]:[Population4]],5,FALSE)</f>
        <v>济宁市</v>
      </c>
    </row>
    <row r="111" spans="1:7" ht="15.75" thickBot="1" x14ac:dyDescent="0.3">
      <c r="A111" t="s">
        <v>1442</v>
      </c>
      <c r="B111" s="1" t="s">
        <v>1443</v>
      </c>
      <c r="C111" s="1" t="s">
        <v>7</v>
      </c>
      <c r="D111" s="1" t="s">
        <v>1261</v>
      </c>
      <c r="E111" s="3">
        <v>40003</v>
      </c>
      <c r="F111" s="1" t="str">
        <f>VLOOKUP(D111,Table17[[Name]:[Native]],3,FALSE)</f>
        <v>嘉祥县</v>
      </c>
      <c r="G111" s="14" t="str">
        <f ca="1">VLOOKUP(F111,Table17[[Native]:[Population4]],5,FALSE)</f>
        <v>济宁市</v>
      </c>
    </row>
    <row r="112" spans="1:7" ht="15.75" thickBot="1" x14ac:dyDescent="0.3">
      <c r="A112" t="s">
        <v>1444</v>
      </c>
      <c r="B112" s="1" t="s">
        <v>1445</v>
      </c>
      <c r="C112" s="1" t="s">
        <v>13</v>
      </c>
      <c r="D112" s="1" t="s">
        <v>1267</v>
      </c>
      <c r="E112" s="3">
        <v>12026</v>
      </c>
      <c r="F112" s="1" t="str">
        <f>VLOOKUP(D112,Table17[[Name]:[Native]],3,FALSE)</f>
        <v>微山县</v>
      </c>
      <c r="G112" s="14" t="str">
        <f ca="1">VLOOKUP(F112,Table17[[Native]:[Population4]],5,FALSE)</f>
        <v>济宁市</v>
      </c>
    </row>
    <row r="113" spans="1:7" ht="15.75" thickBot="1" x14ac:dyDescent="0.3">
      <c r="A113" t="s">
        <v>1446</v>
      </c>
      <c r="B113" s="1" t="s">
        <v>1447</v>
      </c>
      <c r="C113" s="1" t="s">
        <v>7</v>
      </c>
      <c r="D113" s="1" t="s">
        <v>1233</v>
      </c>
      <c r="E113" s="3">
        <v>49352</v>
      </c>
      <c r="F113" s="1" t="str">
        <f>VLOOKUP(D113,Table17[[Name]:[Native]],3,FALSE)</f>
        <v>汶上县</v>
      </c>
      <c r="G113" s="14" t="str">
        <f ca="1">VLOOKUP(F113,Table17[[Native]:[Population4]],5,FALSE)</f>
        <v>济宁市</v>
      </c>
    </row>
    <row r="114" spans="1:7" ht="15.75" thickBot="1" x14ac:dyDescent="0.3">
      <c r="A114" t="s">
        <v>1448</v>
      </c>
      <c r="B114" s="1" t="s">
        <v>1449</v>
      </c>
      <c r="C114" s="1" t="s">
        <v>7</v>
      </c>
      <c r="D114" s="1" t="s">
        <v>1261</v>
      </c>
      <c r="E114" s="3">
        <v>65568</v>
      </c>
      <c r="F114" s="1" t="str">
        <f>VLOOKUP(D114,Table17[[Name]:[Native]],3,FALSE)</f>
        <v>嘉祥县</v>
      </c>
      <c r="G114" s="14" t="str">
        <f ca="1">VLOOKUP(F114,Table17[[Native]:[Population4]],5,FALSE)</f>
        <v>济宁市</v>
      </c>
    </row>
    <row r="115" spans="1:7" ht="15.75" thickBot="1" x14ac:dyDescent="0.3">
      <c r="A115" t="s">
        <v>1450</v>
      </c>
      <c r="B115" s="1" t="s">
        <v>1451</v>
      </c>
      <c r="C115" s="1" t="s">
        <v>13</v>
      </c>
      <c r="D115" s="1" t="s">
        <v>1264</v>
      </c>
      <c r="E115" s="3">
        <v>33254</v>
      </c>
      <c r="F115" s="1" t="str">
        <f>VLOOKUP(D115,Table17[[Name]:[Native]],3,FALSE)</f>
        <v>曲阜市</v>
      </c>
      <c r="G115" s="14" t="str">
        <f ca="1">VLOOKUP(F115,Table17[[Native]:[Population4]],5,FALSE)</f>
        <v>济宁市</v>
      </c>
    </row>
    <row r="116" spans="1:7" ht="15.75" thickBot="1" x14ac:dyDescent="0.3">
      <c r="A116" t="s">
        <v>1452</v>
      </c>
      <c r="B116" s="1" t="s">
        <v>1453</v>
      </c>
      <c r="C116" s="1" t="s">
        <v>13</v>
      </c>
      <c r="D116" s="1" t="s">
        <v>1236</v>
      </c>
      <c r="E116" s="3">
        <v>69731</v>
      </c>
      <c r="F116" s="1" t="str">
        <f>VLOOKUP(D116,Table17[[Name]:[Native]],3,FALSE)</f>
        <v>邹城市</v>
      </c>
      <c r="G116" s="14" t="str">
        <f ca="1">VLOOKUP(F116,Table17[[Native]:[Population4]],5,FALSE)</f>
        <v>济宁市</v>
      </c>
    </row>
    <row r="117" spans="1:7" ht="15.75" thickBot="1" x14ac:dyDescent="0.3">
      <c r="A117" t="s">
        <v>1454</v>
      </c>
      <c r="B117" s="1" t="s">
        <v>1455</v>
      </c>
      <c r="C117" s="1" t="s">
        <v>7</v>
      </c>
      <c r="D117" s="1" t="s">
        <v>1230</v>
      </c>
      <c r="E117" s="3">
        <v>51995</v>
      </c>
      <c r="F117" s="1" t="str">
        <f>VLOOKUP(D117,Table17[[Name]:[Native]],3,FALSE)</f>
        <v>任城区</v>
      </c>
      <c r="G117" s="14" t="str">
        <f ca="1">VLOOKUP(F117,Table17[[Native]:[Population4]],5,FALSE)</f>
        <v>济宁市</v>
      </c>
    </row>
    <row r="118" spans="1:7" ht="15.75" thickBot="1" x14ac:dyDescent="0.3">
      <c r="A118" t="s">
        <v>1456</v>
      </c>
      <c r="B118" s="1" t="s">
        <v>1457</v>
      </c>
      <c r="C118" s="1" t="s">
        <v>13</v>
      </c>
      <c r="D118" s="1" t="s">
        <v>1256</v>
      </c>
      <c r="E118" s="3">
        <v>48760</v>
      </c>
      <c r="F118" s="1" t="str">
        <f>VLOOKUP(D118,Table17[[Name]:[Native]],3,FALSE)</f>
        <v>梁山县</v>
      </c>
      <c r="G118" s="14" t="str">
        <f ca="1">VLOOKUP(F118,Table17[[Native]:[Population4]],5,FALSE)</f>
        <v>济宁市</v>
      </c>
    </row>
    <row r="119" spans="1:7" ht="15.75" thickBot="1" x14ac:dyDescent="0.3">
      <c r="A119" t="s">
        <v>1458</v>
      </c>
      <c r="B119" s="1" t="s">
        <v>1459</v>
      </c>
      <c r="C119" s="1" t="s">
        <v>13</v>
      </c>
      <c r="D119" s="1" t="s">
        <v>1256</v>
      </c>
      <c r="E119" s="3">
        <v>45087</v>
      </c>
      <c r="F119" s="1" t="str">
        <f>VLOOKUP(D119,Table17[[Name]:[Native]],3,FALSE)</f>
        <v>梁山县</v>
      </c>
      <c r="G119" s="14" t="str">
        <f ca="1">VLOOKUP(F119,Table17[[Native]:[Population4]],5,FALSE)</f>
        <v>济宁市</v>
      </c>
    </row>
    <row r="120" spans="1:7" ht="15.75" thickBot="1" x14ac:dyDescent="0.3">
      <c r="A120" t="s">
        <v>1460</v>
      </c>
      <c r="B120" s="1" t="s">
        <v>1461</v>
      </c>
      <c r="C120" s="1" t="s">
        <v>13</v>
      </c>
      <c r="D120" s="1" t="s">
        <v>1245</v>
      </c>
      <c r="E120" s="3">
        <v>35507</v>
      </c>
      <c r="F120" s="1" t="str">
        <f>VLOOKUP(D120,Table17[[Name]:[Native]],3,FALSE)</f>
        <v>兖州区</v>
      </c>
      <c r="G120" s="14" t="str">
        <f ca="1">VLOOKUP(F120,Table17[[Native]:[Population4]],5,FALSE)</f>
        <v>济宁市</v>
      </c>
    </row>
    <row r="121" spans="1:7" ht="15.75" thickBot="1" x14ac:dyDescent="0.3">
      <c r="A121" t="s">
        <v>1462</v>
      </c>
      <c r="B121" s="1" t="s">
        <v>1463</v>
      </c>
      <c r="C121" s="1" t="s">
        <v>7</v>
      </c>
      <c r="D121" s="1" t="s">
        <v>1264</v>
      </c>
      <c r="E121" s="3">
        <v>43378</v>
      </c>
      <c r="F121" s="1" t="str">
        <f>VLOOKUP(D121,Table17[[Name]:[Native]],3,FALSE)</f>
        <v>曲阜市</v>
      </c>
      <c r="G121" s="14" t="str">
        <f ca="1">VLOOKUP(F121,Table17[[Native]:[Population4]],5,FALSE)</f>
        <v>济宁市</v>
      </c>
    </row>
    <row r="122" spans="1:7" ht="15.75" thickBot="1" x14ac:dyDescent="0.3">
      <c r="A122" t="s">
        <v>1464</v>
      </c>
      <c r="B122" s="1" t="s">
        <v>1465</v>
      </c>
      <c r="C122" s="1" t="s">
        <v>13</v>
      </c>
      <c r="D122" s="1" t="s">
        <v>1242</v>
      </c>
      <c r="E122" s="3">
        <v>45897</v>
      </c>
      <c r="F122" s="1" t="str">
        <f>VLOOKUP(D122,Table17[[Name]:[Native]],3,FALSE)</f>
        <v>金乡县</v>
      </c>
      <c r="G122" s="14" t="str">
        <f ca="1">VLOOKUP(F122,Table17[[Native]:[Population4]],5,FALSE)</f>
        <v>济宁市</v>
      </c>
    </row>
    <row r="123" spans="1:7" ht="15.75" thickBot="1" x14ac:dyDescent="0.3">
      <c r="A123" t="s">
        <v>1466</v>
      </c>
      <c r="B123" s="1" t="s">
        <v>1467</v>
      </c>
      <c r="C123" s="1" t="s">
        <v>7</v>
      </c>
      <c r="D123" s="1" t="s">
        <v>1267</v>
      </c>
      <c r="E123" s="3">
        <v>108671</v>
      </c>
      <c r="F123" s="1" t="str">
        <f>VLOOKUP(D123,Table17[[Name]:[Native]],3,FALSE)</f>
        <v>微山县</v>
      </c>
      <c r="G123" s="14" t="str">
        <f ca="1">VLOOKUP(F123,Table17[[Native]:[Population4]],5,FALSE)</f>
        <v>济宁市</v>
      </c>
    </row>
    <row r="124" spans="1:7" ht="15.75" thickBot="1" x14ac:dyDescent="0.3">
      <c r="A124" t="s">
        <v>1468</v>
      </c>
      <c r="B124" s="1" t="s">
        <v>1469</v>
      </c>
      <c r="C124" s="1" t="s">
        <v>13</v>
      </c>
      <c r="D124" s="1" t="s">
        <v>1280</v>
      </c>
      <c r="E124" s="3">
        <v>44136</v>
      </c>
      <c r="F124" s="1" t="str">
        <f>VLOOKUP(D124,Table17[[Name]:[Native]],3,FALSE)</f>
        <v>泗水县</v>
      </c>
      <c r="G124" s="14" t="str">
        <f ca="1">VLOOKUP(F124,Table17[[Native]:[Population4]],5,FALSE)</f>
        <v>济宁市</v>
      </c>
    </row>
    <row r="125" spans="1:7" ht="15.75" thickBot="1" x14ac:dyDescent="0.3">
      <c r="A125" t="s">
        <v>405</v>
      </c>
      <c r="B125" s="1" t="s">
        <v>406</v>
      </c>
      <c r="C125" s="1" t="s">
        <v>13</v>
      </c>
      <c r="D125" s="1" t="s">
        <v>1242</v>
      </c>
      <c r="E125" s="3">
        <v>36600</v>
      </c>
      <c r="F125" s="1" t="str">
        <f>VLOOKUP(D125,Table17[[Name]:[Native]],3,FALSE)</f>
        <v>金乡县</v>
      </c>
      <c r="G125" s="14" t="str">
        <f ca="1">VLOOKUP(F125,Table17[[Native]:[Population4]],5,FALSE)</f>
        <v>济宁市</v>
      </c>
    </row>
    <row r="126" spans="1:7" ht="15.75" thickBot="1" x14ac:dyDescent="0.3">
      <c r="A126" t="s">
        <v>1470</v>
      </c>
      <c r="B126" s="1" t="s">
        <v>1471</v>
      </c>
      <c r="C126" s="1" t="s">
        <v>7</v>
      </c>
      <c r="D126" s="1" t="s">
        <v>1245</v>
      </c>
      <c r="E126" s="3">
        <v>58045</v>
      </c>
      <c r="F126" s="1" t="str">
        <f>VLOOKUP(D126,Table17[[Name]:[Native]],3,FALSE)</f>
        <v>兖州区</v>
      </c>
      <c r="G126" s="14" t="str">
        <f ca="1">VLOOKUP(F126,Table17[[Native]:[Population4]],5,FALSE)</f>
        <v>济宁市</v>
      </c>
    </row>
    <row r="127" spans="1:7" ht="15.75" thickBot="1" x14ac:dyDescent="0.3">
      <c r="A127" t="s">
        <v>1472</v>
      </c>
      <c r="B127" s="1" t="s">
        <v>1473</v>
      </c>
      <c r="C127" s="1" t="s">
        <v>13</v>
      </c>
      <c r="D127" s="1" t="s">
        <v>1245</v>
      </c>
      <c r="E127" s="3">
        <v>51505</v>
      </c>
      <c r="F127" s="1" t="str">
        <f>VLOOKUP(D127,Table17[[Name]:[Native]],3,FALSE)</f>
        <v>兖州区</v>
      </c>
      <c r="G127" s="14" t="str">
        <f ca="1">VLOOKUP(F127,Table17[[Native]:[Population4]],5,FALSE)</f>
        <v>济宁市</v>
      </c>
    </row>
    <row r="128" spans="1:7" ht="15.75" thickBot="1" x14ac:dyDescent="0.3">
      <c r="A128" t="s">
        <v>1474</v>
      </c>
      <c r="B128" s="1" t="s">
        <v>1475</v>
      </c>
      <c r="C128" s="1" t="s">
        <v>13</v>
      </c>
      <c r="D128" s="1" t="s">
        <v>1245</v>
      </c>
      <c r="E128" s="3">
        <v>46765</v>
      </c>
      <c r="F128" s="1" t="str">
        <f>VLOOKUP(D128,Table17[[Name]:[Native]],3,FALSE)</f>
        <v>兖州区</v>
      </c>
      <c r="G128" s="14" t="str">
        <f ca="1">VLOOKUP(F128,Table17[[Native]:[Population4]],5,FALSE)</f>
        <v>济宁市</v>
      </c>
    </row>
    <row r="129" spans="1:7" ht="15.75" thickBot="1" x14ac:dyDescent="0.3">
      <c r="A129" t="s">
        <v>1476</v>
      </c>
      <c r="B129" s="1" t="s">
        <v>1477</v>
      </c>
      <c r="C129" s="1" t="s">
        <v>13</v>
      </c>
      <c r="D129" s="1" t="s">
        <v>1267</v>
      </c>
      <c r="E129" s="3">
        <v>8446</v>
      </c>
      <c r="F129" s="1" t="str">
        <f>VLOOKUP(D129,Table17[[Name]:[Native]],3,FALSE)</f>
        <v>微山县</v>
      </c>
      <c r="G129" s="14" t="str">
        <f ca="1">VLOOKUP(F129,Table17[[Native]:[Population4]],5,FALSE)</f>
        <v>济宁市</v>
      </c>
    </row>
    <row r="130" spans="1:7" ht="15.75" thickBot="1" x14ac:dyDescent="0.3">
      <c r="A130" t="s">
        <v>1478</v>
      </c>
      <c r="B130" s="1" t="s">
        <v>1479</v>
      </c>
      <c r="C130" s="1" t="s">
        <v>13</v>
      </c>
      <c r="D130" s="1" t="s">
        <v>1264</v>
      </c>
      <c r="E130" s="3">
        <v>47364</v>
      </c>
      <c r="F130" s="1" t="str">
        <f>VLOOKUP(D130,Table17[[Name]:[Native]],3,FALSE)</f>
        <v>曲阜市</v>
      </c>
      <c r="G130" s="14" t="str">
        <f ca="1">VLOOKUP(F130,Table17[[Native]:[Population4]],5,FALSE)</f>
        <v>济宁市</v>
      </c>
    </row>
    <row r="131" spans="1:7" ht="15.75" thickBot="1" x14ac:dyDescent="0.3">
      <c r="A131" t="s">
        <v>1480</v>
      </c>
      <c r="B131" s="1" t="s">
        <v>1481</v>
      </c>
      <c r="C131" s="1" t="s">
        <v>7</v>
      </c>
      <c r="D131" s="1" t="s">
        <v>1230</v>
      </c>
      <c r="E131" s="3">
        <v>58363</v>
      </c>
      <c r="F131" s="1" t="str">
        <f>VLOOKUP(D131,Table17[[Name]:[Native]],3,FALSE)</f>
        <v>任城区</v>
      </c>
      <c r="G131" s="14" t="str">
        <f ca="1">VLOOKUP(F131,Table17[[Native]:[Population4]],5,FALSE)</f>
        <v>济宁市</v>
      </c>
    </row>
    <row r="132" spans="1:7" ht="15.75" thickBot="1" x14ac:dyDescent="0.3">
      <c r="A132" t="s">
        <v>1482</v>
      </c>
      <c r="B132" s="1" t="s">
        <v>1483</v>
      </c>
      <c r="C132" s="1" t="s">
        <v>13</v>
      </c>
      <c r="D132" s="1" t="s">
        <v>1245</v>
      </c>
      <c r="E132" s="3">
        <v>59272</v>
      </c>
      <c r="F132" s="1" t="str">
        <f>VLOOKUP(D132,Table17[[Name]:[Native]],3,FALSE)</f>
        <v>兖州区</v>
      </c>
      <c r="G132" s="14" t="str">
        <f ca="1">VLOOKUP(F132,Table17[[Native]:[Population4]],5,FALSE)</f>
        <v>济宁市</v>
      </c>
    </row>
    <row r="133" spans="1:7" ht="15.75" thickBot="1" x14ac:dyDescent="0.3">
      <c r="A133" t="s">
        <v>1484</v>
      </c>
      <c r="B133" s="1" t="s">
        <v>1485</v>
      </c>
      <c r="C133" s="1" t="s">
        <v>13</v>
      </c>
      <c r="D133" s="1" t="s">
        <v>1233</v>
      </c>
      <c r="E133" s="3">
        <v>28953</v>
      </c>
      <c r="F133" s="1" t="str">
        <f>VLOOKUP(D133,Table17[[Name]:[Native]],3,FALSE)</f>
        <v>汶上县</v>
      </c>
      <c r="G133" s="14" t="str">
        <f ca="1">VLOOKUP(F133,Table17[[Native]:[Population4]],5,FALSE)</f>
        <v>济宁市</v>
      </c>
    </row>
    <row r="134" spans="1:7" ht="15.75" thickBot="1" x14ac:dyDescent="0.3">
      <c r="A134" t="s">
        <v>1486</v>
      </c>
      <c r="B134" s="1" t="s">
        <v>1487</v>
      </c>
      <c r="C134" s="1" t="s">
        <v>13</v>
      </c>
      <c r="D134" s="1" t="s">
        <v>1280</v>
      </c>
      <c r="E134" s="3">
        <v>33606</v>
      </c>
      <c r="F134" s="1" t="str">
        <f>VLOOKUP(D134,Table17[[Name]:[Native]],3,FALSE)</f>
        <v>泗水县</v>
      </c>
      <c r="G134" s="14" t="str">
        <f ca="1">VLOOKUP(F134,Table17[[Native]:[Population4]],5,FALSE)</f>
        <v>济宁市</v>
      </c>
    </row>
    <row r="135" spans="1:7" ht="15.75" thickBot="1" x14ac:dyDescent="0.3">
      <c r="A135" t="s">
        <v>1488</v>
      </c>
      <c r="B135" s="1" t="s">
        <v>1489</v>
      </c>
      <c r="C135" s="1" t="s">
        <v>13</v>
      </c>
      <c r="D135" s="1" t="s">
        <v>1242</v>
      </c>
      <c r="E135" s="3">
        <v>50194</v>
      </c>
      <c r="F135" s="1" t="str">
        <f>VLOOKUP(D135,Table17[[Name]:[Native]],3,FALSE)</f>
        <v>金乡县</v>
      </c>
      <c r="G135" s="14" t="str">
        <f ca="1">VLOOKUP(F135,Table17[[Native]:[Population4]],5,FALSE)</f>
        <v>济宁市</v>
      </c>
    </row>
    <row r="136" spans="1:7" ht="15.75" thickBot="1" x14ac:dyDescent="0.3">
      <c r="A136" t="s">
        <v>1490</v>
      </c>
      <c r="B136" s="1" t="s">
        <v>1491</v>
      </c>
      <c r="C136" s="1" t="s">
        <v>13</v>
      </c>
      <c r="D136" s="1" t="s">
        <v>1256</v>
      </c>
      <c r="E136" s="3">
        <v>53626</v>
      </c>
      <c r="F136" s="1" t="str">
        <f>VLOOKUP(D136,Table17[[Name]:[Native]],3,FALSE)</f>
        <v>梁山县</v>
      </c>
      <c r="G136" s="14" t="str">
        <f ca="1">VLOOKUP(F136,Table17[[Native]:[Population4]],5,FALSE)</f>
        <v>济宁市</v>
      </c>
    </row>
    <row r="137" spans="1:7" ht="15.75" thickBot="1" x14ac:dyDescent="0.3">
      <c r="A137" s="1" t="s">
        <v>1492</v>
      </c>
      <c r="B137" s="1" t="s">
        <v>1493</v>
      </c>
      <c r="C137" s="1" t="s">
        <v>495</v>
      </c>
      <c r="D137" s="1" t="s">
        <v>1230</v>
      </c>
      <c r="E137" s="3">
        <v>21102</v>
      </c>
      <c r="F137" s="1" t="str">
        <f>VLOOKUP(D137,Table17[[Name]:[Native]],3,FALSE)</f>
        <v>任城区</v>
      </c>
      <c r="G137" s="14" t="str">
        <f ca="1">VLOOKUP(F137,Table17[[Native]:[Population4]],5,FALSE)</f>
        <v>济宁市</v>
      </c>
    </row>
    <row r="138" spans="1:7" ht="15.75" thickBot="1" x14ac:dyDescent="0.3">
      <c r="A138" t="s">
        <v>1494</v>
      </c>
      <c r="B138" s="1" t="s">
        <v>1495</v>
      </c>
      <c r="C138" s="1" t="s">
        <v>13</v>
      </c>
      <c r="D138" s="1" t="s">
        <v>1264</v>
      </c>
      <c r="E138" s="3">
        <v>39035</v>
      </c>
      <c r="F138" s="1" t="str">
        <f>VLOOKUP(D138,Table17[[Name]:[Native]],3,FALSE)</f>
        <v>曲阜市</v>
      </c>
      <c r="G138" s="14" t="str">
        <f ca="1">VLOOKUP(F138,Table17[[Native]:[Population4]],5,FALSE)</f>
        <v>济宁市</v>
      </c>
    </row>
    <row r="139" spans="1:7" ht="15.75" thickBot="1" x14ac:dyDescent="0.3">
      <c r="A139" t="s">
        <v>1496</v>
      </c>
      <c r="B139" s="1" t="s">
        <v>1497</v>
      </c>
      <c r="C139" s="1" t="s">
        <v>13</v>
      </c>
      <c r="D139" s="1" t="s">
        <v>1233</v>
      </c>
      <c r="E139" s="3">
        <v>42508</v>
      </c>
      <c r="F139" s="1" t="str">
        <f>VLOOKUP(D139,Table17[[Name]:[Native]],3,FALSE)</f>
        <v>汶上县</v>
      </c>
      <c r="G139" s="14" t="str">
        <f ca="1">VLOOKUP(F139,Table17[[Native]:[Population4]],5,FALSE)</f>
        <v>济宁市</v>
      </c>
    </row>
    <row r="140" spans="1:7" ht="15.75" thickBot="1" x14ac:dyDescent="0.3">
      <c r="A140" t="s">
        <v>1498</v>
      </c>
      <c r="B140" s="1" t="s">
        <v>1499</v>
      </c>
      <c r="C140" s="1" t="s">
        <v>13</v>
      </c>
      <c r="D140" s="1" t="s">
        <v>1233</v>
      </c>
      <c r="E140" s="3">
        <v>40865</v>
      </c>
      <c r="F140" s="1" t="str">
        <f>VLOOKUP(D140,Table17[[Name]:[Native]],3,FALSE)</f>
        <v>汶上县</v>
      </c>
      <c r="G140" s="14" t="str">
        <f ca="1">VLOOKUP(F140,Table17[[Native]:[Population4]],5,FALSE)</f>
        <v>济宁市</v>
      </c>
    </row>
    <row r="141" spans="1:7" ht="15.75" thickBot="1" x14ac:dyDescent="0.3">
      <c r="A141" t="s">
        <v>1500</v>
      </c>
      <c r="B141" s="1" t="s">
        <v>1501</v>
      </c>
      <c r="C141" s="1" t="s">
        <v>13</v>
      </c>
      <c r="D141" s="1" t="s">
        <v>1236</v>
      </c>
      <c r="E141" s="3">
        <v>47720</v>
      </c>
      <c r="F141" s="1" t="str">
        <f>VLOOKUP(D141,Table17[[Name]:[Native]],3,FALSE)</f>
        <v>邹城市</v>
      </c>
      <c r="G141" s="14" t="str">
        <f ca="1">VLOOKUP(F141,Table17[[Native]:[Population4]],5,FALSE)</f>
        <v>济宁市</v>
      </c>
    </row>
    <row r="142" spans="1:7" ht="15.75" thickBot="1" x14ac:dyDescent="0.3">
      <c r="A142" t="s">
        <v>1502</v>
      </c>
      <c r="B142" s="1" t="s">
        <v>1503</v>
      </c>
      <c r="C142" s="1" t="s">
        <v>13</v>
      </c>
      <c r="D142" s="1" t="s">
        <v>1233</v>
      </c>
      <c r="E142" s="3">
        <v>31229</v>
      </c>
      <c r="F142" s="1" t="str">
        <f>VLOOKUP(D142,Table17[[Name]:[Native]],3,FALSE)</f>
        <v>汶上县</v>
      </c>
      <c r="G142" s="14" t="str">
        <f ca="1">VLOOKUP(F142,Table17[[Native]:[Population4]],5,FALSE)</f>
        <v>济宁市</v>
      </c>
    </row>
    <row r="143" spans="1:7" ht="15.75" thickBot="1" x14ac:dyDescent="0.3">
      <c r="A143" t="s">
        <v>1504</v>
      </c>
      <c r="B143" s="1" t="s">
        <v>1505</v>
      </c>
      <c r="C143" s="1" t="s">
        <v>13</v>
      </c>
      <c r="D143" s="1" t="s">
        <v>1239</v>
      </c>
      <c r="E143" s="3">
        <v>38985</v>
      </c>
      <c r="F143" s="1" t="str">
        <f>VLOOKUP(D143,Table17[[Name]:[Native]],3,FALSE)</f>
        <v>鱼台县</v>
      </c>
      <c r="G143" s="14" t="str">
        <f ca="1">VLOOKUP(F143,Table17[[Native]:[Population4]],5,FALSE)</f>
        <v>济宁市</v>
      </c>
    </row>
    <row r="144" spans="1:7" ht="15.75" thickBot="1" x14ac:dyDescent="0.3">
      <c r="A144" t="s">
        <v>1506</v>
      </c>
      <c r="B144" s="1" t="s">
        <v>1507</v>
      </c>
      <c r="C144" s="1" t="s">
        <v>7</v>
      </c>
      <c r="D144" s="1" t="s">
        <v>1230</v>
      </c>
      <c r="E144" s="3">
        <v>30602</v>
      </c>
      <c r="F144" s="1" t="str">
        <f>VLOOKUP(D144,Table17[[Name]:[Native]],3,FALSE)</f>
        <v>任城区</v>
      </c>
      <c r="G144" s="14" t="str">
        <f ca="1">VLOOKUP(F144,Table17[[Native]:[Population4]],5,FALSE)</f>
        <v>济宁市</v>
      </c>
    </row>
    <row r="145" spans="1:7" ht="15.75" thickBot="1" x14ac:dyDescent="0.3">
      <c r="A145" t="s">
        <v>1202</v>
      </c>
      <c r="B145" s="1" t="s">
        <v>1508</v>
      </c>
      <c r="C145" s="1" t="s">
        <v>7</v>
      </c>
      <c r="D145" s="1" t="s">
        <v>1242</v>
      </c>
      <c r="E145" s="3">
        <v>55984</v>
      </c>
      <c r="F145" s="1" t="str">
        <f>VLOOKUP(D145,Table17[[Name]:[Native]],3,FALSE)</f>
        <v>金乡县</v>
      </c>
      <c r="G145" s="14" t="str">
        <f ca="1">VLOOKUP(F145,Table17[[Native]:[Population4]],5,FALSE)</f>
        <v>济宁市</v>
      </c>
    </row>
    <row r="146" spans="1:7" ht="15.75" thickBot="1" x14ac:dyDescent="0.3">
      <c r="A146" t="s">
        <v>1509</v>
      </c>
      <c r="B146" s="1" t="s">
        <v>1510</v>
      </c>
      <c r="C146" s="1" t="s">
        <v>13</v>
      </c>
      <c r="D146" s="1" t="s">
        <v>1230</v>
      </c>
      <c r="E146" s="3">
        <v>74065</v>
      </c>
      <c r="F146" s="1" t="str">
        <f>VLOOKUP(D146,Table17[[Name]:[Native]],3,FALSE)</f>
        <v>任城区</v>
      </c>
      <c r="G146" s="14" t="str">
        <f ca="1">VLOOKUP(F146,Table17[[Native]:[Population4]],5,FALSE)</f>
        <v>济宁市</v>
      </c>
    </row>
    <row r="147" spans="1:7" ht="15.75" thickBot="1" x14ac:dyDescent="0.3">
      <c r="A147" t="s">
        <v>1511</v>
      </c>
      <c r="B147" s="1" t="s">
        <v>1512</v>
      </c>
      <c r="C147" s="1" t="s">
        <v>13</v>
      </c>
      <c r="D147" s="1" t="s">
        <v>1239</v>
      </c>
      <c r="E147" s="3">
        <v>56095</v>
      </c>
      <c r="F147" s="1" t="str">
        <f>VLOOKUP(D147,Table17[[Name]:[Native]],3,FALSE)</f>
        <v>鱼台县</v>
      </c>
      <c r="G147" s="14" t="str">
        <f ca="1">VLOOKUP(F147,Table17[[Native]:[Population4]],5,FALSE)</f>
        <v>济宁市</v>
      </c>
    </row>
    <row r="148" spans="1:7" ht="15.75" thickBot="1" x14ac:dyDescent="0.3">
      <c r="A148" t="s">
        <v>1513</v>
      </c>
      <c r="B148" s="1" t="s">
        <v>1514</v>
      </c>
      <c r="C148" s="1" t="s">
        <v>13</v>
      </c>
      <c r="D148" s="1" t="s">
        <v>1267</v>
      </c>
      <c r="E148" s="3">
        <v>14044</v>
      </c>
      <c r="F148" s="1" t="str">
        <f>VLOOKUP(D148,Table17[[Name]:[Native]],3,FALSE)</f>
        <v>微山县</v>
      </c>
      <c r="G148" s="14" t="str">
        <f ca="1">VLOOKUP(F148,Table17[[Native]:[Population4]],5,FALSE)</f>
        <v>济宁市</v>
      </c>
    </row>
    <row r="149" spans="1:7" ht="15.75" thickBot="1" x14ac:dyDescent="0.3">
      <c r="A149" t="s">
        <v>449</v>
      </c>
      <c r="B149" s="1" t="s">
        <v>450</v>
      </c>
      <c r="C149" s="1" t="s">
        <v>13</v>
      </c>
      <c r="D149" s="1" t="s">
        <v>1236</v>
      </c>
      <c r="E149" s="3">
        <v>61922</v>
      </c>
      <c r="F149" s="1" t="str">
        <f>VLOOKUP(D149,Table17[[Name]:[Native]],3,FALSE)</f>
        <v>邹城市</v>
      </c>
      <c r="G149" s="14" t="str">
        <f ca="1">VLOOKUP(F149,Table17[[Native]:[Population4]],5,FALSE)</f>
        <v>济宁市</v>
      </c>
    </row>
    <row r="150" spans="1:7" ht="15.75" thickBot="1" x14ac:dyDescent="0.3">
      <c r="A150" t="s">
        <v>1515</v>
      </c>
      <c r="B150" s="1" t="s">
        <v>1516</v>
      </c>
      <c r="C150" s="1" t="s">
        <v>61</v>
      </c>
      <c r="D150" s="1" t="s">
        <v>1256</v>
      </c>
      <c r="E150" s="3">
        <v>26699</v>
      </c>
      <c r="F150" s="1" t="str">
        <f>VLOOKUP(D150,Table17[[Name]:[Native]],3,FALSE)</f>
        <v>梁山县</v>
      </c>
      <c r="G150" s="14" t="str">
        <f ca="1">VLOOKUP(F150,Table17[[Native]:[Population4]],5,FALSE)</f>
        <v>济宁市</v>
      </c>
    </row>
    <row r="151" spans="1:7" ht="15.75" thickBot="1" x14ac:dyDescent="0.3">
      <c r="A151" t="s">
        <v>1517</v>
      </c>
      <c r="B151" s="1" t="s">
        <v>1518</v>
      </c>
      <c r="C151" s="1" t="s">
        <v>13</v>
      </c>
      <c r="D151" s="1" t="s">
        <v>1267</v>
      </c>
      <c r="E151" s="3">
        <v>13445</v>
      </c>
      <c r="F151" s="1" t="str">
        <f>VLOOKUP(D151,Table17[[Name]:[Native]],3,FALSE)</f>
        <v>微山县</v>
      </c>
      <c r="G151" s="14" t="str">
        <f ca="1">VLOOKUP(F151,Table17[[Native]:[Population4]],5,FALSE)</f>
        <v>济宁市</v>
      </c>
    </row>
    <row r="152" spans="1:7" ht="15.75" thickBot="1" x14ac:dyDescent="0.3">
      <c r="A152" t="s">
        <v>1519</v>
      </c>
      <c r="B152" s="1" t="s">
        <v>1520</v>
      </c>
      <c r="C152" s="1" t="s">
        <v>7</v>
      </c>
      <c r="D152" s="1" t="s">
        <v>1267</v>
      </c>
      <c r="E152" s="3">
        <v>45316</v>
      </c>
      <c r="F152" s="1" t="str">
        <f>VLOOKUP(D152,Table17[[Name]:[Native]],3,FALSE)</f>
        <v>微山县</v>
      </c>
      <c r="G152" s="14" t="str">
        <f ca="1">VLOOKUP(F152,Table17[[Native]:[Population4]],5,FALSE)</f>
        <v>济宁市</v>
      </c>
    </row>
    <row r="153" spans="1:7" ht="15.75" thickBot="1" x14ac:dyDescent="0.3">
      <c r="A153" t="s">
        <v>1521</v>
      </c>
      <c r="B153" s="1" t="s">
        <v>1522</v>
      </c>
      <c r="C153" s="1" t="s">
        <v>13</v>
      </c>
      <c r="D153" s="1" t="s">
        <v>1280</v>
      </c>
      <c r="E153" s="3">
        <v>29747</v>
      </c>
      <c r="F153" s="1" t="str">
        <f>VLOOKUP(D153,Table17[[Name]:[Native]],3,FALSE)</f>
        <v>泗水县</v>
      </c>
      <c r="G153" s="14" t="str">
        <f ca="1">VLOOKUP(F153,Table17[[Native]:[Population4]],5,FALSE)</f>
        <v>济宁市</v>
      </c>
    </row>
    <row r="154" spans="1:7" ht="15.75" thickBot="1" x14ac:dyDescent="0.3">
      <c r="A154" t="s">
        <v>1523</v>
      </c>
      <c r="B154" s="1" t="s">
        <v>1524</v>
      </c>
      <c r="C154" s="1" t="s">
        <v>13</v>
      </c>
      <c r="D154" s="1" t="s">
        <v>1261</v>
      </c>
      <c r="E154" s="3">
        <v>79077</v>
      </c>
      <c r="F154" s="1" t="str">
        <f>VLOOKUP(D154,Table17[[Name]:[Native]],3,FALSE)</f>
        <v>嘉祥县</v>
      </c>
      <c r="G154" s="14" t="str">
        <f ca="1">VLOOKUP(F154,Table17[[Native]:[Population4]],5,FALSE)</f>
        <v>济宁市</v>
      </c>
    </row>
    <row r="155" spans="1:7" ht="15.75" thickBot="1" x14ac:dyDescent="0.3">
      <c r="A155" t="s">
        <v>1525</v>
      </c>
      <c r="B155" s="1" t="s">
        <v>1526</v>
      </c>
      <c r="C155" s="1" t="s">
        <v>13</v>
      </c>
      <c r="D155" s="1" t="s">
        <v>1280</v>
      </c>
      <c r="E155" s="3">
        <v>30290</v>
      </c>
      <c r="F155" s="1" t="str">
        <f>VLOOKUP(D155,Table17[[Name]:[Native]],3,FALSE)</f>
        <v>泗水县</v>
      </c>
      <c r="G155" s="14" t="str">
        <f ca="1">VLOOKUP(F155,Table17[[Native]:[Population4]],5,FALSE)</f>
        <v>济宁市</v>
      </c>
    </row>
    <row r="156" spans="1:7" ht="15.75" thickBot="1" x14ac:dyDescent="0.3">
      <c r="A156" t="s">
        <v>1527</v>
      </c>
      <c r="B156" s="1" t="s">
        <v>1528</v>
      </c>
      <c r="C156" s="1" t="s">
        <v>7</v>
      </c>
      <c r="D156" s="1" t="s">
        <v>1233</v>
      </c>
      <c r="E156" s="3">
        <v>70453</v>
      </c>
      <c r="F156" s="1" t="str">
        <f>VLOOKUP(D156,Table17[[Name]:[Native]],3,FALSE)</f>
        <v>汶上县</v>
      </c>
      <c r="G156" s="14" t="str">
        <f ca="1">VLOOKUP(F156,Table17[[Native]:[Population4]],5,FALSE)</f>
        <v>济宁市</v>
      </c>
    </row>
    <row r="157" spans="1:7" ht="15.75" thickBot="1" x14ac:dyDescent="0.3">
      <c r="A157" t="s">
        <v>1529</v>
      </c>
      <c r="B157" s="1" t="s">
        <v>1530</v>
      </c>
      <c r="C157" s="1" t="s">
        <v>13</v>
      </c>
      <c r="D157" s="1" t="s">
        <v>1261</v>
      </c>
      <c r="E157" s="3">
        <v>56163</v>
      </c>
      <c r="F157" s="1" t="str">
        <f>VLOOKUP(D157,Table17[[Name]:[Native]],3,FALSE)</f>
        <v>嘉祥县</v>
      </c>
      <c r="G157" s="14" t="str">
        <f ca="1">VLOOKUP(F157,Table17[[Native]:[Population4]],5,FALSE)</f>
        <v>济宁市</v>
      </c>
    </row>
    <row r="158" spans="1:7" ht="15.75" thickBot="1" x14ac:dyDescent="0.3">
      <c r="A158" t="s">
        <v>1531</v>
      </c>
      <c r="B158" s="1" t="s">
        <v>1532</v>
      </c>
      <c r="C158" s="1" t="s">
        <v>13</v>
      </c>
      <c r="D158" s="1" t="s">
        <v>1236</v>
      </c>
      <c r="E158" s="3">
        <v>80850</v>
      </c>
      <c r="F158" s="10" t="str">
        <f>VLOOKUP(D158,Table17[[Name]:[Native]],3,FALSE)</f>
        <v>邹城市</v>
      </c>
      <c r="G158" s="14" t="str">
        <f ca="1">VLOOKUP(F158,Table17[[Native]:[Population4]],5,FALSE)</f>
        <v>济宁市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187E7-B371-46AF-B920-E9636A1A5368}">
  <dimension ref="A1:G137"/>
  <sheetViews>
    <sheetView workbookViewId="0">
      <selection activeCell="A2" sqref="A2:G13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1533</v>
      </c>
      <c r="B2" s="1" t="s">
        <v>1534</v>
      </c>
      <c r="C2" s="1" t="s">
        <v>13</v>
      </c>
      <c r="D2" s="1" t="s">
        <v>1535</v>
      </c>
      <c r="E2" s="3">
        <v>61652</v>
      </c>
      <c r="F2" s="9" t="str">
        <f>VLOOKUP(D2,Table17[[Name]:[Native]],3,FALSE)</f>
        <v>阳谷县</v>
      </c>
      <c r="G2" s="14" t="str">
        <f ca="1">VLOOKUP(F2,Table17[[Native]:[Population4]],5,FALSE)</f>
        <v>聊城市</v>
      </c>
    </row>
    <row r="3" spans="1:7" ht="15.75" thickBot="1" x14ac:dyDescent="0.3">
      <c r="A3" t="s">
        <v>1536</v>
      </c>
      <c r="B3" s="1" t="s">
        <v>1537</v>
      </c>
      <c r="C3" s="1" t="s">
        <v>13</v>
      </c>
      <c r="D3" s="1" t="s">
        <v>1535</v>
      </c>
      <c r="E3" s="3">
        <v>35264</v>
      </c>
      <c r="F3" s="1" t="str">
        <f>VLOOKUP(D3,Table17[[Name]:[Native]],3,FALSE)</f>
        <v>阳谷县</v>
      </c>
      <c r="G3" s="14" t="str">
        <f ca="1">VLOOKUP(F3,Table17[[Native]:[Population4]],5,FALSE)</f>
        <v>聊城市</v>
      </c>
    </row>
    <row r="4" spans="1:7" ht="15.75" thickBot="1" x14ac:dyDescent="0.3">
      <c r="A4" t="s">
        <v>1538</v>
      </c>
      <c r="B4" s="1" t="s">
        <v>1539</v>
      </c>
      <c r="C4" s="1" t="s">
        <v>13</v>
      </c>
      <c r="D4" s="1" t="s">
        <v>1540</v>
      </c>
      <c r="E4" s="3">
        <v>31839</v>
      </c>
      <c r="F4" s="1" t="str">
        <f>VLOOKUP(D4,Table17[[Name]:[Native]],3,FALSE)</f>
        <v>临清市</v>
      </c>
      <c r="G4" s="14" t="str">
        <f ca="1">VLOOKUP(F4,Table17[[Native]:[Population4]],5,FALSE)</f>
        <v>聊城市</v>
      </c>
    </row>
    <row r="5" spans="1:7" ht="15.75" thickBot="1" x14ac:dyDescent="0.3">
      <c r="A5" t="s">
        <v>214</v>
      </c>
      <c r="B5" s="1" t="s">
        <v>215</v>
      </c>
      <c r="C5" s="1" t="s">
        <v>7</v>
      </c>
      <c r="D5" s="1" t="s">
        <v>1541</v>
      </c>
      <c r="E5" s="3">
        <v>38301</v>
      </c>
      <c r="F5" s="1" t="str">
        <f>VLOOKUP(D5,Table17[[Name]:[Native]],3,FALSE)</f>
        <v>东昌府区</v>
      </c>
      <c r="G5" s="14" t="str">
        <f ca="1">VLOOKUP(F5,Table17[[Native]:[Population4]],5,FALSE)</f>
        <v>聊城市</v>
      </c>
    </row>
    <row r="6" spans="1:7" ht="15.75" thickBot="1" x14ac:dyDescent="0.3">
      <c r="A6" t="s">
        <v>1542</v>
      </c>
      <c r="B6" s="1" t="s">
        <v>1543</v>
      </c>
      <c r="C6" s="1" t="s">
        <v>13</v>
      </c>
      <c r="D6" s="1" t="s">
        <v>1544</v>
      </c>
      <c r="E6" s="3">
        <v>35870</v>
      </c>
      <c r="F6" s="1" t="str">
        <f>VLOOKUP(D6,Table17[[Name]:[Native]],3,FALSE)</f>
        <v>冠县</v>
      </c>
      <c r="G6" s="14" t="str">
        <f ca="1">VLOOKUP(F6,Table17[[Native]:[Population4]],5,FALSE)</f>
        <v>聊城市</v>
      </c>
    </row>
    <row r="7" spans="1:7" ht="15.75" thickBot="1" x14ac:dyDescent="0.3">
      <c r="A7" t="s">
        <v>1545</v>
      </c>
      <c r="B7" s="1" t="s">
        <v>1546</v>
      </c>
      <c r="C7" s="1" t="s">
        <v>7</v>
      </c>
      <c r="D7" s="1" t="s">
        <v>1535</v>
      </c>
      <c r="E7" s="3">
        <v>74194</v>
      </c>
      <c r="F7" s="1" t="str">
        <f>VLOOKUP(D7,Table17[[Name]:[Native]],3,FALSE)</f>
        <v>阳谷县</v>
      </c>
      <c r="G7" s="14" t="str">
        <f ca="1">VLOOKUP(F7,Table17[[Native]:[Population4]],5,FALSE)</f>
        <v>聊城市</v>
      </c>
    </row>
    <row r="8" spans="1:7" ht="15.75" thickBot="1" x14ac:dyDescent="0.3">
      <c r="A8" t="s">
        <v>1547</v>
      </c>
      <c r="B8" s="1" t="s">
        <v>1548</v>
      </c>
      <c r="C8" s="1" t="s">
        <v>13</v>
      </c>
      <c r="D8" s="1" t="s">
        <v>1549</v>
      </c>
      <c r="E8" s="3">
        <v>49516</v>
      </c>
      <c r="F8" s="1" t="str">
        <f>VLOOKUP(D8,Table17[[Name]:[Native]],3,FALSE)</f>
        <v>茌平区</v>
      </c>
      <c r="G8" s="14" t="str">
        <f ca="1">VLOOKUP(F8,Table17[[Native]:[Population4]],5,FALSE)</f>
        <v>聊城市</v>
      </c>
    </row>
    <row r="9" spans="1:7" ht="15.75" thickBot="1" x14ac:dyDescent="0.3">
      <c r="A9" t="s">
        <v>1550</v>
      </c>
      <c r="B9" s="1" t="s">
        <v>1551</v>
      </c>
      <c r="C9" s="1" t="s">
        <v>13</v>
      </c>
      <c r="D9" s="1" t="s">
        <v>1549</v>
      </c>
      <c r="E9" s="3">
        <v>25534</v>
      </c>
      <c r="F9" s="1" t="str">
        <f>VLOOKUP(D9,Table17[[Name]:[Native]],3,FALSE)</f>
        <v>茌平区</v>
      </c>
      <c r="G9" s="14" t="str">
        <f ca="1">VLOOKUP(F9,Table17[[Native]:[Population4]],5,FALSE)</f>
        <v>聊城市</v>
      </c>
    </row>
    <row r="10" spans="1:7" ht="15.75" thickBot="1" x14ac:dyDescent="0.3">
      <c r="A10" t="s">
        <v>1552</v>
      </c>
      <c r="B10" s="1" t="s">
        <v>1553</v>
      </c>
      <c r="C10" s="1" t="s">
        <v>13</v>
      </c>
      <c r="D10" s="1" t="s">
        <v>1554</v>
      </c>
      <c r="E10" s="3">
        <v>49297</v>
      </c>
      <c r="F10" s="1" t="str">
        <f>VLOOKUP(D10,Table17[[Name]:[Native]],3,FALSE)</f>
        <v>莘县</v>
      </c>
      <c r="G10" s="14" t="str">
        <f ca="1">VLOOKUP(F10,Table17[[Native]:[Population4]],5,FALSE)</f>
        <v>聊城市</v>
      </c>
    </row>
    <row r="11" spans="1:7" ht="15.75" thickBot="1" x14ac:dyDescent="0.3">
      <c r="A11" t="s">
        <v>638</v>
      </c>
      <c r="B11" s="1" t="s">
        <v>639</v>
      </c>
      <c r="C11" s="1" t="s">
        <v>13</v>
      </c>
      <c r="D11" s="1" t="s">
        <v>1555</v>
      </c>
      <c r="E11" s="3">
        <v>16938</v>
      </c>
      <c r="F11" s="1" t="str">
        <f>VLOOKUP(D11,Table17[[Name]:[Native]],3,FALSE)</f>
        <v>东阿县</v>
      </c>
      <c r="G11" s="14" t="str">
        <f ca="1">VLOOKUP(F11,Table17[[Native]:[Population4]],5,FALSE)</f>
        <v>聊城市</v>
      </c>
    </row>
    <row r="12" spans="1:7" ht="15.75" thickBot="1" x14ac:dyDescent="0.3">
      <c r="A12" t="s">
        <v>1556</v>
      </c>
      <c r="B12" s="1" t="s">
        <v>1557</v>
      </c>
      <c r="C12" s="1" t="s">
        <v>7</v>
      </c>
      <c r="D12" s="1" t="s">
        <v>1544</v>
      </c>
      <c r="E12" s="3">
        <v>53274</v>
      </c>
      <c r="F12" s="1" t="str">
        <f>VLOOKUP(D12,Table17[[Name]:[Native]],3,FALSE)</f>
        <v>冠县</v>
      </c>
      <c r="G12" s="14" t="str">
        <f ca="1">VLOOKUP(F12,Table17[[Native]:[Population4]],5,FALSE)</f>
        <v>聊城市</v>
      </c>
    </row>
    <row r="13" spans="1:7" ht="15.75" thickBot="1" x14ac:dyDescent="0.3">
      <c r="A13" t="s">
        <v>1558</v>
      </c>
      <c r="B13" s="1" t="s">
        <v>1559</v>
      </c>
      <c r="C13" s="1" t="s">
        <v>61</v>
      </c>
      <c r="D13" s="1" t="s">
        <v>1535</v>
      </c>
      <c r="E13" s="3">
        <v>33661</v>
      </c>
      <c r="F13" s="1" t="str">
        <f>VLOOKUP(D13,Table17[[Name]:[Native]],3,FALSE)</f>
        <v>阳谷县</v>
      </c>
      <c r="G13" s="14" t="str">
        <f ca="1">VLOOKUP(F13,Table17[[Native]:[Population4]],5,FALSE)</f>
        <v>聊城市</v>
      </c>
    </row>
    <row r="14" spans="1:7" ht="15.75" thickBot="1" x14ac:dyDescent="0.3">
      <c r="A14" t="s">
        <v>1560</v>
      </c>
      <c r="B14" s="1" t="s">
        <v>1561</v>
      </c>
      <c r="C14" s="1" t="s">
        <v>13</v>
      </c>
      <c r="D14" s="1" t="s">
        <v>1540</v>
      </c>
      <c r="E14" s="3">
        <v>30444</v>
      </c>
      <c r="F14" s="1" t="str">
        <f>VLOOKUP(D14,Table17[[Name]:[Native]],3,FALSE)</f>
        <v>临清市</v>
      </c>
      <c r="G14" s="14" t="str">
        <f ca="1">VLOOKUP(F14,Table17[[Native]:[Population4]],5,FALSE)</f>
        <v>聊城市</v>
      </c>
    </row>
    <row r="15" spans="1:7" ht="15.75" thickBot="1" x14ac:dyDescent="0.3">
      <c r="A15" t="s">
        <v>1562</v>
      </c>
      <c r="B15" s="1" t="s">
        <v>1563</v>
      </c>
      <c r="C15" s="1" t="s">
        <v>7</v>
      </c>
      <c r="D15" s="1" t="s">
        <v>1541</v>
      </c>
      <c r="E15" s="3">
        <v>33890</v>
      </c>
      <c r="F15" s="1" t="str">
        <f>VLOOKUP(D15,Table17[[Name]:[Native]],3,FALSE)</f>
        <v>东昌府区</v>
      </c>
      <c r="G15" s="14" t="str">
        <f ca="1">VLOOKUP(F15,Table17[[Native]:[Population4]],5,FALSE)</f>
        <v>聊城市</v>
      </c>
    </row>
    <row r="16" spans="1:7" ht="15.75" thickBot="1" x14ac:dyDescent="0.3">
      <c r="A16" t="s">
        <v>1564</v>
      </c>
      <c r="B16" s="1" t="s">
        <v>1565</v>
      </c>
      <c r="C16" s="1" t="s">
        <v>13</v>
      </c>
      <c r="D16" s="1" t="s">
        <v>1555</v>
      </c>
      <c r="E16" s="3">
        <v>18228</v>
      </c>
      <c r="F16" s="1" t="str">
        <f>VLOOKUP(D16,Table17[[Name]:[Native]],3,FALSE)</f>
        <v>东阿县</v>
      </c>
      <c r="G16" s="14" t="str">
        <f ca="1">VLOOKUP(F16,Table17[[Native]:[Population4]],5,FALSE)</f>
        <v>聊城市</v>
      </c>
    </row>
    <row r="17" spans="1:7" ht="15.75" thickBot="1" x14ac:dyDescent="0.3">
      <c r="A17" t="s">
        <v>1566</v>
      </c>
      <c r="B17" s="1" t="s">
        <v>1567</v>
      </c>
      <c r="C17" s="1" t="s">
        <v>13</v>
      </c>
      <c r="D17" s="1" t="s">
        <v>1554</v>
      </c>
      <c r="E17" s="3">
        <v>35354</v>
      </c>
      <c r="F17" s="1" t="str">
        <f>VLOOKUP(D17,Table17[[Name]:[Native]],3,FALSE)</f>
        <v>莘县</v>
      </c>
      <c r="G17" s="14" t="str">
        <f ca="1">VLOOKUP(F17,Table17[[Native]:[Population4]],5,FALSE)</f>
        <v>聊城市</v>
      </c>
    </row>
    <row r="18" spans="1:7" ht="15.75" thickBot="1" x14ac:dyDescent="0.3">
      <c r="A18" t="s">
        <v>1568</v>
      </c>
      <c r="B18" s="1" t="s">
        <v>1569</v>
      </c>
      <c r="C18" s="1" t="s">
        <v>7</v>
      </c>
      <c r="D18" s="1" t="s">
        <v>1540</v>
      </c>
      <c r="E18" s="3">
        <v>35253</v>
      </c>
      <c r="F18" s="1" t="str">
        <f>VLOOKUP(D18,Table17[[Name]:[Native]],3,FALSE)</f>
        <v>临清市</v>
      </c>
      <c r="G18" s="14" t="str">
        <f ca="1">VLOOKUP(F18,Table17[[Native]:[Population4]],5,FALSE)</f>
        <v>聊城市</v>
      </c>
    </row>
    <row r="19" spans="1:7" ht="15.75" thickBot="1" x14ac:dyDescent="0.3">
      <c r="A19" t="s">
        <v>1570</v>
      </c>
      <c r="B19" s="1" t="s">
        <v>1571</v>
      </c>
      <c r="C19" s="1" t="s">
        <v>13</v>
      </c>
      <c r="D19" s="1" t="s">
        <v>1554</v>
      </c>
      <c r="E19" s="3">
        <v>36810</v>
      </c>
      <c r="F19" s="1" t="str">
        <f>VLOOKUP(D19,Table17[[Name]:[Native]],3,FALSE)</f>
        <v>莘县</v>
      </c>
      <c r="G19" s="14" t="str">
        <f ca="1">VLOOKUP(F19,Table17[[Native]:[Population4]],5,FALSE)</f>
        <v>聊城市</v>
      </c>
    </row>
    <row r="20" spans="1:7" ht="15.75" thickBot="1" x14ac:dyDescent="0.3">
      <c r="A20" t="s">
        <v>43</v>
      </c>
      <c r="B20" s="1" t="s">
        <v>44</v>
      </c>
      <c r="C20" s="1" t="s">
        <v>13</v>
      </c>
      <c r="D20" s="1" t="s">
        <v>1544</v>
      </c>
      <c r="E20" s="3">
        <v>29188</v>
      </c>
      <c r="F20" s="1" t="str">
        <f>VLOOKUP(D20,Table17[[Name]:[Native]],3,FALSE)</f>
        <v>冠县</v>
      </c>
      <c r="G20" s="14" t="str">
        <f ca="1">VLOOKUP(F20,Table17[[Native]:[Population4]],5,FALSE)</f>
        <v>聊城市</v>
      </c>
    </row>
    <row r="21" spans="1:7" ht="15.75" thickBot="1" x14ac:dyDescent="0.3">
      <c r="A21" t="s">
        <v>1572</v>
      </c>
      <c r="B21" s="1" t="s">
        <v>1573</v>
      </c>
      <c r="C21" s="1" t="s">
        <v>13</v>
      </c>
      <c r="D21" s="1" t="s">
        <v>1535</v>
      </c>
      <c r="E21" s="3">
        <v>26256</v>
      </c>
      <c r="F21" s="1" t="str">
        <f>VLOOKUP(D21,Table17[[Name]:[Native]],3,FALSE)</f>
        <v>阳谷县</v>
      </c>
      <c r="G21" s="14" t="str">
        <f ca="1">VLOOKUP(F21,Table17[[Native]:[Population4]],5,FALSE)</f>
        <v>聊城市</v>
      </c>
    </row>
    <row r="22" spans="1:7" ht="15.75" thickBot="1" x14ac:dyDescent="0.3">
      <c r="A22" t="s">
        <v>1574</v>
      </c>
      <c r="B22" s="1" t="s">
        <v>1575</v>
      </c>
      <c r="C22" s="1" t="s">
        <v>13</v>
      </c>
      <c r="D22" s="1" t="s">
        <v>1544</v>
      </c>
      <c r="E22" s="3">
        <v>33595</v>
      </c>
      <c r="F22" s="1" t="str">
        <f>VLOOKUP(D22,Table17[[Name]:[Native]],3,FALSE)</f>
        <v>冠县</v>
      </c>
      <c r="G22" s="14" t="str">
        <f ca="1">VLOOKUP(F22,Table17[[Native]:[Population4]],5,FALSE)</f>
        <v>聊城市</v>
      </c>
    </row>
    <row r="23" spans="1:7" ht="15.75" thickBot="1" x14ac:dyDescent="0.3">
      <c r="A23" t="s">
        <v>487</v>
      </c>
      <c r="B23" s="1" t="s">
        <v>488</v>
      </c>
      <c r="C23" s="1" t="s">
        <v>7</v>
      </c>
      <c r="D23" s="1" t="s">
        <v>1541</v>
      </c>
      <c r="E23" s="3">
        <v>46224</v>
      </c>
      <c r="F23" s="1" t="str">
        <f>VLOOKUP(D23,Table17[[Name]:[Native]],3,FALSE)</f>
        <v>东昌府区</v>
      </c>
      <c r="G23" s="14" t="str">
        <f ca="1">VLOOKUP(F23,Table17[[Native]:[Population4]],5,FALSE)</f>
        <v>聊城市</v>
      </c>
    </row>
    <row r="24" spans="1:7" ht="15.75" thickBot="1" x14ac:dyDescent="0.3">
      <c r="A24" t="s">
        <v>1576</v>
      </c>
      <c r="B24" s="1" t="s">
        <v>1577</v>
      </c>
      <c r="C24" s="1" t="s">
        <v>13</v>
      </c>
      <c r="D24" s="1" t="s">
        <v>1554</v>
      </c>
      <c r="E24" s="3">
        <v>29740</v>
      </c>
      <c r="F24" s="1" t="str">
        <f>VLOOKUP(D24,Table17[[Name]:[Native]],3,FALSE)</f>
        <v>莘县</v>
      </c>
      <c r="G24" s="14" t="str">
        <f ca="1">VLOOKUP(F24,Table17[[Native]:[Population4]],5,FALSE)</f>
        <v>聊城市</v>
      </c>
    </row>
    <row r="25" spans="1:7" ht="15.75" thickBot="1" x14ac:dyDescent="0.3">
      <c r="A25" t="s">
        <v>1578</v>
      </c>
      <c r="B25" s="1" t="s">
        <v>1579</v>
      </c>
      <c r="C25" s="1" t="s">
        <v>13</v>
      </c>
      <c r="D25" s="1" t="s">
        <v>1544</v>
      </c>
      <c r="E25" s="3">
        <v>70579</v>
      </c>
      <c r="F25" s="1" t="str">
        <f>VLOOKUP(D25,Table17[[Name]:[Native]],3,FALSE)</f>
        <v>冠县</v>
      </c>
      <c r="G25" s="14" t="str">
        <f ca="1">VLOOKUP(F25,Table17[[Native]:[Population4]],5,FALSE)</f>
        <v>聊城市</v>
      </c>
    </row>
    <row r="26" spans="1:7" ht="15.75" thickBot="1" x14ac:dyDescent="0.3">
      <c r="A26" t="s">
        <v>1580</v>
      </c>
      <c r="B26" s="1" t="s">
        <v>1581</v>
      </c>
      <c r="C26" s="1" t="s">
        <v>7</v>
      </c>
      <c r="D26" s="1" t="s">
        <v>1554</v>
      </c>
      <c r="E26" s="3">
        <v>36146</v>
      </c>
      <c r="F26" s="1" t="str">
        <f>VLOOKUP(D26,Table17[[Name]:[Native]],3,FALSE)</f>
        <v>莘县</v>
      </c>
      <c r="G26" s="14" t="str">
        <f ca="1">VLOOKUP(F26,Table17[[Native]:[Population4]],5,FALSE)</f>
        <v>聊城市</v>
      </c>
    </row>
    <row r="27" spans="1:7" ht="15.75" thickBot="1" x14ac:dyDescent="0.3">
      <c r="A27" t="s">
        <v>1582</v>
      </c>
      <c r="B27" s="1" t="s">
        <v>1583</v>
      </c>
      <c r="C27" s="1" t="s">
        <v>13</v>
      </c>
      <c r="D27" s="1" t="s">
        <v>1541</v>
      </c>
      <c r="E27" s="3">
        <v>40790</v>
      </c>
      <c r="F27" s="1" t="str">
        <f>VLOOKUP(D27,Table17[[Name]:[Native]],3,FALSE)</f>
        <v>东昌府区</v>
      </c>
      <c r="G27" s="14" t="str">
        <f ca="1">VLOOKUP(F27,Table17[[Native]:[Population4]],5,FALSE)</f>
        <v>聊城市</v>
      </c>
    </row>
    <row r="28" spans="1:7" ht="15.75" thickBot="1" x14ac:dyDescent="0.3">
      <c r="A28" t="s">
        <v>1584</v>
      </c>
      <c r="B28" s="1" t="s">
        <v>1585</v>
      </c>
      <c r="C28" s="1" t="s">
        <v>13</v>
      </c>
      <c r="D28" s="1" t="s">
        <v>1549</v>
      </c>
      <c r="E28" s="3">
        <v>31201</v>
      </c>
      <c r="F28" s="1" t="str">
        <f>VLOOKUP(D28,Table17[[Name]:[Native]],3,FALSE)</f>
        <v>茌平区</v>
      </c>
      <c r="G28" s="14" t="str">
        <f ca="1">VLOOKUP(F28,Table17[[Native]:[Population4]],5,FALSE)</f>
        <v>聊城市</v>
      </c>
    </row>
    <row r="29" spans="1:7" ht="15.75" thickBot="1" x14ac:dyDescent="0.3">
      <c r="A29" t="s">
        <v>1586</v>
      </c>
      <c r="B29" s="1" t="s">
        <v>1587</v>
      </c>
      <c r="C29" s="1" t="s">
        <v>13</v>
      </c>
      <c r="D29" s="1" t="s">
        <v>1544</v>
      </c>
      <c r="E29" s="3">
        <v>32359</v>
      </c>
      <c r="F29" s="1" t="str">
        <f>VLOOKUP(D29,Table17[[Name]:[Native]],3,FALSE)</f>
        <v>冠县</v>
      </c>
      <c r="G29" s="14" t="str">
        <f ca="1">VLOOKUP(F29,Table17[[Native]:[Population4]],5,FALSE)</f>
        <v>聊城市</v>
      </c>
    </row>
    <row r="30" spans="1:7" ht="15.75" thickBot="1" x14ac:dyDescent="0.3">
      <c r="A30" t="s">
        <v>1588</v>
      </c>
      <c r="B30" s="1" t="s">
        <v>1589</v>
      </c>
      <c r="C30" s="1" t="s">
        <v>13</v>
      </c>
      <c r="D30" s="1" t="s">
        <v>1549</v>
      </c>
      <c r="E30" s="3">
        <v>42210</v>
      </c>
      <c r="F30" s="1" t="str">
        <f>VLOOKUP(D30,Table17[[Name]:[Native]],3,FALSE)</f>
        <v>茌平区</v>
      </c>
      <c r="G30" s="14" t="str">
        <f ca="1">VLOOKUP(F30,Table17[[Native]:[Population4]],5,FALSE)</f>
        <v>聊城市</v>
      </c>
    </row>
    <row r="31" spans="1:7" ht="15.75" thickBot="1" x14ac:dyDescent="0.3">
      <c r="A31" t="s">
        <v>676</v>
      </c>
      <c r="B31" s="1" t="s">
        <v>677</v>
      </c>
      <c r="C31" s="1" t="s">
        <v>7</v>
      </c>
      <c r="D31" s="1" t="s">
        <v>1541</v>
      </c>
      <c r="E31" s="3">
        <v>37789</v>
      </c>
      <c r="F31" s="1" t="str">
        <f>VLOOKUP(D31,Table17[[Name]:[Native]],3,FALSE)</f>
        <v>东昌府区</v>
      </c>
      <c r="G31" s="14" t="str">
        <f ca="1">VLOOKUP(F31,Table17[[Native]:[Population4]],5,FALSE)</f>
        <v>聊城市</v>
      </c>
    </row>
    <row r="32" spans="1:7" ht="15.75" thickBot="1" x14ac:dyDescent="0.3">
      <c r="A32" t="s">
        <v>1590</v>
      </c>
      <c r="B32" s="1" t="s">
        <v>1591</v>
      </c>
      <c r="C32" s="1" t="s">
        <v>13</v>
      </c>
      <c r="D32" s="1" t="s">
        <v>1544</v>
      </c>
      <c r="E32" s="3">
        <v>42119</v>
      </c>
      <c r="F32" s="1" t="str">
        <f>VLOOKUP(D32,Table17[[Name]:[Native]],3,FALSE)</f>
        <v>冠县</v>
      </c>
      <c r="G32" s="14" t="str">
        <f ca="1">VLOOKUP(F32,Table17[[Native]:[Population4]],5,FALSE)</f>
        <v>聊城市</v>
      </c>
    </row>
    <row r="33" spans="1:7" ht="15.75" thickBot="1" x14ac:dyDescent="0.3">
      <c r="A33" t="s">
        <v>1592</v>
      </c>
      <c r="B33" s="1" t="s">
        <v>1593</v>
      </c>
      <c r="C33" s="1" t="s">
        <v>13</v>
      </c>
      <c r="D33" s="1" t="s">
        <v>1555</v>
      </c>
      <c r="E33" s="3">
        <v>21769</v>
      </c>
      <c r="F33" s="1" t="str">
        <f>VLOOKUP(D33,Table17[[Name]:[Native]],3,FALSE)</f>
        <v>东阿县</v>
      </c>
      <c r="G33" s="14" t="str">
        <f ca="1">VLOOKUP(F33,Table17[[Native]:[Population4]],5,FALSE)</f>
        <v>聊城市</v>
      </c>
    </row>
    <row r="34" spans="1:7" ht="15.75" thickBot="1" x14ac:dyDescent="0.3">
      <c r="A34" t="s">
        <v>1594</v>
      </c>
      <c r="B34" s="1" t="s">
        <v>1595</v>
      </c>
      <c r="C34" s="1" t="s">
        <v>13</v>
      </c>
      <c r="D34" s="1" t="s">
        <v>1535</v>
      </c>
      <c r="E34" s="3">
        <v>37933</v>
      </c>
      <c r="F34" s="1" t="str">
        <f>VLOOKUP(D34,Table17[[Name]:[Native]],3,FALSE)</f>
        <v>阳谷县</v>
      </c>
      <c r="G34" s="14" t="str">
        <f ca="1">VLOOKUP(F34,Table17[[Native]:[Population4]],5,FALSE)</f>
        <v>聊城市</v>
      </c>
    </row>
    <row r="35" spans="1:7" ht="15.75" thickBot="1" x14ac:dyDescent="0.3">
      <c r="A35" t="s">
        <v>1596</v>
      </c>
      <c r="B35" s="1" t="s">
        <v>1597</v>
      </c>
      <c r="C35" s="1" t="s">
        <v>13</v>
      </c>
      <c r="D35" s="1" t="s">
        <v>1554</v>
      </c>
      <c r="E35" s="3">
        <v>33742</v>
      </c>
      <c r="F35" s="1" t="str">
        <f>VLOOKUP(D35,Table17[[Name]:[Native]],3,FALSE)</f>
        <v>莘县</v>
      </c>
      <c r="G35" s="14" t="str">
        <f ca="1">VLOOKUP(F35,Table17[[Native]:[Population4]],5,FALSE)</f>
        <v>聊城市</v>
      </c>
    </row>
    <row r="36" spans="1:7" ht="15.75" thickBot="1" x14ac:dyDescent="0.3">
      <c r="A36" t="s">
        <v>1598</v>
      </c>
      <c r="B36" s="1" t="s">
        <v>1599</v>
      </c>
      <c r="C36" s="1" t="s">
        <v>13</v>
      </c>
      <c r="D36" s="1" t="s">
        <v>1541</v>
      </c>
      <c r="E36" s="3">
        <v>28883</v>
      </c>
      <c r="F36" s="1" t="str">
        <f>VLOOKUP(D36,Table17[[Name]:[Native]],3,FALSE)</f>
        <v>东昌府区</v>
      </c>
      <c r="G36" s="14" t="str">
        <f ca="1">VLOOKUP(F36,Table17[[Native]:[Population4]],5,FALSE)</f>
        <v>聊城市</v>
      </c>
    </row>
    <row r="37" spans="1:7" ht="15.75" thickBot="1" x14ac:dyDescent="0.3">
      <c r="A37" t="s">
        <v>57</v>
      </c>
      <c r="B37" s="1" t="s">
        <v>58</v>
      </c>
      <c r="C37" s="1" t="s">
        <v>13</v>
      </c>
      <c r="D37" s="1" t="s">
        <v>1554</v>
      </c>
      <c r="E37" s="3">
        <v>49650</v>
      </c>
      <c r="F37" s="1" t="str">
        <f>VLOOKUP(D37,Table17[[Name]:[Native]],3,FALSE)</f>
        <v>莘县</v>
      </c>
      <c r="G37" s="14" t="str">
        <f ca="1">VLOOKUP(F37,Table17[[Native]:[Population4]],5,FALSE)</f>
        <v>聊城市</v>
      </c>
    </row>
    <row r="38" spans="1:7" ht="15.75" thickBot="1" x14ac:dyDescent="0.3">
      <c r="A38" t="s">
        <v>1600</v>
      </c>
      <c r="B38" s="1" t="s">
        <v>1601</v>
      </c>
      <c r="C38" s="1" t="s">
        <v>13</v>
      </c>
      <c r="D38" s="1" t="s">
        <v>1541</v>
      </c>
      <c r="E38" s="3">
        <v>35209</v>
      </c>
      <c r="F38" s="1" t="str">
        <f>VLOOKUP(D38,Table17[[Name]:[Native]],3,FALSE)</f>
        <v>东昌府区</v>
      </c>
      <c r="G38" s="14" t="str">
        <f ca="1">VLOOKUP(F38,Table17[[Native]:[Population4]],5,FALSE)</f>
        <v>聊城市</v>
      </c>
    </row>
    <row r="39" spans="1:7" ht="15.75" thickBot="1" x14ac:dyDescent="0.3">
      <c r="A39" t="s">
        <v>1602</v>
      </c>
      <c r="B39" s="1" t="s">
        <v>1603</v>
      </c>
      <c r="C39" s="1" t="s">
        <v>13</v>
      </c>
      <c r="D39" s="1" t="s">
        <v>1604</v>
      </c>
      <c r="E39" s="3">
        <v>34741</v>
      </c>
      <c r="F39" s="1" t="str">
        <f>VLOOKUP(D39,Table17[[Name]:[Native]],3,FALSE)</f>
        <v>高唐县</v>
      </c>
      <c r="G39" s="14" t="str">
        <f ca="1">VLOOKUP(F39,Table17[[Native]:[Population4]],5,FALSE)</f>
        <v>聊城市</v>
      </c>
    </row>
    <row r="40" spans="1:7" ht="15.75" thickBot="1" x14ac:dyDescent="0.3">
      <c r="A40" t="s">
        <v>1289</v>
      </c>
      <c r="B40" s="1" t="s">
        <v>1605</v>
      </c>
      <c r="C40" s="1" t="s">
        <v>7</v>
      </c>
      <c r="D40" s="1" t="s">
        <v>1541</v>
      </c>
      <c r="E40" s="3">
        <v>113862</v>
      </c>
      <c r="F40" s="1" t="str">
        <f>VLOOKUP(D40,Table17[[Name]:[Native]],3,FALSE)</f>
        <v>东昌府区</v>
      </c>
      <c r="G40" s="14" t="str">
        <f ca="1">VLOOKUP(F40,Table17[[Native]:[Population4]],5,FALSE)</f>
        <v>聊城市</v>
      </c>
    </row>
    <row r="41" spans="1:7" ht="15.75" thickBot="1" x14ac:dyDescent="0.3">
      <c r="A41" t="s">
        <v>1606</v>
      </c>
      <c r="B41" s="1" t="s">
        <v>1607</v>
      </c>
      <c r="C41" s="1" t="s">
        <v>13</v>
      </c>
      <c r="D41" s="1" t="s">
        <v>1535</v>
      </c>
      <c r="E41" s="3">
        <v>26852</v>
      </c>
      <c r="F41" s="1" t="str">
        <f>VLOOKUP(D41,Table17[[Name]:[Native]],3,FALSE)</f>
        <v>阳谷县</v>
      </c>
      <c r="G41" s="14" t="str">
        <f ca="1">VLOOKUP(F41,Table17[[Native]:[Population4]],5,FALSE)</f>
        <v>聊城市</v>
      </c>
    </row>
    <row r="42" spans="1:7" ht="15.75" thickBot="1" x14ac:dyDescent="0.3">
      <c r="A42" t="s">
        <v>1608</v>
      </c>
      <c r="B42" s="1" t="s">
        <v>1609</v>
      </c>
      <c r="C42" s="1" t="s">
        <v>13</v>
      </c>
      <c r="D42" s="1" t="s">
        <v>1554</v>
      </c>
      <c r="E42" s="3">
        <v>50717</v>
      </c>
      <c r="F42" s="1" t="str">
        <f>VLOOKUP(D42,Table17[[Name]:[Native]],3,FALSE)</f>
        <v>莘县</v>
      </c>
      <c r="G42" s="14" t="str">
        <f ca="1">VLOOKUP(F42,Table17[[Native]:[Population4]],5,FALSE)</f>
        <v>聊城市</v>
      </c>
    </row>
    <row r="43" spans="1:7" ht="15.75" thickBot="1" x14ac:dyDescent="0.3">
      <c r="A43" t="s">
        <v>698</v>
      </c>
      <c r="B43" s="1" t="s">
        <v>699</v>
      </c>
      <c r="C43" s="1" t="s">
        <v>13</v>
      </c>
      <c r="D43" s="1" t="s">
        <v>1541</v>
      </c>
      <c r="E43" s="3">
        <v>28156</v>
      </c>
      <c r="F43" s="1" t="str">
        <f>VLOOKUP(D43,Table17[[Name]:[Native]],3,FALSE)</f>
        <v>东昌府区</v>
      </c>
      <c r="G43" s="14" t="str">
        <f ca="1">VLOOKUP(F43,Table17[[Native]:[Population4]],5,FALSE)</f>
        <v>聊城市</v>
      </c>
    </row>
    <row r="44" spans="1:7" ht="15.75" thickBot="1" x14ac:dyDescent="0.3">
      <c r="A44" t="s">
        <v>1610</v>
      </c>
      <c r="B44" s="1" t="s">
        <v>1611</v>
      </c>
      <c r="C44" s="1" t="s">
        <v>13</v>
      </c>
      <c r="D44" s="1" t="s">
        <v>1549</v>
      </c>
      <c r="E44" s="3">
        <v>29374</v>
      </c>
      <c r="F44" s="1" t="str">
        <f>VLOOKUP(D44,Table17[[Name]:[Native]],3,FALSE)</f>
        <v>茌平区</v>
      </c>
      <c r="G44" s="14" t="str">
        <f ca="1">VLOOKUP(F44,Table17[[Native]:[Population4]],5,FALSE)</f>
        <v>聊城市</v>
      </c>
    </row>
    <row r="45" spans="1:7" ht="15.75" thickBot="1" x14ac:dyDescent="0.3">
      <c r="A45" t="s">
        <v>1612</v>
      </c>
      <c r="B45" s="1" t="s">
        <v>1613</v>
      </c>
      <c r="C45" s="1" t="s">
        <v>13</v>
      </c>
      <c r="D45" s="1" t="s">
        <v>1554</v>
      </c>
      <c r="E45" s="3">
        <v>33886</v>
      </c>
      <c r="F45" s="1" t="str">
        <f>VLOOKUP(D45,Table17[[Name]:[Native]],3,FALSE)</f>
        <v>莘县</v>
      </c>
      <c r="G45" s="14" t="str">
        <f ca="1">VLOOKUP(F45,Table17[[Native]:[Population4]],5,FALSE)</f>
        <v>聊城市</v>
      </c>
    </row>
    <row r="46" spans="1:7" ht="15.75" thickBot="1" x14ac:dyDescent="0.3">
      <c r="A46" t="s">
        <v>1614</v>
      </c>
      <c r="B46" s="1" t="s">
        <v>1615</v>
      </c>
      <c r="C46" s="1" t="s">
        <v>13</v>
      </c>
      <c r="D46" s="1" t="s">
        <v>1549</v>
      </c>
      <c r="E46" s="3">
        <v>21859</v>
      </c>
      <c r="F46" s="1" t="str">
        <f>VLOOKUP(D46,Table17[[Name]:[Native]],3,FALSE)</f>
        <v>茌平区</v>
      </c>
      <c r="G46" s="14" t="str">
        <f ca="1">VLOOKUP(F46,Table17[[Native]:[Population4]],5,FALSE)</f>
        <v>聊城市</v>
      </c>
    </row>
    <row r="47" spans="1:7" ht="15.75" thickBot="1" x14ac:dyDescent="0.3">
      <c r="A47" t="s">
        <v>1616</v>
      </c>
      <c r="B47" s="1" t="s">
        <v>1617</v>
      </c>
      <c r="C47" s="1" t="s">
        <v>13</v>
      </c>
      <c r="D47" s="1" t="s">
        <v>1541</v>
      </c>
      <c r="E47" s="3">
        <v>44481</v>
      </c>
      <c r="F47" s="1" t="str">
        <f>VLOOKUP(D47,Table17[[Name]:[Native]],3,FALSE)</f>
        <v>东昌府区</v>
      </c>
      <c r="G47" s="14" t="str">
        <f ca="1">VLOOKUP(F47,Table17[[Native]:[Population4]],5,FALSE)</f>
        <v>聊城市</v>
      </c>
    </row>
    <row r="48" spans="1:7" ht="15.75" thickBot="1" x14ac:dyDescent="0.3">
      <c r="A48" t="s">
        <v>1618</v>
      </c>
      <c r="B48" s="1" t="s">
        <v>1619</v>
      </c>
      <c r="C48" s="1" t="s">
        <v>7</v>
      </c>
      <c r="D48" s="1" t="s">
        <v>1604</v>
      </c>
      <c r="E48" s="3">
        <v>39273</v>
      </c>
      <c r="F48" s="1" t="str">
        <f>VLOOKUP(D48,Table17[[Name]:[Native]],3,FALSE)</f>
        <v>高唐县</v>
      </c>
      <c r="G48" s="14" t="str">
        <f ca="1">VLOOKUP(F48,Table17[[Native]:[Population4]],5,FALSE)</f>
        <v>聊城市</v>
      </c>
    </row>
    <row r="49" spans="1:7" ht="15.75" thickBot="1" x14ac:dyDescent="0.3">
      <c r="A49" t="s">
        <v>1620</v>
      </c>
      <c r="B49" s="1" t="s">
        <v>1621</v>
      </c>
      <c r="C49" s="1" t="s">
        <v>13</v>
      </c>
      <c r="D49" s="1" t="s">
        <v>1549</v>
      </c>
      <c r="E49" s="3">
        <v>23250</v>
      </c>
      <c r="F49" s="1" t="str">
        <f>VLOOKUP(D49,Table17[[Name]:[Native]],3,FALSE)</f>
        <v>茌平区</v>
      </c>
      <c r="G49" s="14" t="str">
        <f ca="1">VLOOKUP(F49,Table17[[Native]:[Population4]],5,FALSE)</f>
        <v>聊城市</v>
      </c>
    </row>
    <row r="50" spans="1:7" ht="15.75" thickBot="1" x14ac:dyDescent="0.3">
      <c r="A50" t="s">
        <v>1622</v>
      </c>
      <c r="B50" s="1" t="s">
        <v>1623</v>
      </c>
      <c r="C50" s="1" t="s">
        <v>7</v>
      </c>
      <c r="D50" s="1" t="s">
        <v>1541</v>
      </c>
      <c r="E50" s="3">
        <v>40151</v>
      </c>
      <c r="F50" s="1" t="str">
        <f>VLOOKUP(D50,Table17[[Name]:[Native]],3,FALSE)</f>
        <v>东昌府区</v>
      </c>
      <c r="G50" s="14" t="str">
        <f ca="1">VLOOKUP(F50,Table17[[Native]:[Population4]],5,FALSE)</f>
        <v>聊城市</v>
      </c>
    </row>
    <row r="51" spans="1:7" ht="15.75" thickBot="1" x14ac:dyDescent="0.3">
      <c r="A51" t="s">
        <v>1624</v>
      </c>
      <c r="B51" s="1" t="s">
        <v>1625</v>
      </c>
      <c r="C51" s="1" t="s">
        <v>13</v>
      </c>
      <c r="D51" s="1" t="s">
        <v>1604</v>
      </c>
      <c r="E51" s="3">
        <v>37830</v>
      </c>
      <c r="F51" s="1" t="str">
        <f>VLOOKUP(D51,Table17[[Name]:[Native]],3,FALSE)</f>
        <v>高唐县</v>
      </c>
      <c r="G51" s="14" t="str">
        <f ca="1">VLOOKUP(F51,Table17[[Native]:[Population4]],5,FALSE)</f>
        <v>聊城市</v>
      </c>
    </row>
    <row r="52" spans="1:7" ht="15.75" thickBot="1" x14ac:dyDescent="0.3">
      <c r="A52" t="s">
        <v>1626</v>
      </c>
      <c r="B52" s="1" t="s">
        <v>1627</v>
      </c>
      <c r="C52" s="1" t="s">
        <v>7</v>
      </c>
      <c r="D52" s="1" t="s">
        <v>1541</v>
      </c>
      <c r="E52" s="3">
        <v>34345</v>
      </c>
      <c r="F52" s="1" t="str">
        <f>VLOOKUP(D52,Table17[[Name]:[Native]],3,FALSE)</f>
        <v>东昌府区</v>
      </c>
      <c r="G52" s="14" t="str">
        <f ca="1">VLOOKUP(F52,Table17[[Native]:[Population4]],5,FALSE)</f>
        <v>聊城市</v>
      </c>
    </row>
    <row r="53" spans="1:7" ht="15.75" thickBot="1" x14ac:dyDescent="0.3">
      <c r="A53" t="s">
        <v>81</v>
      </c>
      <c r="B53" s="1" t="s">
        <v>82</v>
      </c>
      <c r="C53" s="1" t="s">
        <v>13</v>
      </c>
      <c r="D53" s="1" t="s">
        <v>1555</v>
      </c>
      <c r="E53" s="3">
        <v>25731</v>
      </c>
      <c r="F53" s="1" t="str">
        <f>VLOOKUP(D53,Table17[[Name]:[Native]],3,FALSE)</f>
        <v>东阿县</v>
      </c>
      <c r="G53" s="14" t="str">
        <f ca="1">VLOOKUP(F53,Table17[[Native]:[Population4]],5,FALSE)</f>
        <v>聊城市</v>
      </c>
    </row>
    <row r="54" spans="1:7" ht="15.75" thickBot="1" x14ac:dyDescent="0.3">
      <c r="A54" t="s">
        <v>1628</v>
      </c>
      <c r="B54" s="1" t="s">
        <v>1629</v>
      </c>
      <c r="C54" s="1" t="s">
        <v>13</v>
      </c>
      <c r="D54" s="1" t="s">
        <v>1549</v>
      </c>
      <c r="E54" s="3">
        <v>24741</v>
      </c>
      <c r="F54" s="1" t="str">
        <f>VLOOKUP(D54,Table17[[Name]:[Native]],3,FALSE)</f>
        <v>茌平区</v>
      </c>
      <c r="G54" s="14" t="str">
        <f ca="1">VLOOKUP(F54,Table17[[Native]:[Population4]],5,FALSE)</f>
        <v>聊城市</v>
      </c>
    </row>
    <row r="55" spans="1:7" ht="15.75" thickBot="1" x14ac:dyDescent="0.3">
      <c r="A55" t="s">
        <v>1630</v>
      </c>
      <c r="B55" s="1" t="s">
        <v>1631</v>
      </c>
      <c r="C55" s="1" t="s">
        <v>13</v>
      </c>
      <c r="D55" s="1" t="s">
        <v>1544</v>
      </c>
      <c r="E55" s="3">
        <v>38752</v>
      </c>
      <c r="F55" s="1" t="str">
        <f>VLOOKUP(D55,Table17[[Name]:[Native]],3,FALSE)</f>
        <v>冠县</v>
      </c>
      <c r="G55" s="14" t="str">
        <f ca="1">VLOOKUP(F55,Table17[[Native]:[Population4]],5,FALSE)</f>
        <v>聊城市</v>
      </c>
    </row>
    <row r="56" spans="1:7" ht="15.75" thickBot="1" x14ac:dyDescent="0.3">
      <c r="A56" t="s">
        <v>1632</v>
      </c>
      <c r="B56" s="1" t="s">
        <v>1633</v>
      </c>
      <c r="C56" s="1" t="s">
        <v>13</v>
      </c>
      <c r="D56" s="1" t="s">
        <v>1535</v>
      </c>
      <c r="E56" s="3">
        <v>28530</v>
      </c>
      <c r="F56" s="1" t="str">
        <f>VLOOKUP(D56,Table17[[Name]:[Native]],3,FALSE)</f>
        <v>阳谷县</v>
      </c>
      <c r="G56" s="14" t="str">
        <f ca="1">VLOOKUP(F56,Table17[[Native]:[Population4]],5,FALSE)</f>
        <v>聊城市</v>
      </c>
    </row>
    <row r="57" spans="1:7" ht="15.75" thickBot="1" x14ac:dyDescent="0.3">
      <c r="A57" t="s">
        <v>1634</v>
      </c>
      <c r="B57" s="1" t="s">
        <v>1635</v>
      </c>
      <c r="C57" s="1" t="s">
        <v>13</v>
      </c>
      <c r="D57" s="1" t="s">
        <v>1540</v>
      </c>
      <c r="E57" s="3">
        <v>50869</v>
      </c>
      <c r="F57" s="1" t="str">
        <f>VLOOKUP(D57,Table17[[Name]:[Native]],3,FALSE)</f>
        <v>临清市</v>
      </c>
      <c r="G57" s="14" t="str">
        <f ca="1">VLOOKUP(F57,Table17[[Native]:[Population4]],5,FALSE)</f>
        <v>聊城市</v>
      </c>
    </row>
    <row r="58" spans="1:7" ht="15.75" thickBot="1" x14ac:dyDescent="0.3">
      <c r="A58" t="s">
        <v>1636</v>
      </c>
      <c r="B58" s="1" t="s">
        <v>1637</v>
      </c>
      <c r="C58" s="1" t="s">
        <v>13</v>
      </c>
      <c r="D58" s="1" t="s">
        <v>1540</v>
      </c>
      <c r="E58" s="3">
        <v>57636</v>
      </c>
      <c r="F58" s="1" t="str">
        <f>VLOOKUP(D58,Table17[[Name]:[Native]],3,FALSE)</f>
        <v>临清市</v>
      </c>
      <c r="G58" s="14" t="str">
        <f ca="1">VLOOKUP(F58,Table17[[Native]:[Population4]],5,FALSE)</f>
        <v>聊城市</v>
      </c>
    </row>
    <row r="59" spans="1:7" ht="15.75" thickBot="1" x14ac:dyDescent="0.3">
      <c r="A59" t="s">
        <v>1638</v>
      </c>
      <c r="B59" s="1" t="s">
        <v>1639</v>
      </c>
      <c r="C59" s="1" t="s">
        <v>61</v>
      </c>
      <c r="D59" s="1" t="s">
        <v>1544</v>
      </c>
      <c r="E59" s="3">
        <v>31346</v>
      </c>
      <c r="F59" s="1" t="str">
        <f>VLOOKUP(D59,Table17[[Name]:[Native]],3,FALSE)</f>
        <v>冠县</v>
      </c>
      <c r="G59" s="14" t="str">
        <f ca="1">VLOOKUP(F59,Table17[[Native]:[Population4]],5,FALSE)</f>
        <v>聊城市</v>
      </c>
    </row>
    <row r="60" spans="1:7" ht="15.75" thickBot="1" x14ac:dyDescent="0.3">
      <c r="A60" t="s">
        <v>1640</v>
      </c>
      <c r="B60" s="1" t="s">
        <v>1641</v>
      </c>
      <c r="C60" s="1" t="s">
        <v>13</v>
      </c>
      <c r="D60" s="1" t="s">
        <v>1540</v>
      </c>
      <c r="E60" s="3">
        <v>40589</v>
      </c>
      <c r="F60" s="1" t="str">
        <f>VLOOKUP(D60,Table17[[Name]:[Native]],3,FALSE)</f>
        <v>临清市</v>
      </c>
      <c r="G60" s="14" t="str">
        <f ca="1">VLOOKUP(F60,Table17[[Native]:[Population4]],5,FALSE)</f>
        <v>聊城市</v>
      </c>
    </row>
    <row r="61" spans="1:7" ht="15.75" thickBot="1" x14ac:dyDescent="0.3">
      <c r="A61" t="s">
        <v>1642</v>
      </c>
      <c r="B61" s="1" t="s">
        <v>1643</v>
      </c>
      <c r="C61" s="1" t="s">
        <v>13</v>
      </c>
      <c r="D61" s="1" t="s">
        <v>1549</v>
      </c>
      <c r="E61" s="3">
        <v>48112</v>
      </c>
      <c r="F61" s="1" t="str">
        <f>VLOOKUP(D61,Table17[[Name]:[Native]],3,FALSE)</f>
        <v>茌平区</v>
      </c>
      <c r="G61" s="14" t="str">
        <f ca="1">VLOOKUP(F61,Table17[[Native]:[Population4]],5,FALSE)</f>
        <v>聊城市</v>
      </c>
    </row>
    <row r="62" spans="1:7" ht="15.75" thickBot="1" x14ac:dyDescent="0.3">
      <c r="A62" t="s">
        <v>1644</v>
      </c>
      <c r="B62" s="1" t="s">
        <v>1645</v>
      </c>
      <c r="C62" s="1" t="s">
        <v>13</v>
      </c>
      <c r="D62" s="1" t="s">
        <v>1604</v>
      </c>
      <c r="E62" s="3">
        <v>36639</v>
      </c>
      <c r="F62" s="1" t="str">
        <f>VLOOKUP(D62,Table17[[Name]:[Native]],3,FALSE)</f>
        <v>高唐县</v>
      </c>
      <c r="G62" s="14" t="str">
        <f ca="1">VLOOKUP(F62,Table17[[Native]:[Population4]],5,FALSE)</f>
        <v>聊城市</v>
      </c>
    </row>
    <row r="63" spans="1:7" ht="15.75" thickBot="1" x14ac:dyDescent="0.3">
      <c r="A63" t="s">
        <v>1646</v>
      </c>
      <c r="B63" s="1" t="s">
        <v>1647</v>
      </c>
      <c r="C63" s="1" t="s">
        <v>13</v>
      </c>
      <c r="D63" s="1" t="s">
        <v>1541</v>
      </c>
      <c r="E63" s="3">
        <v>62061</v>
      </c>
      <c r="F63" s="1" t="str">
        <f>VLOOKUP(D63,Table17[[Name]:[Native]],3,FALSE)</f>
        <v>东昌府区</v>
      </c>
      <c r="G63" s="14" t="str">
        <f ca="1">VLOOKUP(F63,Table17[[Native]:[Population4]],5,FALSE)</f>
        <v>聊城市</v>
      </c>
    </row>
    <row r="64" spans="1:7" ht="15.75" thickBot="1" x14ac:dyDescent="0.3">
      <c r="A64" t="s">
        <v>1648</v>
      </c>
      <c r="B64" s="1" t="s">
        <v>1649</v>
      </c>
      <c r="C64" s="1" t="s">
        <v>13</v>
      </c>
      <c r="D64" s="1" t="s">
        <v>1544</v>
      </c>
      <c r="E64" s="3">
        <v>32237</v>
      </c>
      <c r="F64" s="1" t="str">
        <f>VLOOKUP(D64,Table17[[Name]:[Native]],3,FALSE)</f>
        <v>冠县</v>
      </c>
      <c r="G64" s="14" t="str">
        <f ca="1">VLOOKUP(F64,Table17[[Native]:[Population4]],5,FALSE)</f>
        <v>聊城市</v>
      </c>
    </row>
    <row r="65" spans="1:7" ht="15.75" thickBot="1" x14ac:dyDescent="0.3">
      <c r="A65" t="s">
        <v>1650</v>
      </c>
      <c r="B65" s="1" t="s">
        <v>1651</v>
      </c>
      <c r="C65" s="1" t="s">
        <v>13</v>
      </c>
      <c r="D65" s="1" t="s">
        <v>1535</v>
      </c>
      <c r="E65" s="3">
        <v>35814</v>
      </c>
      <c r="F65" s="1" t="str">
        <f>VLOOKUP(D65,Table17[[Name]:[Native]],3,FALSE)</f>
        <v>阳谷县</v>
      </c>
      <c r="G65" s="14" t="str">
        <f ca="1">VLOOKUP(F65,Table17[[Native]:[Population4]],5,FALSE)</f>
        <v>聊城市</v>
      </c>
    </row>
    <row r="66" spans="1:7" ht="15.75" thickBot="1" x14ac:dyDescent="0.3">
      <c r="A66" t="s">
        <v>1652</v>
      </c>
      <c r="B66" s="1" t="s">
        <v>1653</v>
      </c>
      <c r="C66" s="1" t="s">
        <v>13</v>
      </c>
      <c r="D66" s="1" t="s">
        <v>1540</v>
      </c>
      <c r="E66" s="3">
        <v>27587</v>
      </c>
      <c r="F66" s="1" t="str">
        <f>VLOOKUP(D66,Table17[[Name]:[Native]],3,FALSE)</f>
        <v>临清市</v>
      </c>
      <c r="G66" s="14" t="str">
        <f ca="1">VLOOKUP(F66,Table17[[Native]:[Population4]],5,FALSE)</f>
        <v>聊城市</v>
      </c>
    </row>
    <row r="67" spans="1:7" ht="15.75" thickBot="1" x14ac:dyDescent="0.3">
      <c r="A67" t="s">
        <v>1654</v>
      </c>
      <c r="B67" s="1" t="s">
        <v>1655</v>
      </c>
      <c r="C67" s="1" t="s">
        <v>13</v>
      </c>
      <c r="D67" s="1" t="s">
        <v>1555</v>
      </c>
      <c r="E67" s="3">
        <v>59761</v>
      </c>
      <c r="F67" s="1" t="str">
        <f>VLOOKUP(D67,Table17[[Name]:[Native]],3,FALSE)</f>
        <v>东阿县</v>
      </c>
      <c r="G67" s="14" t="str">
        <f ca="1">VLOOKUP(F67,Table17[[Native]:[Population4]],5,FALSE)</f>
        <v>聊城市</v>
      </c>
    </row>
    <row r="68" spans="1:7" ht="15.75" thickBot="1" x14ac:dyDescent="0.3">
      <c r="A68" t="s">
        <v>744</v>
      </c>
      <c r="B68" s="1" t="s">
        <v>745</v>
      </c>
      <c r="C68" s="1" t="s">
        <v>13</v>
      </c>
      <c r="D68" s="1" t="s">
        <v>1544</v>
      </c>
      <c r="E68" s="3">
        <v>49376</v>
      </c>
      <c r="F68" s="1" t="str">
        <f>VLOOKUP(D68,Table17[[Name]:[Native]],3,FALSE)</f>
        <v>冠县</v>
      </c>
      <c r="G68" s="14" t="str">
        <f ca="1">VLOOKUP(F68,Table17[[Native]:[Population4]],5,FALSE)</f>
        <v>聊城市</v>
      </c>
    </row>
    <row r="69" spans="1:7" ht="15.75" thickBot="1" x14ac:dyDescent="0.3">
      <c r="A69" t="s">
        <v>1656</v>
      </c>
      <c r="B69" s="1" t="s">
        <v>1657</v>
      </c>
      <c r="C69" s="1" t="s">
        <v>13</v>
      </c>
      <c r="D69" s="1" t="s">
        <v>1604</v>
      </c>
      <c r="E69" s="3">
        <v>31444</v>
      </c>
      <c r="F69" s="1" t="str">
        <f>VLOOKUP(D69,Table17[[Name]:[Native]],3,FALSE)</f>
        <v>高唐县</v>
      </c>
      <c r="G69" s="14" t="str">
        <f ca="1">VLOOKUP(F69,Table17[[Native]:[Population4]],5,FALSE)</f>
        <v>聊城市</v>
      </c>
    </row>
    <row r="70" spans="1:7" ht="15.75" thickBot="1" x14ac:dyDescent="0.3">
      <c r="A70" t="s">
        <v>1658</v>
      </c>
      <c r="B70" s="1" t="s">
        <v>1659</v>
      </c>
      <c r="C70" s="1" t="s">
        <v>7</v>
      </c>
      <c r="D70" s="1" t="s">
        <v>1541</v>
      </c>
      <c r="E70" s="3">
        <v>137260</v>
      </c>
      <c r="F70" s="1" t="str">
        <f>VLOOKUP(D70,Table17[[Name]:[Native]],3,FALSE)</f>
        <v>东昌府区</v>
      </c>
      <c r="G70" s="14" t="str">
        <f ca="1">VLOOKUP(F70,Table17[[Native]:[Population4]],5,FALSE)</f>
        <v>聊城市</v>
      </c>
    </row>
    <row r="71" spans="1:7" ht="15.75" thickBot="1" x14ac:dyDescent="0.3">
      <c r="A71" t="s">
        <v>1660</v>
      </c>
      <c r="B71" s="1" t="s">
        <v>1661</v>
      </c>
      <c r="C71" s="1" t="s">
        <v>13</v>
      </c>
      <c r="D71" s="1" t="s">
        <v>1554</v>
      </c>
      <c r="E71" s="3">
        <v>46584</v>
      </c>
      <c r="F71" s="1" t="str">
        <f>VLOOKUP(D71,Table17[[Name]:[Native]],3,FALSE)</f>
        <v>莘县</v>
      </c>
      <c r="G71" s="14" t="str">
        <f ca="1">VLOOKUP(F71,Table17[[Native]:[Population4]],5,FALSE)</f>
        <v>聊城市</v>
      </c>
    </row>
    <row r="72" spans="1:7" ht="15.75" thickBot="1" x14ac:dyDescent="0.3">
      <c r="A72" t="s">
        <v>1662</v>
      </c>
      <c r="B72" s="1" t="s">
        <v>1663</v>
      </c>
      <c r="C72" s="1" t="s">
        <v>13</v>
      </c>
      <c r="D72" s="1" t="s">
        <v>1555</v>
      </c>
      <c r="E72" s="3">
        <v>42705</v>
      </c>
      <c r="F72" s="1" t="str">
        <f>VLOOKUP(D72,Table17[[Name]:[Native]],3,FALSE)</f>
        <v>东阿县</v>
      </c>
      <c r="G72" s="14" t="str">
        <f ca="1">VLOOKUP(F72,Table17[[Native]:[Population4]],5,FALSE)</f>
        <v>聊城市</v>
      </c>
    </row>
    <row r="73" spans="1:7" ht="15.75" thickBot="1" x14ac:dyDescent="0.3">
      <c r="A73" t="s">
        <v>1664</v>
      </c>
      <c r="B73" s="1" t="s">
        <v>1665</v>
      </c>
      <c r="C73" s="1" t="s">
        <v>13</v>
      </c>
      <c r="D73" s="1" t="s">
        <v>1540</v>
      </c>
      <c r="E73" s="3">
        <v>34984</v>
      </c>
      <c r="F73" s="1" t="str">
        <f>VLOOKUP(D73,Table17[[Name]:[Native]],3,FALSE)</f>
        <v>临清市</v>
      </c>
      <c r="G73" s="14" t="str">
        <f ca="1">VLOOKUP(F73,Table17[[Native]:[Population4]],5,FALSE)</f>
        <v>聊城市</v>
      </c>
    </row>
    <row r="74" spans="1:7" ht="15.75" thickBot="1" x14ac:dyDescent="0.3">
      <c r="A74" t="s">
        <v>1666</v>
      </c>
      <c r="B74" s="1" t="s">
        <v>1667</v>
      </c>
      <c r="C74" s="1" t="s">
        <v>7</v>
      </c>
      <c r="D74" s="1" t="s">
        <v>1535</v>
      </c>
      <c r="E74" s="3">
        <v>61938</v>
      </c>
      <c r="F74" s="1" t="str">
        <f>VLOOKUP(D74,Table17[[Name]:[Native]],3,FALSE)</f>
        <v>阳谷县</v>
      </c>
      <c r="G74" s="14" t="str">
        <f ca="1">VLOOKUP(F74,Table17[[Native]:[Population4]],5,FALSE)</f>
        <v>聊城市</v>
      </c>
    </row>
    <row r="75" spans="1:7" ht="15.75" thickBot="1" x14ac:dyDescent="0.3">
      <c r="A75" t="s">
        <v>1668</v>
      </c>
      <c r="B75" s="1" t="s">
        <v>1669</v>
      </c>
      <c r="C75" s="1" t="s">
        <v>13</v>
      </c>
      <c r="D75" s="1" t="s">
        <v>1535</v>
      </c>
      <c r="E75" s="3">
        <v>36208</v>
      </c>
      <c r="F75" s="1" t="str">
        <f>VLOOKUP(D75,Table17[[Name]:[Native]],3,FALSE)</f>
        <v>阳谷县</v>
      </c>
      <c r="G75" s="14" t="str">
        <f ca="1">VLOOKUP(F75,Table17[[Native]:[Population4]],5,FALSE)</f>
        <v>聊城市</v>
      </c>
    </row>
    <row r="76" spans="1:7" ht="15.75" thickBot="1" x14ac:dyDescent="0.3">
      <c r="A76" t="s">
        <v>1670</v>
      </c>
      <c r="B76" s="1" t="s">
        <v>1671</v>
      </c>
      <c r="C76" s="1" t="s">
        <v>7</v>
      </c>
      <c r="D76" s="1" t="s">
        <v>1540</v>
      </c>
      <c r="E76" s="3">
        <v>84133</v>
      </c>
      <c r="F76" s="1" t="str">
        <f>VLOOKUP(D76,Table17[[Name]:[Native]],3,FALSE)</f>
        <v>临清市</v>
      </c>
      <c r="G76" s="14" t="str">
        <f ca="1">VLOOKUP(F76,Table17[[Native]:[Population4]],5,FALSE)</f>
        <v>聊城市</v>
      </c>
    </row>
    <row r="77" spans="1:7" ht="15.75" thickBot="1" x14ac:dyDescent="0.3">
      <c r="A77" t="s">
        <v>1672</v>
      </c>
      <c r="B77" s="1" t="s">
        <v>1673</v>
      </c>
      <c r="C77" s="1" t="s">
        <v>13</v>
      </c>
      <c r="D77" s="1" t="s">
        <v>1604</v>
      </c>
      <c r="E77" s="3">
        <v>40258</v>
      </c>
      <c r="F77" s="1" t="str">
        <f>VLOOKUP(D77,Table17[[Name]:[Native]],3,FALSE)</f>
        <v>高唐县</v>
      </c>
      <c r="G77" s="14" t="str">
        <f ca="1">VLOOKUP(F77,Table17[[Native]:[Population4]],5,FALSE)</f>
        <v>聊城市</v>
      </c>
    </row>
    <row r="78" spans="1:7" ht="15.75" thickBot="1" x14ac:dyDescent="0.3">
      <c r="A78" t="s">
        <v>1674</v>
      </c>
      <c r="B78" s="1" t="s">
        <v>1675</v>
      </c>
      <c r="C78" s="1" t="s">
        <v>7</v>
      </c>
      <c r="D78" s="1" t="s">
        <v>1544</v>
      </c>
      <c r="E78" s="3">
        <v>75714</v>
      </c>
      <c r="F78" s="1" t="str">
        <f>VLOOKUP(D78,Table17[[Name]:[Native]],3,FALSE)</f>
        <v>冠县</v>
      </c>
      <c r="G78" s="14" t="str">
        <f ca="1">VLOOKUP(F78,Table17[[Native]:[Population4]],5,FALSE)</f>
        <v>聊城市</v>
      </c>
    </row>
    <row r="79" spans="1:7" ht="15.75" thickBot="1" x14ac:dyDescent="0.3">
      <c r="A79" t="s">
        <v>1676</v>
      </c>
      <c r="B79" s="1" t="s">
        <v>1677</v>
      </c>
      <c r="C79" s="1" t="s">
        <v>13</v>
      </c>
      <c r="D79" s="1" t="s">
        <v>1544</v>
      </c>
      <c r="E79" s="3">
        <v>34403</v>
      </c>
      <c r="F79" s="1" t="str">
        <f>VLOOKUP(D79,Table17[[Name]:[Native]],3,FALSE)</f>
        <v>冠县</v>
      </c>
      <c r="G79" s="14" t="str">
        <f ca="1">VLOOKUP(F79,Table17[[Native]:[Population4]],5,FALSE)</f>
        <v>聊城市</v>
      </c>
    </row>
    <row r="80" spans="1:7" ht="15.75" thickBot="1" x14ac:dyDescent="0.3">
      <c r="A80" t="s">
        <v>1678</v>
      </c>
      <c r="B80" s="1" t="s">
        <v>1679</v>
      </c>
      <c r="C80" s="1" t="s">
        <v>7</v>
      </c>
      <c r="D80" s="1" t="s">
        <v>1604</v>
      </c>
      <c r="E80" s="3">
        <v>52949</v>
      </c>
      <c r="F80" s="1" t="str">
        <f>VLOOKUP(D80,Table17[[Name]:[Native]],3,FALSE)</f>
        <v>高唐县</v>
      </c>
      <c r="G80" s="14" t="str">
        <f ca="1">VLOOKUP(F80,Table17[[Native]:[Population4]],5,FALSE)</f>
        <v>聊城市</v>
      </c>
    </row>
    <row r="81" spans="1:7" ht="15.75" thickBot="1" x14ac:dyDescent="0.3">
      <c r="A81" t="s">
        <v>1680</v>
      </c>
      <c r="B81" s="1" t="s">
        <v>1681</v>
      </c>
      <c r="C81" s="1" t="s">
        <v>13</v>
      </c>
      <c r="D81" s="1" t="s">
        <v>1544</v>
      </c>
      <c r="E81" s="3">
        <v>60484</v>
      </c>
      <c r="F81" s="1" t="str">
        <f>VLOOKUP(D81,Table17[[Name]:[Native]],3,FALSE)</f>
        <v>冠县</v>
      </c>
      <c r="G81" s="14" t="str">
        <f ca="1">VLOOKUP(F81,Table17[[Native]:[Population4]],5,FALSE)</f>
        <v>聊城市</v>
      </c>
    </row>
    <row r="82" spans="1:7" ht="15.75" thickBot="1" x14ac:dyDescent="0.3">
      <c r="A82" t="s">
        <v>1682</v>
      </c>
      <c r="B82" s="1" t="s">
        <v>1683</v>
      </c>
      <c r="C82" s="1" t="s">
        <v>13</v>
      </c>
      <c r="D82" s="1" t="s">
        <v>1604</v>
      </c>
      <c r="E82" s="3">
        <v>24677</v>
      </c>
      <c r="F82" s="1" t="str">
        <f>VLOOKUP(D82,Table17[[Name]:[Native]],3,FALSE)</f>
        <v>高唐县</v>
      </c>
      <c r="G82" s="14" t="str">
        <f ca="1">VLOOKUP(F82,Table17[[Native]:[Population4]],5,FALSE)</f>
        <v>聊城市</v>
      </c>
    </row>
    <row r="83" spans="1:7" ht="15.75" thickBot="1" x14ac:dyDescent="0.3">
      <c r="A83" t="s">
        <v>1684</v>
      </c>
      <c r="B83" s="1" t="s">
        <v>1685</v>
      </c>
      <c r="C83" s="1" t="s">
        <v>13</v>
      </c>
      <c r="D83" s="1" t="s">
        <v>1540</v>
      </c>
      <c r="E83" s="3">
        <v>29535</v>
      </c>
      <c r="F83" s="1" t="str">
        <f>VLOOKUP(D83,Table17[[Name]:[Native]],3,FALSE)</f>
        <v>临清市</v>
      </c>
      <c r="G83" s="14" t="str">
        <f ca="1">VLOOKUP(F83,Table17[[Native]:[Population4]],5,FALSE)</f>
        <v>聊城市</v>
      </c>
    </row>
    <row r="84" spans="1:7" ht="15.75" thickBot="1" x14ac:dyDescent="0.3">
      <c r="A84" t="s">
        <v>1686</v>
      </c>
      <c r="B84" s="1" t="s">
        <v>1687</v>
      </c>
      <c r="C84" s="1" t="s">
        <v>13</v>
      </c>
      <c r="D84" s="1" t="s">
        <v>1541</v>
      </c>
      <c r="E84" s="3">
        <v>85731</v>
      </c>
      <c r="F84" s="1" t="str">
        <f>VLOOKUP(D84,Table17[[Name]:[Native]],3,FALSE)</f>
        <v>东昌府区</v>
      </c>
      <c r="G84" s="14" t="str">
        <f ca="1">VLOOKUP(F84,Table17[[Native]:[Population4]],5,FALSE)</f>
        <v>聊城市</v>
      </c>
    </row>
    <row r="85" spans="1:7" ht="15.75" thickBot="1" x14ac:dyDescent="0.3">
      <c r="A85" t="s">
        <v>1688</v>
      </c>
      <c r="B85" s="1" t="s">
        <v>1689</v>
      </c>
      <c r="C85" s="1" t="s">
        <v>13</v>
      </c>
      <c r="D85" s="1" t="s">
        <v>1554</v>
      </c>
      <c r="E85" s="3">
        <v>39251</v>
      </c>
      <c r="F85" s="1" t="str">
        <f>VLOOKUP(D85,Table17[[Name]:[Native]],3,FALSE)</f>
        <v>莘县</v>
      </c>
      <c r="G85" s="14" t="str">
        <f ca="1">VLOOKUP(F85,Table17[[Native]:[Population4]],5,FALSE)</f>
        <v>聊城市</v>
      </c>
    </row>
    <row r="86" spans="1:7" ht="15.75" thickBot="1" x14ac:dyDescent="0.3">
      <c r="A86" t="s">
        <v>1690</v>
      </c>
      <c r="B86" s="1" t="s">
        <v>1691</v>
      </c>
      <c r="C86" s="1" t="s">
        <v>13</v>
      </c>
      <c r="D86" s="1" t="s">
        <v>1535</v>
      </c>
      <c r="E86" s="3">
        <v>34387</v>
      </c>
      <c r="F86" s="1" t="str">
        <f>VLOOKUP(D86,Table17[[Name]:[Native]],3,FALSE)</f>
        <v>阳谷县</v>
      </c>
      <c r="G86" s="14" t="str">
        <f ca="1">VLOOKUP(F86,Table17[[Native]:[Population4]],5,FALSE)</f>
        <v>聊城市</v>
      </c>
    </row>
    <row r="87" spans="1:7" ht="15.75" thickBot="1" x14ac:dyDescent="0.3">
      <c r="A87" t="s">
        <v>1692</v>
      </c>
      <c r="B87" s="1" t="s">
        <v>1693</v>
      </c>
      <c r="C87" s="1" t="s">
        <v>13</v>
      </c>
      <c r="D87" s="1" t="s">
        <v>1535</v>
      </c>
      <c r="E87" s="3">
        <v>42271</v>
      </c>
      <c r="F87" s="1" t="str">
        <f>VLOOKUP(D87,Table17[[Name]:[Native]],3,FALSE)</f>
        <v>阳谷县</v>
      </c>
      <c r="G87" s="14" t="str">
        <f ca="1">VLOOKUP(F87,Table17[[Native]:[Population4]],5,FALSE)</f>
        <v>聊城市</v>
      </c>
    </row>
    <row r="88" spans="1:7" ht="15.75" thickBot="1" x14ac:dyDescent="0.3">
      <c r="A88" t="s">
        <v>1694</v>
      </c>
      <c r="B88" s="1" t="s">
        <v>1695</v>
      </c>
      <c r="C88" s="1" t="s">
        <v>7</v>
      </c>
      <c r="D88" s="1" t="s">
        <v>1535</v>
      </c>
      <c r="E88" s="3">
        <v>40177</v>
      </c>
      <c r="F88" s="1" t="str">
        <f>VLOOKUP(D88,Table17[[Name]:[Native]],3,FALSE)</f>
        <v>阳谷县</v>
      </c>
      <c r="G88" s="14" t="str">
        <f ca="1">VLOOKUP(F88,Table17[[Native]:[Population4]],5,FALSE)</f>
        <v>聊城市</v>
      </c>
    </row>
    <row r="89" spans="1:7" ht="15.75" thickBot="1" x14ac:dyDescent="0.3">
      <c r="A89" t="s">
        <v>1696</v>
      </c>
      <c r="B89" s="1" t="s">
        <v>1697</v>
      </c>
      <c r="C89" s="1" t="s">
        <v>13</v>
      </c>
      <c r="D89" s="1" t="s">
        <v>1554</v>
      </c>
      <c r="E89" s="3">
        <v>30345</v>
      </c>
      <c r="F89" s="1" t="str">
        <f>VLOOKUP(D89,Table17[[Name]:[Native]],3,FALSE)</f>
        <v>莘县</v>
      </c>
      <c r="G89" s="14" t="str">
        <f ca="1">VLOOKUP(F89,Table17[[Native]:[Population4]],5,FALSE)</f>
        <v>聊城市</v>
      </c>
    </row>
    <row r="90" spans="1:7" ht="15.75" thickBot="1" x14ac:dyDescent="0.3">
      <c r="A90" t="s">
        <v>1698</v>
      </c>
      <c r="B90" s="1" t="s">
        <v>1699</v>
      </c>
      <c r="C90" s="1" t="s">
        <v>13</v>
      </c>
      <c r="D90" s="1" t="s">
        <v>1535</v>
      </c>
      <c r="E90" s="3">
        <v>65436</v>
      </c>
      <c r="F90" s="1" t="str">
        <f>VLOOKUP(D90,Table17[[Name]:[Native]],3,FALSE)</f>
        <v>阳谷县</v>
      </c>
      <c r="G90" s="14" t="str">
        <f ca="1">VLOOKUP(F90,Table17[[Native]:[Population4]],5,FALSE)</f>
        <v>聊城市</v>
      </c>
    </row>
    <row r="91" spans="1:7" ht="15.75" thickBot="1" x14ac:dyDescent="0.3">
      <c r="A91" t="s">
        <v>1700</v>
      </c>
      <c r="B91" s="1" t="s">
        <v>1701</v>
      </c>
      <c r="C91" s="1" t="s">
        <v>13</v>
      </c>
      <c r="D91" s="1" t="s">
        <v>1540</v>
      </c>
      <c r="E91" s="3">
        <v>32198</v>
      </c>
      <c r="F91" s="1" t="str">
        <f>VLOOKUP(D91,Table17[[Name]:[Native]],3,FALSE)</f>
        <v>临清市</v>
      </c>
      <c r="G91" s="14" t="str">
        <f ca="1">VLOOKUP(F91,Table17[[Native]:[Population4]],5,FALSE)</f>
        <v>聊城市</v>
      </c>
    </row>
    <row r="92" spans="1:7" ht="15.75" thickBot="1" x14ac:dyDescent="0.3">
      <c r="A92" t="s">
        <v>1702</v>
      </c>
      <c r="B92" s="1" t="s">
        <v>1703</v>
      </c>
      <c r="C92" s="1" t="s">
        <v>13</v>
      </c>
      <c r="D92" s="1" t="s">
        <v>1541</v>
      </c>
      <c r="E92" s="3">
        <v>34146</v>
      </c>
      <c r="F92" s="1" t="str">
        <f>VLOOKUP(D92,Table17[[Name]:[Native]],3,FALSE)</f>
        <v>东昌府区</v>
      </c>
      <c r="G92" s="14" t="str">
        <f ca="1">VLOOKUP(F92,Table17[[Native]:[Population4]],5,FALSE)</f>
        <v>聊城市</v>
      </c>
    </row>
    <row r="93" spans="1:7" ht="15.75" thickBot="1" x14ac:dyDescent="0.3">
      <c r="A93" t="s">
        <v>1704</v>
      </c>
      <c r="B93" s="1" t="s">
        <v>1705</v>
      </c>
      <c r="C93" s="1" t="s">
        <v>13</v>
      </c>
      <c r="D93" s="1" t="s">
        <v>1540</v>
      </c>
      <c r="E93" s="3">
        <v>36431</v>
      </c>
      <c r="F93" s="1" t="str">
        <f>VLOOKUP(D93,Table17[[Name]:[Native]],3,FALSE)</f>
        <v>临清市</v>
      </c>
      <c r="G93" s="14" t="str">
        <f ca="1">VLOOKUP(F93,Table17[[Native]:[Population4]],5,FALSE)</f>
        <v>聊城市</v>
      </c>
    </row>
    <row r="94" spans="1:7" ht="15.75" thickBot="1" x14ac:dyDescent="0.3">
      <c r="A94" t="s">
        <v>1706</v>
      </c>
      <c r="B94" s="1" t="s">
        <v>1707</v>
      </c>
      <c r="C94" s="1" t="s">
        <v>7</v>
      </c>
      <c r="D94" s="1" t="s">
        <v>1555</v>
      </c>
      <c r="E94" s="3">
        <v>79541</v>
      </c>
      <c r="F94" s="1" t="str">
        <f>VLOOKUP(D94,Table17[[Name]:[Native]],3,FALSE)</f>
        <v>东阿县</v>
      </c>
      <c r="G94" s="14" t="str">
        <f ca="1">VLOOKUP(F94,Table17[[Native]:[Population4]],5,FALSE)</f>
        <v>聊城市</v>
      </c>
    </row>
    <row r="95" spans="1:7" ht="15.75" thickBot="1" x14ac:dyDescent="0.3">
      <c r="A95" t="s">
        <v>1708</v>
      </c>
      <c r="B95" s="1" t="s">
        <v>1709</v>
      </c>
      <c r="C95" s="1" t="s">
        <v>13</v>
      </c>
      <c r="D95" s="1" t="s">
        <v>1554</v>
      </c>
      <c r="E95" s="3">
        <v>43614</v>
      </c>
      <c r="F95" s="1" t="str">
        <f>VLOOKUP(D95,Table17[[Name]:[Native]],3,FALSE)</f>
        <v>莘县</v>
      </c>
      <c r="G95" s="14" t="str">
        <f ca="1">VLOOKUP(F95,Table17[[Native]:[Population4]],5,FALSE)</f>
        <v>聊城市</v>
      </c>
    </row>
    <row r="96" spans="1:7" ht="15.75" thickBot="1" x14ac:dyDescent="0.3">
      <c r="A96" t="s">
        <v>1710</v>
      </c>
      <c r="B96" s="1" t="s">
        <v>1711</v>
      </c>
      <c r="C96" s="1" t="s">
        <v>13</v>
      </c>
      <c r="D96" s="1" t="s">
        <v>1554</v>
      </c>
      <c r="E96" s="3">
        <v>33221</v>
      </c>
      <c r="F96" s="1" t="str">
        <f>VLOOKUP(D96,Table17[[Name]:[Native]],3,FALSE)</f>
        <v>莘县</v>
      </c>
      <c r="G96" s="14" t="str">
        <f ca="1">VLOOKUP(F96,Table17[[Native]:[Population4]],5,FALSE)</f>
        <v>聊城市</v>
      </c>
    </row>
    <row r="97" spans="1:7" ht="15.75" thickBot="1" x14ac:dyDescent="0.3">
      <c r="A97" t="s">
        <v>1712</v>
      </c>
      <c r="B97" s="1" t="s">
        <v>1713</v>
      </c>
      <c r="C97" s="1" t="s">
        <v>61</v>
      </c>
      <c r="D97" s="1" t="s">
        <v>1544</v>
      </c>
      <c r="E97" s="3">
        <v>28851</v>
      </c>
      <c r="F97" s="1" t="str">
        <f>VLOOKUP(D97,Table17[[Name]:[Native]],3,FALSE)</f>
        <v>冠县</v>
      </c>
      <c r="G97" s="14" t="str">
        <f ca="1">VLOOKUP(F97,Table17[[Native]:[Population4]],5,FALSE)</f>
        <v>聊城市</v>
      </c>
    </row>
    <row r="98" spans="1:7" ht="15.75" thickBot="1" x14ac:dyDescent="0.3">
      <c r="A98" t="s">
        <v>832</v>
      </c>
      <c r="B98" s="1" t="s">
        <v>833</v>
      </c>
      <c r="C98" s="1" t="s">
        <v>13</v>
      </c>
      <c r="D98" s="1" t="s">
        <v>1540</v>
      </c>
      <c r="E98" s="3">
        <v>22765</v>
      </c>
      <c r="F98" s="1" t="str">
        <f>VLOOKUP(D98,Table17[[Name]:[Native]],3,FALSE)</f>
        <v>临清市</v>
      </c>
      <c r="G98" s="14" t="str">
        <f ca="1">VLOOKUP(F98,Table17[[Native]:[Population4]],5,FALSE)</f>
        <v>聊城市</v>
      </c>
    </row>
    <row r="99" spans="1:7" ht="15.75" thickBot="1" x14ac:dyDescent="0.3">
      <c r="A99" t="s">
        <v>1714</v>
      </c>
      <c r="B99" s="1" t="s">
        <v>1715</v>
      </c>
      <c r="C99" s="1" t="s">
        <v>13</v>
      </c>
      <c r="D99" s="1" t="s">
        <v>1554</v>
      </c>
      <c r="E99" s="3">
        <v>38485</v>
      </c>
      <c r="F99" s="1" t="str">
        <f>VLOOKUP(D99,Table17[[Name]:[Native]],3,FALSE)</f>
        <v>莘县</v>
      </c>
      <c r="G99" s="14" t="str">
        <f ca="1">VLOOKUP(F99,Table17[[Native]:[Population4]],5,FALSE)</f>
        <v>聊城市</v>
      </c>
    </row>
    <row r="100" spans="1:7" ht="15.75" thickBot="1" x14ac:dyDescent="0.3">
      <c r="A100" t="s">
        <v>1716</v>
      </c>
      <c r="B100" s="1" t="s">
        <v>1717</v>
      </c>
      <c r="C100" s="1" t="s">
        <v>7</v>
      </c>
      <c r="D100" s="1" t="s">
        <v>1549</v>
      </c>
      <c r="E100" s="3">
        <v>40294</v>
      </c>
      <c r="F100" s="1" t="str">
        <f>VLOOKUP(D100,Table17[[Name]:[Native]],3,FALSE)</f>
        <v>茌平区</v>
      </c>
      <c r="G100" s="14" t="str">
        <f ca="1">VLOOKUP(F100,Table17[[Native]:[Population4]],5,FALSE)</f>
        <v>聊城市</v>
      </c>
    </row>
    <row r="101" spans="1:7" ht="15.75" thickBot="1" x14ac:dyDescent="0.3">
      <c r="A101" t="s">
        <v>1718</v>
      </c>
      <c r="B101" s="1" t="s">
        <v>1719</v>
      </c>
      <c r="C101" s="1" t="s">
        <v>7</v>
      </c>
      <c r="D101" s="1" t="s">
        <v>1540</v>
      </c>
      <c r="E101" s="3">
        <v>57425</v>
      </c>
      <c r="F101" s="1" t="str">
        <f>VLOOKUP(D101,Table17[[Name]:[Native]],3,FALSE)</f>
        <v>临清市</v>
      </c>
      <c r="G101" s="14" t="str">
        <f ca="1">VLOOKUP(F101,Table17[[Native]:[Population4]],5,FALSE)</f>
        <v>聊城市</v>
      </c>
    </row>
    <row r="102" spans="1:7" ht="15.75" thickBot="1" x14ac:dyDescent="0.3">
      <c r="A102" t="s">
        <v>1720</v>
      </c>
      <c r="B102" s="1" t="s">
        <v>1721</v>
      </c>
      <c r="C102" s="1" t="s">
        <v>495</v>
      </c>
      <c r="D102" s="1" t="s">
        <v>1541</v>
      </c>
      <c r="E102" s="3">
        <v>5880</v>
      </c>
      <c r="F102" s="1" t="str">
        <f>VLOOKUP(D102,Table17[[Name]:[Native]],3,FALSE)</f>
        <v>东昌府区</v>
      </c>
      <c r="G102" s="14" t="str">
        <f ca="1">VLOOKUP(F102,Table17[[Native]:[Population4]],5,FALSE)</f>
        <v>聊城市</v>
      </c>
    </row>
    <row r="103" spans="1:7" ht="15.75" thickBot="1" x14ac:dyDescent="0.3">
      <c r="A103" t="s">
        <v>1722</v>
      </c>
      <c r="B103" s="1" t="s">
        <v>1723</v>
      </c>
      <c r="C103" s="1" t="s">
        <v>13</v>
      </c>
      <c r="D103" s="1" t="s">
        <v>1549</v>
      </c>
      <c r="E103" s="3">
        <v>21793</v>
      </c>
      <c r="F103" s="1" t="str">
        <f>VLOOKUP(D103,Table17[[Name]:[Native]],3,FALSE)</f>
        <v>茌平区</v>
      </c>
      <c r="G103" s="14" t="str">
        <f ca="1">VLOOKUP(F103,Table17[[Native]:[Population4]],5,FALSE)</f>
        <v>聊城市</v>
      </c>
    </row>
    <row r="104" spans="1:7" ht="15.75" thickBot="1" x14ac:dyDescent="0.3">
      <c r="A104" t="s">
        <v>1724</v>
      </c>
      <c r="B104" s="1" t="s">
        <v>1725</v>
      </c>
      <c r="C104" s="1" t="s">
        <v>61</v>
      </c>
      <c r="D104" s="1" t="s">
        <v>1544</v>
      </c>
      <c r="E104" s="3">
        <v>34450</v>
      </c>
      <c r="F104" s="1" t="str">
        <f>VLOOKUP(D104,Table17[[Name]:[Native]],3,FALSE)</f>
        <v>冠县</v>
      </c>
      <c r="G104" s="14" t="str">
        <f ca="1">VLOOKUP(F104,Table17[[Native]:[Population4]],5,FALSE)</f>
        <v>聊城市</v>
      </c>
    </row>
    <row r="105" spans="1:7" ht="15.75" thickBot="1" x14ac:dyDescent="0.3">
      <c r="A105" t="s">
        <v>1726</v>
      </c>
      <c r="B105" s="1" t="s">
        <v>1727</v>
      </c>
      <c r="C105" s="1" t="s">
        <v>13</v>
      </c>
      <c r="D105" s="1" t="s">
        <v>1535</v>
      </c>
      <c r="E105" s="3">
        <v>37182</v>
      </c>
      <c r="F105" s="1" t="str">
        <f>VLOOKUP(D105,Table17[[Name]:[Native]],3,FALSE)</f>
        <v>阳谷县</v>
      </c>
      <c r="G105" s="14" t="str">
        <f ca="1">VLOOKUP(F105,Table17[[Native]:[Population4]],5,FALSE)</f>
        <v>聊城市</v>
      </c>
    </row>
    <row r="106" spans="1:7" ht="15.75" thickBot="1" x14ac:dyDescent="0.3">
      <c r="A106" t="s">
        <v>1728</v>
      </c>
      <c r="B106" s="1" t="s">
        <v>1729</v>
      </c>
      <c r="C106" s="1" t="s">
        <v>7</v>
      </c>
      <c r="D106" s="1" t="s">
        <v>1555</v>
      </c>
      <c r="E106" s="3">
        <v>37729</v>
      </c>
      <c r="F106" s="1" t="str">
        <f>VLOOKUP(D106,Table17[[Name]:[Native]],3,FALSE)</f>
        <v>东阿县</v>
      </c>
      <c r="G106" s="14" t="str">
        <f ca="1">VLOOKUP(F106,Table17[[Native]:[Population4]],5,FALSE)</f>
        <v>聊城市</v>
      </c>
    </row>
    <row r="107" spans="1:7" ht="15.75" thickBot="1" x14ac:dyDescent="0.3">
      <c r="A107" t="s">
        <v>1730</v>
      </c>
      <c r="B107" s="1" t="s">
        <v>1731</v>
      </c>
      <c r="C107" s="1" t="s">
        <v>7</v>
      </c>
      <c r="D107" s="1" t="s">
        <v>1549</v>
      </c>
      <c r="E107" s="3">
        <v>37755</v>
      </c>
      <c r="F107" s="1" t="str">
        <f>VLOOKUP(D107,Table17[[Name]:[Native]],3,FALSE)</f>
        <v>茌平区</v>
      </c>
      <c r="G107" s="14" t="str">
        <f ca="1">VLOOKUP(F107,Table17[[Native]:[Population4]],5,FALSE)</f>
        <v>聊城市</v>
      </c>
    </row>
    <row r="108" spans="1:7" ht="15.75" thickBot="1" x14ac:dyDescent="0.3">
      <c r="A108" t="s">
        <v>1732</v>
      </c>
      <c r="B108" s="1" t="s">
        <v>1733</v>
      </c>
      <c r="C108" s="1" t="s">
        <v>7</v>
      </c>
      <c r="D108" s="1" t="s">
        <v>1540</v>
      </c>
      <c r="E108" s="3">
        <v>107211</v>
      </c>
      <c r="F108" s="1" t="str">
        <f>VLOOKUP(D108,Table17[[Name]:[Native]],3,FALSE)</f>
        <v>临清市</v>
      </c>
      <c r="G108" s="14" t="str">
        <f ca="1">VLOOKUP(F108,Table17[[Native]:[Population4]],5,FALSE)</f>
        <v>聊城市</v>
      </c>
    </row>
    <row r="109" spans="1:7" ht="15.75" thickBot="1" x14ac:dyDescent="0.3">
      <c r="A109" t="s">
        <v>1734</v>
      </c>
      <c r="B109" s="1" t="s">
        <v>1735</v>
      </c>
      <c r="C109" s="1" t="s">
        <v>13</v>
      </c>
      <c r="D109" s="1" t="s">
        <v>1544</v>
      </c>
      <c r="E109" s="3">
        <v>42774</v>
      </c>
      <c r="F109" s="1" t="str">
        <f>VLOOKUP(D109,Table17[[Name]:[Native]],3,FALSE)</f>
        <v>冠县</v>
      </c>
      <c r="G109" s="14" t="str">
        <f ca="1">VLOOKUP(F109,Table17[[Native]:[Population4]],5,FALSE)</f>
        <v>聊城市</v>
      </c>
    </row>
    <row r="110" spans="1:7" ht="15.75" thickBot="1" x14ac:dyDescent="0.3">
      <c r="A110" t="s">
        <v>1736</v>
      </c>
      <c r="B110" s="1" t="s">
        <v>1737</v>
      </c>
      <c r="C110" s="1" t="s">
        <v>7</v>
      </c>
      <c r="D110" s="1" t="s">
        <v>1541</v>
      </c>
      <c r="E110" s="3">
        <v>145408</v>
      </c>
      <c r="F110" s="1" t="str">
        <f>VLOOKUP(D110,Table17[[Name]:[Native]],3,FALSE)</f>
        <v>东昌府区</v>
      </c>
      <c r="G110" s="14" t="str">
        <f ca="1">VLOOKUP(F110,Table17[[Native]:[Population4]],5,FALSE)</f>
        <v>聊城市</v>
      </c>
    </row>
    <row r="111" spans="1:7" ht="15.75" thickBot="1" x14ac:dyDescent="0.3">
      <c r="A111" t="s">
        <v>1738</v>
      </c>
      <c r="B111" s="1" t="s">
        <v>1739</v>
      </c>
      <c r="C111" s="1" t="s">
        <v>7</v>
      </c>
      <c r="D111" s="1" t="s">
        <v>1554</v>
      </c>
      <c r="E111" s="3">
        <v>35709</v>
      </c>
      <c r="F111" s="1" t="str">
        <f>VLOOKUP(D111,Table17[[Name]:[Native]],3,FALSE)</f>
        <v>莘县</v>
      </c>
      <c r="G111" s="14" t="str">
        <f ca="1">VLOOKUP(F111,Table17[[Native]:[Population4]],5,FALSE)</f>
        <v>聊城市</v>
      </c>
    </row>
    <row r="112" spans="1:7" ht="15.75" thickBot="1" x14ac:dyDescent="0.3">
      <c r="A112" t="s">
        <v>1740</v>
      </c>
      <c r="B112" s="1" t="s">
        <v>1741</v>
      </c>
      <c r="C112" s="1" t="s">
        <v>7</v>
      </c>
      <c r="D112" s="1" t="s">
        <v>1554</v>
      </c>
      <c r="E112" s="3">
        <v>28015</v>
      </c>
      <c r="F112" s="1" t="str">
        <f>VLOOKUP(D112,Table17[[Name]:[Native]],3,FALSE)</f>
        <v>莘县</v>
      </c>
      <c r="G112" s="14" t="str">
        <f ca="1">VLOOKUP(F112,Table17[[Native]:[Population4]],5,FALSE)</f>
        <v>聊城市</v>
      </c>
    </row>
    <row r="113" spans="1:7" ht="15.75" thickBot="1" x14ac:dyDescent="0.3">
      <c r="A113" t="s">
        <v>1742</v>
      </c>
      <c r="B113" s="1" t="s">
        <v>1743</v>
      </c>
      <c r="C113" s="1" t="s">
        <v>13</v>
      </c>
      <c r="D113" s="1" t="s">
        <v>1541</v>
      </c>
      <c r="E113" s="3">
        <v>37297</v>
      </c>
      <c r="F113" s="1" t="str">
        <f>VLOOKUP(D113,Table17[[Name]:[Native]],3,FALSE)</f>
        <v>东昌府区</v>
      </c>
      <c r="G113" s="14" t="str">
        <f ca="1">VLOOKUP(F113,Table17[[Native]:[Population4]],5,FALSE)</f>
        <v>聊城市</v>
      </c>
    </row>
    <row r="114" spans="1:7" ht="15.75" thickBot="1" x14ac:dyDescent="0.3">
      <c r="A114" t="s">
        <v>1744</v>
      </c>
      <c r="B114" s="1" t="s">
        <v>1745</v>
      </c>
      <c r="C114" s="1" t="s">
        <v>13</v>
      </c>
      <c r="D114" s="1" t="s">
        <v>1554</v>
      </c>
      <c r="E114" s="3">
        <v>30974</v>
      </c>
      <c r="F114" s="1" t="str">
        <f>VLOOKUP(D114,Table17[[Name]:[Native]],3,FALSE)</f>
        <v>莘县</v>
      </c>
      <c r="G114" s="14" t="str">
        <f ca="1">VLOOKUP(F114,Table17[[Native]:[Population4]],5,FALSE)</f>
        <v>聊城市</v>
      </c>
    </row>
    <row r="115" spans="1:7" ht="15.75" thickBot="1" x14ac:dyDescent="0.3">
      <c r="A115" t="s">
        <v>1746</v>
      </c>
      <c r="B115" s="1" t="s">
        <v>1747</v>
      </c>
      <c r="C115" s="1" t="s">
        <v>13</v>
      </c>
      <c r="D115" s="1" t="s">
        <v>1554</v>
      </c>
      <c r="E115" s="3">
        <v>37752</v>
      </c>
      <c r="F115" s="1" t="str">
        <f>VLOOKUP(D115,Table17[[Name]:[Native]],3,FALSE)</f>
        <v>莘县</v>
      </c>
      <c r="G115" s="14" t="str">
        <f ca="1">VLOOKUP(F115,Table17[[Native]:[Population4]],5,FALSE)</f>
        <v>聊城市</v>
      </c>
    </row>
    <row r="116" spans="1:7" ht="15.75" thickBot="1" x14ac:dyDescent="0.3">
      <c r="A116" t="s">
        <v>1748</v>
      </c>
      <c r="B116" s="1" t="s">
        <v>1749</v>
      </c>
      <c r="C116" s="1" t="s">
        <v>13</v>
      </c>
      <c r="D116" s="1" t="s">
        <v>1540</v>
      </c>
      <c r="E116" s="3">
        <v>40712</v>
      </c>
      <c r="F116" s="1" t="str">
        <f>VLOOKUP(D116,Table17[[Name]:[Native]],3,FALSE)</f>
        <v>临清市</v>
      </c>
      <c r="G116" s="14" t="str">
        <f ca="1">VLOOKUP(F116,Table17[[Native]:[Population4]],5,FALSE)</f>
        <v>聊城市</v>
      </c>
    </row>
    <row r="117" spans="1:7" ht="15.75" thickBot="1" x14ac:dyDescent="0.3">
      <c r="A117" t="s">
        <v>1750</v>
      </c>
      <c r="B117" s="1" t="s">
        <v>1751</v>
      </c>
      <c r="C117" s="1" t="s">
        <v>61</v>
      </c>
      <c r="D117" s="1" t="s">
        <v>1549</v>
      </c>
      <c r="E117" s="3">
        <v>14782</v>
      </c>
      <c r="F117" s="1" t="str">
        <f>VLOOKUP(D117,Table17[[Name]:[Native]],3,FALSE)</f>
        <v>茌平区</v>
      </c>
      <c r="G117" s="14" t="str">
        <f ca="1">VLOOKUP(F117,Table17[[Native]:[Population4]],5,FALSE)</f>
        <v>聊城市</v>
      </c>
    </row>
    <row r="118" spans="1:7" ht="15.75" thickBot="1" x14ac:dyDescent="0.3">
      <c r="A118" t="s">
        <v>1752</v>
      </c>
      <c r="B118" s="1" t="s">
        <v>1753</v>
      </c>
      <c r="C118" s="1" t="s">
        <v>13</v>
      </c>
      <c r="D118" s="1" t="s">
        <v>1604</v>
      </c>
      <c r="E118" s="3">
        <v>41994</v>
      </c>
      <c r="F118" s="1" t="str">
        <f>VLOOKUP(D118,Table17[[Name]:[Native]],3,FALSE)</f>
        <v>高唐县</v>
      </c>
      <c r="G118" s="14" t="str">
        <f ca="1">VLOOKUP(F118,Table17[[Native]:[Population4]],5,FALSE)</f>
        <v>聊城市</v>
      </c>
    </row>
    <row r="119" spans="1:7" ht="15.75" thickBot="1" x14ac:dyDescent="0.3">
      <c r="A119" t="s">
        <v>1754</v>
      </c>
      <c r="B119" s="1" t="s">
        <v>1755</v>
      </c>
      <c r="C119" s="1" t="s">
        <v>13</v>
      </c>
      <c r="D119" s="1" t="s">
        <v>1535</v>
      </c>
      <c r="E119" s="3">
        <v>49285</v>
      </c>
      <c r="F119" s="1" t="str">
        <f>VLOOKUP(D119,Table17[[Name]:[Native]],3,FALSE)</f>
        <v>阳谷县</v>
      </c>
      <c r="G119" s="14" t="str">
        <f ca="1">VLOOKUP(F119,Table17[[Native]:[Population4]],5,FALSE)</f>
        <v>聊城市</v>
      </c>
    </row>
    <row r="120" spans="1:7" ht="15.75" thickBot="1" x14ac:dyDescent="0.3">
      <c r="A120" t="s">
        <v>1756</v>
      </c>
      <c r="B120" s="1" t="s">
        <v>1757</v>
      </c>
      <c r="C120" s="1" t="s">
        <v>7</v>
      </c>
      <c r="D120" s="1" t="s">
        <v>1541</v>
      </c>
      <c r="E120" s="3">
        <v>44746</v>
      </c>
      <c r="F120" s="1" t="str">
        <f>VLOOKUP(D120,Table17[[Name]:[Native]],3,FALSE)</f>
        <v>东昌府区</v>
      </c>
      <c r="G120" s="14" t="str">
        <f ca="1">VLOOKUP(F120,Table17[[Native]:[Population4]],5,FALSE)</f>
        <v>聊城市</v>
      </c>
    </row>
    <row r="121" spans="1:7" ht="15.75" thickBot="1" x14ac:dyDescent="0.3">
      <c r="A121" t="s">
        <v>1758</v>
      </c>
      <c r="B121" s="1" t="s">
        <v>1759</v>
      </c>
      <c r="C121" s="1" t="s">
        <v>7</v>
      </c>
      <c r="D121" s="1" t="s">
        <v>1554</v>
      </c>
      <c r="E121" s="3">
        <v>69511</v>
      </c>
      <c r="F121" s="1" t="str">
        <f>VLOOKUP(D121,Table17[[Name]:[Native]],3,FALSE)</f>
        <v>莘县</v>
      </c>
      <c r="G121" s="14" t="str">
        <f ca="1">VLOOKUP(F121,Table17[[Native]:[Population4]],5,FALSE)</f>
        <v>聊城市</v>
      </c>
    </row>
    <row r="122" spans="1:7" ht="15.75" thickBot="1" x14ac:dyDescent="0.3">
      <c r="A122" t="s">
        <v>1760</v>
      </c>
      <c r="B122" s="1" t="s">
        <v>1761</v>
      </c>
      <c r="C122" s="1" t="s">
        <v>7</v>
      </c>
      <c r="D122" s="1" t="s">
        <v>1544</v>
      </c>
      <c r="E122" s="3">
        <v>39493</v>
      </c>
      <c r="F122" s="1" t="str">
        <f>VLOOKUP(D122,Table17[[Name]:[Native]],3,FALSE)</f>
        <v>冠县</v>
      </c>
      <c r="G122" s="14" t="str">
        <f ca="1">VLOOKUP(F122,Table17[[Native]:[Population4]],5,FALSE)</f>
        <v>聊城市</v>
      </c>
    </row>
    <row r="123" spans="1:7" ht="15.75" thickBot="1" x14ac:dyDescent="0.3">
      <c r="A123" t="s">
        <v>1762</v>
      </c>
      <c r="B123" s="1" t="s">
        <v>1763</v>
      </c>
      <c r="C123" s="1" t="s">
        <v>13</v>
      </c>
      <c r="D123" s="1" t="s">
        <v>1555</v>
      </c>
      <c r="E123" s="3">
        <v>28253</v>
      </c>
      <c r="F123" s="1" t="str">
        <f>VLOOKUP(D123,Table17[[Name]:[Native]],3,FALSE)</f>
        <v>东阿县</v>
      </c>
      <c r="G123" s="14" t="str">
        <f ca="1">VLOOKUP(F123,Table17[[Native]:[Population4]],5,FALSE)</f>
        <v>聊城市</v>
      </c>
    </row>
    <row r="124" spans="1:7" ht="15.75" thickBot="1" x14ac:dyDescent="0.3">
      <c r="A124" t="s">
        <v>1764</v>
      </c>
      <c r="B124" s="1" t="s">
        <v>1765</v>
      </c>
      <c r="C124" s="1" t="s">
        <v>13</v>
      </c>
      <c r="D124" s="1" t="s">
        <v>1554</v>
      </c>
      <c r="E124" s="3">
        <v>56932</v>
      </c>
      <c r="F124" s="1" t="str">
        <f>VLOOKUP(D124,Table17[[Name]:[Native]],3,FALSE)</f>
        <v>莘县</v>
      </c>
      <c r="G124" s="14" t="str">
        <f ca="1">VLOOKUP(F124,Table17[[Native]:[Population4]],5,FALSE)</f>
        <v>聊城市</v>
      </c>
    </row>
    <row r="125" spans="1:7" ht="15.75" thickBot="1" x14ac:dyDescent="0.3">
      <c r="A125" t="s">
        <v>1766</v>
      </c>
      <c r="B125" s="1" t="s">
        <v>1767</v>
      </c>
      <c r="C125" s="1" t="s">
        <v>13</v>
      </c>
      <c r="D125" s="1" t="s">
        <v>1604</v>
      </c>
      <c r="E125" s="3">
        <v>31154</v>
      </c>
      <c r="F125" s="1" t="str">
        <f>VLOOKUP(D125,Table17[[Name]:[Native]],3,FALSE)</f>
        <v>高唐县</v>
      </c>
      <c r="G125" s="14" t="str">
        <f ca="1">VLOOKUP(F125,Table17[[Native]:[Population4]],5,FALSE)</f>
        <v>聊城市</v>
      </c>
    </row>
    <row r="126" spans="1:7" ht="15.75" thickBot="1" x14ac:dyDescent="0.3">
      <c r="A126" t="s">
        <v>1768</v>
      </c>
      <c r="B126" s="1" t="s">
        <v>1769</v>
      </c>
      <c r="C126" s="1" t="s">
        <v>13</v>
      </c>
      <c r="D126" s="1" t="s">
        <v>1541</v>
      </c>
      <c r="E126" s="3">
        <v>38154</v>
      </c>
      <c r="F126" s="1" t="str">
        <f>VLOOKUP(D126,Table17[[Name]:[Native]],3,FALSE)</f>
        <v>东昌府区</v>
      </c>
      <c r="G126" s="14" t="str">
        <f ca="1">VLOOKUP(F126,Table17[[Native]:[Population4]],5,FALSE)</f>
        <v>聊城市</v>
      </c>
    </row>
    <row r="127" spans="1:7" ht="15.75" thickBot="1" x14ac:dyDescent="0.3">
      <c r="A127" t="s">
        <v>1770</v>
      </c>
      <c r="B127" s="1" t="s">
        <v>1771</v>
      </c>
      <c r="C127" s="1" t="s">
        <v>7</v>
      </c>
      <c r="D127" s="1" t="s">
        <v>1604</v>
      </c>
      <c r="E127" s="3">
        <v>69662</v>
      </c>
      <c r="F127" s="1" t="str">
        <f>VLOOKUP(D127,Table17[[Name]:[Native]],3,FALSE)</f>
        <v>高唐县</v>
      </c>
      <c r="G127" s="14" t="str">
        <f ca="1">VLOOKUP(F127,Table17[[Native]:[Population4]],5,FALSE)</f>
        <v>聊城市</v>
      </c>
    </row>
    <row r="128" spans="1:7" ht="15.75" thickBot="1" x14ac:dyDescent="0.3">
      <c r="A128" t="s">
        <v>1772</v>
      </c>
      <c r="B128" s="1" t="s">
        <v>1773</v>
      </c>
      <c r="C128" s="1" t="s">
        <v>13</v>
      </c>
      <c r="D128" s="1" t="s">
        <v>1555</v>
      </c>
      <c r="E128" s="3">
        <v>21975</v>
      </c>
      <c r="F128" s="1" t="str">
        <f>VLOOKUP(D128,Table17[[Name]:[Native]],3,FALSE)</f>
        <v>东阿县</v>
      </c>
      <c r="G128" s="14" t="str">
        <f ca="1">VLOOKUP(F128,Table17[[Native]:[Population4]],5,FALSE)</f>
        <v>聊城市</v>
      </c>
    </row>
    <row r="129" spans="1:7" ht="15.75" thickBot="1" x14ac:dyDescent="0.3">
      <c r="A129" t="s">
        <v>1774</v>
      </c>
      <c r="B129" s="1" t="s">
        <v>1775</v>
      </c>
      <c r="C129" s="1" t="s">
        <v>13</v>
      </c>
      <c r="D129" s="1" t="s">
        <v>1541</v>
      </c>
      <c r="E129" s="3">
        <v>33366</v>
      </c>
      <c r="F129" s="1" t="str">
        <f>VLOOKUP(D129,Table17[[Name]:[Native]],3,FALSE)</f>
        <v>东昌府区</v>
      </c>
      <c r="G129" s="14" t="str">
        <f ca="1">VLOOKUP(F129,Table17[[Native]:[Population4]],5,FALSE)</f>
        <v>聊城市</v>
      </c>
    </row>
    <row r="130" spans="1:7" ht="15.75" thickBot="1" x14ac:dyDescent="0.3">
      <c r="A130" t="s">
        <v>1776</v>
      </c>
      <c r="B130" s="1" t="s">
        <v>1777</v>
      </c>
      <c r="C130" s="1" t="s">
        <v>13</v>
      </c>
      <c r="D130" s="1" t="s">
        <v>1554</v>
      </c>
      <c r="E130" s="3">
        <v>48165</v>
      </c>
      <c r="F130" s="1" t="str">
        <f>VLOOKUP(D130,Table17[[Name]:[Native]],3,FALSE)</f>
        <v>莘县</v>
      </c>
      <c r="G130" s="14" t="str">
        <f ca="1">VLOOKUP(F130,Table17[[Native]:[Population4]],5,FALSE)</f>
        <v>聊城市</v>
      </c>
    </row>
    <row r="131" spans="1:7" ht="15.75" thickBot="1" x14ac:dyDescent="0.3">
      <c r="A131" t="s">
        <v>1778</v>
      </c>
      <c r="B131" s="1" t="s">
        <v>1779</v>
      </c>
      <c r="C131" s="1" t="s">
        <v>13</v>
      </c>
      <c r="D131" s="1" t="s">
        <v>1535</v>
      </c>
      <c r="E131" s="3">
        <v>43685</v>
      </c>
      <c r="F131" s="1" t="str">
        <f>VLOOKUP(D131,Table17[[Name]:[Native]],3,FALSE)</f>
        <v>阳谷县</v>
      </c>
      <c r="G131" s="14" t="str">
        <f ca="1">VLOOKUP(F131,Table17[[Native]:[Population4]],5,FALSE)</f>
        <v>聊城市</v>
      </c>
    </row>
    <row r="132" spans="1:7" ht="15.75" thickBot="1" x14ac:dyDescent="0.3">
      <c r="A132" t="s">
        <v>1780</v>
      </c>
      <c r="B132" s="1" t="s">
        <v>1781</v>
      </c>
      <c r="C132" s="1" t="s">
        <v>13</v>
      </c>
      <c r="D132" s="1" t="s">
        <v>1554</v>
      </c>
      <c r="E132" s="3">
        <v>43996</v>
      </c>
      <c r="F132" s="1" t="str">
        <f>VLOOKUP(D132,Table17[[Name]:[Native]],3,FALSE)</f>
        <v>莘县</v>
      </c>
      <c r="G132" s="14" t="str">
        <f ca="1">VLOOKUP(F132,Table17[[Native]:[Population4]],5,FALSE)</f>
        <v>聊城市</v>
      </c>
    </row>
    <row r="133" spans="1:7" ht="15.75" thickBot="1" x14ac:dyDescent="0.3">
      <c r="A133" t="s">
        <v>1782</v>
      </c>
      <c r="B133" s="1" t="s">
        <v>1783</v>
      </c>
      <c r="C133" s="1" t="s">
        <v>13</v>
      </c>
      <c r="D133" s="1" t="s">
        <v>1604</v>
      </c>
      <c r="E133" s="3">
        <v>32801</v>
      </c>
      <c r="F133" s="1" t="str">
        <f>VLOOKUP(D133,Table17[[Name]:[Native]],3,FALSE)</f>
        <v>高唐县</v>
      </c>
      <c r="G133" s="14" t="str">
        <f ca="1">VLOOKUP(F133,Table17[[Native]:[Population4]],5,FALSE)</f>
        <v>聊城市</v>
      </c>
    </row>
    <row r="134" spans="1:7" ht="15.75" thickBot="1" x14ac:dyDescent="0.3">
      <c r="A134" t="s">
        <v>1784</v>
      </c>
      <c r="B134" s="1" t="s">
        <v>1785</v>
      </c>
      <c r="C134" s="1" t="s">
        <v>13</v>
      </c>
      <c r="D134" s="1" t="s">
        <v>1541</v>
      </c>
      <c r="E134" s="3">
        <v>47872</v>
      </c>
      <c r="F134" s="1" t="str">
        <f>VLOOKUP(D134,Table17[[Name]:[Native]],3,FALSE)</f>
        <v>东昌府区</v>
      </c>
      <c r="G134" s="14" t="str">
        <f ca="1">VLOOKUP(F134,Table17[[Native]:[Population4]],5,FALSE)</f>
        <v>聊城市</v>
      </c>
    </row>
    <row r="135" spans="1:7" ht="15.75" thickBot="1" x14ac:dyDescent="0.3">
      <c r="A135" t="s">
        <v>1786</v>
      </c>
      <c r="B135" s="1" t="s">
        <v>1787</v>
      </c>
      <c r="C135" s="1" t="s">
        <v>7</v>
      </c>
      <c r="D135" s="1" t="s">
        <v>1549</v>
      </c>
      <c r="E135" s="3">
        <v>109595</v>
      </c>
      <c r="F135" s="1" t="str">
        <f>VLOOKUP(D135,Table17[[Name]:[Native]],3,FALSE)</f>
        <v>茌平区</v>
      </c>
      <c r="G135" s="14" t="str">
        <f ca="1">VLOOKUP(F135,Table17[[Native]:[Population4]],5,FALSE)</f>
        <v>聊城市</v>
      </c>
    </row>
    <row r="136" spans="1:7" ht="15.75" thickBot="1" x14ac:dyDescent="0.3">
      <c r="A136" t="s">
        <v>1788</v>
      </c>
      <c r="B136" s="1" t="s">
        <v>1789</v>
      </c>
      <c r="C136" s="1" t="s">
        <v>13</v>
      </c>
      <c r="D136" s="1" t="s">
        <v>1541</v>
      </c>
      <c r="E136" s="3">
        <v>35766</v>
      </c>
      <c r="F136" s="1" t="str">
        <f>VLOOKUP(D136,Table17[[Name]:[Native]],3,FALSE)</f>
        <v>东昌府区</v>
      </c>
      <c r="G136" s="14" t="str">
        <f ca="1">VLOOKUP(F136,Table17[[Native]:[Population4]],5,FALSE)</f>
        <v>聊城市</v>
      </c>
    </row>
    <row r="137" spans="1:7" ht="15.75" thickBot="1" x14ac:dyDescent="0.3">
      <c r="A137" t="s">
        <v>1790</v>
      </c>
      <c r="B137" s="1" t="s">
        <v>1791</v>
      </c>
      <c r="C137" s="1" t="s">
        <v>13</v>
      </c>
      <c r="D137" s="1" t="s">
        <v>1554</v>
      </c>
      <c r="E137" s="3">
        <v>20931</v>
      </c>
      <c r="F137" s="10" t="str">
        <f>VLOOKUP(D137,Table17[[Name]:[Native]],3,FALSE)</f>
        <v>莘县</v>
      </c>
      <c r="G137" s="14" t="str">
        <f ca="1">VLOOKUP(F137,Table17[[Native]:[Population4]],5,FALSE)</f>
        <v>聊城市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024-1E6F-4C5E-8E61-BF48D48BD5B3}">
  <dimension ref="A1:G158"/>
  <sheetViews>
    <sheetView workbookViewId="0">
      <selection activeCell="A2" sqref="A2:G15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1792</v>
      </c>
      <c r="B2" s="1" t="s">
        <v>1793</v>
      </c>
      <c r="C2" s="1" t="s">
        <v>13</v>
      </c>
      <c r="D2" s="1" t="s">
        <v>1794</v>
      </c>
      <c r="E2" s="3">
        <v>35078</v>
      </c>
      <c r="F2" s="9" t="str">
        <f>VLOOKUP(D2,Table17[[Name]:[Native]],3,FALSE)</f>
        <v>沂南县</v>
      </c>
      <c r="G2" s="14" t="str">
        <f ca="1">VLOOKUP(F2,Table17[[Native]:[Population4]],5,FALSE)</f>
        <v>临沂市</v>
      </c>
    </row>
    <row r="3" spans="1:7" ht="15.75" thickBot="1" x14ac:dyDescent="0.3">
      <c r="A3" t="s">
        <v>1795</v>
      </c>
      <c r="B3" s="1" t="s">
        <v>1796</v>
      </c>
      <c r="C3" s="1" t="s">
        <v>13</v>
      </c>
      <c r="D3" s="1" t="s">
        <v>1797</v>
      </c>
      <c r="E3" s="3">
        <v>63693</v>
      </c>
      <c r="F3" s="1" t="str">
        <f>VLOOKUP(D3,Table17[[Name]:[Native]],3,FALSE)</f>
        <v>河东区</v>
      </c>
      <c r="G3" s="14" t="str">
        <f ca="1">VLOOKUP(F3,Table17[[Native]:[Population4]],5,FALSE)</f>
        <v>临沂市</v>
      </c>
    </row>
    <row r="4" spans="1:7" ht="15.75" thickBot="1" x14ac:dyDescent="0.3">
      <c r="A4" t="s">
        <v>1798</v>
      </c>
      <c r="B4" s="1" t="s">
        <v>1799</v>
      </c>
      <c r="C4" s="1" t="s">
        <v>13</v>
      </c>
      <c r="D4" s="1" t="s">
        <v>1800</v>
      </c>
      <c r="E4" s="3">
        <v>42275</v>
      </c>
      <c r="F4" s="1" t="str">
        <f>VLOOKUP(D4,Table17[[Name]:[Native]],3,FALSE)</f>
        <v>平邑县</v>
      </c>
      <c r="G4" s="14" t="str">
        <f ca="1">VLOOKUP(F4,Table17[[Native]:[Population4]],5,FALSE)</f>
        <v>临沂市</v>
      </c>
    </row>
    <row r="5" spans="1:7" ht="15.75" thickBot="1" x14ac:dyDescent="0.3">
      <c r="A5" t="s">
        <v>1801</v>
      </c>
      <c r="B5" s="1" t="s">
        <v>1802</v>
      </c>
      <c r="C5" s="1" t="s">
        <v>13</v>
      </c>
      <c r="D5" s="1" t="s">
        <v>1803</v>
      </c>
      <c r="E5" s="3">
        <v>38083</v>
      </c>
      <c r="F5" s="1" t="str">
        <f>VLOOKUP(D5,Table17[[Name]:[Native]],3,FALSE)</f>
        <v>临沭县</v>
      </c>
      <c r="G5" s="14" t="str">
        <f ca="1">VLOOKUP(F5,Table17[[Native]:[Population4]],5,FALSE)</f>
        <v>临沂市</v>
      </c>
    </row>
    <row r="6" spans="1:7" ht="15.75" thickBot="1" x14ac:dyDescent="0.3">
      <c r="A6" t="s">
        <v>1804</v>
      </c>
      <c r="B6" s="1" t="s">
        <v>1805</v>
      </c>
      <c r="C6" s="1" t="s">
        <v>13</v>
      </c>
      <c r="D6" s="1" t="s">
        <v>1806</v>
      </c>
      <c r="E6" s="3">
        <v>62380</v>
      </c>
      <c r="F6" s="1" t="str">
        <f>VLOOKUP(D6,Table17[[Name]:[Native]],3,FALSE)</f>
        <v>兰山区</v>
      </c>
      <c r="G6" s="14" t="str">
        <f ca="1">VLOOKUP(F6,Table17[[Native]:[Population4]],5,FALSE)</f>
        <v>临沂市</v>
      </c>
    </row>
    <row r="7" spans="1:7" ht="15.75" thickBot="1" x14ac:dyDescent="0.3">
      <c r="A7" t="s">
        <v>1807</v>
      </c>
      <c r="B7" s="1" t="s">
        <v>1808</v>
      </c>
      <c r="C7" s="1" t="s">
        <v>13</v>
      </c>
      <c r="D7" s="1" t="s">
        <v>1800</v>
      </c>
      <c r="E7" s="3">
        <v>69130</v>
      </c>
      <c r="F7" s="1" t="str">
        <f>VLOOKUP(D7,Table17[[Name]:[Native]],3,FALSE)</f>
        <v>平邑县</v>
      </c>
      <c r="G7" s="14" t="str">
        <f ca="1">VLOOKUP(F7,Table17[[Native]:[Population4]],5,FALSE)</f>
        <v>临沂市</v>
      </c>
    </row>
    <row r="8" spans="1:7" ht="15.75" thickBot="1" x14ac:dyDescent="0.3">
      <c r="A8" t="s">
        <v>1809</v>
      </c>
      <c r="B8" s="1" t="s">
        <v>1810</v>
      </c>
      <c r="C8" s="1" t="s">
        <v>13</v>
      </c>
      <c r="D8" s="1" t="s">
        <v>1806</v>
      </c>
      <c r="E8" s="3">
        <v>66286</v>
      </c>
      <c r="F8" s="1" t="str">
        <f>VLOOKUP(D8,Table17[[Name]:[Native]],3,FALSE)</f>
        <v>兰山区</v>
      </c>
      <c r="G8" s="14" t="str">
        <f ca="1">VLOOKUP(F8,Table17[[Native]:[Population4]],5,FALSE)</f>
        <v>临沂市</v>
      </c>
    </row>
    <row r="9" spans="1:7" ht="15.75" thickBot="1" x14ac:dyDescent="0.3">
      <c r="A9" t="s">
        <v>1811</v>
      </c>
      <c r="B9" s="1" t="s">
        <v>1812</v>
      </c>
      <c r="C9" s="1" t="s">
        <v>13</v>
      </c>
      <c r="D9" s="1" t="s">
        <v>1813</v>
      </c>
      <c r="E9" s="3">
        <v>68308</v>
      </c>
      <c r="F9" s="1" t="str">
        <f>VLOOKUP(D9,Table17[[Name]:[Native]],3,FALSE)</f>
        <v>莒南县</v>
      </c>
      <c r="G9" s="14" t="str">
        <f ca="1">VLOOKUP(F9,Table17[[Native]:[Population4]],5,FALSE)</f>
        <v>临沂市</v>
      </c>
    </row>
    <row r="10" spans="1:7" ht="15.75" thickBot="1" x14ac:dyDescent="0.3">
      <c r="A10" t="s">
        <v>1814</v>
      </c>
      <c r="B10" s="1" t="s">
        <v>1815</v>
      </c>
      <c r="C10" s="1" t="s">
        <v>13</v>
      </c>
      <c r="D10" s="1" t="s">
        <v>1800</v>
      </c>
      <c r="E10" s="3">
        <v>66787</v>
      </c>
      <c r="F10" s="1" t="str">
        <f>VLOOKUP(D10,Table17[[Name]:[Native]],3,FALSE)</f>
        <v>平邑县</v>
      </c>
      <c r="G10" s="14" t="str">
        <f ca="1">VLOOKUP(F10,Table17[[Native]:[Population4]],5,FALSE)</f>
        <v>临沂市</v>
      </c>
    </row>
    <row r="11" spans="1:7" ht="15.75" thickBot="1" x14ac:dyDescent="0.3">
      <c r="A11" t="s">
        <v>1816</v>
      </c>
      <c r="B11" s="1" t="s">
        <v>1817</v>
      </c>
      <c r="C11" s="1" t="s">
        <v>13</v>
      </c>
      <c r="D11" s="1" t="s">
        <v>1800</v>
      </c>
      <c r="E11" s="3">
        <v>69175</v>
      </c>
      <c r="F11" s="1" t="str">
        <f>VLOOKUP(D11,Table17[[Name]:[Native]],3,FALSE)</f>
        <v>平邑县</v>
      </c>
      <c r="G11" s="14" t="str">
        <f ca="1">VLOOKUP(F11,Table17[[Native]:[Population4]],5,FALSE)</f>
        <v>临沂市</v>
      </c>
    </row>
    <row r="12" spans="1:7" ht="15.75" thickBot="1" x14ac:dyDescent="0.3">
      <c r="A12" t="s">
        <v>1818</v>
      </c>
      <c r="B12" s="1" t="s">
        <v>1819</v>
      </c>
      <c r="C12" s="1" t="s">
        <v>7</v>
      </c>
      <c r="D12" s="1" t="s">
        <v>1820</v>
      </c>
      <c r="E12" s="3">
        <v>223162</v>
      </c>
      <c r="F12" s="1" t="str">
        <f>VLOOKUP(D12,Table17[[Name]:[Native]],3,FALSE)</f>
        <v>兰陵县</v>
      </c>
      <c r="G12" s="14" t="str">
        <f ca="1">VLOOKUP(F12,Table17[[Native]:[Population4]],5,FALSE)</f>
        <v>临沂市</v>
      </c>
    </row>
    <row r="13" spans="1:7" ht="15.75" thickBot="1" x14ac:dyDescent="0.3">
      <c r="A13" t="s">
        <v>1821</v>
      </c>
      <c r="B13" s="1" t="s">
        <v>1822</v>
      </c>
      <c r="C13" s="1" t="s">
        <v>61</v>
      </c>
      <c r="D13" s="1" t="s">
        <v>1820</v>
      </c>
      <c r="E13" s="3">
        <v>46857</v>
      </c>
      <c r="F13" s="1" t="str">
        <f>VLOOKUP(D13,Table17[[Name]:[Native]],3,FALSE)</f>
        <v>兰陵县</v>
      </c>
      <c r="G13" s="14" t="str">
        <f ca="1">VLOOKUP(F13,Table17[[Native]:[Population4]],5,FALSE)</f>
        <v>临沂市</v>
      </c>
    </row>
    <row r="14" spans="1:7" ht="15.75" thickBot="1" x14ac:dyDescent="0.3">
      <c r="A14" t="s">
        <v>1823</v>
      </c>
      <c r="B14" s="1" t="s">
        <v>1824</v>
      </c>
      <c r="C14" s="1" t="s">
        <v>13</v>
      </c>
      <c r="D14" s="1" t="s">
        <v>1803</v>
      </c>
      <c r="E14" s="3">
        <v>45214</v>
      </c>
      <c r="F14" s="1" t="str">
        <f>VLOOKUP(D14,Table17[[Name]:[Native]],3,FALSE)</f>
        <v>临沭县</v>
      </c>
      <c r="G14" s="14" t="str">
        <f ca="1">VLOOKUP(F14,Table17[[Native]:[Population4]],5,FALSE)</f>
        <v>临沂市</v>
      </c>
    </row>
    <row r="15" spans="1:7" ht="15.75" thickBot="1" x14ac:dyDescent="0.3">
      <c r="A15" t="s">
        <v>1825</v>
      </c>
      <c r="B15" s="1" t="s">
        <v>1826</v>
      </c>
      <c r="C15" s="1" t="s">
        <v>7</v>
      </c>
      <c r="D15" s="1" t="s">
        <v>1827</v>
      </c>
      <c r="E15" s="3">
        <v>55938</v>
      </c>
      <c r="F15" s="1" t="str">
        <f>VLOOKUP(D15,Table17[[Name]:[Native]],3,FALSE)</f>
        <v>罗庄区</v>
      </c>
      <c r="G15" s="14" t="str">
        <f ca="1">VLOOKUP(F15,Table17[[Native]:[Population4]],5,FALSE)</f>
        <v>临沂市</v>
      </c>
    </row>
    <row r="16" spans="1:7" ht="15.75" thickBot="1" x14ac:dyDescent="0.3">
      <c r="A16" t="s">
        <v>1828</v>
      </c>
      <c r="B16" s="1" t="s">
        <v>1829</v>
      </c>
      <c r="C16" s="1" t="s">
        <v>13</v>
      </c>
      <c r="D16" s="1" t="s">
        <v>1820</v>
      </c>
      <c r="E16" s="3">
        <v>93827</v>
      </c>
      <c r="F16" s="1" t="str">
        <f>VLOOKUP(D16,Table17[[Name]:[Native]],3,FALSE)</f>
        <v>兰陵县</v>
      </c>
      <c r="G16" s="14" t="str">
        <f ca="1">VLOOKUP(F16,Table17[[Native]:[Population4]],5,FALSE)</f>
        <v>临沂市</v>
      </c>
    </row>
    <row r="17" spans="1:7" ht="15.75" thickBot="1" x14ac:dyDescent="0.3">
      <c r="A17" t="s">
        <v>1830</v>
      </c>
      <c r="B17" s="1" t="s">
        <v>1831</v>
      </c>
      <c r="C17" s="1" t="s">
        <v>13</v>
      </c>
      <c r="D17" s="1" t="s">
        <v>1832</v>
      </c>
      <c r="E17" s="3">
        <v>30228</v>
      </c>
      <c r="F17" s="1" t="str">
        <f>VLOOKUP(D17,Table17[[Name]:[Native]],3,FALSE)</f>
        <v>蒙阴县</v>
      </c>
      <c r="G17" s="14" t="str">
        <f ca="1">VLOOKUP(F17,Table17[[Native]:[Population4]],5,FALSE)</f>
        <v>临沂市</v>
      </c>
    </row>
    <row r="18" spans="1:7" ht="15.75" thickBot="1" x14ac:dyDescent="0.3">
      <c r="A18" t="s">
        <v>1833</v>
      </c>
      <c r="B18" s="1" t="s">
        <v>1834</v>
      </c>
      <c r="C18" s="1" t="s">
        <v>13</v>
      </c>
      <c r="D18" s="1" t="s">
        <v>1820</v>
      </c>
      <c r="E18" s="3">
        <v>49975</v>
      </c>
      <c r="F18" s="1" t="str">
        <f>VLOOKUP(D18,Table17[[Name]:[Native]],3,FALSE)</f>
        <v>兰陵县</v>
      </c>
      <c r="G18" s="14" t="str">
        <f ca="1">VLOOKUP(F18,Table17[[Native]:[Population4]],5,FALSE)</f>
        <v>临沂市</v>
      </c>
    </row>
    <row r="19" spans="1:7" ht="15.75" thickBot="1" x14ac:dyDescent="0.3">
      <c r="A19" t="s">
        <v>1835</v>
      </c>
      <c r="B19" s="1" t="s">
        <v>1836</v>
      </c>
      <c r="C19" s="1" t="s">
        <v>13</v>
      </c>
      <c r="D19" s="1" t="s">
        <v>1837</v>
      </c>
      <c r="E19" s="3">
        <v>75205</v>
      </c>
      <c r="F19" s="1" t="str">
        <f>VLOOKUP(D19,Table17[[Name]:[Native]],3,FALSE)</f>
        <v>郯城县</v>
      </c>
      <c r="G19" s="14" t="str">
        <f ca="1">VLOOKUP(F19,Table17[[Native]:[Population4]],5,FALSE)</f>
        <v>临沂市</v>
      </c>
    </row>
    <row r="20" spans="1:7" ht="15.75" thickBot="1" x14ac:dyDescent="0.3">
      <c r="A20" t="s">
        <v>1838</v>
      </c>
      <c r="B20" s="1" t="s">
        <v>1839</v>
      </c>
      <c r="C20" s="1" t="s">
        <v>13</v>
      </c>
      <c r="D20" s="1" t="s">
        <v>1827</v>
      </c>
      <c r="E20" s="3">
        <v>52775</v>
      </c>
      <c r="F20" s="1" t="str">
        <f>VLOOKUP(D20,Table17[[Name]:[Native]],3,FALSE)</f>
        <v>罗庄区</v>
      </c>
      <c r="G20" s="14" t="str">
        <f ca="1">VLOOKUP(F20,Table17[[Native]:[Population4]],5,FALSE)</f>
        <v>临沂市</v>
      </c>
    </row>
    <row r="21" spans="1:7" ht="15.75" thickBot="1" x14ac:dyDescent="0.3">
      <c r="A21" t="s">
        <v>1840</v>
      </c>
      <c r="B21" s="1" t="s">
        <v>1841</v>
      </c>
      <c r="C21" s="1" t="s">
        <v>13</v>
      </c>
      <c r="D21" s="1" t="s">
        <v>1842</v>
      </c>
      <c r="E21" s="3">
        <v>26684</v>
      </c>
      <c r="F21" s="1" t="str">
        <f>VLOOKUP(D21,Table17[[Name]:[Native]],3,FALSE)</f>
        <v>沂水县</v>
      </c>
      <c r="G21" s="14" t="str">
        <f ca="1">VLOOKUP(F21,Table17[[Native]:[Population4]],5,FALSE)</f>
        <v>临沂市</v>
      </c>
    </row>
    <row r="22" spans="1:7" ht="15.75" thickBot="1" x14ac:dyDescent="0.3">
      <c r="A22" t="s">
        <v>1843</v>
      </c>
      <c r="B22" s="1" t="s">
        <v>1844</v>
      </c>
      <c r="C22" s="1" t="s">
        <v>13</v>
      </c>
      <c r="D22" s="1" t="s">
        <v>1813</v>
      </c>
      <c r="E22" s="3">
        <v>66830</v>
      </c>
      <c r="F22" s="1" t="str">
        <f>VLOOKUP(D22,Table17[[Name]:[Native]],3,FALSE)</f>
        <v>莒南县</v>
      </c>
      <c r="G22" s="14" t="str">
        <f ca="1">VLOOKUP(F22,Table17[[Native]:[Population4]],5,FALSE)</f>
        <v>临沂市</v>
      </c>
    </row>
    <row r="23" spans="1:7" ht="15.75" thickBot="1" x14ac:dyDescent="0.3">
      <c r="A23" t="s">
        <v>1845</v>
      </c>
      <c r="B23" s="1" t="s">
        <v>1846</v>
      </c>
      <c r="C23" s="1" t="s">
        <v>13</v>
      </c>
      <c r="D23" s="1" t="s">
        <v>1832</v>
      </c>
      <c r="E23" s="3">
        <v>42790</v>
      </c>
      <c r="F23" s="1" t="str">
        <f>VLOOKUP(D23,Table17[[Name]:[Native]],3,FALSE)</f>
        <v>蒙阴县</v>
      </c>
      <c r="G23" s="14" t="str">
        <f ca="1">VLOOKUP(F23,Table17[[Native]:[Population4]],5,FALSE)</f>
        <v>临沂市</v>
      </c>
    </row>
    <row r="24" spans="1:7" ht="15.75" thickBot="1" x14ac:dyDescent="0.3">
      <c r="A24" t="s">
        <v>1847</v>
      </c>
      <c r="B24" s="1" t="s">
        <v>1848</v>
      </c>
      <c r="C24" s="1" t="s">
        <v>13</v>
      </c>
      <c r="D24" s="1" t="s">
        <v>1813</v>
      </c>
      <c r="E24" s="3">
        <v>31381</v>
      </c>
      <c r="F24" s="1" t="str">
        <f>VLOOKUP(D24,Table17[[Name]:[Native]],3,FALSE)</f>
        <v>莒南县</v>
      </c>
      <c r="G24" s="14" t="str">
        <f ca="1">VLOOKUP(F24,Table17[[Native]:[Population4]],5,FALSE)</f>
        <v>临沂市</v>
      </c>
    </row>
    <row r="25" spans="1:7" ht="15.75" thickBot="1" x14ac:dyDescent="0.3">
      <c r="A25" t="s">
        <v>1849</v>
      </c>
      <c r="B25" s="1" t="s">
        <v>1850</v>
      </c>
      <c r="C25" s="1" t="s">
        <v>13</v>
      </c>
      <c r="D25" s="1" t="s">
        <v>1842</v>
      </c>
      <c r="E25" s="3">
        <v>31881</v>
      </c>
      <c r="F25" s="1" t="str">
        <f>VLOOKUP(D25,Table17[[Name]:[Native]],3,FALSE)</f>
        <v>沂水县</v>
      </c>
      <c r="G25" s="14" t="str">
        <f ca="1">VLOOKUP(F25,Table17[[Native]:[Population4]],5,FALSE)</f>
        <v>临沂市</v>
      </c>
    </row>
    <row r="26" spans="1:7" ht="15.75" thickBot="1" x14ac:dyDescent="0.3">
      <c r="A26" t="s">
        <v>1851</v>
      </c>
      <c r="B26" s="1" t="s">
        <v>1852</v>
      </c>
      <c r="C26" s="1" t="s">
        <v>61</v>
      </c>
      <c r="D26" s="1" t="s">
        <v>1853</v>
      </c>
      <c r="E26" s="3">
        <v>18127</v>
      </c>
      <c r="F26" s="1" t="str">
        <f>VLOOKUP(D26,Table17[[Name]:[Native]],3,FALSE)</f>
        <v>费县</v>
      </c>
      <c r="G26" s="14" t="str">
        <f ca="1">VLOOKUP(F26,Table17[[Native]:[Population4]],5,FALSE)</f>
        <v>临沂市</v>
      </c>
    </row>
    <row r="27" spans="1:7" ht="15.75" thickBot="1" x14ac:dyDescent="0.3">
      <c r="A27" t="s">
        <v>1854</v>
      </c>
      <c r="B27" s="1" t="s">
        <v>1855</v>
      </c>
      <c r="C27" s="1" t="s">
        <v>13</v>
      </c>
      <c r="D27" s="1" t="s">
        <v>1803</v>
      </c>
      <c r="E27" s="3">
        <v>56624</v>
      </c>
      <c r="F27" s="1" t="str">
        <f>VLOOKUP(D27,Table17[[Name]:[Native]],3,FALSE)</f>
        <v>临沭县</v>
      </c>
      <c r="G27" s="14" t="str">
        <f ca="1">VLOOKUP(F27,Table17[[Native]:[Population4]],5,FALSE)</f>
        <v>临沂市</v>
      </c>
    </row>
    <row r="28" spans="1:7" ht="15.75" thickBot="1" x14ac:dyDescent="0.3">
      <c r="A28" t="s">
        <v>1856</v>
      </c>
      <c r="B28" s="1" t="s">
        <v>1857</v>
      </c>
      <c r="C28" s="1" t="s">
        <v>13</v>
      </c>
      <c r="D28" s="1" t="s">
        <v>1820</v>
      </c>
      <c r="E28" s="3">
        <v>81741</v>
      </c>
      <c r="F28" s="1" t="str">
        <f>VLOOKUP(D28,Table17[[Name]:[Native]],3,FALSE)</f>
        <v>兰陵县</v>
      </c>
      <c r="G28" s="14" t="str">
        <f ca="1">VLOOKUP(F28,Table17[[Native]:[Population4]],5,FALSE)</f>
        <v>临沂市</v>
      </c>
    </row>
    <row r="29" spans="1:7" ht="15.75" thickBot="1" x14ac:dyDescent="0.3">
      <c r="A29" t="s">
        <v>1858</v>
      </c>
      <c r="B29" s="1" t="s">
        <v>1859</v>
      </c>
      <c r="C29" s="1" t="s">
        <v>13</v>
      </c>
      <c r="D29" s="1" t="s">
        <v>1794</v>
      </c>
      <c r="E29" s="3">
        <v>80974</v>
      </c>
      <c r="F29" s="1" t="str">
        <f>VLOOKUP(D29,Table17[[Name]:[Native]],3,FALSE)</f>
        <v>沂南县</v>
      </c>
      <c r="G29" s="14" t="str">
        <f ca="1">VLOOKUP(F29,Table17[[Native]:[Population4]],5,FALSE)</f>
        <v>临沂市</v>
      </c>
    </row>
    <row r="30" spans="1:7" ht="15.75" thickBot="1" x14ac:dyDescent="0.3">
      <c r="A30" t="s">
        <v>1860</v>
      </c>
      <c r="B30" s="1" t="s">
        <v>1861</v>
      </c>
      <c r="C30" s="1" t="s">
        <v>13</v>
      </c>
      <c r="D30" s="1" t="s">
        <v>1803</v>
      </c>
      <c r="E30" s="3">
        <v>40900</v>
      </c>
      <c r="F30" s="1" t="str">
        <f>VLOOKUP(D30,Table17[[Name]:[Native]],3,FALSE)</f>
        <v>临沭县</v>
      </c>
      <c r="G30" s="14" t="str">
        <f ca="1">VLOOKUP(F30,Table17[[Native]:[Population4]],5,FALSE)</f>
        <v>临沂市</v>
      </c>
    </row>
    <row r="31" spans="1:7" ht="15.75" thickBot="1" x14ac:dyDescent="0.3">
      <c r="A31" t="s">
        <v>1862</v>
      </c>
      <c r="B31" s="1" t="s">
        <v>1863</v>
      </c>
      <c r="C31" s="1" t="s">
        <v>13</v>
      </c>
      <c r="D31" s="1" t="s">
        <v>1800</v>
      </c>
      <c r="E31" s="3">
        <v>61219</v>
      </c>
      <c r="F31" s="1" t="str">
        <f>VLOOKUP(D31,Table17[[Name]:[Native]],3,FALSE)</f>
        <v>平邑县</v>
      </c>
      <c r="G31" s="14" t="str">
        <f ca="1">VLOOKUP(F31,Table17[[Native]:[Population4]],5,FALSE)</f>
        <v>临沂市</v>
      </c>
    </row>
    <row r="32" spans="1:7" ht="15.75" thickBot="1" x14ac:dyDescent="0.3">
      <c r="A32" t="s">
        <v>1864</v>
      </c>
      <c r="B32" s="1" t="s">
        <v>1865</v>
      </c>
      <c r="C32" s="1" t="s">
        <v>13</v>
      </c>
      <c r="D32" s="1" t="s">
        <v>1853</v>
      </c>
      <c r="E32" s="3">
        <v>33141</v>
      </c>
      <c r="F32" s="1" t="str">
        <f>VLOOKUP(D32,Table17[[Name]:[Native]],3,FALSE)</f>
        <v>费县</v>
      </c>
      <c r="G32" s="14" t="str">
        <f ca="1">VLOOKUP(F32,Table17[[Native]:[Population4]],5,FALSE)</f>
        <v>临沂市</v>
      </c>
    </row>
    <row r="33" spans="1:7" ht="15.75" thickBot="1" x14ac:dyDescent="0.3">
      <c r="A33" t="s">
        <v>1866</v>
      </c>
      <c r="B33" s="1" t="s">
        <v>976</v>
      </c>
      <c r="C33" s="1" t="s">
        <v>13</v>
      </c>
      <c r="D33" s="1" t="s">
        <v>1832</v>
      </c>
      <c r="E33" s="3">
        <v>58442</v>
      </c>
      <c r="F33" s="1" t="str">
        <f>VLOOKUP(D33,Table17[[Name]:[Native]],3,FALSE)</f>
        <v>蒙阴县</v>
      </c>
      <c r="G33" s="14" t="str">
        <f ca="1">VLOOKUP(F33,Table17[[Native]:[Population4]],5,FALSE)</f>
        <v>临沂市</v>
      </c>
    </row>
    <row r="34" spans="1:7" ht="15.75" thickBot="1" x14ac:dyDescent="0.3">
      <c r="A34" t="s">
        <v>1867</v>
      </c>
      <c r="B34" s="1" t="s">
        <v>1868</v>
      </c>
      <c r="C34" s="1" t="s">
        <v>13</v>
      </c>
      <c r="D34" s="1" t="s">
        <v>1806</v>
      </c>
      <c r="E34" s="3">
        <v>102901</v>
      </c>
      <c r="F34" s="1" t="str">
        <f>VLOOKUP(D34,Table17[[Name]:[Native]],3,FALSE)</f>
        <v>兰山区</v>
      </c>
      <c r="G34" s="14" t="str">
        <f ca="1">VLOOKUP(F34,Table17[[Native]:[Population4]],5,FALSE)</f>
        <v>临沂市</v>
      </c>
    </row>
    <row r="35" spans="1:7" ht="15.75" thickBot="1" x14ac:dyDescent="0.3">
      <c r="A35" t="s">
        <v>1869</v>
      </c>
      <c r="B35" s="1" t="s">
        <v>1870</v>
      </c>
      <c r="C35" s="1" t="s">
        <v>13</v>
      </c>
      <c r="D35" s="1" t="s">
        <v>1813</v>
      </c>
      <c r="E35" s="3">
        <v>68584</v>
      </c>
      <c r="F35" s="1" t="str">
        <f>VLOOKUP(D35,Table17[[Name]:[Native]],3,FALSE)</f>
        <v>莒南县</v>
      </c>
      <c r="G35" s="14" t="str">
        <f ca="1">VLOOKUP(F35,Table17[[Native]:[Population4]],5,FALSE)</f>
        <v>临沂市</v>
      </c>
    </row>
    <row r="36" spans="1:7" ht="15.75" thickBot="1" x14ac:dyDescent="0.3">
      <c r="A36" t="s">
        <v>1871</v>
      </c>
      <c r="B36" s="1" t="s">
        <v>1872</v>
      </c>
      <c r="C36" s="1" t="s">
        <v>7</v>
      </c>
      <c r="D36" s="1" t="s">
        <v>1853</v>
      </c>
      <c r="E36" s="3">
        <v>212213</v>
      </c>
      <c r="F36" s="1" t="str">
        <f>VLOOKUP(D36,Table17[[Name]:[Native]],3,FALSE)</f>
        <v>费县</v>
      </c>
      <c r="G36" s="14" t="str">
        <f ca="1">VLOOKUP(F36,Table17[[Native]:[Population4]],5,FALSE)</f>
        <v>临沂市</v>
      </c>
    </row>
    <row r="37" spans="1:7" ht="15.75" thickBot="1" x14ac:dyDescent="0.3">
      <c r="A37" t="s">
        <v>1873</v>
      </c>
      <c r="B37" s="1" t="s">
        <v>1874</v>
      </c>
      <c r="C37" s="1" t="s">
        <v>7</v>
      </c>
      <c r="D37" s="1" t="s">
        <v>1797</v>
      </c>
      <c r="E37" s="3">
        <v>36917</v>
      </c>
      <c r="F37" s="1" t="str">
        <f>VLOOKUP(D37,Table17[[Name]:[Native]],3,FALSE)</f>
        <v>河东区</v>
      </c>
      <c r="G37" s="14" t="str">
        <f ca="1">VLOOKUP(F37,Table17[[Native]:[Population4]],5,FALSE)</f>
        <v>临沂市</v>
      </c>
    </row>
    <row r="38" spans="1:7" ht="15.75" thickBot="1" x14ac:dyDescent="0.3">
      <c r="A38" t="s">
        <v>1875</v>
      </c>
      <c r="B38" s="1" t="s">
        <v>1876</v>
      </c>
      <c r="C38" s="1" t="s">
        <v>13</v>
      </c>
      <c r="D38" s="1" t="s">
        <v>1800</v>
      </c>
      <c r="E38" s="3">
        <v>31440</v>
      </c>
      <c r="F38" s="1" t="str">
        <f>VLOOKUP(D38,Table17[[Name]:[Native]],3,FALSE)</f>
        <v>平邑县</v>
      </c>
      <c r="G38" s="14" t="str">
        <f ca="1">VLOOKUP(F38,Table17[[Native]:[Population4]],5,FALSE)</f>
        <v>临沂市</v>
      </c>
    </row>
    <row r="39" spans="1:7" ht="15.75" thickBot="1" x14ac:dyDescent="0.3">
      <c r="A39" t="s">
        <v>1877</v>
      </c>
      <c r="B39" s="1" t="s">
        <v>1878</v>
      </c>
      <c r="C39" s="1" t="s">
        <v>13</v>
      </c>
      <c r="D39" s="1" t="s">
        <v>1842</v>
      </c>
      <c r="E39" s="3">
        <v>35092</v>
      </c>
      <c r="F39" s="1" t="str">
        <f>VLOOKUP(D39,Table17[[Name]:[Native]],3,FALSE)</f>
        <v>沂水县</v>
      </c>
      <c r="G39" s="14" t="str">
        <f ca="1">VLOOKUP(F39,Table17[[Native]:[Population4]],5,FALSE)</f>
        <v>临沂市</v>
      </c>
    </row>
    <row r="40" spans="1:7" ht="15.75" thickBot="1" x14ac:dyDescent="0.3">
      <c r="A40" t="s">
        <v>1879</v>
      </c>
      <c r="B40" s="1" t="s">
        <v>1880</v>
      </c>
      <c r="C40" s="1" t="s">
        <v>7</v>
      </c>
      <c r="D40" s="1" t="s">
        <v>1827</v>
      </c>
      <c r="E40" s="3">
        <v>71023</v>
      </c>
      <c r="F40" s="1" t="str">
        <f>VLOOKUP(D40,Table17[[Name]:[Native]],3,FALSE)</f>
        <v>罗庄区</v>
      </c>
      <c r="G40" s="14" t="str">
        <f ca="1">VLOOKUP(F40,Table17[[Native]:[Population4]],5,FALSE)</f>
        <v>临沂市</v>
      </c>
    </row>
    <row r="41" spans="1:7" ht="15.75" thickBot="1" x14ac:dyDescent="0.3">
      <c r="A41" t="s">
        <v>1881</v>
      </c>
      <c r="B41" s="1" t="s">
        <v>1882</v>
      </c>
      <c r="C41" s="1" t="s">
        <v>13</v>
      </c>
      <c r="D41" s="1" t="s">
        <v>1837</v>
      </c>
      <c r="E41" s="3">
        <v>39669</v>
      </c>
      <c r="F41" s="1" t="str">
        <f>VLOOKUP(D41,Table17[[Name]:[Native]],3,FALSE)</f>
        <v>郯城县</v>
      </c>
      <c r="G41" s="14" t="str">
        <f ca="1">VLOOKUP(F41,Table17[[Native]:[Population4]],5,FALSE)</f>
        <v>临沂市</v>
      </c>
    </row>
    <row r="42" spans="1:7" ht="15.75" thickBot="1" x14ac:dyDescent="0.3">
      <c r="A42" t="s">
        <v>1883</v>
      </c>
      <c r="B42" s="1" t="s">
        <v>1884</v>
      </c>
      <c r="C42" s="1" t="s">
        <v>7</v>
      </c>
      <c r="D42" s="1" t="s">
        <v>1827</v>
      </c>
      <c r="E42" s="3">
        <v>48159</v>
      </c>
      <c r="F42" s="1" t="str">
        <f>VLOOKUP(D42,Table17[[Name]:[Native]],3,FALSE)</f>
        <v>罗庄区</v>
      </c>
      <c r="G42" s="14" t="str">
        <f ca="1">VLOOKUP(F42,Table17[[Native]:[Population4]],5,FALSE)</f>
        <v>临沂市</v>
      </c>
    </row>
    <row r="43" spans="1:7" ht="15.75" thickBot="1" x14ac:dyDescent="0.3">
      <c r="A43" t="s">
        <v>1885</v>
      </c>
      <c r="B43" s="1" t="s">
        <v>1886</v>
      </c>
      <c r="C43" s="1" t="s">
        <v>13</v>
      </c>
      <c r="D43" s="1" t="s">
        <v>1832</v>
      </c>
      <c r="E43" s="3">
        <v>28412</v>
      </c>
      <c r="F43" s="1" t="str">
        <f>VLOOKUP(D43,Table17[[Name]:[Native]],3,FALSE)</f>
        <v>蒙阴县</v>
      </c>
      <c r="G43" s="14" t="str">
        <f ca="1">VLOOKUP(F43,Table17[[Native]:[Population4]],5,FALSE)</f>
        <v>临沂市</v>
      </c>
    </row>
    <row r="44" spans="1:7" ht="15.75" thickBot="1" x14ac:dyDescent="0.3">
      <c r="A44" t="s">
        <v>1887</v>
      </c>
      <c r="B44" s="1" t="s">
        <v>1888</v>
      </c>
      <c r="C44" s="1" t="s">
        <v>13</v>
      </c>
      <c r="D44" s="1" t="s">
        <v>1837</v>
      </c>
      <c r="E44" s="3">
        <v>42688</v>
      </c>
      <c r="F44" s="1" t="str">
        <f>VLOOKUP(D44,Table17[[Name]:[Native]],3,FALSE)</f>
        <v>郯城县</v>
      </c>
      <c r="G44" s="14" t="str">
        <f ca="1">VLOOKUP(F44,Table17[[Native]:[Population4]],5,FALSE)</f>
        <v>临沂市</v>
      </c>
    </row>
    <row r="45" spans="1:7" ht="15.75" thickBot="1" x14ac:dyDescent="0.3">
      <c r="A45" t="s">
        <v>1889</v>
      </c>
      <c r="B45" s="1" t="s">
        <v>1890</v>
      </c>
      <c r="C45" s="1" t="s">
        <v>13</v>
      </c>
      <c r="D45" s="1" t="s">
        <v>1842</v>
      </c>
      <c r="E45" s="3">
        <v>56033</v>
      </c>
      <c r="F45" s="1" t="str">
        <f>VLOOKUP(D45,Table17[[Name]:[Native]],3,FALSE)</f>
        <v>沂水县</v>
      </c>
      <c r="G45" s="14" t="str">
        <f ca="1">VLOOKUP(F45,Table17[[Native]:[Population4]],5,FALSE)</f>
        <v>临沂市</v>
      </c>
    </row>
    <row r="46" spans="1:7" ht="15.75" thickBot="1" x14ac:dyDescent="0.3">
      <c r="A46" t="s">
        <v>688</v>
      </c>
      <c r="B46" s="1" t="s">
        <v>689</v>
      </c>
      <c r="C46" s="1" t="s">
        <v>13</v>
      </c>
      <c r="D46" s="1" t="s">
        <v>1842</v>
      </c>
      <c r="E46" s="3">
        <v>43522</v>
      </c>
      <c r="F46" s="1" t="str">
        <f>VLOOKUP(D46,Table17[[Name]:[Native]],3,FALSE)</f>
        <v>沂水县</v>
      </c>
      <c r="G46" s="14" t="str">
        <f ca="1">VLOOKUP(F46,Table17[[Native]:[Population4]],5,FALSE)</f>
        <v>临沂市</v>
      </c>
    </row>
    <row r="47" spans="1:7" ht="15.75" thickBot="1" x14ac:dyDescent="0.3">
      <c r="A47" t="s">
        <v>1891</v>
      </c>
      <c r="B47" s="1" t="s">
        <v>1892</v>
      </c>
      <c r="C47" s="1" t="s">
        <v>61</v>
      </c>
      <c r="D47" s="1" t="s">
        <v>1837</v>
      </c>
      <c r="E47" s="3">
        <v>33132</v>
      </c>
      <c r="F47" s="1" t="str">
        <f>VLOOKUP(D47,Table17[[Name]:[Native]],3,FALSE)</f>
        <v>郯城县</v>
      </c>
      <c r="G47" s="14" t="str">
        <f ca="1">VLOOKUP(F47,Table17[[Native]:[Population4]],5,FALSE)</f>
        <v>临沂市</v>
      </c>
    </row>
    <row r="48" spans="1:7" ht="15.75" thickBot="1" x14ac:dyDescent="0.3">
      <c r="A48" t="s">
        <v>1893</v>
      </c>
      <c r="B48" s="1" t="s">
        <v>1894</v>
      </c>
      <c r="C48" s="1" t="s">
        <v>13</v>
      </c>
      <c r="D48" s="1" t="s">
        <v>1837</v>
      </c>
      <c r="E48" s="3">
        <v>59392</v>
      </c>
      <c r="F48" s="1" t="str">
        <f>VLOOKUP(D48,Table17[[Name]:[Native]],3,FALSE)</f>
        <v>郯城县</v>
      </c>
      <c r="G48" s="14" t="str">
        <f ca="1">VLOOKUP(F48,Table17[[Native]:[Population4]],5,FALSE)</f>
        <v>临沂市</v>
      </c>
    </row>
    <row r="49" spans="1:7" ht="15.75" thickBot="1" x14ac:dyDescent="0.3">
      <c r="A49" t="s">
        <v>1895</v>
      </c>
      <c r="B49" s="1" t="s">
        <v>1896</v>
      </c>
      <c r="C49" s="1" t="s">
        <v>13</v>
      </c>
      <c r="D49" s="1" t="s">
        <v>1842</v>
      </c>
      <c r="E49" s="3">
        <v>42347</v>
      </c>
      <c r="F49" s="1" t="str">
        <f>VLOOKUP(D49,Table17[[Name]:[Native]],3,FALSE)</f>
        <v>沂水县</v>
      </c>
      <c r="G49" s="14" t="str">
        <f ca="1">VLOOKUP(F49,Table17[[Native]:[Population4]],5,FALSE)</f>
        <v>临沂市</v>
      </c>
    </row>
    <row r="50" spans="1:7" ht="15.75" thickBot="1" x14ac:dyDescent="0.3">
      <c r="A50" t="s">
        <v>1897</v>
      </c>
      <c r="B50" s="1" t="s">
        <v>1898</v>
      </c>
      <c r="C50" s="1" t="s">
        <v>13</v>
      </c>
      <c r="D50" s="1" t="s">
        <v>1827</v>
      </c>
      <c r="E50" s="3">
        <v>45372</v>
      </c>
      <c r="F50" s="1" t="str">
        <f>VLOOKUP(D50,Table17[[Name]:[Native]],3,FALSE)</f>
        <v>罗庄区</v>
      </c>
      <c r="G50" s="14" t="str">
        <f ca="1">VLOOKUP(F50,Table17[[Native]:[Population4]],5,FALSE)</f>
        <v>临沂市</v>
      </c>
    </row>
    <row r="51" spans="1:7" ht="15.75" thickBot="1" x14ac:dyDescent="0.3">
      <c r="A51" t="s">
        <v>286</v>
      </c>
      <c r="B51" s="1" t="s">
        <v>287</v>
      </c>
      <c r="C51" s="1" t="s">
        <v>13</v>
      </c>
      <c r="D51" s="1" t="s">
        <v>1837</v>
      </c>
      <c r="E51" s="3">
        <v>44463</v>
      </c>
      <c r="F51" s="1" t="str">
        <f>VLOOKUP(D51,Table17[[Name]:[Native]],3,FALSE)</f>
        <v>郯城县</v>
      </c>
      <c r="G51" s="14" t="str">
        <f ca="1">VLOOKUP(F51,Table17[[Native]:[Population4]],5,FALSE)</f>
        <v>临沂市</v>
      </c>
    </row>
    <row r="52" spans="1:7" ht="15.75" thickBot="1" x14ac:dyDescent="0.3">
      <c r="A52" t="s">
        <v>1899</v>
      </c>
      <c r="B52" s="1" t="s">
        <v>1900</v>
      </c>
      <c r="C52" s="1" t="s">
        <v>13</v>
      </c>
      <c r="D52" s="1" t="s">
        <v>1794</v>
      </c>
      <c r="E52" s="3">
        <v>42485</v>
      </c>
      <c r="F52" s="1" t="str">
        <f>VLOOKUP(D52,Table17[[Name]:[Native]],3,FALSE)</f>
        <v>沂南县</v>
      </c>
      <c r="G52" s="14" t="str">
        <f ca="1">VLOOKUP(F52,Table17[[Native]:[Population4]],5,FALSE)</f>
        <v>临沂市</v>
      </c>
    </row>
    <row r="53" spans="1:7" ht="15.75" thickBot="1" x14ac:dyDescent="0.3">
      <c r="A53" t="s">
        <v>1901</v>
      </c>
      <c r="B53" s="1" t="s">
        <v>1902</v>
      </c>
      <c r="C53" s="1" t="s">
        <v>13</v>
      </c>
      <c r="D53" s="1" t="s">
        <v>1853</v>
      </c>
      <c r="E53" s="3">
        <v>40219</v>
      </c>
      <c r="F53" s="1" t="str">
        <f>VLOOKUP(D53,Table17[[Name]:[Native]],3,FALSE)</f>
        <v>费县</v>
      </c>
      <c r="G53" s="14" t="str">
        <f ca="1">VLOOKUP(F53,Table17[[Native]:[Population4]],5,FALSE)</f>
        <v>临沂市</v>
      </c>
    </row>
    <row r="54" spans="1:7" ht="15.75" thickBot="1" x14ac:dyDescent="0.3">
      <c r="A54" t="s">
        <v>1903</v>
      </c>
      <c r="B54" s="1" t="s">
        <v>1904</v>
      </c>
      <c r="C54" s="1" t="s">
        <v>13</v>
      </c>
      <c r="D54" s="1" t="s">
        <v>1803</v>
      </c>
      <c r="E54" s="3">
        <v>36712</v>
      </c>
      <c r="F54" s="1" t="str">
        <f>VLOOKUP(D54,Table17[[Name]:[Native]],3,FALSE)</f>
        <v>临沭县</v>
      </c>
      <c r="G54" s="14" t="str">
        <f ca="1">VLOOKUP(F54,Table17[[Native]:[Population4]],5,FALSE)</f>
        <v>临沂市</v>
      </c>
    </row>
    <row r="55" spans="1:7" ht="15.75" thickBot="1" x14ac:dyDescent="0.3">
      <c r="A55" t="s">
        <v>1905</v>
      </c>
      <c r="B55" s="1" t="s">
        <v>1906</v>
      </c>
      <c r="C55" s="1" t="s">
        <v>7</v>
      </c>
      <c r="D55" s="1" t="s">
        <v>1794</v>
      </c>
      <c r="E55" s="3">
        <v>174796</v>
      </c>
      <c r="F55" s="1" t="str">
        <f>VLOOKUP(D55,Table17[[Name]:[Native]],3,FALSE)</f>
        <v>沂南县</v>
      </c>
      <c r="G55" s="14" t="str">
        <f ca="1">VLOOKUP(F55,Table17[[Native]:[Population4]],5,FALSE)</f>
        <v>临沂市</v>
      </c>
    </row>
    <row r="56" spans="1:7" ht="15.75" thickBot="1" x14ac:dyDescent="0.3">
      <c r="A56" t="s">
        <v>1907</v>
      </c>
      <c r="B56" s="1" t="s">
        <v>1908</v>
      </c>
      <c r="C56" s="1" t="s">
        <v>7</v>
      </c>
      <c r="D56" s="1" t="s">
        <v>1806</v>
      </c>
      <c r="E56" s="3">
        <v>175890</v>
      </c>
      <c r="F56" s="1" t="str">
        <f>VLOOKUP(D56,Table17[[Name]:[Native]],3,FALSE)</f>
        <v>兰山区</v>
      </c>
      <c r="G56" s="14" t="str">
        <f ca="1">VLOOKUP(F56,Table17[[Native]:[Population4]],5,FALSE)</f>
        <v>临沂市</v>
      </c>
    </row>
    <row r="57" spans="1:7" ht="15.75" thickBot="1" x14ac:dyDescent="0.3">
      <c r="A57" t="s">
        <v>1909</v>
      </c>
      <c r="B57" s="1" t="s">
        <v>1910</v>
      </c>
      <c r="C57" s="1" t="s">
        <v>7</v>
      </c>
      <c r="D57" s="1" t="s">
        <v>1797</v>
      </c>
      <c r="E57" s="3">
        <v>102037</v>
      </c>
      <c r="F57" s="1" t="str">
        <f>VLOOKUP(D57,Table17[[Name]:[Native]],3,FALSE)</f>
        <v>河东区</v>
      </c>
      <c r="G57" s="14" t="str">
        <f ca="1">VLOOKUP(F57,Table17[[Native]:[Population4]],5,FALSE)</f>
        <v>临沂市</v>
      </c>
    </row>
    <row r="58" spans="1:7" ht="15.75" thickBot="1" x14ac:dyDescent="0.3">
      <c r="A58" t="s">
        <v>1911</v>
      </c>
      <c r="B58" s="1" t="s">
        <v>1912</v>
      </c>
      <c r="C58" s="1" t="s">
        <v>61</v>
      </c>
      <c r="D58" s="1" t="s">
        <v>1832</v>
      </c>
      <c r="E58" s="3">
        <v>32612</v>
      </c>
      <c r="F58" s="1" t="str">
        <f>VLOOKUP(D58,Table17[[Name]:[Native]],3,FALSE)</f>
        <v>蒙阴县</v>
      </c>
      <c r="G58" s="14" t="str">
        <f ca="1">VLOOKUP(F58,Table17[[Native]:[Population4]],5,FALSE)</f>
        <v>临沂市</v>
      </c>
    </row>
    <row r="59" spans="1:7" ht="15.75" thickBot="1" x14ac:dyDescent="0.3">
      <c r="A59" t="s">
        <v>1913</v>
      </c>
      <c r="B59" s="1" t="s">
        <v>1914</v>
      </c>
      <c r="C59" s="1" t="s">
        <v>13</v>
      </c>
      <c r="D59" s="1" t="s">
        <v>1820</v>
      </c>
      <c r="E59" s="3">
        <v>33200</v>
      </c>
      <c r="F59" s="1" t="str">
        <f>VLOOKUP(D59,Table17[[Name]:[Native]],3,FALSE)</f>
        <v>兰陵县</v>
      </c>
      <c r="G59" s="14" t="str">
        <f ca="1">VLOOKUP(F59,Table17[[Native]:[Population4]],5,FALSE)</f>
        <v>临沂市</v>
      </c>
    </row>
    <row r="60" spans="1:7" ht="15.75" thickBot="1" x14ac:dyDescent="0.3">
      <c r="A60" t="s">
        <v>1915</v>
      </c>
      <c r="B60" s="1" t="s">
        <v>1916</v>
      </c>
      <c r="C60" s="1" t="s">
        <v>13</v>
      </c>
      <c r="D60" s="1" t="s">
        <v>1820</v>
      </c>
      <c r="E60" s="3">
        <v>97103</v>
      </c>
      <c r="F60" s="1" t="str">
        <f>VLOOKUP(D60,Table17[[Name]:[Native]],3,FALSE)</f>
        <v>兰陵县</v>
      </c>
      <c r="G60" s="14" t="str">
        <f ca="1">VLOOKUP(F60,Table17[[Native]:[Population4]],5,FALSE)</f>
        <v>临沂市</v>
      </c>
    </row>
    <row r="61" spans="1:7" ht="15.75" thickBot="1" x14ac:dyDescent="0.3">
      <c r="A61" t="s">
        <v>1917</v>
      </c>
      <c r="B61" s="1" t="s">
        <v>1918</v>
      </c>
      <c r="C61" s="1" t="s">
        <v>7</v>
      </c>
      <c r="D61" s="1" t="s">
        <v>1806</v>
      </c>
      <c r="E61" s="3">
        <v>278176</v>
      </c>
      <c r="F61" s="1" t="str">
        <f>VLOOKUP(D61,Table17[[Name]:[Native]],3,FALSE)</f>
        <v>兰山区</v>
      </c>
      <c r="G61" s="14" t="str">
        <f ca="1">VLOOKUP(F61,Table17[[Native]:[Population4]],5,FALSE)</f>
        <v>临沂市</v>
      </c>
    </row>
    <row r="62" spans="1:7" ht="15.75" thickBot="1" x14ac:dyDescent="0.3">
      <c r="A62" t="s">
        <v>1919</v>
      </c>
      <c r="B62" s="1" t="s">
        <v>1920</v>
      </c>
      <c r="C62" s="1" t="s">
        <v>13</v>
      </c>
      <c r="D62" s="1" t="s">
        <v>1813</v>
      </c>
      <c r="E62" s="3">
        <v>48504</v>
      </c>
      <c r="F62" s="1" t="str">
        <f>VLOOKUP(D62,Table17[[Name]:[Native]],3,FALSE)</f>
        <v>莒南县</v>
      </c>
      <c r="G62" s="14" t="str">
        <f ca="1">VLOOKUP(F62,Table17[[Native]:[Population4]],5,FALSE)</f>
        <v>临沂市</v>
      </c>
    </row>
    <row r="63" spans="1:7" ht="15.75" thickBot="1" x14ac:dyDescent="0.3">
      <c r="A63" t="s">
        <v>1921</v>
      </c>
      <c r="B63" s="1" t="s">
        <v>1922</v>
      </c>
      <c r="C63" s="1" t="s">
        <v>13</v>
      </c>
      <c r="D63" s="1" t="s">
        <v>1832</v>
      </c>
      <c r="E63" s="3">
        <v>42524</v>
      </c>
      <c r="F63" s="1" t="str">
        <f>VLOOKUP(D63,Table17[[Name]:[Native]],3,FALSE)</f>
        <v>蒙阴县</v>
      </c>
      <c r="G63" s="14" t="str">
        <f ca="1">VLOOKUP(F63,Table17[[Native]:[Population4]],5,FALSE)</f>
        <v>临沂市</v>
      </c>
    </row>
    <row r="64" spans="1:7" ht="15.75" thickBot="1" x14ac:dyDescent="0.3">
      <c r="A64" t="s">
        <v>1923</v>
      </c>
      <c r="B64" s="1" t="s">
        <v>1924</v>
      </c>
      <c r="C64" s="1" t="s">
        <v>13</v>
      </c>
      <c r="D64" s="1" t="s">
        <v>1853</v>
      </c>
      <c r="E64" s="3">
        <v>79786</v>
      </c>
      <c r="F64" s="1" t="str">
        <f>VLOOKUP(D64,Table17[[Name]:[Native]],3,FALSE)</f>
        <v>费县</v>
      </c>
      <c r="G64" s="14" t="str">
        <f ca="1">VLOOKUP(F64,Table17[[Native]:[Population4]],5,FALSE)</f>
        <v>临沂市</v>
      </c>
    </row>
    <row r="65" spans="1:7" ht="15.75" thickBot="1" x14ac:dyDescent="0.3">
      <c r="A65" t="s">
        <v>1925</v>
      </c>
      <c r="B65" s="1" t="s">
        <v>1926</v>
      </c>
      <c r="C65" s="1" t="s">
        <v>13</v>
      </c>
      <c r="D65" s="1" t="s">
        <v>1806</v>
      </c>
      <c r="E65" s="3">
        <v>42035</v>
      </c>
      <c r="F65" s="1" t="str">
        <f>VLOOKUP(D65,Table17[[Name]:[Native]],3,FALSE)</f>
        <v>兰山区</v>
      </c>
      <c r="G65" s="14" t="str">
        <f ca="1">VLOOKUP(F65,Table17[[Native]:[Population4]],5,FALSE)</f>
        <v>临沂市</v>
      </c>
    </row>
    <row r="66" spans="1:7" ht="15.75" thickBot="1" x14ac:dyDescent="0.3">
      <c r="A66" t="s">
        <v>1927</v>
      </c>
      <c r="B66" s="1" t="s">
        <v>1928</v>
      </c>
      <c r="C66" s="1" t="s">
        <v>13</v>
      </c>
      <c r="D66" s="1" t="s">
        <v>1813</v>
      </c>
      <c r="E66" s="3">
        <v>36277</v>
      </c>
      <c r="F66" s="1" t="str">
        <f>VLOOKUP(D66,Table17[[Name]:[Native]],3,FALSE)</f>
        <v>莒南县</v>
      </c>
      <c r="G66" s="14" t="str">
        <f ca="1">VLOOKUP(F66,Table17[[Native]:[Population4]],5,FALSE)</f>
        <v>临沂市</v>
      </c>
    </row>
    <row r="67" spans="1:7" ht="15.75" thickBot="1" x14ac:dyDescent="0.3">
      <c r="A67" t="s">
        <v>1929</v>
      </c>
      <c r="B67" s="1" t="s">
        <v>1930</v>
      </c>
      <c r="C67" s="1" t="s">
        <v>13</v>
      </c>
      <c r="D67" s="1" t="s">
        <v>1800</v>
      </c>
      <c r="E67" s="3">
        <v>37543</v>
      </c>
      <c r="F67" s="1" t="str">
        <f>VLOOKUP(D67,Table17[[Name]:[Native]],3,FALSE)</f>
        <v>平邑县</v>
      </c>
      <c r="G67" s="14" t="str">
        <f ca="1">VLOOKUP(F67,Table17[[Native]:[Population4]],5,FALSE)</f>
        <v>临沂市</v>
      </c>
    </row>
    <row r="68" spans="1:7" ht="15.75" thickBot="1" x14ac:dyDescent="0.3">
      <c r="A68" t="s">
        <v>1931</v>
      </c>
      <c r="B68" s="1" t="s">
        <v>1932</v>
      </c>
      <c r="C68" s="1" t="s">
        <v>7</v>
      </c>
      <c r="D68" s="1" t="s">
        <v>1803</v>
      </c>
      <c r="E68" s="3">
        <v>152027</v>
      </c>
      <c r="F68" s="1" t="str">
        <f>VLOOKUP(D68,Table17[[Name]:[Native]],3,FALSE)</f>
        <v>临沭县</v>
      </c>
      <c r="G68" s="14" t="str">
        <f ca="1">VLOOKUP(F68,Table17[[Native]:[Population4]],5,FALSE)</f>
        <v>临沂市</v>
      </c>
    </row>
    <row r="69" spans="1:7" ht="15.75" thickBot="1" x14ac:dyDescent="0.3">
      <c r="A69" t="s">
        <v>1933</v>
      </c>
      <c r="B69" s="1" t="s">
        <v>1934</v>
      </c>
      <c r="C69" s="1" t="s">
        <v>7</v>
      </c>
      <c r="D69" s="1" t="s">
        <v>1806</v>
      </c>
      <c r="E69" s="3">
        <v>98687</v>
      </c>
      <c r="F69" s="1" t="str">
        <f>VLOOKUP(D69,Table17[[Name]:[Native]],3,FALSE)</f>
        <v>兰山区</v>
      </c>
      <c r="G69" s="14" t="str">
        <f ca="1">VLOOKUP(F69,Table17[[Native]:[Population4]],5,FALSE)</f>
        <v>临沂市</v>
      </c>
    </row>
    <row r="70" spans="1:7" ht="15.75" thickBot="1" x14ac:dyDescent="0.3">
      <c r="A70" t="s">
        <v>1935</v>
      </c>
      <c r="B70" s="1" t="s">
        <v>1936</v>
      </c>
      <c r="C70" s="1" t="s">
        <v>13</v>
      </c>
      <c r="D70" s="1" t="s">
        <v>1800</v>
      </c>
      <c r="E70" s="3">
        <v>46133</v>
      </c>
      <c r="F70" s="1" t="str">
        <f>VLOOKUP(D70,Table17[[Name]:[Native]],3,FALSE)</f>
        <v>平邑县</v>
      </c>
      <c r="G70" s="14" t="str">
        <f ca="1">VLOOKUP(F70,Table17[[Native]:[Population4]],5,FALSE)</f>
        <v>临沂市</v>
      </c>
    </row>
    <row r="71" spans="1:7" ht="15.75" thickBot="1" x14ac:dyDescent="0.3">
      <c r="A71" t="s">
        <v>1937</v>
      </c>
      <c r="B71" s="1" t="s">
        <v>108</v>
      </c>
      <c r="C71" s="1" t="s">
        <v>13</v>
      </c>
      <c r="D71" s="1" t="s">
        <v>1837</v>
      </c>
      <c r="E71" s="3">
        <v>95118</v>
      </c>
      <c r="F71" s="1" t="str">
        <f>VLOOKUP(D71,Table17[[Name]:[Native]],3,FALSE)</f>
        <v>郯城县</v>
      </c>
      <c r="G71" s="14" t="str">
        <f ca="1">VLOOKUP(F71,Table17[[Native]:[Population4]],5,FALSE)</f>
        <v>临沂市</v>
      </c>
    </row>
    <row r="72" spans="1:7" ht="15.75" thickBot="1" x14ac:dyDescent="0.3">
      <c r="A72" t="s">
        <v>1938</v>
      </c>
      <c r="B72" s="1" t="s">
        <v>1939</v>
      </c>
      <c r="C72" s="1" t="s">
        <v>7</v>
      </c>
      <c r="D72" s="1" t="s">
        <v>1842</v>
      </c>
      <c r="E72" s="3">
        <v>59744</v>
      </c>
      <c r="F72" s="1" t="str">
        <f>VLOOKUP(D72,Table17[[Name]:[Native]],3,FALSE)</f>
        <v>沂水县</v>
      </c>
      <c r="G72" s="14" t="str">
        <f ca="1">VLOOKUP(F72,Table17[[Native]:[Population4]],5,FALSE)</f>
        <v>临沂市</v>
      </c>
    </row>
    <row r="73" spans="1:7" ht="15.75" thickBot="1" x14ac:dyDescent="0.3">
      <c r="A73" t="s">
        <v>1940</v>
      </c>
      <c r="B73" s="1" t="s">
        <v>1941</v>
      </c>
      <c r="C73" s="1" t="s">
        <v>13</v>
      </c>
      <c r="D73" s="1" t="s">
        <v>1820</v>
      </c>
      <c r="E73" s="3">
        <v>36443</v>
      </c>
      <c r="F73" s="1" t="str">
        <f>VLOOKUP(D73,Table17[[Name]:[Native]],3,FALSE)</f>
        <v>兰陵县</v>
      </c>
      <c r="G73" s="14" t="str">
        <f ca="1">VLOOKUP(F73,Table17[[Native]:[Population4]],5,FALSE)</f>
        <v>临沂市</v>
      </c>
    </row>
    <row r="74" spans="1:7" ht="15.75" thickBot="1" x14ac:dyDescent="0.3">
      <c r="A74" t="s">
        <v>1942</v>
      </c>
      <c r="B74" s="1" t="s">
        <v>1943</v>
      </c>
      <c r="C74" s="1" t="s">
        <v>7</v>
      </c>
      <c r="D74" s="1" t="s">
        <v>1827</v>
      </c>
      <c r="E74" s="3">
        <v>48787</v>
      </c>
      <c r="F74" s="1" t="str">
        <f>VLOOKUP(D74,Table17[[Name]:[Native]],3,FALSE)</f>
        <v>罗庄区</v>
      </c>
      <c r="G74" s="14" t="str">
        <f ca="1">VLOOKUP(F74,Table17[[Native]:[Population4]],5,FALSE)</f>
        <v>临沂市</v>
      </c>
    </row>
    <row r="75" spans="1:7" ht="15.75" thickBot="1" x14ac:dyDescent="0.3">
      <c r="A75" t="s">
        <v>1944</v>
      </c>
      <c r="B75" s="1" t="s">
        <v>1945</v>
      </c>
      <c r="C75" s="1" t="s">
        <v>7</v>
      </c>
      <c r="D75" s="1" t="s">
        <v>1827</v>
      </c>
      <c r="E75" s="3">
        <v>94633</v>
      </c>
      <c r="F75" s="1" t="str">
        <f>VLOOKUP(D75,Table17[[Name]:[Native]],3,FALSE)</f>
        <v>罗庄区</v>
      </c>
      <c r="G75" s="14" t="str">
        <f ca="1">VLOOKUP(F75,Table17[[Native]:[Population4]],5,FALSE)</f>
        <v>临沂市</v>
      </c>
    </row>
    <row r="76" spans="1:7" ht="15.75" thickBot="1" x14ac:dyDescent="0.3">
      <c r="A76" t="s">
        <v>1946</v>
      </c>
      <c r="B76" s="1" t="s">
        <v>1947</v>
      </c>
      <c r="C76" s="1" t="s">
        <v>13</v>
      </c>
      <c r="D76" s="1" t="s">
        <v>1820</v>
      </c>
      <c r="E76" s="3">
        <v>33192</v>
      </c>
      <c r="F76" s="1" t="str">
        <f>VLOOKUP(D76,Table17[[Name]:[Native]],3,FALSE)</f>
        <v>兰陵县</v>
      </c>
      <c r="G76" s="14" t="str">
        <f ca="1">VLOOKUP(F76,Table17[[Native]:[Population4]],5,FALSE)</f>
        <v>临沂市</v>
      </c>
    </row>
    <row r="77" spans="1:7" ht="15.75" thickBot="1" x14ac:dyDescent="0.3">
      <c r="A77" t="s">
        <v>1948</v>
      </c>
      <c r="B77" s="1" t="s">
        <v>1949</v>
      </c>
      <c r="C77" s="1" t="s">
        <v>13</v>
      </c>
      <c r="D77" s="1" t="s">
        <v>1806</v>
      </c>
      <c r="E77" s="3">
        <v>56507</v>
      </c>
      <c r="F77" s="1" t="str">
        <f>VLOOKUP(D77,Table17[[Name]:[Native]],3,FALSE)</f>
        <v>兰山区</v>
      </c>
      <c r="G77" s="14" t="str">
        <f ca="1">VLOOKUP(F77,Table17[[Native]:[Population4]],5,FALSE)</f>
        <v>临沂市</v>
      </c>
    </row>
    <row r="78" spans="1:7" ht="15.75" thickBot="1" x14ac:dyDescent="0.3">
      <c r="A78" t="s">
        <v>1950</v>
      </c>
      <c r="B78" s="1" t="s">
        <v>1951</v>
      </c>
      <c r="C78" s="1" t="s">
        <v>61</v>
      </c>
      <c r="D78" s="1" t="s">
        <v>1794</v>
      </c>
      <c r="E78" s="3">
        <v>23989</v>
      </c>
      <c r="F78" s="1" t="str">
        <f>VLOOKUP(D78,Table17[[Name]:[Native]],3,FALSE)</f>
        <v>沂南县</v>
      </c>
      <c r="G78" s="14" t="str">
        <f ca="1">VLOOKUP(F78,Table17[[Native]:[Population4]],5,FALSE)</f>
        <v>临沂市</v>
      </c>
    </row>
    <row r="79" spans="1:7" ht="15.75" thickBot="1" x14ac:dyDescent="0.3">
      <c r="A79" t="s">
        <v>115</v>
      </c>
      <c r="B79" s="1" t="s">
        <v>760</v>
      </c>
      <c r="C79" s="1" t="s">
        <v>13</v>
      </c>
      <c r="D79" s="1" t="s">
        <v>1837</v>
      </c>
      <c r="E79" s="3">
        <v>74766</v>
      </c>
      <c r="F79" s="1" t="str">
        <f>VLOOKUP(D79,Table17[[Name]:[Native]],3,FALSE)</f>
        <v>郯城县</v>
      </c>
      <c r="G79" s="14" t="str">
        <f ca="1">VLOOKUP(F79,Table17[[Native]:[Population4]],5,FALSE)</f>
        <v>临沂市</v>
      </c>
    </row>
    <row r="80" spans="1:7" ht="15.75" thickBot="1" x14ac:dyDescent="0.3">
      <c r="A80" t="s">
        <v>1952</v>
      </c>
      <c r="B80" s="1" t="s">
        <v>1953</v>
      </c>
      <c r="C80" s="1" t="s">
        <v>13</v>
      </c>
      <c r="D80" s="1" t="s">
        <v>1842</v>
      </c>
      <c r="E80" s="3">
        <v>60050</v>
      </c>
      <c r="F80" s="1" t="str">
        <f>VLOOKUP(D80,Table17[[Name]:[Native]],3,FALSE)</f>
        <v>沂水县</v>
      </c>
      <c r="G80" s="14" t="str">
        <f ca="1">VLOOKUP(F80,Table17[[Native]:[Population4]],5,FALSE)</f>
        <v>临沂市</v>
      </c>
    </row>
    <row r="81" spans="1:7" ht="15.75" thickBot="1" x14ac:dyDescent="0.3">
      <c r="A81" t="s">
        <v>1954</v>
      </c>
      <c r="B81" s="1" t="s">
        <v>1955</v>
      </c>
      <c r="C81" s="1" t="s">
        <v>13</v>
      </c>
      <c r="D81" s="1" t="s">
        <v>1853</v>
      </c>
      <c r="E81" s="3">
        <v>51721</v>
      </c>
      <c r="F81" s="1" t="str">
        <f>VLOOKUP(D81,Table17[[Name]:[Native]],3,FALSE)</f>
        <v>费县</v>
      </c>
      <c r="G81" s="14" t="str">
        <f ca="1">VLOOKUP(F81,Table17[[Native]:[Population4]],5,FALSE)</f>
        <v>临沂市</v>
      </c>
    </row>
    <row r="82" spans="1:7" ht="15.75" thickBot="1" x14ac:dyDescent="0.3">
      <c r="A82" t="s">
        <v>1956</v>
      </c>
      <c r="B82" s="1" t="s">
        <v>1957</v>
      </c>
      <c r="C82" s="1" t="s">
        <v>7</v>
      </c>
      <c r="D82" s="1" t="s">
        <v>1797</v>
      </c>
      <c r="E82" s="3">
        <v>42408</v>
      </c>
      <c r="F82" s="1" t="str">
        <f>VLOOKUP(D82,Table17[[Name]:[Native]],3,FALSE)</f>
        <v>河东区</v>
      </c>
      <c r="G82" s="14" t="str">
        <f ca="1">VLOOKUP(F82,Table17[[Native]:[Population4]],5,FALSE)</f>
        <v>临沂市</v>
      </c>
    </row>
    <row r="83" spans="1:7" ht="15.75" thickBot="1" x14ac:dyDescent="0.3">
      <c r="A83" t="s">
        <v>1958</v>
      </c>
      <c r="B83" s="1" t="s">
        <v>1959</v>
      </c>
      <c r="C83" s="1" t="s">
        <v>7</v>
      </c>
      <c r="D83" s="1" t="s">
        <v>1832</v>
      </c>
      <c r="E83" s="3">
        <v>161100</v>
      </c>
      <c r="F83" s="1" t="str">
        <f>VLOOKUP(D83,Table17[[Name]:[Native]],3,FALSE)</f>
        <v>蒙阴县</v>
      </c>
      <c r="G83" s="14" t="str">
        <f ca="1">VLOOKUP(F83,Table17[[Native]:[Population4]],5,FALSE)</f>
        <v>临沂市</v>
      </c>
    </row>
    <row r="84" spans="1:7" ht="15.75" thickBot="1" x14ac:dyDescent="0.3">
      <c r="A84" t="s">
        <v>1960</v>
      </c>
      <c r="B84" s="1" t="s">
        <v>1961</v>
      </c>
      <c r="C84" s="1" t="s">
        <v>13</v>
      </c>
      <c r="D84" s="1" t="s">
        <v>1837</v>
      </c>
      <c r="E84" s="3">
        <v>45356</v>
      </c>
      <c r="F84" s="1" t="str">
        <f>VLOOKUP(D84,Table17[[Name]:[Native]],3,FALSE)</f>
        <v>郯城县</v>
      </c>
      <c r="G84" s="14" t="str">
        <f ca="1">VLOOKUP(F84,Table17[[Native]:[Population4]],5,FALSE)</f>
        <v>临沂市</v>
      </c>
    </row>
    <row r="85" spans="1:7" ht="15.75" thickBot="1" x14ac:dyDescent="0.3">
      <c r="A85" t="s">
        <v>1962</v>
      </c>
      <c r="B85" s="1" t="s">
        <v>1963</v>
      </c>
      <c r="C85" s="1" t="s">
        <v>13</v>
      </c>
      <c r="D85" s="1" t="s">
        <v>1820</v>
      </c>
      <c r="E85" s="3">
        <v>65691</v>
      </c>
      <c r="F85" s="1" t="str">
        <f>VLOOKUP(D85,Table17[[Name]:[Native]],3,FALSE)</f>
        <v>兰陵县</v>
      </c>
      <c r="G85" s="14" t="str">
        <f ca="1">VLOOKUP(F85,Table17[[Native]:[Population4]],5,FALSE)</f>
        <v>临沂市</v>
      </c>
    </row>
    <row r="86" spans="1:7" ht="15.75" thickBot="1" x14ac:dyDescent="0.3">
      <c r="A86" t="s">
        <v>1964</v>
      </c>
      <c r="B86" s="1" t="s">
        <v>1965</v>
      </c>
      <c r="C86" s="1" t="s">
        <v>13</v>
      </c>
      <c r="D86" s="1" t="s">
        <v>1820</v>
      </c>
      <c r="E86" s="3">
        <v>57732</v>
      </c>
      <c r="F86" s="1" t="str">
        <f>VLOOKUP(D86,Table17[[Name]:[Native]],3,FALSE)</f>
        <v>兰陵县</v>
      </c>
      <c r="G86" s="14" t="str">
        <f ca="1">VLOOKUP(F86,Table17[[Native]:[Population4]],5,FALSE)</f>
        <v>临沂市</v>
      </c>
    </row>
    <row r="87" spans="1:7" ht="15.75" thickBot="1" x14ac:dyDescent="0.3">
      <c r="A87" t="s">
        <v>1966</v>
      </c>
      <c r="B87" s="1" t="s">
        <v>1967</v>
      </c>
      <c r="C87" s="1" t="s">
        <v>13</v>
      </c>
      <c r="D87" s="1" t="s">
        <v>1813</v>
      </c>
      <c r="E87" s="3">
        <v>55658</v>
      </c>
      <c r="F87" s="1" t="str">
        <f>VLOOKUP(D87,Table17[[Name]:[Native]],3,FALSE)</f>
        <v>莒南县</v>
      </c>
      <c r="G87" s="14" t="str">
        <f ca="1">VLOOKUP(F87,Table17[[Native]:[Population4]],5,FALSE)</f>
        <v>临沂市</v>
      </c>
    </row>
    <row r="88" spans="1:7" ht="15.75" thickBot="1" x14ac:dyDescent="0.3">
      <c r="A88" t="s">
        <v>1968</v>
      </c>
      <c r="B88" s="1" t="s">
        <v>1969</v>
      </c>
      <c r="C88" s="1" t="s">
        <v>7</v>
      </c>
      <c r="D88" s="1" t="s">
        <v>1800</v>
      </c>
      <c r="E88" s="3">
        <v>223267</v>
      </c>
      <c r="F88" s="1" t="str">
        <f>VLOOKUP(D88,Table17[[Name]:[Native]],3,FALSE)</f>
        <v>平邑县</v>
      </c>
      <c r="G88" s="14" t="str">
        <f ca="1">VLOOKUP(F88,Table17[[Native]:[Population4]],5,FALSE)</f>
        <v>临沂市</v>
      </c>
    </row>
    <row r="89" spans="1:7" ht="15.75" thickBot="1" x14ac:dyDescent="0.3">
      <c r="A89" t="s">
        <v>1970</v>
      </c>
      <c r="B89" s="1" t="s">
        <v>1971</v>
      </c>
      <c r="C89" s="1" t="s">
        <v>13</v>
      </c>
      <c r="D89" s="1" t="s">
        <v>1794</v>
      </c>
      <c r="E89" s="3">
        <v>46171</v>
      </c>
      <c r="F89" s="1" t="str">
        <f>VLOOKUP(D89,Table17[[Name]:[Native]],3,FALSE)</f>
        <v>沂南县</v>
      </c>
      <c r="G89" s="14" t="str">
        <f ca="1">VLOOKUP(F89,Table17[[Native]:[Population4]],5,FALSE)</f>
        <v>临沂市</v>
      </c>
    </row>
    <row r="90" spans="1:7" ht="15.75" thickBot="1" x14ac:dyDescent="0.3">
      <c r="A90" t="s">
        <v>1972</v>
      </c>
      <c r="B90" s="1" t="s">
        <v>1973</v>
      </c>
      <c r="C90" s="1" t="s">
        <v>13</v>
      </c>
      <c r="D90" s="1" t="s">
        <v>1794</v>
      </c>
      <c r="E90" s="3">
        <v>55168</v>
      </c>
      <c r="F90" s="1" t="str">
        <f>VLOOKUP(D90,Table17[[Name]:[Native]],3,FALSE)</f>
        <v>沂南县</v>
      </c>
      <c r="G90" s="14" t="str">
        <f ca="1">VLOOKUP(F90,Table17[[Native]:[Population4]],5,FALSE)</f>
        <v>临沂市</v>
      </c>
    </row>
    <row r="91" spans="1:7" ht="15.75" thickBot="1" x14ac:dyDescent="0.3">
      <c r="A91" t="s">
        <v>1974</v>
      </c>
      <c r="B91" s="1" t="s">
        <v>1975</v>
      </c>
      <c r="C91" s="1" t="s">
        <v>13</v>
      </c>
      <c r="D91" s="1" t="s">
        <v>1803</v>
      </c>
      <c r="E91" s="3">
        <v>44881</v>
      </c>
      <c r="F91" s="1" t="str">
        <f>VLOOKUP(D91,Table17[[Name]:[Native]],3,FALSE)</f>
        <v>临沭县</v>
      </c>
      <c r="G91" s="14" t="str">
        <f ca="1">VLOOKUP(F91,Table17[[Native]:[Population4]],5,FALSE)</f>
        <v>临沂市</v>
      </c>
    </row>
    <row r="92" spans="1:7" ht="15.75" thickBot="1" x14ac:dyDescent="0.3">
      <c r="A92" t="s">
        <v>1976</v>
      </c>
      <c r="B92" s="1" t="s">
        <v>1977</v>
      </c>
      <c r="C92" s="1" t="s">
        <v>61</v>
      </c>
      <c r="D92" s="1" t="s">
        <v>1842</v>
      </c>
      <c r="E92" s="3">
        <v>29141</v>
      </c>
      <c r="F92" s="1" t="str">
        <f>VLOOKUP(D92,Table17[[Name]:[Native]],3,FALSE)</f>
        <v>沂水县</v>
      </c>
      <c r="G92" s="14" t="str">
        <f ca="1">VLOOKUP(F92,Table17[[Native]:[Population4]],5,FALSE)</f>
        <v>临沂市</v>
      </c>
    </row>
    <row r="93" spans="1:7" ht="15.75" thickBot="1" x14ac:dyDescent="0.3">
      <c r="A93" t="s">
        <v>1978</v>
      </c>
      <c r="B93" s="1" t="s">
        <v>1979</v>
      </c>
      <c r="C93" s="1" t="s">
        <v>13</v>
      </c>
      <c r="D93" s="1" t="s">
        <v>1837</v>
      </c>
      <c r="E93" s="3">
        <v>45963</v>
      </c>
      <c r="F93" s="1" t="str">
        <f>VLOOKUP(D93,Table17[[Name]:[Native]],3,FALSE)</f>
        <v>郯城县</v>
      </c>
      <c r="G93" s="14" t="str">
        <f ca="1">VLOOKUP(F93,Table17[[Native]:[Population4]],5,FALSE)</f>
        <v>临沂市</v>
      </c>
    </row>
    <row r="94" spans="1:7" ht="15.75" thickBot="1" x14ac:dyDescent="0.3">
      <c r="A94" t="s">
        <v>1980</v>
      </c>
      <c r="B94" s="1" t="s">
        <v>1981</v>
      </c>
      <c r="C94" s="1" t="s">
        <v>13</v>
      </c>
      <c r="D94" s="1" t="s">
        <v>1842</v>
      </c>
      <c r="E94" s="3">
        <v>28233</v>
      </c>
      <c r="F94" s="1" t="str">
        <f>VLOOKUP(D94,Table17[[Name]:[Native]],3,FALSE)</f>
        <v>沂水县</v>
      </c>
      <c r="G94" s="14" t="str">
        <f ca="1">VLOOKUP(F94,Table17[[Native]:[Population4]],5,FALSE)</f>
        <v>临沂市</v>
      </c>
    </row>
    <row r="95" spans="1:7" ht="15.75" thickBot="1" x14ac:dyDescent="0.3">
      <c r="A95" t="s">
        <v>1982</v>
      </c>
      <c r="B95" s="1" t="s">
        <v>1983</v>
      </c>
      <c r="C95" s="1" t="s">
        <v>13</v>
      </c>
      <c r="D95" s="1" t="s">
        <v>1842</v>
      </c>
      <c r="E95" s="3">
        <v>52492</v>
      </c>
      <c r="F95" s="1" t="str">
        <f>VLOOKUP(D95,Table17[[Name]:[Native]],3,FALSE)</f>
        <v>沂水县</v>
      </c>
      <c r="G95" s="14" t="str">
        <f ca="1">VLOOKUP(F95,Table17[[Native]:[Population4]],5,FALSE)</f>
        <v>临沂市</v>
      </c>
    </row>
    <row r="96" spans="1:7" ht="15.75" thickBot="1" x14ac:dyDescent="0.3">
      <c r="A96" t="s">
        <v>1984</v>
      </c>
      <c r="B96" s="1" t="s">
        <v>1985</v>
      </c>
      <c r="C96" s="1" t="s">
        <v>13</v>
      </c>
      <c r="D96" s="1" t="s">
        <v>1820</v>
      </c>
      <c r="E96" s="3">
        <v>40008</v>
      </c>
      <c r="F96" s="1" t="str">
        <f>VLOOKUP(D96,Table17[[Name]:[Native]],3,FALSE)</f>
        <v>兰陵县</v>
      </c>
      <c r="G96" s="14" t="str">
        <f ca="1">VLOOKUP(F96,Table17[[Native]:[Population4]],5,FALSE)</f>
        <v>临沂市</v>
      </c>
    </row>
    <row r="97" spans="1:7" ht="15.75" thickBot="1" x14ac:dyDescent="0.3">
      <c r="A97" t="s">
        <v>1986</v>
      </c>
      <c r="B97" s="1" t="s">
        <v>1987</v>
      </c>
      <c r="C97" s="1" t="s">
        <v>13</v>
      </c>
      <c r="D97" s="1" t="s">
        <v>1853</v>
      </c>
      <c r="E97" s="3">
        <v>54487</v>
      </c>
      <c r="F97" s="1" t="str">
        <f>VLOOKUP(D97,Table17[[Name]:[Native]],3,FALSE)</f>
        <v>费县</v>
      </c>
      <c r="G97" s="14" t="str">
        <f ca="1">VLOOKUP(F97,Table17[[Native]:[Population4]],5,FALSE)</f>
        <v>临沂市</v>
      </c>
    </row>
    <row r="98" spans="1:7" ht="15.75" thickBot="1" x14ac:dyDescent="0.3">
      <c r="A98" t="s">
        <v>1988</v>
      </c>
      <c r="B98" s="1" t="s">
        <v>1989</v>
      </c>
      <c r="C98" s="1" t="s">
        <v>13</v>
      </c>
      <c r="D98" s="1" t="s">
        <v>1837</v>
      </c>
      <c r="E98" s="3">
        <v>41376</v>
      </c>
      <c r="F98" s="1" t="str">
        <f>VLOOKUP(D98,Table17[[Name]:[Native]],3,FALSE)</f>
        <v>郯城县</v>
      </c>
      <c r="G98" s="14" t="str">
        <f ca="1">VLOOKUP(F98,Table17[[Native]:[Population4]],5,FALSE)</f>
        <v>临沂市</v>
      </c>
    </row>
    <row r="99" spans="1:7" ht="15.75" thickBot="1" x14ac:dyDescent="0.3">
      <c r="A99" t="s">
        <v>1990</v>
      </c>
      <c r="B99" s="1" t="s">
        <v>1991</v>
      </c>
      <c r="C99" s="1" t="s">
        <v>7</v>
      </c>
      <c r="D99" s="1" t="s">
        <v>1827</v>
      </c>
      <c r="E99" s="3">
        <v>144708</v>
      </c>
      <c r="F99" s="1" t="str">
        <f>VLOOKUP(D99,Table17[[Name]:[Native]],3,FALSE)</f>
        <v>罗庄区</v>
      </c>
      <c r="G99" s="14" t="str">
        <f ca="1">VLOOKUP(F99,Table17[[Native]:[Population4]],5,FALSE)</f>
        <v>临沂市</v>
      </c>
    </row>
    <row r="100" spans="1:7" ht="15.75" thickBot="1" x14ac:dyDescent="0.3">
      <c r="A100" t="s">
        <v>1992</v>
      </c>
      <c r="B100" s="1" t="s">
        <v>1993</v>
      </c>
      <c r="C100" s="1" t="s">
        <v>13</v>
      </c>
      <c r="D100" s="1" t="s">
        <v>1820</v>
      </c>
      <c r="E100" s="3">
        <v>51874</v>
      </c>
      <c r="F100" s="1" t="str">
        <f>VLOOKUP(D100,Table17[[Name]:[Native]],3,FALSE)</f>
        <v>兰陵县</v>
      </c>
      <c r="G100" s="14" t="str">
        <f ca="1">VLOOKUP(F100,Table17[[Native]:[Population4]],5,FALSE)</f>
        <v>临沂市</v>
      </c>
    </row>
    <row r="101" spans="1:7" ht="15.75" thickBot="1" x14ac:dyDescent="0.3">
      <c r="A101" t="s">
        <v>1994</v>
      </c>
      <c r="B101" s="1" t="s">
        <v>1995</v>
      </c>
      <c r="C101" s="1" t="s">
        <v>13</v>
      </c>
      <c r="D101" s="1" t="s">
        <v>1853</v>
      </c>
      <c r="E101" s="3">
        <v>31683</v>
      </c>
      <c r="F101" s="1" t="str">
        <f>VLOOKUP(D101,Table17[[Name]:[Native]],3,FALSE)</f>
        <v>费县</v>
      </c>
      <c r="G101" s="14" t="str">
        <f ca="1">VLOOKUP(F101,Table17[[Native]:[Population4]],5,FALSE)</f>
        <v>临沂市</v>
      </c>
    </row>
    <row r="102" spans="1:7" ht="15.75" thickBot="1" x14ac:dyDescent="0.3">
      <c r="A102" t="s">
        <v>1996</v>
      </c>
      <c r="B102" s="1" t="s">
        <v>1997</v>
      </c>
      <c r="C102" s="1" t="s">
        <v>13</v>
      </c>
      <c r="D102" s="1" t="s">
        <v>1813</v>
      </c>
      <c r="E102" s="3">
        <v>60661</v>
      </c>
      <c r="F102" s="1" t="str">
        <f>VLOOKUP(D102,Table17[[Name]:[Native]],3,FALSE)</f>
        <v>莒南县</v>
      </c>
      <c r="G102" s="14" t="str">
        <f ca="1">VLOOKUP(F102,Table17[[Native]:[Population4]],5,FALSE)</f>
        <v>临沂市</v>
      </c>
    </row>
    <row r="103" spans="1:7" ht="15.75" thickBot="1" x14ac:dyDescent="0.3">
      <c r="A103" t="s">
        <v>1998</v>
      </c>
      <c r="B103" s="1" t="s">
        <v>1999</v>
      </c>
      <c r="C103" s="1" t="s">
        <v>13</v>
      </c>
      <c r="D103" s="1" t="s">
        <v>1803</v>
      </c>
      <c r="E103" s="3">
        <v>47827</v>
      </c>
      <c r="F103" s="1" t="str">
        <f>VLOOKUP(D103,Table17[[Name]:[Native]],3,FALSE)</f>
        <v>临沭县</v>
      </c>
      <c r="G103" s="14" t="str">
        <f ca="1">VLOOKUP(F103,Table17[[Native]:[Population4]],5,FALSE)</f>
        <v>临沂市</v>
      </c>
    </row>
    <row r="104" spans="1:7" ht="15.75" thickBot="1" x14ac:dyDescent="0.3">
      <c r="A104" t="s">
        <v>2000</v>
      </c>
      <c r="B104" s="1" t="s">
        <v>2001</v>
      </c>
      <c r="C104" s="1" t="s">
        <v>7</v>
      </c>
      <c r="D104" s="1" t="s">
        <v>1813</v>
      </c>
      <c r="E104" s="3">
        <v>185211</v>
      </c>
      <c r="F104" s="1" t="str">
        <f>VLOOKUP(D104,Table17[[Name]:[Native]],3,FALSE)</f>
        <v>莒南县</v>
      </c>
      <c r="G104" s="14" t="str">
        <f ca="1">VLOOKUP(F104,Table17[[Native]:[Population4]],5,FALSE)</f>
        <v>临沂市</v>
      </c>
    </row>
    <row r="105" spans="1:7" ht="15.75" thickBot="1" x14ac:dyDescent="0.3">
      <c r="A105" t="s">
        <v>2002</v>
      </c>
      <c r="B105" s="1" t="s">
        <v>2003</v>
      </c>
      <c r="C105" s="1" t="s">
        <v>13</v>
      </c>
      <c r="D105" s="1" t="s">
        <v>1794</v>
      </c>
      <c r="E105" s="3">
        <v>35800</v>
      </c>
      <c r="F105" s="1" t="str">
        <f>VLOOKUP(D105,Table17[[Name]:[Native]],3,FALSE)</f>
        <v>沂南县</v>
      </c>
      <c r="G105" s="14" t="str">
        <f ca="1">VLOOKUP(F105,Table17[[Native]:[Population4]],5,FALSE)</f>
        <v>临沂市</v>
      </c>
    </row>
    <row r="106" spans="1:7" ht="15.75" thickBot="1" x14ac:dyDescent="0.3">
      <c r="A106" t="s">
        <v>2004</v>
      </c>
      <c r="B106" s="1" t="s">
        <v>2005</v>
      </c>
      <c r="C106" s="1" t="s">
        <v>13</v>
      </c>
      <c r="D106" s="1" t="s">
        <v>1842</v>
      </c>
      <c r="E106" s="3">
        <v>55960</v>
      </c>
      <c r="F106" s="1" t="str">
        <f>VLOOKUP(D106,Table17[[Name]:[Native]],3,FALSE)</f>
        <v>沂水县</v>
      </c>
      <c r="G106" s="14" t="str">
        <f ca="1">VLOOKUP(F106,Table17[[Native]:[Population4]],5,FALSE)</f>
        <v>临沂市</v>
      </c>
    </row>
    <row r="107" spans="1:7" ht="15.75" thickBot="1" x14ac:dyDescent="0.3">
      <c r="A107" t="s">
        <v>2006</v>
      </c>
      <c r="B107" s="1" t="s">
        <v>2007</v>
      </c>
      <c r="C107" s="1" t="s">
        <v>13</v>
      </c>
      <c r="D107" s="1" t="s">
        <v>1794</v>
      </c>
      <c r="E107" s="3">
        <v>46366</v>
      </c>
      <c r="F107" s="1" t="str">
        <f>VLOOKUP(D107,Table17[[Name]:[Native]],3,FALSE)</f>
        <v>沂南县</v>
      </c>
      <c r="G107" s="14" t="str">
        <f ca="1">VLOOKUP(F107,Table17[[Native]:[Population4]],5,FALSE)</f>
        <v>临沂市</v>
      </c>
    </row>
    <row r="108" spans="1:7" ht="15.75" thickBot="1" x14ac:dyDescent="0.3">
      <c r="A108" t="s">
        <v>2008</v>
      </c>
      <c r="B108" s="1" t="s">
        <v>2009</v>
      </c>
      <c r="C108" s="1" t="s">
        <v>13</v>
      </c>
      <c r="D108" s="1" t="s">
        <v>1794</v>
      </c>
      <c r="E108" s="3">
        <v>33401</v>
      </c>
      <c r="F108" s="1" t="str">
        <f>VLOOKUP(D108,Table17[[Name]:[Native]],3,FALSE)</f>
        <v>沂南县</v>
      </c>
      <c r="G108" s="14" t="str">
        <f ca="1">VLOOKUP(F108,Table17[[Native]:[Population4]],5,FALSE)</f>
        <v>临沂市</v>
      </c>
    </row>
    <row r="109" spans="1:7" ht="15.75" thickBot="1" x14ac:dyDescent="0.3">
      <c r="A109" t="s">
        <v>1128</v>
      </c>
      <c r="B109" s="1" t="s">
        <v>1129</v>
      </c>
      <c r="C109" s="1" t="s">
        <v>7</v>
      </c>
      <c r="D109" s="1" t="s">
        <v>1797</v>
      </c>
      <c r="E109" s="3">
        <v>46585</v>
      </c>
      <c r="F109" s="1" t="str">
        <f>VLOOKUP(D109,Table17[[Name]:[Native]],3,FALSE)</f>
        <v>河东区</v>
      </c>
      <c r="G109" s="14" t="str">
        <f ca="1">VLOOKUP(F109,Table17[[Native]:[Population4]],5,FALSE)</f>
        <v>临沂市</v>
      </c>
    </row>
    <row r="110" spans="1:7" ht="15.75" thickBot="1" x14ac:dyDescent="0.3">
      <c r="A110" t="s">
        <v>2010</v>
      </c>
      <c r="B110" s="1" t="s">
        <v>2011</v>
      </c>
      <c r="C110" s="1" t="s">
        <v>13</v>
      </c>
      <c r="D110" s="1" t="s">
        <v>1832</v>
      </c>
      <c r="E110" s="3">
        <v>24853</v>
      </c>
      <c r="F110" s="1" t="str">
        <f>VLOOKUP(D110,Table17[[Name]:[Native]],3,FALSE)</f>
        <v>蒙阴县</v>
      </c>
      <c r="G110" s="14" t="str">
        <f ca="1">VLOOKUP(F110,Table17[[Native]:[Population4]],5,FALSE)</f>
        <v>临沂市</v>
      </c>
    </row>
    <row r="111" spans="1:7" ht="15.75" thickBot="1" x14ac:dyDescent="0.3">
      <c r="A111" t="s">
        <v>2012</v>
      </c>
      <c r="B111" s="1" t="s">
        <v>2013</v>
      </c>
      <c r="C111" s="1" t="s">
        <v>7</v>
      </c>
      <c r="D111" s="1" t="s">
        <v>1837</v>
      </c>
      <c r="E111" s="3">
        <v>197214</v>
      </c>
      <c r="F111" s="1" t="str">
        <f>VLOOKUP(D111,Table17[[Name]:[Native]],3,FALSE)</f>
        <v>郯城县</v>
      </c>
      <c r="G111" s="14" t="str">
        <f ca="1">VLOOKUP(F111,Table17[[Native]:[Population4]],5,FALSE)</f>
        <v>临沂市</v>
      </c>
    </row>
    <row r="112" spans="1:7" ht="15.75" thickBot="1" x14ac:dyDescent="0.3">
      <c r="A112" t="s">
        <v>2014</v>
      </c>
      <c r="B112" s="1" t="s">
        <v>2015</v>
      </c>
      <c r="C112" s="1" t="s">
        <v>13</v>
      </c>
      <c r="D112" s="1" t="s">
        <v>1797</v>
      </c>
      <c r="E112" s="3">
        <v>50180</v>
      </c>
      <c r="F112" s="1" t="str">
        <f>VLOOKUP(D112,Table17[[Name]:[Native]],3,FALSE)</f>
        <v>河东区</v>
      </c>
      <c r="G112" s="14" t="str">
        <f ca="1">VLOOKUP(F112,Table17[[Native]:[Population4]],5,FALSE)</f>
        <v>临沂市</v>
      </c>
    </row>
    <row r="113" spans="1:7" ht="15.75" thickBot="1" x14ac:dyDescent="0.3">
      <c r="A113" t="s">
        <v>2016</v>
      </c>
      <c r="B113" s="1" t="s">
        <v>2017</v>
      </c>
      <c r="C113" s="1" t="s">
        <v>7</v>
      </c>
      <c r="D113" s="1" t="s">
        <v>1797</v>
      </c>
      <c r="E113" s="3">
        <v>88921</v>
      </c>
      <c r="F113" s="1" t="str">
        <f>VLOOKUP(D113,Table17[[Name]:[Native]],3,FALSE)</f>
        <v>河东区</v>
      </c>
      <c r="G113" s="14" t="str">
        <f ca="1">VLOOKUP(F113,Table17[[Native]:[Population4]],5,FALSE)</f>
        <v>临沂市</v>
      </c>
    </row>
    <row r="114" spans="1:7" ht="15.75" thickBot="1" x14ac:dyDescent="0.3">
      <c r="A114" t="s">
        <v>2018</v>
      </c>
      <c r="B114" s="1" t="s">
        <v>2019</v>
      </c>
      <c r="C114" s="1" t="s">
        <v>13</v>
      </c>
      <c r="D114" s="1" t="s">
        <v>1853</v>
      </c>
      <c r="E114" s="3">
        <v>85663</v>
      </c>
      <c r="F114" s="1" t="str">
        <f>VLOOKUP(D114,Table17[[Name]:[Native]],3,FALSE)</f>
        <v>费县</v>
      </c>
      <c r="G114" s="14" t="str">
        <f ca="1">VLOOKUP(F114,Table17[[Native]:[Population4]],5,FALSE)</f>
        <v>临沂市</v>
      </c>
    </row>
    <row r="115" spans="1:7" ht="15.75" thickBot="1" x14ac:dyDescent="0.3">
      <c r="A115" t="s">
        <v>2020</v>
      </c>
      <c r="B115" s="1" t="s">
        <v>2021</v>
      </c>
      <c r="C115" s="1" t="s">
        <v>13</v>
      </c>
      <c r="D115" s="1" t="s">
        <v>1832</v>
      </c>
      <c r="E115" s="3">
        <v>38446</v>
      </c>
      <c r="F115" s="1" t="str">
        <f>VLOOKUP(D115,Table17[[Name]:[Native]],3,FALSE)</f>
        <v>蒙阴县</v>
      </c>
      <c r="G115" s="14" t="str">
        <f ca="1">VLOOKUP(F115,Table17[[Native]:[Population4]],5,FALSE)</f>
        <v>临沂市</v>
      </c>
    </row>
    <row r="116" spans="1:7" ht="15.75" thickBot="1" x14ac:dyDescent="0.3">
      <c r="A116" t="s">
        <v>2022</v>
      </c>
      <c r="B116" s="1" t="s">
        <v>2023</v>
      </c>
      <c r="C116" s="1" t="s">
        <v>13</v>
      </c>
      <c r="D116" s="1" t="s">
        <v>1794</v>
      </c>
      <c r="E116" s="3">
        <v>51089</v>
      </c>
      <c r="F116" s="1" t="str">
        <f>VLOOKUP(D116,Table17[[Name]:[Native]],3,FALSE)</f>
        <v>沂南县</v>
      </c>
      <c r="G116" s="14" t="str">
        <f ca="1">VLOOKUP(F116,Table17[[Native]:[Population4]],5,FALSE)</f>
        <v>临沂市</v>
      </c>
    </row>
    <row r="117" spans="1:7" ht="15.75" thickBot="1" x14ac:dyDescent="0.3">
      <c r="A117" t="s">
        <v>2024</v>
      </c>
      <c r="B117" s="1" t="s">
        <v>2025</v>
      </c>
      <c r="C117" s="1" t="s">
        <v>13</v>
      </c>
      <c r="D117" s="1" t="s">
        <v>1800</v>
      </c>
      <c r="E117" s="3">
        <v>66958</v>
      </c>
      <c r="F117" s="1" t="str">
        <f>VLOOKUP(D117,Table17[[Name]:[Native]],3,FALSE)</f>
        <v>平邑县</v>
      </c>
      <c r="G117" s="14" t="str">
        <f ca="1">VLOOKUP(F117,Table17[[Native]:[Population4]],5,FALSE)</f>
        <v>临沂市</v>
      </c>
    </row>
    <row r="118" spans="1:7" ht="15.75" thickBot="1" x14ac:dyDescent="0.3">
      <c r="A118" t="s">
        <v>2026</v>
      </c>
      <c r="B118" s="1" t="s">
        <v>2027</v>
      </c>
      <c r="C118" s="1" t="s">
        <v>13</v>
      </c>
      <c r="D118" s="1" t="s">
        <v>1813</v>
      </c>
      <c r="E118" s="3">
        <v>37258</v>
      </c>
      <c r="F118" s="1" t="str">
        <f>VLOOKUP(D118,Table17[[Name]:[Native]],3,FALSE)</f>
        <v>莒南县</v>
      </c>
      <c r="G118" s="14" t="str">
        <f ca="1">VLOOKUP(F118,Table17[[Native]:[Population4]],5,FALSE)</f>
        <v>临沂市</v>
      </c>
    </row>
    <row r="119" spans="1:7" ht="15.75" thickBot="1" x14ac:dyDescent="0.3">
      <c r="A119" t="s">
        <v>2028</v>
      </c>
      <c r="B119" s="1" t="s">
        <v>2029</v>
      </c>
      <c r="C119" s="1" t="s">
        <v>13</v>
      </c>
      <c r="D119" s="1" t="s">
        <v>1806</v>
      </c>
      <c r="E119" s="3">
        <v>63554</v>
      </c>
      <c r="F119" s="1" t="str">
        <f>VLOOKUP(D119,Table17[[Name]:[Native]],3,FALSE)</f>
        <v>兰山区</v>
      </c>
      <c r="G119" s="14" t="str">
        <f ca="1">VLOOKUP(F119,Table17[[Native]:[Population4]],5,FALSE)</f>
        <v>临沂市</v>
      </c>
    </row>
    <row r="120" spans="1:7" ht="15.75" thickBot="1" x14ac:dyDescent="0.3">
      <c r="A120" t="s">
        <v>2030</v>
      </c>
      <c r="B120" s="1" t="s">
        <v>2031</v>
      </c>
      <c r="C120" s="1" t="s">
        <v>13</v>
      </c>
      <c r="D120" s="1" t="s">
        <v>1800</v>
      </c>
      <c r="E120" s="3">
        <v>29738</v>
      </c>
      <c r="F120" s="1" t="str">
        <f>VLOOKUP(D120,Table17[[Name]:[Native]],3,FALSE)</f>
        <v>平邑县</v>
      </c>
      <c r="G120" s="14" t="str">
        <f ca="1">VLOOKUP(F120,Table17[[Native]:[Population4]],5,FALSE)</f>
        <v>临沂市</v>
      </c>
    </row>
    <row r="121" spans="1:7" ht="15.75" thickBot="1" x14ac:dyDescent="0.3">
      <c r="A121" t="s">
        <v>2032</v>
      </c>
      <c r="B121" s="1" t="s">
        <v>2033</v>
      </c>
      <c r="C121" s="1" t="s">
        <v>13</v>
      </c>
      <c r="D121" s="1" t="s">
        <v>1813</v>
      </c>
      <c r="E121" s="3">
        <v>35991</v>
      </c>
      <c r="F121" s="1" t="str">
        <f>VLOOKUP(D121,Table17[[Name]:[Native]],3,FALSE)</f>
        <v>莒南县</v>
      </c>
      <c r="G121" s="14" t="str">
        <f ca="1">VLOOKUP(F121,Table17[[Native]:[Population4]],5,FALSE)</f>
        <v>临沂市</v>
      </c>
    </row>
    <row r="122" spans="1:7" ht="15.75" thickBot="1" x14ac:dyDescent="0.3">
      <c r="A122" t="s">
        <v>2034</v>
      </c>
      <c r="B122" s="1" t="s">
        <v>2035</v>
      </c>
      <c r="C122" s="1" t="s">
        <v>13</v>
      </c>
      <c r="D122" s="1" t="s">
        <v>1800</v>
      </c>
      <c r="E122" s="3">
        <v>32621</v>
      </c>
      <c r="F122" s="1" t="str">
        <f>VLOOKUP(D122,Table17[[Name]:[Native]],3,FALSE)</f>
        <v>平邑县</v>
      </c>
      <c r="G122" s="14" t="str">
        <f ca="1">VLOOKUP(F122,Table17[[Native]:[Population4]],5,FALSE)</f>
        <v>临沂市</v>
      </c>
    </row>
    <row r="123" spans="1:7" ht="15.75" thickBot="1" x14ac:dyDescent="0.3">
      <c r="A123" t="s">
        <v>2036</v>
      </c>
      <c r="B123" s="1" t="s">
        <v>2037</v>
      </c>
      <c r="C123" s="1" t="s">
        <v>61</v>
      </c>
      <c r="D123" s="1" t="s">
        <v>1820</v>
      </c>
      <c r="E123" s="3">
        <v>38969</v>
      </c>
      <c r="F123" s="1" t="str">
        <f>VLOOKUP(D123,Table17[[Name]:[Native]],3,FALSE)</f>
        <v>兰陵县</v>
      </c>
      <c r="G123" s="14" t="str">
        <f ca="1">VLOOKUP(F123,Table17[[Native]:[Population4]],5,FALSE)</f>
        <v>临沂市</v>
      </c>
    </row>
    <row r="124" spans="1:7" ht="15.75" thickBot="1" x14ac:dyDescent="0.3">
      <c r="A124" t="s">
        <v>2038</v>
      </c>
      <c r="B124" s="1" t="s">
        <v>2039</v>
      </c>
      <c r="C124" s="1" t="s">
        <v>13</v>
      </c>
      <c r="D124" s="1" t="s">
        <v>1820</v>
      </c>
      <c r="E124" s="3">
        <v>88895</v>
      </c>
      <c r="F124" s="1" t="str">
        <f>VLOOKUP(D124,Table17[[Name]:[Native]],3,FALSE)</f>
        <v>兰陵县</v>
      </c>
      <c r="G124" s="14" t="str">
        <f ca="1">VLOOKUP(F124,Table17[[Native]:[Population4]],5,FALSE)</f>
        <v>临沂市</v>
      </c>
    </row>
    <row r="125" spans="1:7" ht="15.75" thickBot="1" x14ac:dyDescent="0.3">
      <c r="A125" t="s">
        <v>2040</v>
      </c>
      <c r="B125" s="1" t="s">
        <v>2041</v>
      </c>
      <c r="C125" s="1" t="s">
        <v>7</v>
      </c>
      <c r="D125" s="1" t="s">
        <v>1797</v>
      </c>
      <c r="E125" s="3">
        <v>67595</v>
      </c>
      <c r="F125" s="1" t="str">
        <f>VLOOKUP(D125,Table17[[Name]:[Native]],3,FALSE)</f>
        <v>河东区</v>
      </c>
      <c r="G125" s="14" t="str">
        <f ca="1">VLOOKUP(F125,Table17[[Native]:[Population4]],5,FALSE)</f>
        <v>临沂市</v>
      </c>
    </row>
    <row r="126" spans="1:7" ht="15.75" thickBot="1" x14ac:dyDescent="0.3">
      <c r="A126" t="s">
        <v>2042</v>
      </c>
      <c r="B126" s="1" t="s">
        <v>2043</v>
      </c>
      <c r="C126" s="1" t="s">
        <v>13</v>
      </c>
      <c r="D126" s="1" t="s">
        <v>1813</v>
      </c>
      <c r="E126" s="3">
        <v>36273</v>
      </c>
      <c r="F126" s="1" t="str">
        <f>VLOOKUP(D126,Table17[[Name]:[Native]],3,FALSE)</f>
        <v>莒南县</v>
      </c>
      <c r="G126" s="14" t="str">
        <f ca="1">VLOOKUP(F126,Table17[[Native]:[Population4]],5,FALSE)</f>
        <v>临沂市</v>
      </c>
    </row>
    <row r="127" spans="1:7" ht="15.75" thickBot="1" x14ac:dyDescent="0.3">
      <c r="A127" t="s">
        <v>2044</v>
      </c>
      <c r="B127" s="1" t="s">
        <v>2045</v>
      </c>
      <c r="C127" s="1" t="s">
        <v>13</v>
      </c>
      <c r="D127" s="1" t="s">
        <v>1842</v>
      </c>
      <c r="E127" s="3">
        <v>44111</v>
      </c>
      <c r="F127" s="1" t="str">
        <f>VLOOKUP(D127,Table17[[Name]:[Native]],3,FALSE)</f>
        <v>沂水县</v>
      </c>
      <c r="G127" s="14" t="str">
        <f ca="1">VLOOKUP(F127,Table17[[Native]:[Population4]],5,FALSE)</f>
        <v>临沂市</v>
      </c>
    </row>
    <row r="128" spans="1:7" ht="15.75" thickBot="1" x14ac:dyDescent="0.3">
      <c r="A128" t="s">
        <v>1734</v>
      </c>
      <c r="B128" s="1" t="s">
        <v>1735</v>
      </c>
      <c r="C128" s="1" t="s">
        <v>13</v>
      </c>
      <c r="D128" s="1" t="s">
        <v>1794</v>
      </c>
      <c r="E128" s="3">
        <v>50737</v>
      </c>
      <c r="F128" s="1" t="str">
        <f>VLOOKUP(D128,Table17[[Name]:[Native]],3,FALSE)</f>
        <v>沂南县</v>
      </c>
      <c r="G128" s="14" t="str">
        <f ca="1">VLOOKUP(F128,Table17[[Native]:[Population4]],5,FALSE)</f>
        <v>临沂市</v>
      </c>
    </row>
    <row r="129" spans="1:7" ht="15.75" thickBot="1" x14ac:dyDescent="0.3">
      <c r="A129" t="s">
        <v>2046</v>
      </c>
      <c r="B129" s="1" t="s">
        <v>2047</v>
      </c>
      <c r="C129" s="1" t="s">
        <v>13</v>
      </c>
      <c r="D129" s="1" t="s">
        <v>1820</v>
      </c>
      <c r="E129" s="3">
        <v>39748</v>
      </c>
      <c r="F129" s="1" t="str">
        <f>VLOOKUP(D129,Table17[[Name]:[Native]],3,FALSE)</f>
        <v>兰陵县</v>
      </c>
      <c r="G129" s="14" t="str">
        <f ca="1">VLOOKUP(F129,Table17[[Native]:[Population4]],5,FALSE)</f>
        <v>临沂市</v>
      </c>
    </row>
    <row r="130" spans="1:7" ht="15.75" thickBot="1" x14ac:dyDescent="0.3">
      <c r="A130" t="s">
        <v>2048</v>
      </c>
      <c r="B130" s="1" t="s">
        <v>2049</v>
      </c>
      <c r="C130" s="1" t="s">
        <v>13</v>
      </c>
      <c r="D130" s="1" t="s">
        <v>1853</v>
      </c>
      <c r="E130" s="3">
        <v>47596</v>
      </c>
      <c r="F130" s="1" t="str">
        <f>VLOOKUP(D130,Table17[[Name]:[Native]],3,FALSE)</f>
        <v>费县</v>
      </c>
      <c r="G130" s="14" t="str">
        <f ca="1">VLOOKUP(F130,Table17[[Native]:[Population4]],5,FALSE)</f>
        <v>临沂市</v>
      </c>
    </row>
    <row r="131" spans="1:7" ht="15.75" thickBot="1" x14ac:dyDescent="0.3">
      <c r="A131" t="s">
        <v>2050</v>
      </c>
      <c r="B131" s="1" t="s">
        <v>2051</v>
      </c>
      <c r="C131" s="1" t="s">
        <v>13</v>
      </c>
      <c r="D131" s="1" t="s">
        <v>1853</v>
      </c>
      <c r="E131" s="3">
        <v>51761</v>
      </c>
      <c r="F131" s="1" t="str">
        <f>VLOOKUP(D131,Table17[[Name]:[Native]],3,FALSE)</f>
        <v>费县</v>
      </c>
      <c r="G131" s="14" t="str">
        <f ca="1">VLOOKUP(F131,Table17[[Native]:[Population4]],5,FALSE)</f>
        <v>临沂市</v>
      </c>
    </row>
    <row r="132" spans="1:7" ht="15.75" thickBot="1" x14ac:dyDescent="0.3">
      <c r="A132" t="s">
        <v>2052</v>
      </c>
      <c r="B132" s="1" t="s">
        <v>2053</v>
      </c>
      <c r="C132" s="1" t="s">
        <v>13</v>
      </c>
      <c r="D132" s="1" t="s">
        <v>1842</v>
      </c>
      <c r="E132" s="3">
        <v>117318</v>
      </c>
      <c r="F132" s="1" t="str">
        <f>VLOOKUP(D132,Table17[[Name]:[Native]],3,FALSE)</f>
        <v>沂水县</v>
      </c>
      <c r="G132" s="14" t="str">
        <f ca="1">VLOOKUP(F132,Table17[[Native]:[Population4]],5,FALSE)</f>
        <v>临沂市</v>
      </c>
    </row>
    <row r="133" spans="1:7" ht="15.75" thickBot="1" x14ac:dyDescent="0.3">
      <c r="A133" t="s">
        <v>2054</v>
      </c>
      <c r="B133" s="1" t="s">
        <v>2055</v>
      </c>
      <c r="C133" s="1" t="s">
        <v>13</v>
      </c>
      <c r="D133" s="1" t="s">
        <v>1813</v>
      </c>
      <c r="E133" s="3">
        <v>42098</v>
      </c>
      <c r="F133" s="1" t="str">
        <f>VLOOKUP(D133,Table17[[Name]:[Native]],3,FALSE)</f>
        <v>莒南县</v>
      </c>
      <c r="G133" s="14" t="str">
        <f ca="1">VLOOKUP(F133,Table17[[Native]:[Population4]],5,FALSE)</f>
        <v>临沂市</v>
      </c>
    </row>
    <row r="134" spans="1:7" ht="15.75" thickBot="1" x14ac:dyDescent="0.3">
      <c r="A134" t="s">
        <v>2056</v>
      </c>
      <c r="B134" s="1" t="s">
        <v>2057</v>
      </c>
      <c r="C134" s="1" t="s">
        <v>13</v>
      </c>
      <c r="D134" s="1" t="s">
        <v>1837</v>
      </c>
      <c r="E134" s="3">
        <v>43677</v>
      </c>
      <c r="F134" s="1" t="str">
        <f>VLOOKUP(D134,Table17[[Name]:[Native]],3,FALSE)</f>
        <v>郯城县</v>
      </c>
      <c r="G134" s="14" t="str">
        <f ca="1">VLOOKUP(F134,Table17[[Native]:[Population4]],5,FALSE)</f>
        <v>临沂市</v>
      </c>
    </row>
    <row r="135" spans="1:7" ht="15.75" thickBot="1" x14ac:dyDescent="0.3">
      <c r="A135" t="s">
        <v>1186</v>
      </c>
      <c r="B135" s="1" t="s">
        <v>1187</v>
      </c>
      <c r="C135" s="1" t="s">
        <v>13</v>
      </c>
      <c r="D135" s="1" t="s">
        <v>1842</v>
      </c>
      <c r="E135" s="3">
        <v>54503</v>
      </c>
      <c r="F135" s="1" t="str">
        <f>VLOOKUP(D135,Table17[[Name]:[Native]],3,FALSE)</f>
        <v>沂水县</v>
      </c>
      <c r="G135" s="14" t="str">
        <f ca="1">VLOOKUP(F135,Table17[[Native]:[Population4]],5,FALSE)</f>
        <v>临沂市</v>
      </c>
    </row>
    <row r="136" spans="1:7" ht="15.75" thickBot="1" x14ac:dyDescent="0.3">
      <c r="A136" t="s">
        <v>2058</v>
      </c>
      <c r="B136" s="1" t="s">
        <v>2059</v>
      </c>
      <c r="C136" s="1" t="s">
        <v>13</v>
      </c>
      <c r="D136" s="1" t="s">
        <v>1832</v>
      </c>
      <c r="E136" s="3">
        <v>30130</v>
      </c>
      <c r="F136" s="1" t="str">
        <f>VLOOKUP(D136,Table17[[Name]:[Native]],3,FALSE)</f>
        <v>蒙阴县</v>
      </c>
      <c r="G136" s="14" t="str">
        <f ca="1">VLOOKUP(F136,Table17[[Native]:[Population4]],5,FALSE)</f>
        <v>临沂市</v>
      </c>
    </row>
    <row r="137" spans="1:7" ht="15.75" thickBot="1" x14ac:dyDescent="0.3">
      <c r="A137" t="s">
        <v>2060</v>
      </c>
      <c r="B137" s="1" t="s">
        <v>2061</v>
      </c>
      <c r="C137" s="1" t="s">
        <v>7</v>
      </c>
      <c r="D137" s="1" t="s">
        <v>1842</v>
      </c>
      <c r="E137" s="3">
        <v>175535</v>
      </c>
      <c r="F137" s="1" t="str">
        <f>VLOOKUP(D137,Table17[[Name]:[Native]],3,FALSE)</f>
        <v>沂水县</v>
      </c>
      <c r="G137" s="14" t="str">
        <f ca="1">VLOOKUP(F137,Table17[[Native]:[Population4]],5,FALSE)</f>
        <v>临沂市</v>
      </c>
    </row>
    <row r="138" spans="1:7" ht="15.75" thickBot="1" x14ac:dyDescent="0.3">
      <c r="A138" t="s">
        <v>2062</v>
      </c>
      <c r="B138" s="1" t="s">
        <v>2063</v>
      </c>
      <c r="C138" s="1" t="s">
        <v>7</v>
      </c>
      <c r="D138" s="1" t="s">
        <v>1806</v>
      </c>
      <c r="E138" s="3">
        <v>175453</v>
      </c>
      <c r="F138" s="1" t="str">
        <f>VLOOKUP(D138,Table17[[Name]:[Native]],3,FALSE)</f>
        <v>兰山区</v>
      </c>
      <c r="G138" s="14" t="str">
        <f ca="1">VLOOKUP(F138,Table17[[Native]:[Population4]],5,FALSE)</f>
        <v>临沂市</v>
      </c>
    </row>
    <row r="139" spans="1:7" ht="15.75" thickBot="1" x14ac:dyDescent="0.3">
      <c r="A139" t="s">
        <v>2064</v>
      </c>
      <c r="B139" s="1" t="s">
        <v>2065</v>
      </c>
      <c r="C139" s="1" t="s">
        <v>13</v>
      </c>
      <c r="D139" s="1" t="s">
        <v>1806</v>
      </c>
      <c r="E139" s="3">
        <v>135627</v>
      </c>
      <c r="F139" s="1" t="str">
        <f>VLOOKUP(D139,Table17[[Name]:[Native]],3,FALSE)</f>
        <v>兰山区</v>
      </c>
      <c r="G139" s="14" t="str">
        <f ca="1">VLOOKUP(F139,Table17[[Native]:[Population4]],5,FALSE)</f>
        <v>临沂市</v>
      </c>
    </row>
    <row r="140" spans="1:7" ht="15.75" thickBot="1" x14ac:dyDescent="0.3">
      <c r="A140" t="s">
        <v>2066</v>
      </c>
      <c r="B140" s="1" t="s">
        <v>2067</v>
      </c>
      <c r="C140" s="1" t="s">
        <v>13</v>
      </c>
      <c r="D140" s="1" t="s">
        <v>1827</v>
      </c>
      <c r="E140" s="3">
        <v>47697</v>
      </c>
      <c r="F140" s="1" t="str">
        <f>VLOOKUP(D140,Table17[[Name]:[Native]],3,FALSE)</f>
        <v>罗庄区</v>
      </c>
      <c r="G140" s="14" t="str">
        <f ca="1">VLOOKUP(F140,Table17[[Native]:[Population4]],5,FALSE)</f>
        <v>临沂市</v>
      </c>
    </row>
    <row r="141" spans="1:7" ht="15.75" thickBot="1" x14ac:dyDescent="0.3">
      <c r="A141" t="s">
        <v>2068</v>
      </c>
      <c r="B141" s="1" t="s">
        <v>2069</v>
      </c>
      <c r="C141" s="1" t="s">
        <v>13</v>
      </c>
      <c r="D141" s="1" t="s">
        <v>1794</v>
      </c>
      <c r="E141" s="3">
        <v>41137</v>
      </c>
      <c r="F141" s="1" t="str">
        <f>VLOOKUP(D141,Table17[[Name]:[Native]],3,FALSE)</f>
        <v>沂南县</v>
      </c>
      <c r="G141" s="14" t="str">
        <f ca="1">VLOOKUP(F141,Table17[[Native]:[Population4]],5,FALSE)</f>
        <v>临沂市</v>
      </c>
    </row>
    <row r="142" spans="1:7" ht="15.75" thickBot="1" x14ac:dyDescent="0.3">
      <c r="A142" t="s">
        <v>2070</v>
      </c>
      <c r="B142" s="1" t="s">
        <v>2071</v>
      </c>
      <c r="C142" s="1" t="s">
        <v>13</v>
      </c>
      <c r="D142" s="1" t="s">
        <v>1842</v>
      </c>
      <c r="E142" s="3">
        <v>23132</v>
      </c>
      <c r="F142" s="1" t="str">
        <f>VLOOKUP(D142,Table17[[Name]:[Native]],3,FALSE)</f>
        <v>沂水县</v>
      </c>
      <c r="G142" s="14" t="str">
        <f ca="1">VLOOKUP(F142,Table17[[Native]:[Population4]],5,FALSE)</f>
        <v>临沂市</v>
      </c>
    </row>
    <row r="143" spans="1:7" ht="15.75" thickBot="1" x14ac:dyDescent="0.3">
      <c r="A143" t="s">
        <v>2072</v>
      </c>
      <c r="B143" s="1" t="s">
        <v>2073</v>
      </c>
      <c r="C143" s="1" t="s">
        <v>13</v>
      </c>
      <c r="D143" s="1" t="s">
        <v>1803</v>
      </c>
      <c r="E143" s="3">
        <v>65856</v>
      </c>
      <c r="F143" s="1" t="str">
        <f>VLOOKUP(D143,Table17[[Name]:[Native]],3,FALSE)</f>
        <v>临沭县</v>
      </c>
      <c r="G143" s="14" t="str">
        <f ca="1">VLOOKUP(F143,Table17[[Native]:[Population4]],5,FALSE)</f>
        <v>临沂市</v>
      </c>
    </row>
    <row r="144" spans="1:7" ht="15.75" thickBot="1" x14ac:dyDescent="0.3">
      <c r="A144" t="s">
        <v>2074</v>
      </c>
      <c r="B144" s="1" t="s">
        <v>2075</v>
      </c>
      <c r="C144" s="1" t="s">
        <v>13</v>
      </c>
      <c r="D144" s="1" t="s">
        <v>1806</v>
      </c>
      <c r="E144" s="3">
        <v>68140</v>
      </c>
      <c r="F144" s="1" t="str">
        <f>VLOOKUP(D144,Table17[[Name]:[Native]],3,FALSE)</f>
        <v>兰山区</v>
      </c>
      <c r="G144" s="14" t="str">
        <f ca="1">VLOOKUP(F144,Table17[[Native]:[Population4]],5,FALSE)</f>
        <v>临沂市</v>
      </c>
    </row>
    <row r="145" spans="1:7" ht="15.75" thickBot="1" x14ac:dyDescent="0.3">
      <c r="A145" t="s">
        <v>449</v>
      </c>
      <c r="B145" s="1" t="s">
        <v>450</v>
      </c>
      <c r="C145" s="1" t="s">
        <v>13</v>
      </c>
      <c r="D145" s="1" t="s">
        <v>1794</v>
      </c>
      <c r="E145" s="3">
        <v>40129</v>
      </c>
      <c r="F145" s="1" t="str">
        <f>VLOOKUP(D145,Table17[[Name]:[Native]],3,FALSE)</f>
        <v>沂南县</v>
      </c>
      <c r="G145" s="14" t="str">
        <f ca="1">VLOOKUP(F145,Table17[[Native]:[Population4]],5,FALSE)</f>
        <v>临沂市</v>
      </c>
    </row>
    <row r="146" spans="1:7" ht="15.75" thickBot="1" x14ac:dyDescent="0.3">
      <c r="A146" t="s">
        <v>2076</v>
      </c>
      <c r="B146" s="1" t="s">
        <v>2077</v>
      </c>
      <c r="C146" s="1" t="s">
        <v>7</v>
      </c>
      <c r="D146" s="1" t="s">
        <v>1797</v>
      </c>
      <c r="E146" s="3">
        <v>46338</v>
      </c>
      <c r="F146" s="1" t="str">
        <f>VLOOKUP(D146,Table17[[Name]:[Native]],3,FALSE)</f>
        <v>河东区</v>
      </c>
      <c r="G146" s="14" t="str">
        <f ca="1">VLOOKUP(F146,Table17[[Native]:[Population4]],5,FALSE)</f>
        <v>临沂市</v>
      </c>
    </row>
    <row r="147" spans="1:7" ht="15.75" thickBot="1" x14ac:dyDescent="0.3">
      <c r="A147" t="s">
        <v>2078</v>
      </c>
      <c r="B147" s="1" t="s">
        <v>2079</v>
      </c>
      <c r="C147" s="1" t="s">
        <v>13</v>
      </c>
      <c r="D147" s="1" t="s">
        <v>1800</v>
      </c>
      <c r="E147" s="3">
        <v>56374</v>
      </c>
      <c r="F147" s="1" t="str">
        <f>VLOOKUP(D147,Table17[[Name]:[Native]],3,FALSE)</f>
        <v>平邑县</v>
      </c>
      <c r="G147" s="14" t="str">
        <f ca="1">VLOOKUP(F147,Table17[[Native]:[Population4]],5,FALSE)</f>
        <v>临沂市</v>
      </c>
    </row>
    <row r="148" spans="1:7" ht="15.75" thickBot="1" x14ac:dyDescent="0.3">
      <c r="A148" t="s">
        <v>2080</v>
      </c>
      <c r="B148" s="1" t="s">
        <v>2081</v>
      </c>
      <c r="C148" s="1" t="s">
        <v>7</v>
      </c>
      <c r="D148" s="1" t="s">
        <v>1803</v>
      </c>
      <c r="E148" s="3">
        <v>88957</v>
      </c>
      <c r="F148" s="1" t="str">
        <f>VLOOKUP(D148,Table17[[Name]:[Native]],3,FALSE)</f>
        <v>临沭县</v>
      </c>
      <c r="G148" s="14" t="str">
        <f ca="1">VLOOKUP(F148,Table17[[Native]:[Population4]],5,FALSE)</f>
        <v>临沂市</v>
      </c>
    </row>
    <row r="149" spans="1:7" ht="15.75" thickBot="1" x14ac:dyDescent="0.3">
      <c r="A149" t="s">
        <v>2082</v>
      </c>
      <c r="B149" s="1" t="s">
        <v>2083</v>
      </c>
      <c r="C149" s="1" t="s">
        <v>13</v>
      </c>
      <c r="D149" s="1" t="s">
        <v>1797</v>
      </c>
      <c r="E149" s="3">
        <v>57883</v>
      </c>
      <c r="F149" s="1" t="str">
        <f>VLOOKUP(D149,Table17[[Name]:[Native]],3,FALSE)</f>
        <v>河东区</v>
      </c>
      <c r="G149" s="14" t="str">
        <f ca="1">VLOOKUP(F149,Table17[[Native]:[Population4]],5,FALSE)</f>
        <v>临沂市</v>
      </c>
    </row>
    <row r="150" spans="1:7" ht="15.75" thickBot="1" x14ac:dyDescent="0.3">
      <c r="A150" t="s">
        <v>2084</v>
      </c>
      <c r="B150" s="1" t="s">
        <v>2085</v>
      </c>
      <c r="C150" s="1" t="s">
        <v>7</v>
      </c>
      <c r="D150" s="1" t="s">
        <v>1797</v>
      </c>
      <c r="E150" s="3">
        <v>62840</v>
      </c>
      <c r="F150" s="1" t="str">
        <f>VLOOKUP(D150,Table17[[Name]:[Native]],3,FALSE)</f>
        <v>河东区</v>
      </c>
      <c r="G150" s="14" t="str">
        <f ca="1">VLOOKUP(F150,Table17[[Native]:[Population4]],5,FALSE)</f>
        <v>临沂市</v>
      </c>
    </row>
    <row r="151" spans="1:7" ht="15.75" thickBot="1" x14ac:dyDescent="0.3">
      <c r="A151" t="s">
        <v>2086</v>
      </c>
      <c r="B151" s="1" t="s">
        <v>2087</v>
      </c>
      <c r="C151" s="1" t="s">
        <v>13</v>
      </c>
      <c r="D151" s="1" t="s">
        <v>1800</v>
      </c>
      <c r="E151" s="3">
        <v>67507</v>
      </c>
      <c r="F151" s="1" t="str">
        <f>VLOOKUP(D151,Table17[[Name]:[Native]],3,FALSE)</f>
        <v>平邑县</v>
      </c>
      <c r="G151" s="14" t="str">
        <f ca="1">VLOOKUP(F151,Table17[[Native]:[Population4]],5,FALSE)</f>
        <v>临沂市</v>
      </c>
    </row>
    <row r="152" spans="1:7" ht="15.75" thickBot="1" x14ac:dyDescent="0.3">
      <c r="A152" t="s">
        <v>2088</v>
      </c>
      <c r="B152" s="1" t="s">
        <v>2089</v>
      </c>
      <c r="C152" s="1" t="s">
        <v>13</v>
      </c>
      <c r="D152" s="1" t="s">
        <v>1794</v>
      </c>
      <c r="E152" s="3">
        <v>33532</v>
      </c>
      <c r="F152" s="1" t="str">
        <f>VLOOKUP(D152,Table17[[Name]:[Native]],3,FALSE)</f>
        <v>沂南县</v>
      </c>
      <c r="G152" s="14" t="str">
        <f ca="1">VLOOKUP(F152,Table17[[Native]:[Population4]],5,FALSE)</f>
        <v>临沂市</v>
      </c>
    </row>
    <row r="153" spans="1:7" ht="15.75" thickBot="1" x14ac:dyDescent="0.3">
      <c r="A153" t="s">
        <v>2090</v>
      </c>
      <c r="B153" s="1" t="s">
        <v>2091</v>
      </c>
      <c r="C153" s="1" t="s">
        <v>13</v>
      </c>
      <c r="D153" s="1" t="s">
        <v>1813</v>
      </c>
      <c r="E153" s="3">
        <v>37575</v>
      </c>
      <c r="F153" s="1" t="str">
        <f>VLOOKUP(D153,Table17[[Name]:[Native]],3,FALSE)</f>
        <v>莒南县</v>
      </c>
      <c r="G153" s="14" t="str">
        <f ca="1">VLOOKUP(F153,Table17[[Native]:[Population4]],5,FALSE)</f>
        <v>临沂市</v>
      </c>
    </row>
    <row r="154" spans="1:7" ht="15.75" thickBot="1" x14ac:dyDescent="0.3">
      <c r="A154" t="s">
        <v>2092</v>
      </c>
      <c r="B154" s="1" t="s">
        <v>2093</v>
      </c>
      <c r="C154" s="1" t="s">
        <v>13</v>
      </c>
      <c r="D154" s="1" t="s">
        <v>1820</v>
      </c>
      <c r="E154" s="3">
        <v>83515</v>
      </c>
      <c r="F154" s="1" t="str">
        <f>VLOOKUP(D154,Table17[[Name]:[Native]],3,FALSE)</f>
        <v>兰陵县</v>
      </c>
      <c r="G154" s="14" t="str">
        <f ca="1">VLOOKUP(F154,Table17[[Native]:[Population4]],5,FALSE)</f>
        <v>临沂市</v>
      </c>
    </row>
    <row r="155" spans="1:7" ht="15.75" thickBot="1" x14ac:dyDescent="0.3">
      <c r="A155" t="s">
        <v>2094</v>
      </c>
      <c r="B155" s="1" t="s">
        <v>2095</v>
      </c>
      <c r="C155" s="1" t="s">
        <v>13</v>
      </c>
      <c r="D155" s="1" t="s">
        <v>1813</v>
      </c>
      <c r="E155" s="3">
        <v>45088</v>
      </c>
      <c r="F155" s="1" t="str">
        <f>VLOOKUP(D155,Table17[[Name]:[Native]],3,FALSE)</f>
        <v>莒南县</v>
      </c>
      <c r="G155" s="14" t="str">
        <f ca="1">VLOOKUP(F155,Table17[[Native]:[Population4]],5,FALSE)</f>
        <v>临沂市</v>
      </c>
    </row>
    <row r="156" spans="1:7" ht="15.75" thickBot="1" x14ac:dyDescent="0.3">
      <c r="A156" t="s">
        <v>2096</v>
      </c>
      <c r="B156" s="1" t="s">
        <v>2097</v>
      </c>
      <c r="C156" s="1" t="s">
        <v>13</v>
      </c>
      <c r="D156" s="1" t="s">
        <v>1842</v>
      </c>
      <c r="E156" s="3">
        <v>62553</v>
      </c>
      <c r="F156" s="1" t="str">
        <f>VLOOKUP(D156,Table17[[Name]:[Native]],3,FALSE)</f>
        <v>沂水县</v>
      </c>
      <c r="G156" s="14" t="str">
        <f ca="1">VLOOKUP(F156,Table17[[Native]:[Population4]],5,FALSE)</f>
        <v>临沂市</v>
      </c>
    </row>
    <row r="157" spans="1:7" ht="15.75" thickBot="1" x14ac:dyDescent="0.3">
      <c r="A157" t="s">
        <v>2098</v>
      </c>
      <c r="B157" s="1" t="s">
        <v>2099</v>
      </c>
      <c r="C157" s="1" t="s">
        <v>13</v>
      </c>
      <c r="D157" s="1" t="s">
        <v>1813</v>
      </c>
      <c r="E157" s="3">
        <v>30679</v>
      </c>
      <c r="F157" s="1" t="str">
        <f>VLOOKUP(D157,Table17[[Name]:[Native]],3,FALSE)</f>
        <v>莒南县</v>
      </c>
      <c r="G157" s="14" t="str">
        <f ca="1">VLOOKUP(F157,Table17[[Native]:[Population4]],5,FALSE)</f>
        <v>临沂市</v>
      </c>
    </row>
    <row r="158" spans="1:7" ht="15.75" thickBot="1" x14ac:dyDescent="0.3">
      <c r="A158" t="s">
        <v>2100</v>
      </c>
      <c r="B158" s="1" t="s">
        <v>2101</v>
      </c>
      <c r="C158" s="1" t="s">
        <v>13</v>
      </c>
      <c r="D158" s="1" t="s">
        <v>1853</v>
      </c>
      <c r="E158" s="3">
        <v>50623</v>
      </c>
      <c r="F158" s="10" t="str">
        <f>VLOOKUP(D158,Table17[[Name]:[Native]],3,FALSE)</f>
        <v>费县</v>
      </c>
      <c r="G158" s="14" t="str">
        <f ca="1">VLOOKUP(F158,Table17[[Native]:[Population4]],5,FALSE)</f>
        <v>临沂市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5EB1-7CF9-452D-9560-F43A33F5769D}">
  <dimension ref="A1:G142"/>
  <sheetViews>
    <sheetView workbookViewId="0">
      <selection activeCell="G1" sqref="G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2102</v>
      </c>
      <c r="B2" s="1" t="s">
        <v>2103</v>
      </c>
      <c r="C2" s="1" t="s">
        <v>7</v>
      </c>
      <c r="D2" s="1" t="s">
        <v>2104</v>
      </c>
      <c r="E2" s="3">
        <v>47810</v>
      </c>
      <c r="F2" s="9" t="str">
        <f>VLOOKUP(D2,Table17[[Name]:[Native]],3,FALSE)</f>
        <v>即墨区</v>
      </c>
      <c r="G2" s="14" t="str">
        <f ca="1">VLOOKUP(F2,Table17[[Native]:[Population4]],5,FALSE)</f>
        <v>青岛市</v>
      </c>
    </row>
    <row r="3" spans="1:7" ht="15.75" thickBot="1" x14ac:dyDescent="0.3">
      <c r="A3" t="s">
        <v>2105</v>
      </c>
      <c r="B3" s="1" t="s">
        <v>2106</v>
      </c>
      <c r="C3" s="1" t="s">
        <v>7</v>
      </c>
      <c r="D3" s="1" t="s">
        <v>2107</v>
      </c>
      <c r="E3" s="3">
        <v>23866</v>
      </c>
      <c r="F3" s="1" t="str">
        <f>VLOOKUP(D3,Table17[[Name]:[Native]],3,FALSE)</f>
        <v>市南区</v>
      </c>
      <c r="G3" s="14" t="str">
        <f ca="1">VLOOKUP(F3,Table17[[Native]:[Population4]],5,FALSE)</f>
        <v>青岛市</v>
      </c>
    </row>
    <row r="4" spans="1:7" ht="15.75" thickBot="1" x14ac:dyDescent="0.3">
      <c r="A4" t="s">
        <v>2108</v>
      </c>
      <c r="B4" s="1" t="s">
        <v>2109</v>
      </c>
      <c r="C4" s="1" t="s">
        <v>7</v>
      </c>
      <c r="D4" s="1" t="s">
        <v>2107</v>
      </c>
      <c r="E4" s="3">
        <v>56133</v>
      </c>
      <c r="F4" s="1" t="str">
        <f>VLOOKUP(D4,Table17[[Name]:[Native]],3,FALSE)</f>
        <v>市南区</v>
      </c>
      <c r="G4" s="14" t="str">
        <f ca="1">VLOOKUP(F4,Table17[[Native]:[Population4]],5,FALSE)</f>
        <v>青岛市</v>
      </c>
    </row>
    <row r="5" spans="1:7" ht="15.75" thickBot="1" x14ac:dyDescent="0.3">
      <c r="A5" t="s">
        <v>2110</v>
      </c>
      <c r="B5" s="1" t="s">
        <v>2111</v>
      </c>
      <c r="C5" s="1" t="s">
        <v>7</v>
      </c>
      <c r="D5" s="1" t="s">
        <v>2107</v>
      </c>
      <c r="E5" s="3">
        <v>21039</v>
      </c>
      <c r="F5" s="1" t="str">
        <f>VLOOKUP(D5,Table17[[Name]:[Native]],3,FALSE)</f>
        <v>市南区</v>
      </c>
      <c r="G5" s="14" t="str">
        <f ca="1">VLOOKUP(F5,Table17[[Native]:[Population4]],5,FALSE)</f>
        <v>青岛市</v>
      </c>
    </row>
    <row r="6" spans="1:7" ht="15.75" thickBot="1" x14ac:dyDescent="0.3">
      <c r="A6" t="s">
        <v>2112</v>
      </c>
      <c r="B6" s="1" t="s">
        <v>2113</v>
      </c>
      <c r="C6" s="1" t="s">
        <v>7</v>
      </c>
      <c r="D6" s="1" t="s">
        <v>2114</v>
      </c>
      <c r="E6" s="3">
        <v>85922</v>
      </c>
      <c r="F6" s="1" t="str">
        <f>VLOOKUP(D6,Table17[[Name]:[Native]],3,FALSE)</f>
        <v>平度市</v>
      </c>
      <c r="G6" s="14" t="str">
        <f ca="1">VLOOKUP(F6,Table17[[Native]:[Population4]],5,FALSE)</f>
        <v>青岛市</v>
      </c>
    </row>
    <row r="7" spans="1:7" ht="15.75" thickBot="1" x14ac:dyDescent="0.3">
      <c r="A7" t="s">
        <v>2115</v>
      </c>
      <c r="B7" s="1" t="s">
        <v>2116</v>
      </c>
      <c r="C7" s="1" t="s">
        <v>13</v>
      </c>
      <c r="D7" s="1" t="s">
        <v>2117</v>
      </c>
      <c r="E7" s="3">
        <v>25828</v>
      </c>
      <c r="F7" s="1" t="str">
        <f>VLOOKUP(D7,Table17[[Name]:[Native]],3,FALSE)</f>
        <v>黄岛区</v>
      </c>
      <c r="G7" s="14" t="str">
        <f ca="1">VLOOKUP(F7,Table17[[Native]:[Population4]],5,FALSE)</f>
        <v>青岛市</v>
      </c>
    </row>
    <row r="8" spans="1:7" ht="15.75" thickBot="1" x14ac:dyDescent="0.3">
      <c r="A8" t="s">
        <v>2118</v>
      </c>
      <c r="B8" s="1" t="s">
        <v>2119</v>
      </c>
      <c r="C8" s="1" t="s">
        <v>7</v>
      </c>
      <c r="D8" s="1" t="s">
        <v>2104</v>
      </c>
      <c r="E8" s="3">
        <v>51163</v>
      </c>
      <c r="F8" s="1" t="str">
        <f>VLOOKUP(D8,Table17[[Name]:[Native]],3,FALSE)</f>
        <v>即墨区</v>
      </c>
      <c r="G8" s="14" t="str">
        <f ca="1">VLOOKUP(F8,Table17[[Native]:[Population4]],5,FALSE)</f>
        <v>青岛市</v>
      </c>
    </row>
    <row r="9" spans="1:7" ht="15.75" thickBot="1" x14ac:dyDescent="0.3">
      <c r="A9" t="s">
        <v>2120</v>
      </c>
      <c r="B9" s="1" t="s">
        <v>2121</v>
      </c>
      <c r="C9" s="1" t="s">
        <v>7</v>
      </c>
      <c r="D9" s="1" t="s">
        <v>2122</v>
      </c>
      <c r="E9" s="3">
        <v>36447</v>
      </c>
      <c r="F9" s="1" t="str">
        <f>VLOOKUP(D9,Table17[[Name]:[Native]],3,FALSE)</f>
        <v>胶州市</v>
      </c>
      <c r="G9" s="14" t="str">
        <f ca="1">VLOOKUP(F9,Table17[[Native]:[Population4]],5,FALSE)</f>
        <v>青岛市</v>
      </c>
    </row>
    <row r="10" spans="1:7" ht="15.75" thickBot="1" x14ac:dyDescent="0.3">
      <c r="A10" t="s">
        <v>2123</v>
      </c>
      <c r="B10" s="1" t="s">
        <v>2124</v>
      </c>
      <c r="C10" s="1" t="s">
        <v>7</v>
      </c>
      <c r="D10" s="1" t="s">
        <v>2125</v>
      </c>
      <c r="E10" s="3">
        <v>27109</v>
      </c>
      <c r="F10" s="1" t="str">
        <f>VLOOKUP(D10,Table17[[Name]:[Native]],3,FALSE)</f>
        <v>崂山区</v>
      </c>
      <c r="G10" s="14" t="str">
        <f ca="1">VLOOKUP(F10,Table17[[Native]:[Population4]],5,FALSE)</f>
        <v>青岛市</v>
      </c>
    </row>
    <row r="11" spans="1:7" ht="15.75" thickBot="1" x14ac:dyDescent="0.3">
      <c r="A11" t="s">
        <v>2126</v>
      </c>
      <c r="B11" s="1" t="s">
        <v>2127</v>
      </c>
      <c r="C11" s="1" t="s">
        <v>7</v>
      </c>
      <c r="D11" s="1" t="s">
        <v>2117</v>
      </c>
      <c r="E11" s="3">
        <v>51494</v>
      </c>
      <c r="F11" s="1" t="str">
        <f>VLOOKUP(D11,Table17[[Name]:[Native]],3,FALSE)</f>
        <v>黄岛区</v>
      </c>
      <c r="G11" s="14" t="str">
        <f ca="1">VLOOKUP(F11,Table17[[Native]:[Population4]],5,FALSE)</f>
        <v>青岛市</v>
      </c>
    </row>
    <row r="12" spans="1:7" ht="15.75" thickBot="1" x14ac:dyDescent="0.3">
      <c r="A12" s="1" t="s">
        <v>2128</v>
      </c>
      <c r="B12" s="1" t="s">
        <v>2129</v>
      </c>
      <c r="C12" s="1" t="s">
        <v>7</v>
      </c>
      <c r="D12" s="1" t="s">
        <v>2130</v>
      </c>
      <c r="E12" s="3">
        <v>40277</v>
      </c>
      <c r="F12" s="1" t="str">
        <f>VLOOKUP(D12,Table17[[Name]:[Native]],3,FALSE)</f>
        <v>莱西市</v>
      </c>
      <c r="G12" s="14" t="str">
        <f ca="1">VLOOKUP(F12,Table17[[Native]:[Population4]],5,FALSE)</f>
        <v>青岛市</v>
      </c>
    </row>
    <row r="13" spans="1:7" ht="15.75" thickBot="1" x14ac:dyDescent="0.3">
      <c r="A13" t="s">
        <v>2131</v>
      </c>
      <c r="B13" s="1" t="s">
        <v>2132</v>
      </c>
      <c r="C13" s="1" t="s">
        <v>13</v>
      </c>
      <c r="D13" s="1" t="s">
        <v>2117</v>
      </c>
      <c r="E13" s="3">
        <v>61853</v>
      </c>
      <c r="F13" s="1" t="str">
        <f>VLOOKUP(D13,Table17[[Name]:[Native]],3,FALSE)</f>
        <v>黄岛区</v>
      </c>
      <c r="G13" s="14" t="str">
        <f ca="1">VLOOKUP(F13,Table17[[Native]:[Population4]],5,FALSE)</f>
        <v>青岛市</v>
      </c>
    </row>
    <row r="14" spans="1:7" ht="15.75" thickBot="1" x14ac:dyDescent="0.3">
      <c r="A14" t="s">
        <v>2133</v>
      </c>
      <c r="B14" s="1" t="s">
        <v>2134</v>
      </c>
      <c r="C14" s="1" t="s">
        <v>7</v>
      </c>
      <c r="D14" s="1" t="s">
        <v>2135</v>
      </c>
      <c r="E14" s="3">
        <v>46073</v>
      </c>
      <c r="F14" s="1" t="str">
        <f>VLOOKUP(D14,Table17[[Name]:[Native]],3,FALSE)</f>
        <v>李沧区</v>
      </c>
      <c r="G14" s="14" t="str">
        <f ca="1">VLOOKUP(F14,Table17[[Native]:[Population4]],5,FALSE)</f>
        <v>青岛市</v>
      </c>
    </row>
    <row r="15" spans="1:7" ht="15.75" thickBot="1" x14ac:dyDescent="0.3">
      <c r="A15" t="s">
        <v>2136</v>
      </c>
      <c r="B15" s="1" t="s">
        <v>2137</v>
      </c>
      <c r="C15" s="1" t="s">
        <v>7</v>
      </c>
      <c r="D15" s="1" t="s">
        <v>2117</v>
      </c>
      <c r="E15" s="3">
        <v>198710</v>
      </c>
      <c r="F15" s="1" t="str">
        <f>VLOOKUP(D15,Table17[[Name]:[Native]],3,FALSE)</f>
        <v>黄岛区</v>
      </c>
      <c r="G15" s="14" t="str">
        <f ca="1">VLOOKUP(F15,Table17[[Native]:[Population4]],5,FALSE)</f>
        <v>青岛市</v>
      </c>
    </row>
    <row r="16" spans="1:7" ht="15.75" thickBot="1" x14ac:dyDescent="0.3">
      <c r="A16" t="s">
        <v>2138</v>
      </c>
      <c r="B16" s="1" t="s">
        <v>2139</v>
      </c>
      <c r="C16" s="1" t="s">
        <v>7</v>
      </c>
      <c r="D16" s="1" t="s">
        <v>2104</v>
      </c>
      <c r="E16" s="3">
        <v>81287</v>
      </c>
      <c r="F16" s="1" t="str">
        <f>VLOOKUP(D16,Table17[[Name]:[Native]],3,FALSE)</f>
        <v>即墨区</v>
      </c>
      <c r="G16" s="14" t="str">
        <f ca="1">VLOOKUP(F16,Table17[[Native]:[Population4]],5,FALSE)</f>
        <v>青岛市</v>
      </c>
    </row>
    <row r="17" spans="1:7" ht="15.75" thickBot="1" x14ac:dyDescent="0.3">
      <c r="A17" t="s">
        <v>2140</v>
      </c>
      <c r="B17" s="1" t="s">
        <v>2141</v>
      </c>
      <c r="C17" s="1" t="s">
        <v>7</v>
      </c>
      <c r="D17" s="1" t="s">
        <v>2142</v>
      </c>
      <c r="E17" s="3">
        <v>226471</v>
      </c>
      <c r="F17" s="1" t="str">
        <f>VLOOKUP(D17,Table17[[Name]:[Native]],3,FALSE)</f>
        <v>城阳区</v>
      </c>
      <c r="G17" s="14" t="str">
        <f ca="1">VLOOKUP(F17,Table17[[Native]:[Population4]],5,FALSE)</f>
        <v>青岛市</v>
      </c>
    </row>
    <row r="18" spans="1:7" ht="15.75" thickBot="1" x14ac:dyDescent="0.3">
      <c r="A18" t="s">
        <v>2143</v>
      </c>
      <c r="B18" s="1" t="s">
        <v>2144</v>
      </c>
      <c r="C18" s="1" t="s">
        <v>13</v>
      </c>
      <c r="D18" s="1" t="s">
        <v>2114</v>
      </c>
      <c r="E18" s="3">
        <v>47651</v>
      </c>
      <c r="F18" s="1" t="str">
        <f>VLOOKUP(D18,Table17[[Name]:[Native]],3,FALSE)</f>
        <v>平度市</v>
      </c>
      <c r="G18" s="14" t="str">
        <f ca="1">VLOOKUP(F18,Table17[[Native]:[Population4]],5,FALSE)</f>
        <v>青岛市</v>
      </c>
    </row>
    <row r="19" spans="1:7" ht="15.75" thickBot="1" x14ac:dyDescent="0.3">
      <c r="A19" t="s">
        <v>2145</v>
      </c>
      <c r="B19" s="1" t="s">
        <v>2146</v>
      </c>
      <c r="C19" s="1" t="s">
        <v>13</v>
      </c>
      <c r="D19" s="1" t="s">
        <v>2117</v>
      </c>
      <c r="E19" s="3">
        <v>42955</v>
      </c>
      <c r="F19" s="1" t="str">
        <f>VLOOKUP(D19,Table17[[Name]:[Native]],3,FALSE)</f>
        <v>黄岛区</v>
      </c>
      <c r="G19" s="14" t="str">
        <f ca="1">VLOOKUP(F19,Table17[[Native]:[Population4]],5,FALSE)</f>
        <v>青岛市</v>
      </c>
    </row>
    <row r="20" spans="1:7" ht="15.75" thickBot="1" x14ac:dyDescent="0.3">
      <c r="A20" t="s">
        <v>2147</v>
      </c>
      <c r="B20" s="1" t="s">
        <v>2148</v>
      </c>
      <c r="C20" s="1" t="s">
        <v>13</v>
      </c>
      <c r="D20" s="1" t="s">
        <v>2117</v>
      </c>
      <c r="E20" s="3">
        <v>49010</v>
      </c>
      <c r="F20" s="1" t="str">
        <f>VLOOKUP(D20,Table17[[Name]:[Native]],3,FALSE)</f>
        <v>黄岛区</v>
      </c>
      <c r="G20" s="14" t="str">
        <f ca="1">VLOOKUP(F20,Table17[[Native]:[Population4]],5,FALSE)</f>
        <v>青岛市</v>
      </c>
    </row>
    <row r="21" spans="1:7" ht="15.75" thickBot="1" x14ac:dyDescent="0.3">
      <c r="A21" t="s">
        <v>2149</v>
      </c>
      <c r="B21" s="1" t="s">
        <v>2150</v>
      </c>
      <c r="C21" s="1" t="s">
        <v>7</v>
      </c>
      <c r="D21" s="1" t="s">
        <v>2151</v>
      </c>
      <c r="E21" s="3">
        <v>44436</v>
      </c>
      <c r="F21" s="1" t="str">
        <f>VLOOKUP(D21,Table17[[Name]:[Native]],3,FALSE)</f>
        <v>市北区</v>
      </c>
      <c r="G21" s="14" t="str">
        <f ca="1">VLOOKUP(F21,Table17[[Native]:[Population4]],5,FALSE)</f>
        <v>青岛市</v>
      </c>
    </row>
    <row r="22" spans="1:7" ht="15.75" thickBot="1" x14ac:dyDescent="0.3">
      <c r="A22" t="s">
        <v>2152</v>
      </c>
      <c r="B22" s="1" t="s">
        <v>2153</v>
      </c>
      <c r="C22" s="1" t="s">
        <v>13</v>
      </c>
      <c r="D22" s="1" t="s">
        <v>2104</v>
      </c>
      <c r="E22" s="3">
        <v>66960</v>
      </c>
      <c r="F22" s="1" t="str">
        <f>VLOOKUP(D22,Table17[[Name]:[Native]],3,FALSE)</f>
        <v>即墨区</v>
      </c>
      <c r="G22" s="14" t="str">
        <f ca="1">VLOOKUP(F22,Table17[[Native]:[Population4]],5,FALSE)</f>
        <v>青岛市</v>
      </c>
    </row>
    <row r="23" spans="1:7" ht="15.75" thickBot="1" x14ac:dyDescent="0.3">
      <c r="A23" t="s">
        <v>2154</v>
      </c>
      <c r="B23" s="1" t="s">
        <v>2155</v>
      </c>
      <c r="C23" s="1" t="s">
        <v>13</v>
      </c>
      <c r="D23" s="1" t="s">
        <v>2114</v>
      </c>
      <c r="E23" s="3">
        <v>60034</v>
      </c>
      <c r="F23" s="1" t="str">
        <f>VLOOKUP(D23,Table17[[Name]:[Native]],3,FALSE)</f>
        <v>平度市</v>
      </c>
      <c r="G23" s="14" t="str">
        <f ca="1">VLOOKUP(F23,Table17[[Native]:[Population4]],5,FALSE)</f>
        <v>青岛市</v>
      </c>
    </row>
    <row r="24" spans="1:7" ht="15.75" thickBot="1" x14ac:dyDescent="0.3">
      <c r="A24" t="s">
        <v>2156</v>
      </c>
      <c r="B24" s="1" t="s">
        <v>2157</v>
      </c>
      <c r="C24" s="1" t="s">
        <v>7</v>
      </c>
      <c r="D24" s="1" t="s">
        <v>2151</v>
      </c>
      <c r="E24" s="3">
        <v>37371</v>
      </c>
      <c r="F24" s="1" t="str">
        <f>VLOOKUP(D24,Table17[[Name]:[Native]],3,FALSE)</f>
        <v>市北区</v>
      </c>
      <c r="G24" s="14" t="str">
        <f ca="1">VLOOKUP(F24,Table17[[Native]:[Population4]],5,FALSE)</f>
        <v>青岛市</v>
      </c>
    </row>
    <row r="25" spans="1:7" ht="15.75" thickBot="1" x14ac:dyDescent="0.3">
      <c r="A25" t="s">
        <v>2158</v>
      </c>
      <c r="B25" s="1" t="s">
        <v>2159</v>
      </c>
      <c r="C25" s="1" t="s">
        <v>13</v>
      </c>
      <c r="D25" s="1" t="s">
        <v>2130</v>
      </c>
      <c r="E25" s="3">
        <v>52613</v>
      </c>
      <c r="F25" s="1" t="str">
        <f>VLOOKUP(D25,Table17[[Name]:[Native]],3,FALSE)</f>
        <v>莱西市</v>
      </c>
      <c r="G25" s="14" t="str">
        <f ca="1">VLOOKUP(F25,Table17[[Native]:[Population4]],5,FALSE)</f>
        <v>青岛市</v>
      </c>
    </row>
    <row r="26" spans="1:7" ht="15.75" thickBot="1" x14ac:dyDescent="0.3">
      <c r="A26" t="s">
        <v>43</v>
      </c>
      <c r="B26" s="1" t="s">
        <v>44</v>
      </c>
      <c r="C26" s="1" t="s">
        <v>13</v>
      </c>
      <c r="D26" s="1" t="s">
        <v>2114</v>
      </c>
      <c r="E26" s="3">
        <v>51267</v>
      </c>
      <c r="F26" s="1" t="str">
        <f>VLOOKUP(D26,Table17[[Name]:[Native]],3,FALSE)</f>
        <v>平度市</v>
      </c>
      <c r="G26" s="14" t="str">
        <f ca="1">VLOOKUP(F26,Table17[[Native]:[Population4]],5,FALSE)</f>
        <v>青岛市</v>
      </c>
    </row>
    <row r="27" spans="1:7" ht="15.75" thickBot="1" x14ac:dyDescent="0.3">
      <c r="A27" t="s">
        <v>2160</v>
      </c>
      <c r="B27" s="1" t="s">
        <v>2161</v>
      </c>
      <c r="C27" s="1" t="s">
        <v>7</v>
      </c>
      <c r="D27" s="1" t="s">
        <v>2114</v>
      </c>
      <c r="E27" s="3">
        <v>176942</v>
      </c>
      <c r="F27" s="1" t="str">
        <f>VLOOKUP(D27,Table17[[Name]:[Native]],3,FALSE)</f>
        <v>平度市</v>
      </c>
      <c r="G27" s="14" t="str">
        <f ca="1">VLOOKUP(F27,Table17[[Native]:[Population4]],5,FALSE)</f>
        <v>青岛市</v>
      </c>
    </row>
    <row r="28" spans="1:7" ht="15.75" thickBot="1" x14ac:dyDescent="0.3">
      <c r="A28" t="s">
        <v>2162</v>
      </c>
      <c r="B28" s="1" t="s">
        <v>2163</v>
      </c>
      <c r="C28" s="1" t="s">
        <v>13</v>
      </c>
      <c r="D28" s="1" t="s">
        <v>2104</v>
      </c>
      <c r="E28" s="3">
        <v>55063</v>
      </c>
      <c r="F28" s="1" t="str">
        <f>VLOOKUP(D28,Table17[[Name]:[Native]],3,FALSE)</f>
        <v>即墨区</v>
      </c>
      <c r="G28" s="14" t="str">
        <f ca="1">VLOOKUP(F28,Table17[[Native]:[Population4]],5,FALSE)</f>
        <v>青岛市</v>
      </c>
    </row>
    <row r="29" spans="1:7" ht="15.75" thickBot="1" x14ac:dyDescent="0.3">
      <c r="A29" t="s">
        <v>2164</v>
      </c>
      <c r="B29" s="1" t="s">
        <v>2165</v>
      </c>
      <c r="C29" s="1" t="s">
        <v>7</v>
      </c>
      <c r="D29" s="1" t="s">
        <v>2151</v>
      </c>
      <c r="E29" s="3">
        <v>43726</v>
      </c>
      <c r="F29" s="1" t="str">
        <f>VLOOKUP(D29,Table17[[Name]:[Native]],3,FALSE)</f>
        <v>市北区</v>
      </c>
      <c r="G29" s="14" t="str">
        <f ca="1">VLOOKUP(F29,Table17[[Native]:[Population4]],5,FALSE)</f>
        <v>青岛市</v>
      </c>
    </row>
    <row r="30" spans="1:7" ht="15.75" thickBot="1" x14ac:dyDescent="0.3">
      <c r="A30" t="s">
        <v>2166</v>
      </c>
      <c r="B30" s="1" t="s">
        <v>2167</v>
      </c>
      <c r="C30" s="1" t="s">
        <v>7</v>
      </c>
      <c r="D30" s="1" t="s">
        <v>2122</v>
      </c>
      <c r="E30" s="3">
        <v>92754</v>
      </c>
      <c r="F30" s="1" t="str">
        <f>VLOOKUP(D30,Table17[[Name]:[Native]],3,FALSE)</f>
        <v>胶州市</v>
      </c>
      <c r="G30" s="14" t="str">
        <f ca="1">VLOOKUP(F30,Table17[[Native]:[Population4]],5,FALSE)</f>
        <v>青岛市</v>
      </c>
    </row>
    <row r="31" spans="1:7" ht="15.75" thickBot="1" x14ac:dyDescent="0.3">
      <c r="A31" t="s">
        <v>2168</v>
      </c>
      <c r="B31" s="1" t="s">
        <v>2169</v>
      </c>
      <c r="C31" s="1" t="s">
        <v>7</v>
      </c>
      <c r="D31" s="1" t="s">
        <v>2135</v>
      </c>
      <c r="E31" s="3">
        <v>60756</v>
      </c>
      <c r="F31" s="1" t="str">
        <f>VLOOKUP(D31,Table17[[Name]:[Native]],3,FALSE)</f>
        <v>李沧区</v>
      </c>
      <c r="G31" s="14" t="str">
        <f ca="1">VLOOKUP(F31,Table17[[Native]:[Population4]],5,FALSE)</f>
        <v>青岛市</v>
      </c>
    </row>
    <row r="32" spans="1:7" ht="15.75" thickBot="1" x14ac:dyDescent="0.3">
      <c r="A32" t="s">
        <v>2170</v>
      </c>
      <c r="B32" s="1" t="s">
        <v>2171</v>
      </c>
      <c r="C32" s="1" t="s">
        <v>7</v>
      </c>
      <c r="D32" s="1" t="s">
        <v>2151</v>
      </c>
      <c r="E32" s="3">
        <v>55625</v>
      </c>
      <c r="F32" s="1" t="str">
        <f>VLOOKUP(D32,Table17[[Name]:[Native]],3,FALSE)</f>
        <v>市北区</v>
      </c>
      <c r="G32" s="14" t="str">
        <f ca="1">VLOOKUP(F32,Table17[[Native]:[Population4]],5,FALSE)</f>
        <v>青岛市</v>
      </c>
    </row>
    <row r="33" spans="1:7" ht="15.75" thickBot="1" x14ac:dyDescent="0.3">
      <c r="A33" t="s">
        <v>2172</v>
      </c>
      <c r="B33" s="1" t="s">
        <v>2173</v>
      </c>
      <c r="C33" s="1" t="s">
        <v>7</v>
      </c>
      <c r="D33" s="1" t="s">
        <v>2151</v>
      </c>
      <c r="E33" s="3">
        <v>94170</v>
      </c>
      <c r="F33" s="1" t="str">
        <f>VLOOKUP(D33,Table17[[Name]:[Native]],3,FALSE)</f>
        <v>市北区</v>
      </c>
      <c r="G33" s="14" t="str">
        <f ca="1">VLOOKUP(F33,Table17[[Native]:[Population4]],5,FALSE)</f>
        <v>青岛市</v>
      </c>
    </row>
    <row r="34" spans="1:7" ht="15.75" thickBot="1" x14ac:dyDescent="0.3">
      <c r="A34" t="s">
        <v>2174</v>
      </c>
      <c r="B34" s="1" t="s">
        <v>2175</v>
      </c>
      <c r="C34" s="1" t="s">
        <v>7</v>
      </c>
      <c r="D34" s="1" t="s">
        <v>2107</v>
      </c>
      <c r="E34" s="3">
        <v>17284</v>
      </c>
      <c r="F34" s="1" t="str">
        <f>VLOOKUP(D34,Table17[[Name]:[Native]],3,FALSE)</f>
        <v>市南区</v>
      </c>
      <c r="G34" s="14" t="str">
        <f ca="1">VLOOKUP(F34,Table17[[Native]:[Population4]],5,FALSE)</f>
        <v>青岛市</v>
      </c>
    </row>
    <row r="35" spans="1:7" ht="15.75" thickBot="1" x14ac:dyDescent="0.3">
      <c r="A35" t="s">
        <v>2176</v>
      </c>
      <c r="B35" s="1" t="s">
        <v>2177</v>
      </c>
      <c r="C35" s="1" t="s">
        <v>7</v>
      </c>
      <c r="D35" s="1" t="s">
        <v>2130</v>
      </c>
      <c r="E35" s="3">
        <v>72496</v>
      </c>
      <c r="F35" s="1" t="str">
        <f>VLOOKUP(D35,Table17[[Name]:[Native]],3,FALSE)</f>
        <v>莱西市</v>
      </c>
      <c r="G35" s="14" t="str">
        <f ca="1">VLOOKUP(F35,Table17[[Native]:[Population4]],5,FALSE)</f>
        <v>青岛市</v>
      </c>
    </row>
    <row r="36" spans="1:7" ht="15.75" thickBot="1" x14ac:dyDescent="0.3">
      <c r="A36" t="s">
        <v>2178</v>
      </c>
      <c r="B36" s="1" t="s">
        <v>2179</v>
      </c>
      <c r="C36" s="1" t="s">
        <v>13</v>
      </c>
      <c r="D36" s="1" t="s">
        <v>2114</v>
      </c>
      <c r="E36" s="3">
        <v>44533</v>
      </c>
      <c r="F36" s="1" t="str">
        <f>VLOOKUP(D36,Table17[[Name]:[Native]],3,FALSE)</f>
        <v>平度市</v>
      </c>
      <c r="G36" s="14" t="str">
        <f ca="1">VLOOKUP(F36,Table17[[Native]:[Population4]],5,FALSE)</f>
        <v>青岛市</v>
      </c>
    </row>
    <row r="37" spans="1:7" ht="15.75" thickBot="1" x14ac:dyDescent="0.3">
      <c r="A37" t="s">
        <v>2180</v>
      </c>
      <c r="B37" s="1" t="s">
        <v>2181</v>
      </c>
      <c r="C37" s="1" t="s">
        <v>7</v>
      </c>
      <c r="D37" s="1" t="s">
        <v>2151</v>
      </c>
      <c r="E37" s="3">
        <v>60432</v>
      </c>
      <c r="F37" s="1" t="str">
        <f>VLOOKUP(D37,Table17[[Name]:[Native]],3,FALSE)</f>
        <v>市北区</v>
      </c>
      <c r="G37" s="14" t="str">
        <f ca="1">VLOOKUP(F37,Table17[[Native]:[Population4]],5,FALSE)</f>
        <v>青岛市</v>
      </c>
    </row>
    <row r="38" spans="1:7" ht="15.75" thickBot="1" x14ac:dyDescent="0.3">
      <c r="A38" t="s">
        <v>2182</v>
      </c>
      <c r="B38" s="1" t="s">
        <v>2183</v>
      </c>
      <c r="C38" s="1" t="s">
        <v>13</v>
      </c>
      <c r="D38" s="1" t="s">
        <v>2117</v>
      </c>
      <c r="E38" s="3">
        <v>33964</v>
      </c>
      <c r="F38" s="1" t="str">
        <f>VLOOKUP(D38,Table17[[Name]:[Native]],3,FALSE)</f>
        <v>黄岛区</v>
      </c>
      <c r="G38" s="14" t="str">
        <f ca="1">VLOOKUP(F38,Table17[[Native]:[Population4]],5,FALSE)</f>
        <v>青岛市</v>
      </c>
    </row>
    <row r="39" spans="1:7" ht="15.75" thickBot="1" x14ac:dyDescent="0.3">
      <c r="A39" t="s">
        <v>2184</v>
      </c>
      <c r="B39" s="1" t="s">
        <v>2185</v>
      </c>
      <c r="C39" s="1" t="s">
        <v>7</v>
      </c>
      <c r="D39" s="1" t="s">
        <v>2151</v>
      </c>
      <c r="E39" s="3">
        <v>23192</v>
      </c>
      <c r="F39" s="1" t="str">
        <f>VLOOKUP(D39,Table17[[Name]:[Native]],3,FALSE)</f>
        <v>市北区</v>
      </c>
      <c r="G39" s="14" t="str">
        <f ca="1">VLOOKUP(F39,Table17[[Native]:[Population4]],5,FALSE)</f>
        <v>青岛市</v>
      </c>
    </row>
    <row r="40" spans="1:7" ht="15.75" thickBot="1" x14ac:dyDescent="0.3">
      <c r="A40" t="s">
        <v>2186</v>
      </c>
      <c r="B40" s="1" t="s">
        <v>2187</v>
      </c>
      <c r="C40" s="1" t="s">
        <v>7</v>
      </c>
      <c r="D40" s="1" t="s">
        <v>2142</v>
      </c>
      <c r="E40" s="3">
        <v>47826</v>
      </c>
      <c r="F40" s="1" t="str">
        <f>VLOOKUP(D40,Table17[[Name]:[Native]],3,FALSE)</f>
        <v>城阳区</v>
      </c>
      <c r="G40" s="14" t="str">
        <f ca="1">VLOOKUP(F40,Table17[[Native]:[Population4]],5,FALSE)</f>
        <v>青岛市</v>
      </c>
    </row>
    <row r="41" spans="1:7" ht="15.75" thickBot="1" x14ac:dyDescent="0.3">
      <c r="A41" t="s">
        <v>2188</v>
      </c>
      <c r="B41" s="1" t="s">
        <v>2189</v>
      </c>
      <c r="C41" s="1" t="s">
        <v>13</v>
      </c>
      <c r="D41" s="1" t="s">
        <v>2130</v>
      </c>
      <c r="E41" s="3">
        <v>38398</v>
      </c>
      <c r="F41" s="1" t="str">
        <f>VLOOKUP(D41,Table17[[Name]:[Native]],3,FALSE)</f>
        <v>莱西市</v>
      </c>
      <c r="G41" s="14" t="str">
        <f ca="1">VLOOKUP(F41,Table17[[Native]:[Population4]],5,FALSE)</f>
        <v>青岛市</v>
      </c>
    </row>
    <row r="42" spans="1:7" ht="15.75" thickBot="1" x14ac:dyDescent="0.3">
      <c r="A42" t="s">
        <v>2190</v>
      </c>
      <c r="B42" s="1" t="s">
        <v>2191</v>
      </c>
      <c r="C42" s="1" t="s">
        <v>7</v>
      </c>
      <c r="D42" s="1" t="s">
        <v>2151</v>
      </c>
      <c r="E42" s="3">
        <v>23468</v>
      </c>
      <c r="F42" s="1" t="str">
        <f>VLOOKUP(D42,Table17[[Name]:[Native]],3,FALSE)</f>
        <v>市北区</v>
      </c>
      <c r="G42" s="14" t="str">
        <f ca="1">VLOOKUP(F42,Table17[[Native]:[Population4]],5,FALSE)</f>
        <v>青岛市</v>
      </c>
    </row>
    <row r="43" spans="1:7" ht="15.75" thickBot="1" x14ac:dyDescent="0.3">
      <c r="A43" t="s">
        <v>2192</v>
      </c>
      <c r="B43" s="1" t="s">
        <v>2193</v>
      </c>
      <c r="C43" s="1" t="s">
        <v>7</v>
      </c>
      <c r="D43" s="1" t="s">
        <v>2142</v>
      </c>
      <c r="E43" s="3">
        <v>41673</v>
      </c>
      <c r="F43" s="1" t="str">
        <f>VLOOKUP(D43,Table17[[Name]:[Native]],3,FALSE)</f>
        <v>城阳区</v>
      </c>
      <c r="G43" s="14" t="str">
        <f ca="1">VLOOKUP(F43,Table17[[Native]:[Population4]],5,FALSE)</f>
        <v>青岛市</v>
      </c>
    </row>
    <row r="44" spans="1:7" ht="15.75" thickBot="1" x14ac:dyDescent="0.3">
      <c r="A44" t="s">
        <v>2194</v>
      </c>
      <c r="B44" s="1" t="s">
        <v>2195</v>
      </c>
      <c r="C44" s="1" t="s">
        <v>7</v>
      </c>
      <c r="D44" s="1" t="s">
        <v>2151</v>
      </c>
      <c r="E44" s="3">
        <v>30812</v>
      </c>
      <c r="F44" s="1" t="str">
        <f>VLOOKUP(D44,Table17[[Name]:[Native]],3,FALSE)</f>
        <v>市北区</v>
      </c>
      <c r="G44" s="14" t="str">
        <f ca="1">VLOOKUP(F44,Table17[[Native]:[Population4]],5,FALSE)</f>
        <v>青岛市</v>
      </c>
    </row>
    <row r="45" spans="1:7" ht="15.75" thickBot="1" x14ac:dyDescent="0.3">
      <c r="A45" t="s">
        <v>2196</v>
      </c>
      <c r="B45" s="1" t="s">
        <v>2197</v>
      </c>
      <c r="C45" s="1" t="s">
        <v>7</v>
      </c>
      <c r="D45" s="1" t="s">
        <v>2117</v>
      </c>
      <c r="E45" s="3">
        <v>33610</v>
      </c>
      <c r="F45" s="1" t="str">
        <f>VLOOKUP(D45,Table17[[Name]:[Native]],3,FALSE)</f>
        <v>黄岛区</v>
      </c>
      <c r="G45" s="14" t="str">
        <f ca="1">VLOOKUP(F45,Table17[[Native]:[Population4]],5,FALSE)</f>
        <v>青岛市</v>
      </c>
    </row>
    <row r="46" spans="1:7" ht="15.75" thickBot="1" x14ac:dyDescent="0.3">
      <c r="A46" t="s">
        <v>2198</v>
      </c>
      <c r="B46" s="1" t="s">
        <v>2199</v>
      </c>
      <c r="C46" s="1" t="s">
        <v>7</v>
      </c>
      <c r="D46" s="1" t="s">
        <v>2117</v>
      </c>
      <c r="E46" s="3">
        <v>76768</v>
      </c>
      <c r="F46" s="1" t="str">
        <f>VLOOKUP(D46,Table17[[Name]:[Native]],3,FALSE)</f>
        <v>黄岛区</v>
      </c>
      <c r="G46" s="14" t="str">
        <f ca="1">VLOOKUP(F46,Table17[[Native]:[Population4]],5,FALSE)</f>
        <v>青岛市</v>
      </c>
    </row>
    <row r="47" spans="1:7" ht="15.75" thickBot="1" x14ac:dyDescent="0.3">
      <c r="A47" t="s">
        <v>2200</v>
      </c>
      <c r="B47" s="1" t="s">
        <v>2201</v>
      </c>
      <c r="C47" s="1" t="s">
        <v>7</v>
      </c>
      <c r="D47" s="1" t="s">
        <v>2104</v>
      </c>
      <c r="E47" s="3">
        <v>70109</v>
      </c>
      <c r="F47" s="1" t="str">
        <f>VLOOKUP(D47,Table17[[Name]:[Native]],3,FALSE)</f>
        <v>即墨区</v>
      </c>
      <c r="G47" s="14" t="str">
        <f ca="1">VLOOKUP(F47,Table17[[Native]:[Population4]],5,FALSE)</f>
        <v>青岛市</v>
      </c>
    </row>
    <row r="48" spans="1:7" ht="15.75" thickBot="1" x14ac:dyDescent="0.3">
      <c r="A48" t="s">
        <v>2202</v>
      </c>
      <c r="B48" s="1" t="s">
        <v>2203</v>
      </c>
      <c r="C48" s="1" t="s">
        <v>7</v>
      </c>
      <c r="D48" s="1" t="s">
        <v>2135</v>
      </c>
      <c r="E48" s="3">
        <v>65490</v>
      </c>
      <c r="F48" s="1" t="str">
        <f>VLOOKUP(D48,Table17[[Name]:[Native]],3,FALSE)</f>
        <v>李沧区</v>
      </c>
      <c r="G48" s="14" t="str">
        <f ca="1">VLOOKUP(F48,Table17[[Native]:[Population4]],5,FALSE)</f>
        <v>青岛市</v>
      </c>
    </row>
    <row r="49" spans="1:7" ht="15.75" thickBot="1" x14ac:dyDescent="0.3">
      <c r="A49" t="s">
        <v>2204</v>
      </c>
      <c r="B49" s="1" t="s">
        <v>2205</v>
      </c>
      <c r="C49" s="1" t="s">
        <v>13</v>
      </c>
      <c r="D49" s="1" t="s">
        <v>2130</v>
      </c>
      <c r="E49" s="3">
        <v>86642</v>
      </c>
      <c r="F49" s="1" t="str">
        <f>VLOOKUP(D49,Table17[[Name]:[Native]],3,FALSE)</f>
        <v>莱西市</v>
      </c>
      <c r="G49" s="14" t="str">
        <f ca="1">VLOOKUP(F49,Table17[[Native]:[Population4]],5,FALSE)</f>
        <v>青岛市</v>
      </c>
    </row>
    <row r="50" spans="1:7" ht="15.75" thickBot="1" x14ac:dyDescent="0.3">
      <c r="A50" t="s">
        <v>2206</v>
      </c>
      <c r="B50" s="1" t="s">
        <v>2207</v>
      </c>
      <c r="C50" s="1" t="s">
        <v>7</v>
      </c>
      <c r="D50" s="1" t="s">
        <v>2107</v>
      </c>
      <c r="E50" s="3">
        <v>28807</v>
      </c>
      <c r="F50" s="1" t="str">
        <f>VLOOKUP(D50,Table17[[Name]:[Native]],3,FALSE)</f>
        <v>市南区</v>
      </c>
      <c r="G50" s="14" t="str">
        <f ca="1">VLOOKUP(F50,Table17[[Native]:[Population4]],5,FALSE)</f>
        <v>青岛市</v>
      </c>
    </row>
    <row r="51" spans="1:7" ht="15.75" thickBot="1" x14ac:dyDescent="0.3">
      <c r="A51" t="s">
        <v>2208</v>
      </c>
      <c r="B51" s="1" t="s">
        <v>2209</v>
      </c>
      <c r="C51" s="1" t="s">
        <v>7</v>
      </c>
      <c r="D51" s="1" t="s">
        <v>2122</v>
      </c>
      <c r="E51" s="3">
        <v>30248</v>
      </c>
      <c r="F51" s="1" t="str">
        <f>VLOOKUP(D51,Table17[[Name]:[Native]],3,FALSE)</f>
        <v>胶州市</v>
      </c>
      <c r="G51" s="14" t="str">
        <f ca="1">VLOOKUP(F51,Table17[[Native]:[Population4]],5,FALSE)</f>
        <v>青岛市</v>
      </c>
    </row>
    <row r="52" spans="1:7" ht="15.75" thickBot="1" x14ac:dyDescent="0.3">
      <c r="A52" t="s">
        <v>2210</v>
      </c>
      <c r="B52" s="1" t="s">
        <v>2211</v>
      </c>
      <c r="C52" s="1" t="s">
        <v>7</v>
      </c>
      <c r="D52" s="1" t="s">
        <v>2122</v>
      </c>
      <c r="E52" s="3">
        <v>61029</v>
      </c>
      <c r="F52" s="1" t="str">
        <f>VLOOKUP(D52,Table17[[Name]:[Native]],3,FALSE)</f>
        <v>胶州市</v>
      </c>
      <c r="G52" s="14" t="str">
        <f ca="1">VLOOKUP(F52,Table17[[Native]:[Population4]],5,FALSE)</f>
        <v>青岛市</v>
      </c>
    </row>
    <row r="53" spans="1:7" ht="15.75" thickBot="1" x14ac:dyDescent="0.3">
      <c r="A53" t="s">
        <v>2212</v>
      </c>
      <c r="B53" s="1" t="s">
        <v>2213</v>
      </c>
      <c r="C53" s="1" t="s">
        <v>7</v>
      </c>
      <c r="D53" s="1" t="s">
        <v>2122</v>
      </c>
      <c r="E53" s="3">
        <v>76029</v>
      </c>
      <c r="F53" s="1" t="str">
        <f>VLOOKUP(D53,Table17[[Name]:[Native]],3,FALSE)</f>
        <v>胶州市</v>
      </c>
      <c r="G53" s="14" t="str">
        <f ca="1">VLOOKUP(F53,Table17[[Native]:[Population4]],5,FALSE)</f>
        <v>青岛市</v>
      </c>
    </row>
    <row r="54" spans="1:7" ht="15.75" thickBot="1" x14ac:dyDescent="0.3">
      <c r="A54" t="s">
        <v>2214</v>
      </c>
      <c r="B54" s="1" t="s">
        <v>2215</v>
      </c>
      <c r="C54" s="1" t="s">
        <v>7</v>
      </c>
      <c r="D54" s="1" t="s">
        <v>2122</v>
      </c>
      <c r="E54" s="3">
        <v>80032</v>
      </c>
      <c r="F54" s="1" t="str">
        <f>VLOOKUP(D54,Table17[[Name]:[Native]],3,FALSE)</f>
        <v>胶州市</v>
      </c>
      <c r="G54" s="14" t="str">
        <f ca="1">VLOOKUP(F54,Table17[[Native]:[Population4]],5,FALSE)</f>
        <v>青岛市</v>
      </c>
    </row>
    <row r="55" spans="1:7" ht="15.75" thickBot="1" x14ac:dyDescent="0.3">
      <c r="A55" t="s">
        <v>2216</v>
      </c>
      <c r="B55" s="1" t="s">
        <v>2217</v>
      </c>
      <c r="C55" s="1" t="s">
        <v>7</v>
      </c>
      <c r="D55" s="1" t="s">
        <v>2142</v>
      </c>
      <c r="E55" s="3">
        <v>66597</v>
      </c>
      <c r="F55" s="1" t="str">
        <f>VLOOKUP(D55,Table17[[Name]:[Native]],3,FALSE)</f>
        <v>城阳区</v>
      </c>
      <c r="G55" s="14" t="str">
        <f ca="1">VLOOKUP(F55,Table17[[Native]:[Population4]],5,FALSE)</f>
        <v>青岛市</v>
      </c>
    </row>
    <row r="56" spans="1:7" ht="15.75" thickBot="1" x14ac:dyDescent="0.3">
      <c r="A56" t="s">
        <v>2218</v>
      </c>
      <c r="B56" s="1" t="s">
        <v>2219</v>
      </c>
      <c r="C56" s="1" t="s">
        <v>7</v>
      </c>
      <c r="D56" s="1" t="s">
        <v>2151</v>
      </c>
      <c r="E56" s="3">
        <v>42000</v>
      </c>
      <c r="F56" s="1" t="str">
        <f>VLOOKUP(D56,Table17[[Name]:[Native]],3,FALSE)</f>
        <v>市北区</v>
      </c>
      <c r="G56" s="14" t="str">
        <f ca="1">VLOOKUP(F56,Table17[[Native]:[Population4]],5,FALSE)</f>
        <v>青岛市</v>
      </c>
    </row>
    <row r="57" spans="1:7" ht="15.75" thickBot="1" x14ac:dyDescent="0.3">
      <c r="A57" t="s">
        <v>2220</v>
      </c>
      <c r="B57" s="1" t="s">
        <v>2221</v>
      </c>
      <c r="C57" s="1" t="s">
        <v>7</v>
      </c>
      <c r="D57" s="1" t="s">
        <v>2107</v>
      </c>
      <c r="E57" s="3">
        <v>47617</v>
      </c>
      <c r="F57" s="1" t="str">
        <f>VLOOKUP(D57,Table17[[Name]:[Native]],3,FALSE)</f>
        <v>市南区</v>
      </c>
      <c r="G57" s="14" t="str">
        <f ca="1">VLOOKUP(F57,Table17[[Native]:[Population4]],5,FALSE)</f>
        <v>青岛市</v>
      </c>
    </row>
    <row r="58" spans="1:7" ht="15.75" thickBot="1" x14ac:dyDescent="0.3">
      <c r="A58" t="s">
        <v>2222</v>
      </c>
      <c r="B58" s="1" t="s">
        <v>2223</v>
      </c>
      <c r="C58" s="1" t="s">
        <v>7</v>
      </c>
      <c r="D58" s="1" t="s">
        <v>2107</v>
      </c>
      <c r="E58" s="3">
        <v>28728</v>
      </c>
      <c r="F58" s="1" t="str">
        <f>VLOOKUP(D58,Table17[[Name]:[Native]],3,FALSE)</f>
        <v>市南区</v>
      </c>
      <c r="G58" s="14" t="str">
        <f ca="1">VLOOKUP(F58,Table17[[Native]:[Population4]],5,FALSE)</f>
        <v>青岛市</v>
      </c>
    </row>
    <row r="59" spans="1:7" ht="15.75" thickBot="1" x14ac:dyDescent="0.3">
      <c r="A59" t="s">
        <v>2224</v>
      </c>
      <c r="B59" s="1" t="s">
        <v>2225</v>
      </c>
      <c r="C59" s="1" t="s">
        <v>13</v>
      </c>
      <c r="D59" s="1" t="s">
        <v>2104</v>
      </c>
      <c r="E59" s="3">
        <v>73598</v>
      </c>
      <c r="F59" s="1" t="str">
        <f>VLOOKUP(D59,Table17[[Name]:[Native]],3,FALSE)</f>
        <v>即墨区</v>
      </c>
      <c r="G59" s="14" t="str">
        <f ca="1">VLOOKUP(F59,Table17[[Native]:[Population4]],5,FALSE)</f>
        <v>青岛市</v>
      </c>
    </row>
    <row r="60" spans="1:7" ht="15.75" thickBot="1" x14ac:dyDescent="0.3">
      <c r="A60" t="s">
        <v>2226</v>
      </c>
      <c r="B60" s="1" t="s">
        <v>2227</v>
      </c>
      <c r="C60" s="1" t="s">
        <v>7</v>
      </c>
      <c r="D60" s="1" t="s">
        <v>2107</v>
      </c>
      <c r="E60" s="3">
        <v>84662</v>
      </c>
      <c r="F60" s="1" t="str">
        <f>VLOOKUP(D60,Table17[[Name]:[Native]],3,FALSE)</f>
        <v>市南区</v>
      </c>
      <c r="G60" s="14" t="str">
        <f ca="1">VLOOKUP(F60,Table17[[Native]:[Population4]],5,FALSE)</f>
        <v>青岛市</v>
      </c>
    </row>
    <row r="61" spans="1:7" ht="15.75" thickBot="1" x14ac:dyDescent="0.3">
      <c r="A61" t="s">
        <v>2228</v>
      </c>
      <c r="B61" s="1" t="s">
        <v>2229</v>
      </c>
      <c r="C61" s="1" t="s">
        <v>13</v>
      </c>
      <c r="D61" s="1" t="s">
        <v>2114</v>
      </c>
      <c r="E61" s="3">
        <v>97604</v>
      </c>
      <c r="F61" s="1" t="str">
        <f>VLOOKUP(D61,Table17[[Name]:[Native]],3,FALSE)</f>
        <v>平度市</v>
      </c>
      <c r="G61" s="14" t="str">
        <f ca="1">VLOOKUP(F61,Table17[[Native]:[Population4]],5,FALSE)</f>
        <v>青岛市</v>
      </c>
    </row>
    <row r="62" spans="1:7" ht="15.75" thickBot="1" x14ac:dyDescent="0.3">
      <c r="A62" t="s">
        <v>2230</v>
      </c>
      <c r="B62" s="1" t="s">
        <v>2231</v>
      </c>
      <c r="C62" s="1" t="s">
        <v>7</v>
      </c>
      <c r="D62" s="1" t="s">
        <v>2122</v>
      </c>
      <c r="E62" s="3">
        <v>28138</v>
      </c>
      <c r="F62" s="1" t="str">
        <f>VLOOKUP(D62,Table17[[Name]:[Native]],3,FALSE)</f>
        <v>胶州市</v>
      </c>
      <c r="G62" s="14" t="str">
        <f ca="1">VLOOKUP(F62,Table17[[Native]:[Population4]],5,FALSE)</f>
        <v>青岛市</v>
      </c>
    </row>
    <row r="63" spans="1:7" ht="15.75" thickBot="1" x14ac:dyDescent="0.3">
      <c r="A63" t="s">
        <v>2232</v>
      </c>
      <c r="B63" s="1" t="s">
        <v>2233</v>
      </c>
      <c r="C63" s="1" t="s">
        <v>7</v>
      </c>
      <c r="D63" s="1" t="s">
        <v>2135</v>
      </c>
      <c r="E63" s="3">
        <v>63495</v>
      </c>
      <c r="F63" s="1" t="str">
        <f>VLOOKUP(D63,Table17[[Name]:[Native]],3,FALSE)</f>
        <v>李沧区</v>
      </c>
      <c r="G63" s="14" t="str">
        <f ca="1">VLOOKUP(F63,Table17[[Native]:[Population4]],5,FALSE)</f>
        <v>青岛市</v>
      </c>
    </row>
    <row r="64" spans="1:7" ht="15.75" thickBot="1" x14ac:dyDescent="0.3">
      <c r="A64" t="s">
        <v>2234</v>
      </c>
      <c r="B64" s="1" t="s">
        <v>2235</v>
      </c>
      <c r="C64" s="1" t="s">
        <v>7</v>
      </c>
      <c r="D64" s="1" t="s">
        <v>2104</v>
      </c>
      <c r="E64" s="3">
        <v>86224</v>
      </c>
      <c r="F64" s="1" t="str">
        <f>VLOOKUP(D64,Table17[[Name]:[Native]],3,FALSE)</f>
        <v>即墨区</v>
      </c>
      <c r="G64" s="14" t="str">
        <f ca="1">VLOOKUP(F64,Table17[[Native]:[Population4]],5,FALSE)</f>
        <v>青岛市</v>
      </c>
    </row>
    <row r="65" spans="1:7" ht="15.75" thickBot="1" x14ac:dyDescent="0.3">
      <c r="A65" t="s">
        <v>2236</v>
      </c>
      <c r="B65" s="1" t="s">
        <v>2237</v>
      </c>
      <c r="C65" s="1" t="s">
        <v>13</v>
      </c>
      <c r="D65" s="1" t="s">
        <v>2117</v>
      </c>
      <c r="E65" s="3">
        <v>35743</v>
      </c>
      <c r="F65" s="1" t="str">
        <f>VLOOKUP(D65,Table17[[Name]:[Native]],3,FALSE)</f>
        <v>黄岛区</v>
      </c>
      <c r="G65" s="14" t="str">
        <f ca="1">VLOOKUP(F65,Table17[[Native]:[Population4]],5,FALSE)</f>
        <v>青岛市</v>
      </c>
    </row>
    <row r="66" spans="1:7" ht="15.75" thickBot="1" x14ac:dyDescent="0.3">
      <c r="A66" t="s">
        <v>2238</v>
      </c>
      <c r="B66" s="1" t="s">
        <v>2239</v>
      </c>
      <c r="C66" s="1" t="s">
        <v>13</v>
      </c>
      <c r="D66" s="1" t="s">
        <v>2114</v>
      </c>
      <c r="E66" s="3">
        <v>84306</v>
      </c>
      <c r="F66" s="1" t="str">
        <f>VLOOKUP(D66,Table17[[Name]:[Native]],3,FALSE)</f>
        <v>平度市</v>
      </c>
      <c r="G66" s="14" t="str">
        <f ca="1">VLOOKUP(F66,Table17[[Native]:[Population4]],5,FALSE)</f>
        <v>青岛市</v>
      </c>
    </row>
    <row r="67" spans="1:7" ht="15.75" thickBot="1" x14ac:dyDescent="0.3">
      <c r="A67" t="s">
        <v>2240</v>
      </c>
      <c r="B67" s="1" t="s">
        <v>2241</v>
      </c>
      <c r="C67" s="1" t="s">
        <v>7</v>
      </c>
      <c r="D67" s="1" t="s">
        <v>2151</v>
      </c>
      <c r="E67" s="3">
        <v>51199</v>
      </c>
      <c r="F67" s="1" t="str">
        <f>VLOOKUP(D67,Table17[[Name]:[Native]],3,FALSE)</f>
        <v>市北区</v>
      </c>
      <c r="G67" s="14" t="str">
        <f ca="1">VLOOKUP(F67,Table17[[Native]:[Population4]],5,FALSE)</f>
        <v>青岛市</v>
      </c>
    </row>
    <row r="68" spans="1:7" ht="15.75" thickBot="1" x14ac:dyDescent="0.3">
      <c r="A68" t="s">
        <v>2242</v>
      </c>
      <c r="B68" s="1" t="s">
        <v>2243</v>
      </c>
      <c r="C68" s="1" t="s">
        <v>7</v>
      </c>
      <c r="D68" s="1" t="s">
        <v>2151</v>
      </c>
      <c r="E68" s="3">
        <v>45462</v>
      </c>
      <c r="F68" s="1" t="str">
        <f>VLOOKUP(D68,Table17[[Name]:[Native]],3,FALSE)</f>
        <v>市北区</v>
      </c>
      <c r="G68" s="14" t="str">
        <f ca="1">VLOOKUP(F68,Table17[[Native]:[Population4]],5,FALSE)</f>
        <v>青岛市</v>
      </c>
    </row>
    <row r="69" spans="1:7" ht="15.75" thickBot="1" x14ac:dyDescent="0.3">
      <c r="A69" t="s">
        <v>2244</v>
      </c>
      <c r="B69" s="1" t="s">
        <v>2245</v>
      </c>
      <c r="C69" s="1" t="s">
        <v>13</v>
      </c>
      <c r="D69" s="1" t="s">
        <v>2122</v>
      </c>
      <c r="E69" s="3">
        <v>55140</v>
      </c>
      <c r="F69" s="1" t="str">
        <f>VLOOKUP(D69,Table17[[Name]:[Native]],3,FALSE)</f>
        <v>胶州市</v>
      </c>
      <c r="G69" s="14" t="str">
        <f ca="1">VLOOKUP(F69,Table17[[Native]:[Population4]],5,FALSE)</f>
        <v>青岛市</v>
      </c>
    </row>
    <row r="70" spans="1:7" ht="15.75" thickBot="1" x14ac:dyDescent="0.3">
      <c r="A70" t="s">
        <v>2246</v>
      </c>
      <c r="B70" s="1" t="s">
        <v>2247</v>
      </c>
      <c r="C70" s="1" t="s">
        <v>7</v>
      </c>
      <c r="D70" s="1" t="s">
        <v>2135</v>
      </c>
      <c r="E70" s="3">
        <v>91592</v>
      </c>
      <c r="F70" s="1" t="str">
        <f>VLOOKUP(D70,Table17[[Name]:[Native]],3,FALSE)</f>
        <v>李沧区</v>
      </c>
      <c r="G70" s="14" t="str">
        <f ca="1">VLOOKUP(F70,Table17[[Native]:[Population4]],5,FALSE)</f>
        <v>青岛市</v>
      </c>
    </row>
    <row r="71" spans="1:7" ht="15.75" thickBot="1" x14ac:dyDescent="0.3">
      <c r="A71" t="s">
        <v>2248</v>
      </c>
      <c r="B71" s="1" t="s">
        <v>2249</v>
      </c>
      <c r="C71" s="1" t="s">
        <v>13</v>
      </c>
      <c r="D71" s="1" t="s">
        <v>2122</v>
      </c>
      <c r="E71" s="3">
        <v>65714</v>
      </c>
      <c r="F71" s="1" t="str">
        <f>VLOOKUP(D71,Table17[[Name]:[Native]],3,FALSE)</f>
        <v>胶州市</v>
      </c>
      <c r="G71" s="14" t="str">
        <f ca="1">VLOOKUP(F71,Table17[[Native]:[Population4]],5,FALSE)</f>
        <v>青岛市</v>
      </c>
    </row>
    <row r="72" spans="1:7" ht="15.75" thickBot="1" x14ac:dyDescent="0.3">
      <c r="A72" t="s">
        <v>2250</v>
      </c>
      <c r="B72" s="1" t="s">
        <v>2251</v>
      </c>
      <c r="C72" s="1" t="s">
        <v>7</v>
      </c>
      <c r="D72" s="1" t="s">
        <v>2104</v>
      </c>
      <c r="E72" s="3">
        <v>67569</v>
      </c>
      <c r="F72" s="1" t="str">
        <f>VLOOKUP(D72,Table17[[Name]:[Native]],3,FALSE)</f>
        <v>即墨区</v>
      </c>
      <c r="G72" s="14" t="str">
        <f ca="1">VLOOKUP(F72,Table17[[Native]:[Population4]],5,FALSE)</f>
        <v>青岛市</v>
      </c>
    </row>
    <row r="73" spans="1:7" ht="15.75" thickBot="1" x14ac:dyDescent="0.3">
      <c r="A73" t="s">
        <v>2252</v>
      </c>
      <c r="B73" s="1" t="s">
        <v>2253</v>
      </c>
      <c r="C73" s="1" t="s">
        <v>7</v>
      </c>
      <c r="D73" s="1" t="s">
        <v>2117</v>
      </c>
      <c r="E73" s="3">
        <v>60168</v>
      </c>
      <c r="F73" s="1" t="str">
        <f>VLOOKUP(D73,Table17[[Name]:[Native]],3,FALSE)</f>
        <v>黄岛区</v>
      </c>
      <c r="G73" s="14" t="str">
        <f ca="1">VLOOKUP(F73,Table17[[Native]:[Population4]],5,FALSE)</f>
        <v>青岛市</v>
      </c>
    </row>
    <row r="74" spans="1:7" ht="15.75" thickBot="1" x14ac:dyDescent="0.3">
      <c r="A74" t="s">
        <v>2254</v>
      </c>
      <c r="B74" s="1" t="s">
        <v>2255</v>
      </c>
      <c r="C74" s="1" t="s">
        <v>7</v>
      </c>
      <c r="D74" s="1" t="s">
        <v>2117</v>
      </c>
      <c r="E74" s="3">
        <v>12939</v>
      </c>
      <c r="F74" s="1" t="str">
        <f>VLOOKUP(D74,Table17[[Name]:[Native]],3,FALSE)</f>
        <v>黄岛区</v>
      </c>
      <c r="G74" s="14" t="str">
        <f ca="1">VLOOKUP(F74,Table17[[Native]:[Population4]],5,FALSE)</f>
        <v>青岛市</v>
      </c>
    </row>
    <row r="75" spans="1:7" ht="15.75" thickBot="1" x14ac:dyDescent="0.3">
      <c r="A75" t="s">
        <v>2256</v>
      </c>
      <c r="B75" s="1" t="s">
        <v>2257</v>
      </c>
      <c r="C75" s="1" t="s">
        <v>7</v>
      </c>
      <c r="D75" s="1" t="s">
        <v>2142</v>
      </c>
      <c r="E75" s="3">
        <v>132978</v>
      </c>
      <c r="F75" s="1" t="str">
        <f>VLOOKUP(D75,Table17[[Name]:[Native]],3,FALSE)</f>
        <v>城阳区</v>
      </c>
      <c r="G75" s="14" t="str">
        <f ca="1">VLOOKUP(F75,Table17[[Native]:[Population4]],5,FALSE)</f>
        <v>青岛市</v>
      </c>
    </row>
    <row r="76" spans="1:7" ht="15.75" thickBot="1" x14ac:dyDescent="0.3">
      <c r="A76" t="s">
        <v>2258</v>
      </c>
      <c r="B76" s="1" t="s">
        <v>2259</v>
      </c>
      <c r="C76" s="1" t="s">
        <v>13</v>
      </c>
      <c r="D76" s="1" t="s">
        <v>2117</v>
      </c>
      <c r="E76" s="3">
        <v>42384</v>
      </c>
      <c r="F76" s="1" t="str">
        <f>VLOOKUP(D76,Table17[[Name]:[Native]],3,FALSE)</f>
        <v>黄岛区</v>
      </c>
      <c r="G76" s="14" t="str">
        <f ca="1">VLOOKUP(F76,Table17[[Native]:[Population4]],5,FALSE)</f>
        <v>青岛市</v>
      </c>
    </row>
    <row r="77" spans="1:7" ht="15.75" thickBot="1" x14ac:dyDescent="0.3">
      <c r="A77" t="s">
        <v>2260</v>
      </c>
      <c r="B77" s="1" t="s">
        <v>2261</v>
      </c>
      <c r="C77" s="1" t="s">
        <v>7</v>
      </c>
      <c r="D77" s="1" t="s">
        <v>2114</v>
      </c>
      <c r="E77" s="3">
        <v>114107</v>
      </c>
      <c r="F77" s="1" t="str">
        <f>VLOOKUP(D77,Table17[[Name]:[Native]],3,FALSE)</f>
        <v>平度市</v>
      </c>
      <c r="G77" s="14" t="str">
        <f ca="1">VLOOKUP(F77,Table17[[Native]:[Population4]],5,FALSE)</f>
        <v>青岛市</v>
      </c>
    </row>
    <row r="78" spans="1:7" ht="15.75" thickBot="1" x14ac:dyDescent="0.3">
      <c r="A78" t="s">
        <v>2262</v>
      </c>
      <c r="B78" s="1" t="s">
        <v>2263</v>
      </c>
      <c r="C78" s="1" t="s">
        <v>7</v>
      </c>
      <c r="D78" s="1" t="s">
        <v>2104</v>
      </c>
      <c r="E78" s="3">
        <v>48421</v>
      </c>
      <c r="F78" s="1" t="str">
        <f>VLOOKUP(D78,Table17[[Name]:[Native]],3,FALSE)</f>
        <v>即墨区</v>
      </c>
      <c r="G78" s="14" t="str">
        <f ca="1">VLOOKUP(F78,Table17[[Native]:[Population4]],5,FALSE)</f>
        <v>青岛市</v>
      </c>
    </row>
    <row r="79" spans="1:7" ht="15.75" thickBot="1" x14ac:dyDescent="0.3">
      <c r="A79" t="s">
        <v>1052</v>
      </c>
      <c r="B79" s="1" t="s">
        <v>1053</v>
      </c>
      <c r="C79" s="1" t="s">
        <v>7</v>
      </c>
      <c r="D79" s="1" t="s">
        <v>2104</v>
      </c>
      <c r="E79" s="3">
        <v>42214</v>
      </c>
      <c r="F79" s="1" t="str">
        <f>VLOOKUP(D79,Table17[[Name]:[Native]],3,FALSE)</f>
        <v>即墨区</v>
      </c>
      <c r="G79" s="14" t="str">
        <f ca="1">VLOOKUP(F79,Table17[[Native]:[Population4]],5,FALSE)</f>
        <v>青岛市</v>
      </c>
    </row>
    <row r="80" spans="1:7" ht="15.75" thickBot="1" x14ac:dyDescent="0.3">
      <c r="A80" t="s">
        <v>2264</v>
      </c>
      <c r="B80" s="1" t="s">
        <v>2265</v>
      </c>
      <c r="C80" s="1" t="s">
        <v>7</v>
      </c>
      <c r="D80" s="1" t="s">
        <v>2130</v>
      </c>
      <c r="E80" s="3">
        <v>22671</v>
      </c>
      <c r="F80" s="1" t="str">
        <f>VLOOKUP(D80,Table17[[Name]:[Native]],3,FALSE)</f>
        <v>莱西市</v>
      </c>
      <c r="G80" s="14" t="str">
        <f ca="1">VLOOKUP(F80,Table17[[Native]:[Population4]],5,FALSE)</f>
        <v>青岛市</v>
      </c>
    </row>
    <row r="81" spans="1:7" ht="15.75" thickBot="1" x14ac:dyDescent="0.3">
      <c r="A81" t="s">
        <v>2266</v>
      </c>
      <c r="B81" s="1" t="s">
        <v>2267</v>
      </c>
      <c r="C81" s="1" t="s">
        <v>7</v>
      </c>
      <c r="D81" s="1" t="s">
        <v>2135</v>
      </c>
      <c r="E81" s="3">
        <v>24173</v>
      </c>
      <c r="F81" s="1" t="str">
        <f>VLOOKUP(D81,Table17[[Name]:[Native]],3,FALSE)</f>
        <v>李沧区</v>
      </c>
      <c r="G81" s="14" t="str">
        <f ca="1">VLOOKUP(F81,Table17[[Native]:[Population4]],5,FALSE)</f>
        <v>青岛市</v>
      </c>
    </row>
    <row r="82" spans="1:7" ht="15.75" thickBot="1" x14ac:dyDescent="0.3">
      <c r="A82" t="s">
        <v>2268</v>
      </c>
      <c r="B82" s="1" t="s">
        <v>2269</v>
      </c>
      <c r="C82" s="1" t="s">
        <v>7</v>
      </c>
      <c r="D82" s="1" t="s">
        <v>2151</v>
      </c>
      <c r="E82" s="3">
        <v>78402</v>
      </c>
      <c r="F82" s="1" t="str">
        <f>VLOOKUP(D82,Table17[[Name]:[Native]],3,FALSE)</f>
        <v>市北区</v>
      </c>
      <c r="G82" s="14" t="str">
        <f ca="1">VLOOKUP(F82,Table17[[Native]:[Population4]],5,FALSE)</f>
        <v>青岛市</v>
      </c>
    </row>
    <row r="83" spans="1:7" ht="15.75" thickBot="1" x14ac:dyDescent="0.3">
      <c r="A83" t="s">
        <v>2270</v>
      </c>
      <c r="B83" s="1" t="s">
        <v>2271</v>
      </c>
      <c r="C83" s="1" t="s">
        <v>13</v>
      </c>
      <c r="D83" s="1" t="s">
        <v>2130</v>
      </c>
      <c r="E83" s="3">
        <v>42197</v>
      </c>
      <c r="F83" s="1" t="str">
        <f>VLOOKUP(D83,Table17[[Name]:[Native]],3,FALSE)</f>
        <v>莱西市</v>
      </c>
      <c r="G83" s="14" t="str">
        <f ca="1">VLOOKUP(F83,Table17[[Native]:[Population4]],5,FALSE)</f>
        <v>青岛市</v>
      </c>
    </row>
    <row r="84" spans="1:7" ht="15.75" thickBot="1" x14ac:dyDescent="0.3">
      <c r="A84" t="s">
        <v>2272</v>
      </c>
      <c r="B84" s="1" t="s">
        <v>2273</v>
      </c>
      <c r="C84" s="1" t="s">
        <v>7</v>
      </c>
      <c r="D84" s="1" t="s">
        <v>2130</v>
      </c>
      <c r="E84" s="3">
        <v>22206</v>
      </c>
      <c r="F84" s="1" t="str">
        <f>VLOOKUP(D84,Table17[[Name]:[Native]],3,FALSE)</f>
        <v>莱西市</v>
      </c>
      <c r="G84" s="14" t="str">
        <f ca="1">VLOOKUP(F84,Table17[[Native]:[Population4]],5,FALSE)</f>
        <v>青岛市</v>
      </c>
    </row>
    <row r="85" spans="1:7" ht="15.75" thickBot="1" x14ac:dyDescent="0.3">
      <c r="A85" t="s">
        <v>2274</v>
      </c>
      <c r="B85" s="1" t="s">
        <v>2275</v>
      </c>
      <c r="C85" s="1" t="s">
        <v>13</v>
      </c>
      <c r="D85" s="1" t="s">
        <v>2114</v>
      </c>
      <c r="E85" s="3">
        <v>53926</v>
      </c>
      <c r="F85" s="1" t="str">
        <f>VLOOKUP(D85,Table17[[Name]:[Native]],3,FALSE)</f>
        <v>平度市</v>
      </c>
      <c r="G85" s="14" t="str">
        <f ca="1">VLOOKUP(F85,Table17[[Native]:[Population4]],5,FALSE)</f>
        <v>青岛市</v>
      </c>
    </row>
    <row r="86" spans="1:7" ht="15.75" thickBot="1" x14ac:dyDescent="0.3">
      <c r="A86" t="s">
        <v>2276</v>
      </c>
      <c r="B86" s="1" t="s">
        <v>2277</v>
      </c>
      <c r="C86" s="1" t="s">
        <v>13</v>
      </c>
      <c r="D86" s="1" t="s">
        <v>2114</v>
      </c>
      <c r="E86" s="3">
        <v>124210</v>
      </c>
      <c r="F86" s="1" t="str">
        <f>VLOOKUP(D86,Table17[[Name]:[Native]],3,FALSE)</f>
        <v>平度市</v>
      </c>
      <c r="G86" s="14" t="str">
        <f ca="1">VLOOKUP(F86,Table17[[Native]:[Population4]],5,FALSE)</f>
        <v>青岛市</v>
      </c>
    </row>
    <row r="87" spans="1:7" ht="15.75" thickBot="1" x14ac:dyDescent="0.3">
      <c r="A87" t="s">
        <v>2278</v>
      </c>
      <c r="B87" s="1" t="s">
        <v>2279</v>
      </c>
      <c r="C87" s="1" t="s">
        <v>13</v>
      </c>
      <c r="D87" s="1" t="s">
        <v>2130</v>
      </c>
      <c r="E87" s="3">
        <v>40188</v>
      </c>
      <c r="F87" s="1" t="str">
        <f>VLOOKUP(D87,Table17[[Name]:[Native]],3,FALSE)</f>
        <v>莱西市</v>
      </c>
      <c r="G87" s="14" t="str">
        <f ca="1">VLOOKUP(F87,Table17[[Native]:[Population4]],5,FALSE)</f>
        <v>青岛市</v>
      </c>
    </row>
    <row r="88" spans="1:7" ht="15.75" thickBot="1" x14ac:dyDescent="0.3">
      <c r="A88" t="s">
        <v>2280</v>
      </c>
      <c r="B88" s="1" t="s">
        <v>2281</v>
      </c>
      <c r="C88" s="1" t="s">
        <v>7</v>
      </c>
      <c r="D88" s="1" t="s">
        <v>2151</v>
      </c>
      <c r="E88" s="3">
        <v>47369</v>
      </c>
      <c r="F88" s="1" t="str">
        <f>VLOOKUP(D88,Table17[[Name]:[Native]],3,FALSE)</f>
        <v>市北区</v>
      </c>
      <c r="G88" s="14" t="str">
        <f ca="1">VLOOKUP(F88,Table17[[Native]:[Population4]],5,FALSE)</f>
        <v>青岛市</v>
      </c>
    </row>
    <row r="89" spans="1:7" ht="15.75" thickBot="1" x14ac:dyDescent="0.3">
      <c r="A89" t="s">
        <v>2282</v>
      </c>
      <c r="B89" s="1" t="s">
        <v>2283</v>
      </c>
      <c r="C89" s="1" t="s">
        <v>495</v>
      </c>
      <c r="D89" s="1" t="s">
        <v>2114</v>
      </c>
      <c r="E89" s="3">
        <v>33320</v>
      </c>
      <c r="F89" s="1" t="str">
        <f>VLOOKUP(D89,Table17[[Name]:[Native]],3,FALSE)</f>
        <v>平度市</v>
      </c>
      <c r="G89" s="14" t="str">
        <f ca="1">VLOOKUP(F89,Table17[[Native]:[Population4]],5,FALSE)</f>
        <v>青岛市</v>
      </c>
    </row>
    <row r="90" spans="1:7" ht="15.75" thickBot="1" x14ac:dyDescent="0.3">
      <c r="A90" t="s">
        <v>2284</v>
      </c>
      <c r="B90" s="1" t="s">
        <v>2285</v>
      </c>
      <c r="C90" s="1" t="s">
        <v>13</v>
      </c>
      <c r="D90" s="1" t="s">
        <v>2122</v>
      </c>
      <c r="E90" s="3">
        <v>52563</v>
      </c>
      <c r="F90" s="1" t="str">
        <f>VLOOKUP(D90,Table17[[Name]:[Native]],3,FALSE)</f>
        <v>胶州市</v>
      </c>
      <c r="G90" s="14" t="str">
        <f ca="1">VLOOKUP(F90,Table17[[Native]:[Population4]],5,FALSE)</f>
        <v>青岛市</v>
      </c>
    </row>
    <row r="91" spans="1:7" ht="15.75" thickBot="1" x14ac:dyDescent="0.3">
      <c r="A91" t="s">
        <v>2286</v>
      </c>
      <c r="B91" s="1" t="s">
        <v>2287</v>
      </c>
      <c r="C91" s="1" t="s">
        <v>13</v>
      </c>
      <c r="D91" s="1" t="s">
        <v>2114</v>
      </c>
      <c r="E91" s="3">
        <v>64569</v>
      </c>
      <c r="F91" s="1" t="str">
        <f>VLOOKUP(D91,Table17[[Name]:[Native]],3,FALSE)</f>
        <v>平度市</v>
      </c>
      <c r="G91" s="14" t="str">
        <f ca="1">VLOOKUP(F91,Table17[[Native]:[Population4]],5,FALSE)</f>
        <v>青岛市</v>
      </c>
    </row>
    <row r="92" spans="1:7" ht="15.75" thickBot="1" x14ac:dyDescent="0.3">
      <c r="A92" t="s">
        <v>2288</v>
      </c>
      <c r="B92" s="1" t="s">
        <v>2289</v>
      </c>
      <c r="C92" s="1" t="s">
        <v>13</v>
      </c>
      <c r="D92" s="1" t="s">
        <v>2130</v>
      </c>
      <c r="E92" s="3">
        <v>43758</v>
      </c>
      <c r="F92" s="1" t="str">
        <f>VLOOKUP(D92,Table17[[Name]:[Native]],3,FALSE)</f>
        <v>莱西市</v>
      </c>
      <c r="G92" s="14" t="str">
        <f ca="1">VLOOKUP(F92,Table17[[Native]:[Population4]],5,FALSE)</f>
        <v>青岛市</v>
      </c>
    </row>
    <row r="93" spans="1:7" ht="15.75" thickBot="1" x14ac:dyDescent="0.3">
      <c r="A93" t="s">
        <v>2290</v>
      </c>
      <c r="B93" s="1" t="s">
        <v>2291</v>
      </c>
      <c r="C93" s="1" t="s">
        <v>7</v>
      </c>
      <c r="D93" s="1" t="s">
        <v>2122</v>
      </c>
      <c r="E93" s="3">
        <v>62877</v>
      </c>
      <c r="F93" s="1" t="str">
        <f>VLOOKUP(D93,Table17[[Name]:[Native]],3,FALSE)</f>
        <v>胶州市</v>
      </c>
      <c r="G93" s="14" t="str">
        <f ca="1">VLOOKUP(F93,Table17[[Native]:[Population4]],5,FALSE)</f>
        <v>青岛市</v>
      </c>
    </row>
    <row r="94" spans="1:7" ht="15.75" thickBot="1" x14ac:dyDescent="0.3">
      <c r="A94" t="s">
        <v>2292</v>
      </c>
      <c r="B94" s="1" t="s">
        <v>2293</v>
      </c>
      <c r="C94" s="1" t="s">
        <v>7</v>
      </c>
      <c r="D94" s="1" t="s">
        <v>2142</v>
      </c>
      <c r="E94" s="3">
        <v>52701</v>
      </c>
      <c r="F94" s="1" t="str">
        <f>VLOOKUP(D94,Table17[[Name]:[Native]],3,FALSE)</f>
        <v>城阳区</v>
      </c>
      <c r="G94" s="14" t="str">
        <f ca="1">VLOOKUP(F94,Table17[[Native]:[Population4]],5,FALSE)</f>
        <v>青岛市</v>
      </c>
    </row>
    <row r="95" spans="1:7" ht="15.75" thickBot="1" x14ac:dyDescent="0.3">
      <c r="A95" t="s">
        <v>2294</v>
      </c>
      <c r="B95" s="1" t="s">
        <v>2295</v>
      </c>
      <c r="C95" s="1" t="s">
        <v>7</v>
      </c>
      <c r="D95" s="1" t="s">
        <v>2125</v>
      </c>
      <c r="E95" s="3">
        <v>67876</v>
      </c>
      <c r="F95" s="1" t="str">
        <f>VLOOKUP(D95,Table17[[Name]:[Native]],3,FALSE)</f>
        <v>崂山区</v>
      </c>
      <c r="G95" s="14" t="str">
        <f ca="1">VLOOKUP(F95,Table17[[Native]:[Population4]],5,FALSE)</f>
        <v>青岛市</v>
      </c>
    </row>
    <row r="96" spans="1:7" ht="15.75" thickBot="1" x14ac:dyDescent="0.3">
      <c r="A96" t="s">
        <v>2296</v>
      </c>
      <c r="B96" s="1" t="s">
        <v>2297</v>
      </c>
      <c r="C96" s="1" t="s">
        <v>7</v>
      </c>
      <c r="D96" s="1" t="s">
        <v>2130</v>
      </c>
      <c r="E96" s="3">
        <v>139808</v>
      </c>
      <c r="F96" s="1" t="str">
        <f>VLOOKUP(D96,Table17[[Name]:[Native]],3,FALSE)</f>
        <v>莱西市</v>
      </c>
      <c r="G96" s="14" t="str">
        <f ca="1">VLOOKUP(F96,Table17[[Native]:[Population4]],5,FALSE)</f>
        <v>青岛市</v>
      </c>
    </row>
    <row r="97" spans="1:7" ht="15.75" thickBot="1" x14ac:dyDescent="0.3">
      <c r="A97" t="s">
        <v>2298</v>
      </c>
      <c r="B97" s="1" t="s">
        <v>2299</v>
      </c>
      <c r="C97" s="1" t="s">
        <v>7</v>
      </c>
      <c r="D97" s="1" t="s">
        <v>2151</v>
      </c>
      <c r="E97" s="3">
        <v>67361</v>
      </c>
      <c r="F97" s="1" t="str">
        <f>VLOOKUP(D97,Table17[[Name]:[Native]],3,FALSE)</f>
        <v>市北区</v>
      </c>
      <c r="G97" s="14" t="str">
        <f ca="1">VLOOKUP(F97,Table17[[Native]:[Population4]],5,FALSE)</f>
        <v>青岛市</v>
      </c>
    </row>
    <row r="98" spans="1:7" ht="15.75" thickBot="1" x14ac:dyDescent="0.3">
      <c r="A98" t="s">
        <v>2300</v>
      </c>
      <c r="B98" s="1" t="s">
        <v>2301</v>
      </c>
      <c r="C98" s="1" t="s">
        <v>7</v>
      </c>
      <c r="D98" s="1" t="s">
        <v>2151</v>
      </c>
      <c r="E98" s="3">
        <v>79064</v>
      </c>
      <c r="F98" s="1" t="str">
        <f>VLOOKUP(D98,Table17[[Name]:[Native]],3,FALSE)</f>
        <v>市北区</v>
      </c>
      <c r="G98" s="14" t="str">
        <f ca="1">VLOOKUP(F98,Table17[[Native]:[Population4]],5,FALSE)</f>
        <v>青岛市</v>
      </c>
    </row>
    <row r="99" spans="1:7" ht="15.75" thickBot="1" x14ac:dyDescent="0.3">
      <c r="A99" t="s">
        <v>2302</v>
      </c>
      <c r="B99" s="1" t="s">
        <v>2303</v>
      </c>
      <c r="C99" s="1" t="s">
        <v>7</v>
      </c>
      <c r="D99" s="1" t="s">
        <v>2151</v>
      </c>
      <c r="E99" s="3">
        <v>50013</v>
      </c>
      <c r="F99" s="1" t="str">
        <f>VLOOKUP(D99,Table17[[Name]:[Native]],3,FALSE)</f>
        <v>市北区</v>
      </c>
      <c r="G99" s="14" t="str">
        <f ca="1">VLOOKUP(F99,Table17[[Native]:[Population4]],5,FALSE)</f>
        <v>青岛市</v>
      </c>
    </row>
    <row r="100" spans="1:7" ht="15.75" thickBot="1" x14ac:dyDescent="0.3">
      <c r="A100" t="s">
        <v>2304</v>
      </c>
      <c r="B100" s="1" t="s">
        <v>2305</v>
      </c>
      <c r="C100" s="1" t="s">
        <v>7</v>
      </c>
      <c r="D100" s="1" t="s">
        <v>2107</v>
      </c>
      <c r="E100" s="3">
        <v>52010</v>
      </c>
      <c r="F100" s="1" t="str">
        <f>VLOOKUP(D100,Table17[[Name]:[Native]],3,FALSE)</f>
        <v>市南区</v>
      </c>
      <c r="G100" s="14" t="str">
        <f ca="1">VLOOKUP(F100,Table17[[Native]:[Population4]],5,FALSE)</f>
        <v>青岛市</v>
      </c>
    </row>
    <row r="101" spans="1:7" ht="15.75" thickBot="1" x14ac:dyDescent="0.3">
      <c r="A101" t="s">
        <v>2306</v>
      </c>
      <c r="B101" s="1" t="s">
        <v>2307</v>
      </c>
      <c r="C101" s="1" t="s">
        <v>13</v>
      </c>
      <c r="D101" s="1" t="s">
        <v>2104</v>
      </c>
      <c r="E101" s="3">
        <v>124079</v>
      </c>
      <c r="F101" s="1" t="str">
        <f>VLOOKUP(D101,Table17[[Name]:[Native]],3,FALSE)</f>
        <v>即墨区</v>
      </c>
      <c r="G101" s="14" t="str">
        <f ca="1">VLOOKUP(F101,Table17[[Native]:[Population4]],5,FALSE)</f>
        <v>青岛市</v>
      </c>
    </row>
    <row r="102" spans="1:7" ht="15.75" thickBot="1" x14ac:dyDescent="0.3">
      <c r="A102" t="s">
        <v>2308</v>
      </c>
      <c r="B102" s="1" t="s">
        <v>825</v>
      </c>
      <c r="C102" s="1" t="s">
        <v>13</v>
      </c>
      <c r="D102" s="1" t="s">
        <v>2114</v>
      </c>
      <c r="E102" s="3">
        <v>64957</v>
      </c>
      <c r="F102" s="1" t="str">
        <f>VLOOKUP(D102,Table17[[Name]:[Native]],3,FALSE)</f>
        <v>平度市</v>
      </c>
      <c r="G102" s="14" t="str">
        <f ca="1">VLOOKUP(F102,Table17[[Native]:[Population4]],5,FALSE)</f>
        <v>青岛市</v>
      </c>
    </row>
    <row r="103" spans="1:7" ht="15.75" thickBot="1" x14ac:dyDescent="0.3">
      <c r="A103" t="s">
        <v>2309</v>
      </c>
      <c r="B103" s="1" t="s">
        <v>2310</v>
      </c>
      <c r="C103" s="1" t="s">
        <v>7</v>
      </c>
      <c r="D103" s="1" t="s">
        <v>2117</v>
      </c>
      <c r="E103" s="3">
        <v>22384</v>
      </c>
      <c r="F103" s="1" t="str">
        <f>VLOOKUP(D103,Table17[[Name]:[Native]],3,FALSE)</f>
        <v>黄岛区</v>
      </c>
      <c r="G103" s="14" t="str">
        <f ca="1">VLOOKUP(F103,Table17[[Native]:[Population4]],5,FALSE)</f>
        <v>青岛市</v>
      </c>
    </row>
    <row r="104" spans="1:7" ht="15.75" thickBot="1" x14ac:dyDescent="0.3">
      <c r="A104" t="s">
        <v>2311</v>
      </c>
      <c r="B104" s="1" t="s">
        <v>2312</v>
      </c>
      <c r="C104" s="1" t="s">
        <v>7</v>
      </c>
      <c r="D104" s="1" t="s">
        <v>2114</v>
      </c>
      <c r="E104" s="3">
        <v>95680</v>
      </c>
      <c r="F104" s="1" t="str">
        <f>VLOOKUP(D104,Table17[[Name]:[Native]],3,FALSE)</f>
        <v>平度市</v>
      </c>
      <c r="G104" s="14" t="str">
        <f ca="1">VLOOKUP(F104,Table17[[Native]:[Population4]],5,FALSE)</f>
        <v>青岛市</v>
      </c>
    </row>
    <row r="105" spans="1:7" ht="15.75" thickBot="1" x14ac:dyDescent="0.3">
      <c r="A105" t="s">
        <v>2313</v>
      </c>
      <c r="B105" s="1" t="s">
        <v>2314</v>
      </c>
      <c r="C105" s="1" t="s">
        <v>7</v>
      </c>
      <c r="D105" s="1" t="s">
        <v>2104</v>
      </c>
      <c r="E105" s="3">
        <v>237236</v>
      </c>
      <c r="F105" s="1" t="str">
        <f>VLOOKUP(D105,Table17[[Name]:[Native]],3,FALSE)</f>
        <v>即墨区</v>
      </c>
      <c r="G105" s="14" t="str">
        <f ca="1">VLOOKUP(F105,Table17[[Native]:[Population4]],5,FALSE)</f>
        <v>青岛市</v>
      </c>
    </row>
    <row r="106" spans="1:7" ht="15.75" thickBot="1" x14ac:dyDescent="0.3">
      <c r="A106" t="s">
        <v>2315</v>
      </c>
      <c r="B106" s="1" t="s">
        <v>2316</v>
      </c>
      <c r="C106" s="1" t="s">
        <v>7</v>
      </c>
      <c r="D106" s="1" t="s">
        <v>2130</v>
      </c>
      <c r="E106" s="3">
        <v>44012</v>
      </c>
      <c r="F106" s="1" t="str">
        <f>VLOOKUP(D106,Table17[[Name]:[Native]],3,FALSE)</f>
        <v>莱西市</v>
      </c>
      <c r="G106" s="14" t="str">
        <f ca="1">VLOOKUP(F106,Table17[[Native]:[Population4]],5,FALSE)</f>
        <v>青岛市</v>
      </c>
    </row>
    <row r="107" spans="1:7" ht="15.75" thickBot="1" x14ac:dyDescent="0.3">
      <c r="A107" t="s">
        <v>2317</v>
      </c>
      <c r="B107" s="1" t="s">
        <v>2318</v>
      </c>
      <c r="C107" s="1" t="s">
        <v>7</v>
      </c>
      <c r="D107" s="1" t="s">
        <v>2125</v>
      </c>
      <c r="E107" s="3">
        <v>44258</v>
      </c>
      <c r="F107" s="1" t="str">
        <f>VLOOKUP(D107,Table17[[Name]:[Native]],3,FALSE)</f>
        <v>崂山区</v>
      </c>
      <c r="G107" s="14" t="str">
        <f ca="1">VLOOKUP(F107,Table17[[Native]:[Population4]],5,FALSE)</f>
        <v>青岛市</v>
      </c>
    </row>
    <row r="108" spans="1:7" ht="15.75" thickBot="1" x14ac:dyDescent="0.3">
      <c r="A108" t="s">
        <v>2319</v>
      </c>
      <c r="B108" s="1" t="s">
        <v>2320</v>
      </c>
      <c r="C108" s="1" t="s">
        <v>7</v>
      </c>
      <c r="D108" s="1" t="s">
        <v>2117</v>
      </c>
      <c r="E108" s="3">
        <v>67171</v>
      </c>
      <c r="F108" s="1" t="str">
        <f>VLOOKUP(D108,Table17[[Name]:[Native]],3,FALSE)</f>
        <v>黄岛区</v>
      </c>
      <c r="G108" s="14" t="str">
        <f ca="1">VLOOKUP(F108,Table17[[Native]:[Population4]],5,FALSE)</f>
        <v>青岛市</v>
      </c>
    </row>
    <row r="109" spans="1:7" ht="15.75" thickBot="1" x14ac:dyDescent="0.3">
      <c r="A109" t="s">
        <v>2321</v>
      </c>
      <c r="B109" s="1" t="s">
        <v>2322</v>
      </c>
      <c r="C109" s="1" t="s">
        <v>7</v>
      </c>
      <c r="D109" s="1" t="s">
        <v>2104</v>
      </c>
      <c r="E109" s="3">
        <v>45655</v>
      </c>
      <c r="F109" s="1" t="str">
        <f>VLOOKUP(D109,Table17[[Name]:[Native]],3,FALSE)</f>
        <v>即墨区</v>
      </c>
      <c r="G109" s="14" t="str">
        <f ca="1">VLOOKUP(F109,Table17[[Native]:[Population4]],5,FALSE)</f>
        <v>青岛市</v>
      </c>
    </row>
    <row r="110" spans="1:7" ht="15.75" thickBot="1" x14ac:dyDescent="0.3">
      <c r="A110" t="s">
        <v>2323</v>
      </c>
      <c r="B110" s="1" t="s">
        <v>2324</v>
      </c>
      <c r="C110" s="1" t="s">
        <v>13</v>
      </c>
      <c r="D110" s="1" t="s">
        <v>2130</v>
      </c>
      <c r="E110" s="3">
        <v>30706</v>
      </c>
      <c r="F110" s="1" t="str">
        <f>VLOOKUP(D110,Table17[[Name]:[Native]],3,FALSE)</f>
        <v>莱西市</v>
      </c>
      <c r="G110" s="14" t="str">
        <f ca="1">VLOOKUP(F110,Table17[[Native]:[Population4]],5,FALSE)</f>
        <v>青岛市</v>
      </c>
    </row>
    <row r="111" spans="1:7" ht="15.75" thickBot="1" x14ac:dyDescent="0.3">
      <c r="A111" t="s">
        <v>2325</v>
      </c>
      <c r="B111" s="1" t="s">
        <v>2326</v>
      </c>
      <c r="C111" s="1" t="s">
        <v>7</v>
      </c>
      <c r="D111" s="1" t="s">
        <v>2114</v>
      </c>
      <c r="E111" s="3">
        <v>36263</v>
      </c>
      <c r="F111" s="1" t="str">
        <f>VLOOKUP(D111,Table17[[Name]:[Native]],3,FALSE)</f>
        <v>平度市</v>
      </c>
      <c r="G111" s="14" t="str">
        <f ca="1">VLOOKUP(F111,Table17[[Native]:[Population4]],5,FALSE)</f>
        <v>青岛市</v>
      </c>
    </row>
    <row r="112" spans="1:7" ht="15.75" thickBot="1" x14ac:dyDescent="0.3">
      <c r="A112" t="s">
        <v>2327</v>
      </c>
      <c r="B112" s="1" t="s">
        <v>2328</v>
      </c>
      <c r="C112" s="1" t="s">
        <v>7</v>
      </c>
      <c r="D112" s="1" t="s">
        <v>2107</v>
      </c>
      <c r="E112" s="3">
        <v>59372</v>
      </c>
      <c r="F112" s="1" t="str">
        <f>VLOOKUP(D112,Table17[[Name]:[Native]],3,FALSE)</f>
        <v>市南区</v>
      </c>
      <c r="G112" s="14" t="str">
        <f ca="1">VLOOKUP(F112,Table17[[Native]:[Population4]],5,FALSE)</f>
        <v>青岛市</v>
      </c>
    </row>
    <row r="113" spans="1:7" ht="15.75" thickBot="1" x14ac:dyDescent="0.3">
      <c r="A113" t="s">
        <v>2329</v>
      </c>
      <c r="B113" s="1" t="s">
        <v>2330</v>
      </c>
      <c r="C113" s="1" t="s">
        <v>7</v>
      </c>
      <c r="D113" s="1" t="s">
        <v>2135</v>
      </c>
      <c r="E113" s="3">
        <v>42972</v>
      </c>
      <c r="F113" s="1" t="str">
        <f>VLOOKUP(D113,Table17[[Name]:[Native]],3,FALSE)</f>
        <v>李沧区</v>
      </c>
      <c r="G113" s="14" t="str">
        <f ca="1">VLOOKUP(F113,Table17[[Native]:[Population4]],5,FALSE)</f>
        <v>青岛市</v>
      </c>
    </row>
    <row r="114" spans="1:7" ht="15.75" thickBot="1" x14ac:dyDescent="0.3">
      <c r="A114" t="s">
        <v>2331</v>
      </c>
      <c r="B114" s="1" t="s">
        <v>2332</v>
      </c>
      <c r="C114" s="1" t="s">
        <v>7</v>
      </c>
      <c r="D114" s="1" t="s">
        <v>2142</v>
      </c>
      <c r="E114" s="3">
        <v>111655</v>
      </c>
      <c r="F114" s="1" t="str">
        <f>VLOOKUP(D114,Table17[[Name]:[Native]],3,FALSE)</f>
        <v>城阳区</v>
      </c>
      <c r="G114" s="14" t="str">
        <f ca="1">VLOOKUP(F114,Table17[[Native]:[Population4]],5,FALSE)</f>
        <v>青岛市</v>
      </c>
    </row>
    <row r="115" spans="1:7" ht="15.75" thickBot="1" x14ac:dyDescent="0.3">
      <c r="A115" t="s">
        <v>2333</v>
      </c>
      <c r="B115" s="1" t="s">
        <v>2334</v>
      </c>
      <c r="C115" s="1" t="s">
        <v>7</v>
      </c>
      <c r="D115" s="1" t="s">
        <v>2142</v>
      </c>
      <c r="E115" s="3">
        <v>57308</v>
      </c>
      <c r="F115" s="1" t="str">
        <f>VLOOKUP(D115,Table17[[Name]:[Native]],3,FALSE)</f>
        <v>城阳区</v>
      </c>
      <c r="G115" s="14" t="str">
        <f ca="1">VLOOKUP(F115,Table17[[Native]:[Population4]],5,FALSE)</f>
        <v>青岛市</v>
      </c>
    </row>
    <row r="116" spans="1:7" ht="15.75" thickBot="1" x14ac:dyDescent="0.3">
      <c r="A116" t="s">
        <v>2335</v>
      </c>
      <c r="B116" s="1" t="s">
        <v>2336</v>
      </c>
      <c r="C116" s="1" t="s">
        <v>7</v>
      </c>
      <c r="D116" s="1" t="s">
        <v>2117</v>
      </c>
      <c r="E116" s="3">
        <v>131010</v>
      </c>
      <c r="F116" s="1" t="str">
        <f>VLOOKUP(D116,Table17[[Name]:[Native]],3,FALSE)</f>
        <v>黄岛区</v>
      </c>
      <c r="G116" s="14" t="str">
        <f ca="1">VLOOKUP(F116,Table17[[Native]:[Population4]],5,FALSE)</f>
        <v>青岛市</v>
      </c>
    </row>
    <row r="117" spans="1:7" ht="15.75" thickBot="1" x14ac:dyDescent="0.3">
      <c r="A117" t="s">
        <v>2337</v>
      </c>
      <c r="B117" s="1" t="s">
        <v>2338</v>
      </c>
      <c r="C117" s="1" t="s">
        <v>7</v>
      </c>
      <c r="D117" s="1" t="s">
        <v>2135</v>
      </c>
      <c r="E117" s="3">
        <v>17145</v>
      </c>
      <c r="F117" s="1" t="str">
        <f>VLOOKUP(D117,Table17[[Name]:[Native]],3,FALSE)</f>
        <v>李沧区</v>
      </c>
      <c r="G117" s="14" t="str">
        <f ca="1">VLOOKUP(F117,Table17[[Native]:[Population4]],5,FALSE)</f>
        <v>青岛市</v>
      </c>
    </row>
    <row r="118" spans="1:7" ht="15.75" thickBot="1" x14ac:dyDescent="0.3">
      <c r="A118" t="s">
        <v>2339</v>
      </c>
      <c r="B118" s="1" t="s">
        <v>2340</v>
      </c>
      <c r="C118" s="1" t="s">
        <v>7</v>
      </c>
      <c r="D118" s="1" t="s">
        <v>2135</v>
      </c>
      <c r="E118" s="3">
        <v>29402</v>
      </c>
      <c r="F118" s="1" t="str">
        <f>VLOOKUP(D118,Table17[[Name]:[Native]],3,FALSE)</f>
        <v>李沧区</v>
      </c>
      <c r="G118" s="14" t="str">
        <f ca="1">VLOOKUP(F118,Table17[[Native]:[Population4]],5,FALSE)</f>
        <v>青岛市</v>
      </c>
    </row>
    <row r="119" spans="1:7" ht="15.75" thickBot="1" x14ac:dyDescent="0.3">
      <c r="A119" t="s">
        <v>2341</v>
      </c>
      <c r="B119" s="1" t="s">
        <v>2342</v>
      </c>
      <c r="C119" s="1" t="s">
        <v>7</v>
      </c>
      <c r="D119" s="1" t="s">
        <v>2151</v>
      </c>
      <c r="E119" s="3">
        <v>59600</v>
      </c>
      <c r="F119" s="1" t="str">
        <f>VLOOKUP(D119,Table17[[Name]:[Native]],3,FALSE)</f>
        <v>市北区</v>
      </c>
      <c r="G119" s="14" t="str">
        <f ca="1">VLOOKUP(F119,Table17[[Native]:[Population4]],5,FALSE)</f>
        <v>青岛市</v>
      </c>
    </row>
    <row r="120" spans="1:7" ht="15.75" thickBot="1" x14ac:dyDescent="0.3">
      <c r="A120" t="s">
        <v>2343</v>
      </c>
      <c r="B120" s="1" t="s">
        <v>2344</v>
      </c>
      <c r="C120" s="1" t="s">
        <v>13</v>
      </c>
      <c r="D120" s="1" t="s">
        <v>2114</v>
      </c>
      <c r="E120" s="3">
        <v>69884</v>
      </c>
      <c r="F120" s="1" t="str">
        <f>VLOOKUP(D120,Table17[[Name]:[Native]],3,FALSE)</f>
        <v>平度市</v>
      </c>
      <c r="G120" s="14" t="str">
        <f ca="1">VLOOKUP(F120,Table17[[Native]:[Population4]],5,FALSE)</f>
        <v>青岛市</v>
      </c>
    </row>
    <row r="121" spans="1:7" ht="15.75" thickBot="1" x14ac:dyDescent="0.3">
      <c r="A121" t="s">
        <v>2345</v>
      </c>
      <c r="B121" s="1" t="s">
        <v>2346</v>
      </c>
      <c r="C121" s="1" t="s">
        <v>7</v>
      </c>
      <c r="D121" s="1" t="s">
        <v>2117</v>
      </c>
      <c r="E121" s="3">
        <v>71169</v>
      </c>
      <c r="F121" s="1" t="str">
        <f>VLOOKUP(D121,Table17[[Name]:[Native]],3,FALSE)</f>
        <v>黄岛区</v>
      </c>
      <c r="G121" s="14" t="str">
        <f ca="1">VLOOKUP(F121,Table17[[Native]:[Population4]],5,FALSE)</f>
        <v>青岛市</v>
      </c>
    </row>
    <row r="122" spans="1:7" ht="15.75" thickBot="1" x14ac:dyDescent="0.3">
      <c r="A122" t="s">
        <v>2347</v>
      </c>
      <c r="B122" s="1" t="s">
        <v>2348</v>
      </c>
      <c r="C122" s="1" t="s">
        <v>7</v>
      </c>
      <c r="D122" s="1" t="s">
        <v>2151</v>
      </c>
      <c r="E122" s="3">
        <v>38827</v>
      </c>
      <c r="F122" s="1" t="str">
        <f>VLOOKUP(D122,Table17[[Name]:[Native]],3,FALSE)</f>
        <v>市北区</v>
      </c>
      <c r="G122" s="14" t="str">
        <f ca="1">VLOOKUP(F122,Table17[[Native]:[Population4]],5,FALSE)</f>
        <v>青岛市</v>
      </c>
    </row>
    <row r="123" spans="1:7" ht="15.75" thickBot="1" x14ac:dyDescent="0.3">
      <c r="A123" t="s">
        <v>2349</v>
      </c>
      <c r="B123" s="1" t="s">
        <v>2350</v>
      </c>
      <c r="C123" s="1" t="s">
        <v>13</v>
      </c>
      <c r="D123" s="1" t="s">
        <v>2122</v>
      </c>
      <c r="E123" s="3">
        <v>50371</v>
      </c>
      <c r="F123" s="1" t="str">
        <f>VLOOKUP(D123,Table17[[Name]:[Native]],3,FALSE)</f>
        <v>胶州市</v>
      </c>
      <c r="G123" s="14" t="str">
        <f ca="1">VLOOKUP(F123,Table17[[Native]:[Population4]],5,FALSE)</f>
        <v>青岛市</v>
      </c>
    </row>
    <row r="124" spans="1:7" ht="15.75" thickBot="1" x14ac:dyDescent="0.3">
      <c r="A124" t="s">
        <v>2351</v>
      </c>
      <c r="B124" s="1" t="s">
        <v>2352</v>
      </c>
      <c r="C124" s="1" t="s">
        <v>13</v>
      </c>
      <c r="D124" s="1" t="s">
        <v>2104</v>
      </c>
      <c r="E124" s="3">
        <v>79813</v>
      </c>
      <c r="F124" s="1" t="str">
        <f>VLOOKUP(D124,Table17[[Name]:[Native]],3,FALSE)</f>
        <v>即墨区</v>
      </c>
      <c r="G124" s="14" t="str">
        <f ca="1">VLOOKUP(F124,Table17[[Native]:[Population4]],5,FALSE)</f>
        <v>青岛市</v>
      </c>
    </row>
    <row r="125" spans="1:7" ht="15.75" thickBot="1" x14ac:dyDescent="0.3">
      <c r="A125" t="s">
        <v>2353</v>
      </c>
      <c r="B125" s="1" t="s">
        <v>2354</v>
      </c>
      <c r="C125" s="1" t="s">
        <v>7</v>
      </c>
      <c r="D125" s="1" t="s">
        <v>2122</v>
      </c>
      <c r="E125" s="3">
        <v>37644</v>
      </c>
      <c r="F125" s="1" t="str">
        <f>VLOOKUP(D125,Table17[[Name]:[Native]],3,FALSE)</f>
        <v>胶州市</v>
      </c>
      <c r="G125" s="14" t="str">
        <f ca="1">VLOOKUP(F125,Table17[[Native]:[Population4]],5,FALSE)</f>
        <v>青岛市</v>
      </c>
    </row>
    <row r="126" spans="1:7" ht="15.75" thickBot="1" x14ac:dyDescent="0.3">
      <c r="A126" t="s">
        <v>2355</v>
      </c>
      <c r="B126" s="1" t="s">
        <v>2356</v>
      </c>
      <c r="C126" s="1" t="s">
        <v>7</v>
      </c>
      <c r="D126" s="1" t="s">
        <v>2117</v>
      </c>
      <c r="E126" s="3">
        <v>119982</v>
      </c>
      <c r="F126" s="1" t="str">
        <f>VLOOKUP(D126,Table17[[Name]:[Native]],3,FALSE)</f>
        <v>黄岛区</v>
      </c>
      <c r="G126" s="14" t="str">
        <f ca="1">VLOOKUP(F126,Table17[[Native]:[Population4]],5,FALSE)</f>
        <v>青岛市</v>
      </c>
    </row>
    <row r="127" spans="1:7" ht="15.75" thickBot="1" x14ac:dyDescent="0.3">
      <c r="A127" t="s">
        <v>2357</v>
      </c>
      <c r="B127" s="1" t="s">
        <v>2358</v>
      </c>
      <c r="C127" s="1" t="s">
        <v>7</v>
      </c>
      <c r="D127" s="1" t="s">
        <v>2135</v>
      </c>
      <c r="E127" s="3">
        <v>44515</v>
      </c>
      <c r="F127" s="1" t="str">
        <f>VLOOKUP(D127,Table17[[Name]:[Native]],3,FALSE)</f>
        <v>李沧区</v>
      </c>
      <c r="G127" s="14" t="str">
        <f ca="1">VLOOKUP(F127,Table17[[Native]:[Population4]],5,FALSE)</f>
        <v>青岛市</v>
      </c>
    </row>
    <row r="128" spans="1:7" ht="15.75" thickBot="1" x14ac:dyDescent="0.3">
      <c r="A128" t="s">
        <v>2359</v>
      </c>
      <c r="B128" s="1" t="s">
        <v>2360</v>
      </c>
      <c r="C128" s="1" t="s">
        <v>13</v>
      </c>
      <c r="D128" s="1" t="s">
        <v>2130</v>
      </c>
      <c r="E128" s="3">
        <v>74253</v>
      </c>
      <c r="F128" s="1" t="str">
        <f>VLOOKUP(D128,Table17[[Name]:[Native]],3,FALSE)</f>
        <v>莱西市</v>
      </c>
      <c r="G128" s="14" t="str">
        <f ca="1">VLOOKUP(F128,Table17[[Native]:[Population4]],5,FALSE)</f>
        <v>青岛市</v>
      </c>
    </row>
    <row r="129" spans="1:7" ht="15.75" thickBot="1" x14ac:dyDescent="0.3">
      <c r="A129" t="s">
        <v>2361</v>
      </c>
      <c r="B129" s="1" t="s">
        <v>2362</v>
      </c>
      <c r="C129" s="1" t="s">
        <v>7</v>
      </c>
      <c r="D129" s="1" t="s">
        <v>2107</v>
      </c>
      <c r="E129" s="3">
        <v>21825</v>
      </c>
      <c r="F129" s="1" t="str">
        <f>VLOOKUP(D129,Table17[[Name]:[Native]],3,FALSE)</f>
        <v>市南区</v>
      </c>
      <c r="G129" s="14" t="str">
        <f ca="1">VLOOKUP(F129,Table17[[Native]:[Population4]],5,FALSE)</f>
        <v>青岛市</v>
      </c>
    </row>
    <row r="130" spans="1:7" ht="15.75" thickBot="1" x14ac:dyDescent="0.3">
      <c r="A130" t="s">
        <v>2363</v>
      </c>
      <c r="B130" s="1" t="s">
        <v>2364</v>
      </c>
      <c r="C130" s="1" t="s">
        <v>13</v>
      </c>
      <c r="D130" s="1" t="s">
        <v>2114</v>
      </c>
      <c r="E130" s="3">
        <v>52249</v>
      </c>
      <c r="F130" s="1" t="str">
        <f>VLOOKUP(D130,Table17[[Name]:[Native]],3,FALSE)</f>
        <v>平度市</v>
      </c>
      <c r="G130" s="14" t="str">
        <f ca="1">VLOOKUP(F130,Table17[[Native]:[Population4]],5,FALSE)</f>
        <v>青岛市</v>
      </c>
    </row>
    <row r="131" spans="1:7" ht="15.75" thickBot="1" x14ac:dyDescent="0.3">
      <c r="A131" t="s">
        <v>2365</v>
      </c>
      <c r="B131" s="1" t="s">
        <v>2366</v>
      </c>
      <c r="C131" s="1" t="s">
        <v>7</v>
      </c>
      <c r="D131" s="1" t="s">
        <v>2122</v>
      </c>
      <c r="E131" s="3">
        <v>31677</v>
      </c>
      <c r="F131" s="1" t="str">
        <f>VLOOKUP(D131,Table17[[Name]:[Native]],3,FALSE)</f>
        <v>胶州市</v>
      </c>
      <c r="G131" s="14" t="str">
        <f ca="1">VLOOKUP(F131,Table17[[Native]:[Population4]],5,FALSE)</f>
        <v>青岛市</v>
      </c>
    </row>
    <row r="132" spans="1:7" ht="15.75" thickBot="1" x14ac:dyDescent="0.3">
      <c r="A132" t="s">
        <v>2367</v>
      </c>
      <c r="B132" s="1" t="s">
        <v>2368</v>
      </c>
      <c r="C132" s="1" t="s">
        <v>13</v>
      </c>
      <c r="D132" s="1" t="s">
        <v>2117</v>
      </c>
      <c r="E132" s="3">
        <v>26388</v>
      </c>
      <c r="F132" s="1" t="str">
        <f>VLOOKUP(D132,Table17[[Name]:[Native]],3,FALSE)</f>
        <v>黄岛区</v>
      </c>
      <c r="G132" s="14" t="str">
        <f ca="1">VLOOKUP(F132,Table17[[Native]:[Population4]],5,FALSE)</f>
        <v>青岛市</v>
      </c>
    </row>
    <row r="133" spans="1:7" ht="15.75" thickBot="1" x14ac:dyDescent="0.3">
      <c r="A133" t="s">
        <v>2369</v>
      </c>
      <c r="B133" s="1" t="s">
        <v>2370</v>
      </c>
      <c r="C133" s="1" t="s">
        <v>7</v>
      </c>
      <c r="D133" s="1" t="s">
        <v>2117</v>
      </c>
      <c r="E133" s="3">
        <v>38878</v>
      </c>
      <c r="F133" s="1" t="str">
        <f>VLOOKUP(D133,Table17[[Name]:[Native]],3,FALSE)</f>
        <v>黄岛区</v>
      </c>
      <c r="G133" s="14" t="str">
        <f ca="1">VLOOKUP(F133,Table17[[Native]:[Population4]],5,FALSE)</f>
        <v>青岛市</v>
      </c>
    </row>
    <row r="134" spans="1:7" ht="15.75" thickBot="1" x14ac:dyDescent="0.3">
      <c r="A134" t="s">
        <v>2371</v>
      </c>
      <c r="B134" s="1" t="s">
        <v>2372</v>
      </c>
      <c r="C134" s="1" t="s">
        <v>7</v>
      </c>
      <c r="D134" s="1" t="s">
        <v>2107</v>
      </c>
      <c r="E134" s="3">
        <v>40446</v>
      </c>
      <c r="F134" s="1" t="str">
        <f>VLOOKUP(D134,Table17[[Name]:[Native]],3,FALSE)</f>
        <v>市南区</v>
      </c>
      <c r="G134" s="14" t="str">
        <f ca="1">VLOOKUP(F134,Table17[[Native]:[Population4]],5,FALSE)</f>
        <v>青岛市</v>
      </c>
    </row>
    <row r="135" spans="1:7" ht="15.75" thickBot="1" x14ac:dyDescent="0.3">
      <c r="A135" t="s">
        <v>2373</v>
      </c>
      <c r="B135" s="1" t="s">
        <v>2374</v>
      </c>
      <c r="C135" s="1" t="s">
        <v>7</v>
      </c>
      <c r="D135" s="1" t="s">
        <v>2135</v>
      </c>
      <c r="E135" s="3">
        <v>26776</v>
      </c>
      <c r="F135" s="1" t="str">
        <f>VLOOKUP(D135,Table17[[Name]:[Native]],3,FALSE)</f>
        <v>李沧区</v>
      </c>
      <c r="G135" s="14" t="str">
        <f ca="1">VLOOKUP(F135,Table17[[Native]:[Population4]],5,FALSE)</f>
        <v>青岛市</v>
      </c>
    </row>
    <row r="136" spans="1:7" ht="15.75" thickBot="1" x14ac:dyDescent="0.3">
      <c r="A136" t="s">
        <v>2375</v>
      </c>
      <c r="B136" s="1" t="s">
        <v>2376</v>
      </c>
      <c r="C136" s="1" t="s">
        <v>7</v>
      </c>
      <c r="D136" s="1" t="s">
        <v>2151</v>
      </c>
      <c r="E136" s="3">
        <v>48186</v>
      </c>
      <c r="F136" s="1" t="str">
        <f>VLOOKUP(D136,Table17[[Name]:[Native]],3,FALSE)</f>
        <v>市北区</v>
      </c>
      <c r="G136" s="14" t="str">
        <f ca="1">VLOOKUP(F136,Table17[[Native]:[Population4]],5,FALSE)</f>
        <v>青岛市</v>
      </c>
    </row>
    <row r="137" spans="1:7" ht="15.75" thickBot="1" x14ac:dyDescent="0.3">
      <c r="A137" t="s">
        <v>2377</v>
      </c>
      <c r="B137" s="1" t="s">
        <v>2378</v>
      </c>
      <c r="C137" s="1" t="s">
        <v>7</v>
      </c>
      <c r="D137" s="1" t="s">
        <v>2125</v>
      </c>
      <c r="E137" s="3">
        <v>240226</v>
      </c>
      <c r="F137" s="1" t="str">
        <f>VLOOKUP(D137,Table17[[Name]:[Native]],3,FALSE)</f>
        <v>崂山区</v>
      </c>
      <c r="G137" s="14" t="str">
        <f ca="1">VLOOKUP(F137,Table17[[Native]:[Population4]],5,FALSE)</f>
        <v>青岛市</v>
      </c>
    </row>
    <row r="138" spans="1:7" ht="15.75" thickBot="1" x14ac:dyDescent="0.3">
      <c r="A138" t="s">
        <v>2379</v>
      </c>
      <c r="B138" s="1" t="s">
        <v>2380</v>
      </c>
      <c r="C138" s="1" t="s">
        <v>7</v>
      </c>
      <c r="D138" s="1" t="s">
        <v>2107</v>
      </c>
      <c r="E138" s="3">
        <v>22573</v>
      </c>
      <c r="F138" s="1" t="str">
        <f>VLOOKUP(D138,Table17[[Name]:[Native]],3,FALSE)</f>
        <v>市南区</v>
      </c>
      <c r="G138" s="14" t="str">
        <f ca="1">VLOOKUP(F138,Table17[[Native]:[Population4]],5,FALSE)</f>
        <v>青岛市</v>
      </c>
    </row>
    <row r="139" spans="1:7" ht="15.75" thickBot="1" x14ac:dyDescent="0.3">
      <c r="A139" t="s">
        <v>2381</v>
      </c>
      <c r="B139" s="1" t="s">
        <v>2382</v>
      </c>
      <c r="C139" s="1" t="s">
        <v>7</v>
      </c>
      <c r="D139" s="1" t="s">
        <v>2122</v>
      </c>
      <c r="E139" s="3">
        <v>82391</v>
      </c>
      <c r="F139" s="1" t="str">
        <f>VLOOKUP(D139,Table17[[Name]:[Native]],3,FALSE)</f>
        <v>胶州市</v>
      </c>
      <c r="G139" s="14" t="str">
        <f ca="1">VLOOKUP(F139,Table17[[Native]:[Population4]],5,FALSE)</f>
        <v>青岛市</v>
      </c>
    </row>
    <row r="140" spans="1:7" ht="15.75" thickBot="1" x14ac:dyDescent="0.3">
      <c r="A140" t="s">
        <v>2383</v>
      </c>
      <c r="B140" s="1" t="s">
        <v>2384</v>
      </c>
      <c r="C140" s="1" t="s">
        <v>7</v>
      </c>
      <c r="D140" s="1" t="s">
        <v>2117</v>
      </c>
      <c r="E140" s="3">
        <v>104165</v>
      </c>
      <c r="F140" s="1" t="str">
        <f>VLOOKUP(D140,Table17[[Name]:[Native]],3,FALSE)</f>
        <v>黄岛区</v>
      </c>
      <c r="G140" s="14" t="str">
        <f ca="1">VLOOKUP(F140,Table17[[Native]:[Population4]],5,FALSE)</f>
        <v>青岛市</v>
      </c>
    </row>
    <row r="141" spans="1:7" ht="15.75" thickBot="1" x14ac:dyDescent="0.3">
      <c r="A141" t="s">
        <v>2385</v>
      </c>
      <c r="B141" s="1" t="s">
        <v>2386</v>
      </c>
      <c r="C141" s="1" t="s">
        <v>7</v>
      </c>
      <c r="D141" s="1" t="s">
        <v>2107</v>
      </c>
      <c r="E141" s="3">
        <v>40485</v>
      </c>
      <c r="F141" s="1" t="str">
        <f>VLOOKUP(D141,Table17[[Name]:[Native]],3,FALSE)</f>
        <v>市南区</v>
      </c>
      <c r="G141" s="14" t="str">
        <f ca="1">VLOOKUP(F141,Table17[[Native]:[Population4]],5,FALSE)</f>
        <v>青岛市</v>
      </c>
    </row>
    <row r="142" spans="1:7" ht="15.75" thickBot="1" x14ac:dyDescent="0.3">
      <c r="A142" t="s">
        <v>2387</v>
      </c>
      <c r="B142" s="4" t="s">
        <v>2388</v>
      </c>
      <c r="C142" s="4" t="s">
        <v>7</v>
      </c>
      <c r="D142" s="4" t="s">
        <v>2117</v>
      </c>
      <c r="E142" s="11">
        <v>85981</v>
      </c>
      <c r="F142" s="10" t="str">
        <f>VLOOKUP(D142,Table17[[Name]:[Native]],3,FALSE)</f>
        <v>黄岛区</v>
      </c>
      <c r="G142" s="14" t="str">
        <f ca="1">VLOOKUP(F142,Table17[[Native]:[Population4]],5,FALSE)</f>
        <v>青岛市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5A5F-1ADC-42E3-80C8-275BC2827480}">
  <dimension ref="A1:G55"/>
  <sheetViews>
    <sheetView workbookViewId="0">
      <selection activeCell="D5" sqref="D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2389</v>
      </c>
      <c r="B2" s="1" t="s">
        <v>2390</v>
      </c>
      <c r="C2" s="1" t="s">
        <v>7</v>
      </c>
      <c r="D2" s="1" t="s">
        <v>1806</v>
      </c>
      <c r="E2" s="3">
        <v>47896</v>
      </c>
      <c r="F2" s="9" t="str">
        <f>VLOOKUP(D2,Table17[[Name]:[Native]],3,FALSE)</f>
        <v>兰山区</v>
      </c>
      <c r="G2" s="14" t="str">
        <f ca="1">VLOOKUP(F2,Table17[[Native]:[Population4]],5,FALSE)</f>
        <v>临沂市</v>
      </c>
    </row>
    <row r="3" spans="1:7" ht="15.75" thickBot="1" x14ac:dyDescent="0.3">
      <c r="A3" t="s">
        <v>2391</v>
      </c>
      <c r="B3" s="1" t="s">
        <v>2392</v>
      </c>
      <c r="C3" s="1" t="s">
        <v>13</v>
      </c>
      <c r="D3" s="1" t="s">
        <v>2393</v>
      </c>
      <c r="E3" s="3">
        <v>26130</v>
      </c>
      <c r="F3" s="1" t="str">
        <f>VLOOKUP(D3,Table17[[Name]:[Native]],3,FALSE)</f>
        <v>莒县</v>
      </c>
      <c r="G3" s="14" t="str">
        <f ca="1">VLOOKUP(F3,Table17[[Native]:[Population4]],5,FALSE)</f>
        <v>日照市</v>
      </c>
    </row>
    <row r="4" spans="1:7" ht="15.75" thickBot="1" x14ac:dyDescent="0.3">
      <c r="A4" t="s">
        <v>2394</v>
      </c>
      <c r="B4" s="1" t="s">
        <v>2395</v>
      </c>
      <c r="C4" s="1" t="s">
        <v>7</v>
      </c>
      <c r="D4" s="1" t="s">
        <v>2396</v>
      </c>
      <c r="E4" s="3">
        <v>83340</v>
      </c>
      <c r="F4" s="1" t="str">
        <f>VLOOKUP(D4,Table17[[Name]:[Native]],3,FALSE)</f>
        <v>东港区</v>
      </c>
      <c r="G4" s="14" t="str">
        <f ca="1">VLOOKUP(F4,Table17[[Native]:[Population4]],5,FALSE)</f>
        <v>日照市</v>
      </c>
    </row>
    <row r="5" spans="1:7" ht="15.75" thickBot="1" x14ac:dyDescent="0.3">
      <c r="A5" t="s">
        <v>2397</v>
      </c>
      <c r="B5" s="1" t="s">
        <v>2398</v>
      </c>
      <c r="C5" s="1" t="s">
        <v>13</v>
      </c>
      <c r="D5" s="1" t="s">
        <v>1806</v>
      </c>
      <c r="E5" s="3">
        <v>45539</v>
      </c>
      <c r="F5" s="1" t="str">
        <f>VLOOKUP(D5,Table17[[Name]:[Native]],3,FALSE)</f>
        <v>兰山区</v>
      </c>
      <c r="G5" s="14" t="str">
        <f ca="1">VLOOKUP(F5,Table17[[Native]:[Population4]],5,FALSE)</f>
        <v>临沂市</v>
      </c>
    </row>
    <row r="6" spans="1:7" ht="15.75" thickBot="1" x14ac:dyDescent="0.3">
      <c r="A6" t="s">
        <v>2399</v>
      </c>
      <c r="B6" s="1" t="s">
        <v>2400</v>
      </c>
      <c r="C6" s="1" t="s">
        <v>13</v>
      </c>
      <c r="D6" s="1" t="s">
        <v>2393</v>
      </c>
      <c r="E6" s="3">
        <v>33892</v>
      </c>
      <c r="F6" s="1" t="str">
        <f>VLOOKUP(D6,Table17[[Name]:[Native]],3,FALSE)</f>
        <v>莒县</v>
      </c>
      <c r="G6" s="14" t="str">
        <f ca="1">VLOOKUP(F6,Table17[[Native]:[Population4]],5,FALSE)</f>
        <v>日照市</v>
      </c>
    </row>
    <row r="7" spans="1:7" ht="15.75" thickBot="1" x14ac:dyDescent="0.3">
      <c r="A7" t="s">
        <v>2401</v>
      </c>
      <c r="B7" s="1" t="s">
        <v>2402</v>
      </c>
      <c r="C7" s="1" t="s">
        <v>13</v>
      </c>
      <c r="D7" s="1" t="s">
        <v>2403</v>
      </c>
      <c r="E7" s="3">
        <v>31176</v>
      </c>
      <c r="F7" s="1" t="str">
        <f>VLOOKUP(D7,Table17[[Name]:[Native]],3,FALSE)</f>
        <v>五莲县</v>
      </c>
      <c r="G7" s="14" t="str">
        <f ca="1">VLOOKUP(F7,Table17[[Native]:[Population4]],5,FALSE)</f>
        <v>日照市</v>
      </c>
    </row>
    <row r="8" spans="1:7" ht="15.75" thickBot="1" x14ac:dyDescent="0.3">
      <c r="A8" t="s">
        <v>2140</v>
      </c>
      <c r="B8" s="1" t="s">
        <v>2141</v>
      </c>
      <c r="C8" s="1" t="s">
        <v>7</v>
      </c>
      <c r="D8" s="1" t="s">
        <v>2393</v>
      </c>
      <c r="E8" s="3">
        <v>166544</v>
      </c>
      <c r="F8" s="1" t="str">
        <f>VLOOKUP(D8,Table17[[Name]:[Native]],3,FALSE)</f>
        <v>莒县</v>
      </c>
      <c r="G8" s="14" t="str">
        <f ca="1">VLOOKUP(F8,Table17[[Native]:[Population4]],5,FALSE)</f>
        <v>日照市</v>
      </c>
    </row>
    <row r="9" spans="1:7" ht="15.75" thickBot="1" x14ac:dyDescent="0.3">
      <c r="A9" t="s">
        <v>2404</v>
      </c>
      <c r="B9" s="1" t="s">
        <v>2405</v>
      </c>
      <c r="C9" s="1" t="s">
        <v>13</v>
      </c>
      <c r="D9" s="1" t="s">
        <v>2396</v>
      </c>
      <c r="E9" s="3">
        <v>24706</v>
      </c>
      <c r="F9" s="1" t="str">
        <f>VLOOKUP(D9,Table17[[Name]:[Native]],3,FALSE)</f>
        <v>东港区</v>
      </c>
      <c r="G9" s="14" t="str">
        <f ca="1">VLOOKUP(F9,Table17[[Native]:[Population4]],5,FALSE)</f>
        <v>日照市</v>
      </c>
    </row>
    <row r="10" spans="1:7" ht="15.75" thickBot="1" x14ac:dyDescent="0.3">
      <c r="A10" t="s">
        <v>2406</v>
      </c>
      <c r="B10" s="1" t="s">
        <v>2407</v>
      </c>
      <c r="C10" s="1" t="s">
        <v>7</v>
      </c>
      <c r="D10" s="1" t="s">
        <v>2393</v>
      </c>
      <c r="E10" s="3">
        <v>35738</v>
      </c>
      <c r="F10" s="1" t="str">
        <f>VLOOKUP(D10,Table17[[Name]:[Native]],3,FALSE)</f>
        <v>莒县</v>
      </c>
      <c r="G10" s="14" t="str">
        <f ca="1">VLOOKUP(F10,Table17[[Native]:[Population4]],5,FALSE)</f>
        <v>日照市</v>
      </c>
    </row>
    <row r="11" spans="1:7" ht="15.75" thickBot="1" x14ac:dyDescent="0.3">
      <c r="A11" t="s">
        <v>2408</v>
      </c>
      <c r="B11" s="1" t="s">
        <v>2409</v>
      </c>
      <c r="C11" s="1" t="s">
        <v>13</v>
      </c>
      <c r="D11" s="1" t="s">
        <v>2393</v>
      </c>
      <c r="E11" s="3">
        <v>30967</v>
      </c>
      <c r="F11" s="1" t="str">
        <f>VLOOKUP(D11,Table17[[Name]:[Native]],3,FALSE)</f>
        <v>莒县</v>
      </c>
      <c r="G11" s="14" t="str">
        <f ca="1">VLOOKUP(F11,Table17[[Native]:[Population4]],5,FALSE)</f>
        <v>日照市</v>
      </c>
    </row>
    <row r="12" spans="1:7" ht="15.75" thickBot="1" x14ac:dyDescent="0.3">
      <c r="A12" t="s">
        <v>2410</v>
      </c>
      <c r="B12" s="1" t="s">
        <v>2411</v>
      </c>
      <c r="C12" s="1" t="s">
        <v>7</v>
      </c>
      <c r="D12" s="1" t="s">
        <v>2393</v>
      </c>
      <c r="E12" s="3">
        <v>51435</v>
      </c>
      <c r="F12" s="1" t="str">
        <f>VLOOKUP(D12,Table17[[Name]:[Native]],3,FALSE)</f>
        <v>莒县</v>
      </c>
      <c r="G12" s="14" t="str">
        <f ca="1">VLOOKUP(F12,Table17[[Native]:[Population4]],5,FALSE)</f>
        <v>日照市</v>
      </c>
    </row>
    <row r="13" spans="1:7" ht="15.75" thickBot="1" x14ac:dyDescent="0.3">
      <c r="A13" t="s">
        <v>2412</v>
      </c>
      <c r="B13" s="1" t="s">
        <v>2413</v>
      </c>
      <c r="C13" s="1" t="s">
        <v>13</v>
      </c>
      <c r="D13" s="1" t="s">
        <v>1806</v>
      </c>
      <c r="E13" s="3">
        <v>32875</v>
      </c>
      <c r="F13" s="1" t="str">
        <f>VLOOKUP(D13,Table17[[Name]:[Native]],3,FALSE)</f>
        <v>兰山区</v>
      </c>
      <c r="G13" s="14" t="str">
        <f ca="1">VLOOKUP(F13,Table17[[Native]:[Population4]],5,FALSE)</f>
        <v>临沂市</v>
      </c>
    </row>
    <row r="14" spans="1:7" ht="15.75" thickBot="1" x14ac:dyDescent="0.3">
      <c r="A14" t="s">
        <v>2414</v>
      </c>
      <c r="B14" s="1" t="s">
        <v>2415</v>
      </c>
      <c r="C14" s="1" t="s">
        <v>7</v>
      </c>
      <c r="D14" s="1" t="s">
        <v>2403</v>
      </c>
      <c r="E14" s="3">
        <v>30804</v>
      </c>
      <c r="F14" s="1" t="str">
        <f>VLOOKUP(D14,Table17[[Name]:[Native]],3,FALSE)</f>
        <v>五莲县</v>
      </c>
      <c r="G14" s="14" t="str">
        <f ca="1">VLOOKUP(F14,Table17[[Native]:[Population4]],5,FALSE)</f>
        <v>日照市</v>
      </c>
    </row>
    <row r="15" spans="1:7" ht="15.75" thickBot="1" x14ac:dyDescent="0.3">
      <c r="A15" t="s">
        <v>2416</v>
      </c>
      <c r="B15" s="1" t="s">
        <v>2417</v>
      </c>
      <c r="C15" s="1" t="s">
        <v>13</v>
      </c>
      <c r="D15" s="1" t="s">
        <v>2393</v>
      </c>
      <c r="E15" s="3">
        <v>28360</v>
      </c>
      <c r="F15" s="1" t="str">
        <f>VLOOKUP(D15,Table17[[Name]:[Native]],3,FALSE)</f>
        <v>莒县</v>
      </c>
      <c r="G15" s="14" t="str">
        <f ca="1">VLOOKUP(F15,Table17[[Native]:[Population4]],5,FALSE)</f>
        <v>日照市</v>
      </c>
    </row>
    <row r="16" spans="1:7" ht="15.75" thickBot="1" x14ac:dyDescent="0.3">
      <c r="A16" t="s">
        <v>2418</v>
      </c>
      <c r="B16" s="1" t="s">
        <v>2419</v>
      </c>
      <c r="C16" s="1" t="s">
        <v>13</v>
      </c>
      <c r="D16" s="1" t="s">
        <v>2396</v>
      </c>
      <c r="E16" s="3">
        <v>28784</v>
      </c>
      <c r="F16" s="1" t="str">
        <f>VLOOKUP(D16,Table17[[Name]:[Native]],3,FALSE)</f>
        <v>东港区</v>
      </c>
      <c r="G16" s="14" t="str">
        <f ca="1">VLOOKUP(F16,Table17[[Native]:[Population4]],5,FALSE)</f>
        <v>日照市</v>
      </c>
    </row>
    <row r="17" spans="1:7" ht="15.75" thickBot="1" x14ac:dyDescent="0.3">
      <c r="A17" t="s">
        <v>2420</v>
      </c>
      <c r="B17" s="1" t="s">
        <v>2421</v>
      </c>
      <c r="C17" s="1" t="s">
        <v>7</v>
      </c>
      <c r="D17" s="1" t="s">
        <v>2403</v>
      </c>
      <c r="E17" s="3">
        <v>158059</v>
      </c>
      <c r="F17" s="1" t="str">
        <f>VLOOKUP(D17,Table17[[Name]:[Native]],3,FALSE)</f>
        <v>五莲县</v>
      </c>
      <c r="G17" s="14" t="str">
        <f ca="1">VLOOKUP(F17,Table17[[Native]:[Population4]],5,FALSE)</f>
        <v>日照市</v>
      </c>
    </row>
    <row r="18" spans="1:7" ht="15.75" thickBot="1" x14ac:dyDescent="0.3">
      <c r="A18" t="s">
        <v>2422</v>
      </c>
      <c r="B18" s="1" t="s">
        <v>2423</v>
      </c>
      <c r="C18" s="1" t="s">
        <v>13</v>
      </c>
      <c r="D18" s="1" t="s">
        <v>2396</v>
      </c>
      <c r="E18" s="3">
        <v>53533</v>
      </c>
      <c r="F18" s="1" t="str">
        <f>VLOOKUP(D18,Table17[[Name]:[Native]],3,FALSE)</f>
        <v>东港区</v>
      </c>
      <c r="G18" s="14" t="str">
        <f ca="1">VLOOKUP(F18,Table17[[Native]:[Population4]],5,FALSE)</f>
        <v>日照市</v>
      </c>
    </row>
    <row r="19" spans="1:7" ht="15.75" thickBot="1" x14ac:dyDescent="0.3">
      <c r="A19" t="s">
        <v>2424</v>
      </c>
      <c r="B19" s="1" t="s">
        <v>2425</v>
      </c>
      <c r="C19" s="1" t="s">
        <v>13</v>
      </c>
      <c r="D19" s="1" t="s">
        <v>1806</v>
      </c>
      <c r="E19" s="3">
        <v>44250</v>
      </c>
      <c r="F19" s="1" t="str">
        <f>VLOOKUP(D19,Table17[[Name]:[Native]],3,FALSE)</f>
        <v>兰山区</v>
      </c>
      <c r="G19" s="14" t="str">
        <f ca="1">VLOOKUP(F19,Table17[[Native]:[Population4]],5,FALSE)</f>
        <v>临沂市</v>
      </c>
    </row>
    <row r="20" spans="1:7" ht="15.75" thickBot="1" x14ac:dyDescent="0.3">
      <c r="A20" t="s">
        <v>2426</v>
      </c>
      <c r="B20" s="1" t="s">
        <v>2427</v>
      </c>
      <c r="C20" s="1" t="s">
        <v>61</v>
      </c>
      <c r="D20" s="1" t="s">
        <v>2403</v>
      </c>
      <c r="E20" s="3">
        <v>16728</v>
      </c>
      <c r="F20" s="1" t="str">
        <f>VLOOKUP(D20,Table17[[Name]:[Native]],3,FALSE)</f>
        <v>五莲县</v>
      </c>
      <c r="G20" s="14" t="str">
        <f ca="1">VLOOKUP(F20,Table17[[Native]:[Population4]],5,FALSE)</f>
        <v>日照市</v>
      </c>
    </row>
    <row r="21" spans="1:7" ht="15.75" thickBot="1" x14ac:dyDescent="0.3">
      <c r="A21" t="s">
        <v>2428</v>
      </c>
      <c r="B21" s="1" t="s">
        <v>2429</v>
      </c>
      <c r="C21" s="1" t="s">
        <v>13</v>
      </c>
      <c r="D21" s="1" t="s">
        <v>1806</v>
      </c>
      <c r="E21" s="3">
        <v>65625</v>
      </c>
      <c r="F21" s="1" t="str">
        <f>VLOOKUP(D21,Table17[[Name]:[Native]],3,FALSE)</f>
        <v>兰山区</v>
      </c>
      <c r="G21" s="14" t="str">
        <f ca="1">VLOOKUP(F21,Table17[[Native]:[Population4]],5,FALSE)</f>
        <v>临沂市</v>
      </c>
    </row>
    <row r="22" spans="1:7" ht="15.75" thickBot="1" x14ac:dyDescent="0.3">
      <c r="A22" t="s">
        <v>2430</v>
      </c>
      <c r="B22" s="1" t="s">
        <v>2431</v>
      </c>
      <c r="C22" s="1" t="s">
        <v>13</v>
      </c>
      <c r="D22" s="1" t="s">
        <v>2393</v>
      </c>
      <c r="E22" s="3">
        <v>49224</v>
      </c>
      <c r="F22" s="1" t="str">
        <f>VLOOKUP(D22,Table17[[Name]:[Native]],3,FALSE)</f>
        <v>莒县</v>
      </c>
      <c r="G22" s="14" t="str">
        <f ca="1">VLOOKUP(F22,Table17[[Native]:[Population4]],5,FALSE)</f>
        <v>日照市</v>
      </c>
    </row>
    <row r="23" spans="1:7" ht="15.75" thickBot="1" x14ac:dyDescent="0.3">
      <c r="A23" t="s">
        <v>2432</v>
      </c>
      <c r="B23" s="1" t="s">
        <v>2433</v>
      </c>
      <c r="C23" s="1" t="s">
        <v>13</v>
      </c>
      <c r="D23" s="1" t="s">
        <v>2403</v>
      </c>
      <c r="E23" s="3">
        <v>54860</v>
      </c>
      <c r="F23" s="1" t="str">
        <f>VLOOKUP(D23,Table17[[Name]:[Native]],3,FALSE)</f>
        <v>五莲县</v>
      </c>
      <c r="G23" s="14" t="str">
        <f ca="1">VLOOKUP(F23,Table17[[Native]:[Population4]],5,FALSE)</f>
        <v>日照市</v>
      </c>
    </row>
    <row r="24" spans="1:7" ht="15.75" thickBot="1" x14ac:dyDescent="0.3">
      <c r="A24" t="s">
        <v>2434</v>
      </c>
      <c r="B24" s="1" t="s">
        <v>2435</v>
      </c>
      <c r="C24" s="1" t="s">
        <v>13</v>
      </c>
      <c r="D24" s="1" t="s">
        <v>1806</v>
      </c>
      <c r="E24" s="3">
        <v>68872</v>
      </c>
      <c r="F24" s="1" t="str">
        <f>VLOOKUP(D24,Table17[[Name]:[Native]],3,FALSE)</f>
        <v>兰山区</v>
      </c>
      <c r="G24" s="14" t="str">
        <f ca="1">VLOOKUP(F24,Table17[[Native]:[Population4]],5,FALSE)</f>
        <v>临沂市</v>
      </c>
    </row>
    <row r="25" spans="1:7" ht="15.75" thickBot="1" x14ac:dyDescent="0.3">
      <c r="A25" t="s">
        <v>2436</v>
      </c>
      <c r="B25" s="1" t="s">
        <v>2437</v>
      </c>
      <c r="C25" s="1" t="s">
        <v>13</v>
      </c>
      <c r="D25" s="1" t="s">
        <v>2403</v>
      </c>
      <c r="E25" s="3">
        <v>25763</v>
      </c>
      <c r="F25" s="1" t="str">
        <f>VLOOKUP(D25,Table17[[Name]:[Native]],3,FALSE)</f>
        <v>五莲县</v>
      </c>
      <c r="G25" s="14" t="str">
        <f ca="1">VLOOKUP(F25,Table17[[Native]:[Population4]],5,FALSE)</f>
        <v>日照市</v>
      </c>
    </row>
    <row r="26" spans="1:7" ht="15.75" thickBot="1" x14ac:dyDescent="0.3">
      <c r="A26" t="s">
        <v>2438</v>
      </c>
      <c r="B26" s="1" t="s">
        <v>2439</v>
      </c>
      <c r="C26" s="1" t="s">
        <v>7</v>
      </c>
      <c r="D26" s="1" t="s">
        <v>2396</v>
      </c>
      <c r="E26" s="3">
        <v>44052</v>
      </c>
      <c r="F26" s="1" t="str">
        <f>VLOOKUP(D26,Table17[[Name]:[Native]],3,FALSE)</f>
        <v>东港区</v>
      </c>
      <c r="G26" s="14" t="str">
        <f ca="1">VLOOKUP(F26,Table17[[Native]:[Population4]],5,FALSE)</f>
        <v>日照市</v>
      </c>
    </row>
    <row r="27" spans="1:7" ht="15.75" thickBot="1" x14ac:dyDescent="0.3">
      <c r="A27" t="s">
        <v>2440</v>
      </c>
      <c r="B27" s="1" t="s">
        <v>2441</v>
      </c>
      <c r="C27" s="1" t="s">
        <v>61</v>
      </c>
      <c r="D27" s="1" t="s">
        <v>2393</v>
      </c>
      <c r="E27" s="3">
        <v>21674</v>
      </c>
      <c r="F27" s="1" t="str">
        <f>VLOOKUP(D27,Table17[[Name]:[Native]],3,FALSE)</f>
        <v>莒县</v>
      </c>
      <c r="G27" s="14" t="str">
        <f ca="1">VLOOKUP(F27,Table17[[Native]:[Population4]],5,FALSE)</f>
        <v>日照市</v>
      </c>
    </row>
    <row r="28" spans="1:7" ht="15.75" thickBot="1" x14ac:dyDescent="0.3">
      <c r="A28" t="s">
        <v>2442</v>
      </c>
      <c r="B28" s="1" t="s">
        <v>2443</v>
      </c>
      <c r="C28" s="1" t="s">
        <v>7</v>
      </c>
      <c r="D28" s="1" t="s">
        <v>1806</v>
      </c>
      <c r="E28" s="3">
        <v>36928</v>
      </c>
      <c r="F28" s="1" t="str">
        <f>VLOOKUP(D28,Table17[[Name]:[Native]],3,FALSE)</f>
        <v>兰山区</v>
      </c>
      <c r="G28" s="14" t="str">
        <f ca="1">VLOOKUP(F28,Table17[[Native]:[Population4]],5,FALSE)</f>
        <v>临沂市</v>
      </c>
    </row>
    <row r="29" spans="1:7" ht="15.75" thickBot="1" x14ac:dyDescent="0.3">
      <c r="A29" t="s">
        <v>2444</v>
      </c>
      <c r="B29" s="1" t="s">
        <v>2445</v>
      </c>
      <c r="C29" s="1" t="s">
        <v>7</v>
      </c>
      <c r="D29" s="1" t="s">
        <v>2396</v>
      </c>
      <c r="E29" s="3">
        <v>38253</v>
      </c>
      <c r="F29" s="1" t="str">
        <f>VLOOKUP(D29,Table17[[Name]:[Native]],3,FALSE)</f>
        <v>东港区</v>
      </c>
      <c r="G29" s="14" t="str">
        <f ca="1">VLOOKUP(F29,Table17[[Native]:[Population4]],5,FALSE)</f>
        <v>日照市</v>
      </c>
    </row>
    <row r="30" spans="1:7" ht="15.75" thickBot="1" x14ac:dyDescent="0.3">
      <c r="A30" t="s">
        <v>2446</v>
      </c>
      <c r="B30" s="1" t="s">
        <v>2447</v>
      </c>
      <c r="C30" s="1" t="s">
        <v>7</v>
      </c>
      <c r="D30" s="1" t="s">
        <v>2393</v>
      </c>
      <c r="E30" s="3">
        <v>37691</v>
      </c>
      <c r="F30" s="1" t="str">
        <f>VLOOKUP(D30,Table17[[Name]:[Native]],3,FALSE)</f>
        <v>莒县</v>
      </c>
      <c r="G30" s="14" t="str">
        <f ca="1">VLOOKUP(F30,Table17[[Native]:[Population4]],5,FALSE)</f>
        <v>日照市</v>
      </c>
    </row>
    <row r="31" spans="1:7" ht="15.75" thickBot="1" x14ac:dyDescent="0.3">
      <c r="A31" t="s">
        <v>2448</v>
      </c>
      <c r="B31" s="1" t="s">
        <v>2449</v>
      </c>
      <c r="C31" s="1" t="s">
        <v>13</v>
      </c>
      <c r="D31" s="1" t="s">
        <v>2393</v>
      </c>
      <c r="E31" s="3">
        <v>59552</v>
      </c>
      <c r="F31" s="1" t="str">
        <f>VLOOKUP(D31,Table17[[Name]:[Native]],3,FALSE)</f>
        <v>莒县</v>
      </c>
      <c r="G31" s="14" t="str">
        <f ca="1">VLOOKUP(F31,Table17[[Native]:[Population4]],5,FALSE)</f>
        <v>日照市</v>
      </c>
    </row>
    <row r="32" spans="1:7" ht="15.75" thickBot="1" x14ac:dyDescent="0.3">
      <c r="A32" t="s">
        <v>2450</v>
      </c>
      <c r="B32" s="1" t="s">
        <v>2451</v>
      </c>
      <c r="C32" s="1" t="s">
        <v>13</v>
      </c>
      <c r="D32" s="1" t="s">
        <v>2393</v>
      </c>
      <c r="E32" s="3">
        <v>35253</v>
      </c>
      <c r="F32" s="1" t="str">
        <f>VLOOKUP(D32,Table17[[Name]:[Native]],3,FALSE)</f>
        <v>莒县</v>
      </c>
      <c r="G32" s="14" t="str">
        <f ca="1">VLOOKUP(F32,Table17[[Native]:[Population4]],5,FALSE)</f>
        <v>日照市</v>
      </c>
    </row>
    <row r="33" spans="1:7" ht="15.75" thickBot="1" x14ac:dyDescent="0.3">
      <c r="A33" t="s">
        <v>2452</v>
      </c>
      <c r="B33" s="1" t="s">
        <v>2453</v>
      </c>
      <c r="C33" s="1" t="s">
        <v>13</v>
      </c>
      <c r="D33" s="1" t="s">
        <v>2393</v>
      </c>
      <c r="E33" s="3">
        <v>38938</v>
      </c>
      <c r="F33" s="1" t="str">
        <f>VLOOKUP(D33,Table17[[Name]:[Native]],3,FALSE)</f>
        <v>莒县</v>
      </c>
      <c r="G33" s="14" t="str">
        <f ca="1">VLOOKUP(F33,Table17[[Native]:[Population4]],5,FALSE)</f>
        <v>日照市</v>
      </c>
    </row>
    <row r="34" spans="1:7" ht="15.75" thickBot="1" x14ac:dyDescent="0.3">
      <c r="A34" t="s">
        <v>2454</v>
      </c>
      <c r="B34" s="1" t="s">
        <v>2455</v>
      </c>
      <c r="C34" s="1" t="s">
        <v>13</v>
      </c>
      <c r="D34" s="1" t="s">
        <v>2396</v>
      </c>
      <c r="E34" s="3">
        <v>61034</v>
      </c>
      <c r="F34" s="1" t="str">
        <f>VLOOKUP(D34,Table17[[Name]:[Native]],3,FALSE)</f>
        <v>东港区</v>
      </c>
      <c r="G34" s="14" t="str">
        <f ca="1">VLOOKUP(F34,Table17[[Native]:[Population4]],5,FALSE)</f>
        <v>日照市</v>
      </c>
    </row>
    <row r="35" spans="1:7" ht="15.75" thickBot="1" x14ac:dyDescent="0.3">
      <c r="A35" t="s">
        <v>2456</v>
      </c>
      <c r="B35" s="1" t="s">
        <v>2457</v>
      </c>
      <c r="C35" s="1" t="s">
        <v>61</v>
      </c>
      <c r="D35" s="1" t="s">
        <v>1806</v>
      </c>
      <c r="E35" s="3">
        <v>4549</v>
      </c>
      <c r="F35" s="1" t="str">
        <f>VLOOKUP(D35,Table17[[Name]:[Native]],3,FALSE)</f>
        <v>兰山区</v>
      </c>
      <c r="G35" s="14" t="str">
        <f ca="1">VLOOKUP(F35,Table17[[Native]:[Population4]],5,FALSE)</f>
        <v>临沂市</v>
      </c>
    </row>
    <row r="36" spans="1:7" ht="15.75" thickBot="1" x14ac:dyDescent="0.3">
      <c r="A36" t="s">
        <v>2458</v>
      </c>
      <c r="B36" s="1" t="s">
        <v>2459</v>
      </c>
      <c r="C36" s="1" t="s">
        <v>7</v>
      </c>
      <c r="D36" s="1" t="s">
        <v>2396</v>
      </c>
      <c r="E36" s="3">
        <v>191953</v>
      </c>
      <c r="F36" s="1" t="str">
        <f>VLOOKUP(D36,Table17[[Name]:[Native]],3,FALSE)</f>
        <v>东港区</v>
      </c>
      <c r="G36" s="14" t="str">
        <f ca="1">VLOOKUP(F36,Table17[[Native]:[Population4]],5,FALSE)</f>
        <v>日照市</v>
      </c>
    </row>
    <row r="37" spans="1:7" ht="15.75" thickBot="1" x14ac:dyDescent="0.3">
      <c r="A37" t="s">
        <v>2460</v>
      </c>
      <c r="B37" s="1" t="s">
        <v>2461</v>
      </c>
      <c r="C37" s="1" t="s">
        <v>13</v>
      </c>
      <c r="D37" s="1" t="s">
        <v>2393</v>
      </c>
      <c r="E37" s="3">
        <v>59930</v>
      </c>
      <c r="F37" s="1" t="str">
        <f>VLOOKUP(D37,Table17[[Name]:[Native]],3,FALSE)</f>
        <v>莒县</v>
      </c>
      <c r="G37" s="14" t="str">
        <f ca="1">VLOOKUP(F37,Table17[[Native]:[Population4]],5,FALSE)</f>
        <v>日照市</v>
      </c>
    </row>
    <row r="38" spans="1:7" ht="15.75" thickBot="1" x14ac:dyDescent="0.3">
      <c r="A38" t="s">
        <v>2462</v>
      </c>
      <c r="B38" s="1" t="s">
        <v>2463</v>
      </c>
      <c r="C38" s="1" t="s">
        <v>7</v>
      </c>
      <c r="D38" s="1" t="s">
        <v>2396</v>
      </c>
      <c r="E38" s="3">
        <v>221447</v>
      </c>
      <c r="F38" s="1" t="str">
        <f>VLOOKUP(D38,Table17[[Name]:[Native]],3,FALSE)</f>
        <v>东港区</v>
      </c>
      <c r="G38" s="14" t="str">
        <f ca="1">VLOOKUP(F38,Table17[[Native]:[Population4]],5,FALSE)</f>
        <v>日照市</v>
      </c>
    </row>
    <row r="39" spans="1:7" ht="15.75" thickBot="1" x14ac:dyDescent="0.3">
      <c r="A39" t="s">
        <v>2464</v>
      </c>
      <c r="B39" s="1" t="s">
        <v>2465</v>
      </c>
      <c r="C39" s="1" t="s">
        <v>13</v>
      </c>
      <c r="D39" s="1" t="s">
        <v>2393</v>
      </c>
      <c r="E39" s="3">
        <v>45160</v>
      </c>
      <c r="F39" s="1" t="str">
        <f>VLOOKUP(D39,Table17[[Name]:[Native]],3,FALSE)</f>
        <v>莒县</v>
      </c>
      <c r="G39" s="14" t="str">
        <f ca="1">VLOOKUP(F39,Table17[[Native]:[Population4]],5,FALSE)</f>
        <v>日照市</v>
      </c>
    </row>
    <row r="40" spans="1:7" ht="15.75" thickBot="1" x14ac:dyDescent="0.3">
      <c r="A40" t="s">
        <v>2466</v>
      </c>
      <c r="B40" s="1" t="s">
        <v>2467</v>
      </c>
      <c r="C40" s="1" t="s">
        <v>13</v>
      </c>
      <c r="D40" s="1" t="s">
        <v>2396</v>
      </c>
      <c r="E40" s="3">
        <v>52214</v>
      </c>
      <c r="F40" s="1" t="str">
        <f>VLOOKUP(D40,Table17[[Name]:[Native]],3,FALSE)</f>
        <v>东港区</v>
      </c>
      <c r="G40" s="14" t="str">
        <f ca="1">VLOOKUP(F40,Table17[[Native]:[Population4]],5,FALSE)</f>
        <v>日照市</v>
      </c>
    </row>
    <row r="41" spans="1:7" ht="15.75" thickBot="1" x14ac:dyDescent="0.3">
      <c r="A41" t="s">
        <v>2468</v>
      </c>
      <c r="B41" s="1" t="s">
        <v>2469</v>
      </c>
      <c r="C41" s="1" t="s">
        <v>61</v>
      </c>
      <c r="D41" s="1" t="s">
        <v>2403</v>
      </c>
      <c r="E41" s="3">
        <v>17652</v>
      </c>
      <c r="F41" s="1" t="str">
        <f>VLOOKUP(D41,Table17[[Name]:[Native]],3,FALSE)</f>
        <v>五莲县</v>
      </c>
      <c r="G41" s="14" t="str">
        <f ca="1">VLOOKUP(F41,Table17[[Native]:[Population4]],5,FALSE)</f>
        <v>日照市</v>
      </c>
    </row>
    <row r="42" spans="1:7" ht="15.75" thickBot="1" x14ac:dyDescent="0.3">
      <c r="A42" t="s">
        <v>2470</v>
      </c>
      <c r="B42" s="1" t="s">
        <v>2471</v>
      </c>
      <c r="C42" s="1" t="s">
        <v>7</v>
      </c>
      <c r="D42" s="1" t="s">
        <v>2396</v>
      </c>
      <c r="E42" s="3">
        <v>82898</v>
      </c>
      <c r="F42" s="1" t="str">
        <f>VLOOKUP(D42,Table17[[Name]:[Native]],3,FALSE)</f>
        <v>东港区</v>
      </c>
      <c r="G42" s="14" t="str">
        <f ca="1">VLOOKUP(F42,Table17[[Native]:[Population4]],5,FALSE)</f>
        <v>日照市</v>
      </c>
    </row>
    <row r="43" spans="1:7" ht="15.75" thickBot="1" x14ac:dyDescent="0.3">
      <c r="A43" t="s">
        <v>2472</v>
      </c>
      <c r="B43" s="1" t="s">
        <v>2473</v>
      </c>
      <c r="C43" s="1" t="s">
        <v>13</v>
      </c>
      <c r="D43" s="1" t="s">
        <v>2403</v>
      </c>
      <c r="E43" s="3">
        <v>15957</v>
      </c>
      <c r="F43" s="1" t="str">
        <f>VLOOKUP(D43,Table17[[Name]:[Native]],3,FALSE)</f>
        <v>五莲县</v>
      </c>
      <c r="G43" s="14" t="str">
        <f ca="1">VLOOKUP(F43,Table17[[Native]:[Population4]],5,FALSE)</f>
        <v>日照市</v>
      </c>
    </row>
    <row r="44" spans="1:7" ht="15.75" thickBot="1" x14ac:dyDescent="0.3">
      <c r="A44" t="s">
        <v>2474</v>
      </c>
      <c r="B44" s="1" t="s">
        <v>2475</v>
      </c>
      <c r="C44" s="1" t="s">
        <v>13</v>
      </c>
      <c r="D44" s="1" t="s">
        <v>2396</v>
      </c>
      <c r="E44" s="3">
        <v>61852</v>
      </c>
      <c r="F44" s="1" t="str">
        <f>VLOOKUP(D44,Table17[[Name]:[Native]],3,FALSE)</f>
        <v>东港区</v>
      </c>
      <c r="G44" s="14" t="str">
        <f ca="1">VLOOKUP(F44,Table17[[Native]:[Population4]],5,FALSE)</f>
        <v>日照市</v>
      </c>
    </row>
    <row r="45" spans="1:7" ht="15.75" thickBot="1" x14ac:dyDescent="0.3">
      <c r="A45" t="s">
        <v>2476</v>
      </c>
      <c r="B45" s="1" t="s">
        <v>2477</v>
      </c>
      <c r="C45" s="1" t="s">
        <v>13</v>
      </c>
      <c r="D45" s="1" t="s">
        <v>2403</v>
      </c>
      <c r="E45" s="3">
        <v>20561</v>
      </c>
      <c r="F45" s="1" t="str">
        <f>VLOOKUP(D45,Table17[[Name]:[Native]],3,FALSE)</f>
        <v>五莲县</v>
      </c>
      <c r="G45" s="14" t="str">
        <f ca="1">VLOOKUP(F45,Table17[[Native]:[Population4]],5,FALSE)</f>
        <v>日照市</v>
      </c>
    </row>
    <row r="46" spans="1:7" ht="15.75" thickBot="1" x14ac:dyDescent="0.3">
      <c r="A46" t="s">
        <v>2478</v>
      </c>
      <c r="B46" s="1" t="s">
        <v>2479</v>
      </c>
      <c r="C46" s="1" t="s">
        <v>13</v>
      </c>
      <c r="D46" s="1" t="s">
        <v>2393</v>
      </c>
      <c r="E46" s="3">
        <v>46846</v>
      </c>
      <c r="F46" s="1" t="str">
        <f>VLOOKUP(D46,Table17[[Name]:[Native]],3,FALSE)</f>
        <v>莒县</v>
      </c>
      <c r="G46" s="14" t="str">
        <f ca="1">VLOOKUP(F46,Table17[[Native]:[Population4]],5,FALSE)</f>
        <v>日照市</v>
      </c>
    </row>
    <row r="47" spans="1:7" ht="15.75" thickBot="1" x14ac:dyDescent="0.3">
      <c r="A47" t="s">
        <v>2480</v>
      </c>
      <c r="B47" s="1" t="s">
        <v>2481</v>
      </c>
      <c r="C47" s="1" t="s">
        <v>13</v>
      </c>
      <c r="D47" s="1" t="s">
        <v>2393</v>
      </c>
      <c r="E47" s="3">
        <v>53529</v>
      </c>
      <c r="F47" s="1" t="str">
        <f>VLOOKUP(D47,Table17[[Name]:[Native]],3,FALSE)</f>
        <v>莒县</v>
      </c>
      <c r="G47" s="14" t="str">
        <f ca="1">VLOOKUP(F47,Table17[[Native]:[Population4]],5,FALSE)</f>
        <v>日照市</v>
      </c>
    </row>
    <row r="48" spans="1:7" ht="15.75" thickBot="1" x14ac:dyDescent="0.3">
      <c r="A48" t="s">
        <v>1726</v>
      </c>
      <c r="B48" s="1" t="s">
        <v>1727</v>
      </c>
      <c r="C48" s="1" t="s">
        <v>13</v>
      </c>
      <c r="D48" s="1" t="s">
        <v>2396</v>
      </c>
      <c r="E48" s="3">
        <v>29978</v>
      </c>
      <c r="F48" s="1" t="str">
        <f>VLOOKUP(D48,Table17[[Name]:[Native]],3,FALSE)</f>
        <v>东港区</v>
      </c>
      <c r="G48" s="14" t="str">
        <f ca="1">VLOOKUP(F48,Table17[[Native]:[Population4]],5,FALSE)</f>
        <v>日照市</v>
      </c>
    </row>
    <row r="49" spans="1:7" ht="15.75" thickBot="1" x14ac:dyDescent="0.3">
      <c r="A49" t="s">
        <v>2482</v>
      </c>
      <c r="B49" s="1" t="s">
        <v>2483</v>
      </c>
      <c r="C49" s="1" t="s">
        <v>13</v>
      </c>
      <c r="D49" s="1" t="s">
        <v>2403</v>
      </c>
      <c r="E49" s="3">
        <v>51308</v>
      </c>
      <c r="F49" s="1" t="str">
        <f>VLOOKUP(D49,Table17[[Name]:[Native]],3,FALSE)</f>
        <v>五莲县</v>
      </c>
      <c r="G49" s="14" t="str">
        <f ca="1">VLOOKUP(F49,Table17[[Native]:[Population4]],5,FALSE)</f>
        <v>日照市</v>
      </c>
    </row>
    <row r="50" spans="1:7" ht="15.75" thickBot="1" x14ac:dyDescent="0.3">
      <c r="A50" t="s">
        <v>1190</v>
      </c>
      <c r="B50" s="1" t="s">
        <v>2484</v>
      </c>
      <c r="C50" s="1" t="s">
        <v>7</v>
      </c>
      <c r="D50" s="1" t="s">
        <v>2393</v>
      </c>
      <c r="E50" s="3">
        <v>36041</v>
      </c>
      <c r="F50" s="1" t="str">
        <f>VLOOKUP(D50,Table17[[Name]:[Native]],3,FALSE)</f>
        <v>莒县</v>
      </c>
      <c r="G50" s="14" t="str">
        <f ca="1">VLOOKUP(F50,Table17[[Native]:[Population4]],5,FALSE)</f>
        <v>日照市</v>
      </c>
    </row>
    <row r="51" spans="1:7" ht="15.75" thickBot="1" x14ac:dyDescent="0.3">
      <c r="A51" t="s">
        <v>2485</v>
      </c>
      <c r="B51" s="1" t="s">
        <v>2486</v>
      </c>
      <c r="C51" s="1" t="s">
        <v>13</v>
      </c>
      <c r="D51" s="1" t="s">
        <v>2403</v>
      </c>
      <c r="E51" s="3">
        <v>38679</v>
      </c>
      <c r="F51" s="1" t="str">
        <f>VLOOKUP(D51,Table17[[Name]:[Native]],3,FALSE)</f>
        <v>五莲县</v>
      </c>
      <c r="G51" s="14" t="str">
        <f ca="1">VLOOKUP(F51,Table17[[Native]:[Population4]],5,FALSE)</f>
        <v>日照市</v>
      </c>
    </row>
    <row r="52" spans="1:7" ht="15.75" thickBot="1" x14ac:dyDescent="0.3">
      <c r="A52" t="s">
        <v>2487</v>
      </c>
      <c r="B52" s="1" t="s">
        <v>2488</v>
      </c>
      <c r="C52" s="1" t="s">
        <v>13</v>
      </c>
      <c r="D52" s="1" t="s">
        <v>2393</v>
      </c>
      <c r="E52" s="3">
        <v>29720</v>
      </c>
      <c r="F52" s="1" t="str">
        <f>VLOOKUP(D52,Table17[[Name]:[Native]],3,FALSE)</f>
        <v>莒县</v>
      </c>
      <c r="G52" s="14" t="str">
        <f ca="1">VLOOKUP(F52,Table17[[Native]:[Population4]],5,FALSE)</f>
        <v>日照市</v>
      </c>
    </row>
    <row r="53" spans="1:7" ht="15.75" thickBot="1" x14ac:dyDescent="0.3">
      <c r="A53" t="s">
        <v>2489</v>
      </c>
      <c r="B53" s="1" t="s">
        <v>2490</v>
      </c>
      <c r="C53" s="1" t="s">
        <v>13</v>
      </c>
      <c r="D53" s="1" t="s">
        <v>2393</v>
      </c>
      <c r="E53" s="3">
        <v>60223</v>
      </c>
      <c r="F53" s="1" t="str">
        <f>VLOOKUP(D53,Table17[[Name]:[Native]],3,FALSE)</f>
        <v>莒县</v>
      </c>
      <c r="G53" s="14" t="str">
        <f ca="1">VLOOKUP(F53,Table17[[Native]:[Population4]],5,FALSE)</f>
        <v>日照市</v>
      </c>
    </row>
    <row r="54" spans="1:7" ht="15.75" thickBot="1" x14ac:dyDescent="0.3">
      <c r="A54" t="s">
        <v>2491</v>
      </c>
      <c r="B54" s="1" t="s">
        <v>2492</v>
      </c>
      <c r="C54" s="1" t="s">
        <v>13</v>
      </c>
      <c r="D54" s="1" t="s">
        <v>2396</v>
      </c>
      <c r="E54" s="3">
        <v>48705</v>
      </c>
      <c r="F54" s="1" t="str">
        <f>VLOOKUP(D54,Table17[[Name]:[Native]],3,FALSE)</f>
        <v>东港区</v>
      </c>
      <c r="G54" s="14" t="str">
        <f ca="1">VLOOKUP(F54,Table17[[Native]:[Population4]],5,FALSE)</f>
        <v>日照市</v>
      </c>
    </row>
    <row r="55" spans="1:7" ht="15.75" thickBot="1" x14ac:dyDescent="0.3">
      <c r="A55" t="s">
        <v>2493</v>
      </c>
      <c r="B55" s="1" t="s">
        <v>2494</v>
      </c>
      <c r="C55" s="1" t="s">
        <v>13</v>
      </c>
      <c r="D55" s="1" t="s">
        <v>2403</v>
      </c>
      <c r="E55" s="3">
        <v>23336</v>
      </c>
      <c r="F55" s="10" t="str">
        <f>VLOOKUP(D55,Table17[[Name]:[Native]],3,FALSE)</f>
        <v>五莲县</v>
      </c>
      <c r="G55" s="14" t="str">
        <f ca="1">VLOOKUP(F55,Table17[[Native]:[Population4]],5,FALSE)</f>
        <v>日照市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174EC-3123-4AAA-BFD3-92430A2176A8}">
  <dimension ref="A1:G88"/>
  <sheetViews>
    <sheetView workbookViewId="0">
      <selection activeCell="A2" sqref="A2:G8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2495</v>
      </c>
      <c r="B2" s="1" t="s">
        <v>2496</v>
      </c>
      <c r="C2" s="1" t="s">
        <v>13</v>
      </c>
      <c r="D2" s="1" t="s">
        <v>2497</v>
      </c>
      <c r="E2" s="3">
        <v>76235</v>
      </c>
      <c r="F2" s="9" t="str">
        <f>VLOOKUP(D2,Table17[[Name]:[Native]],3,FALSE)</f>
        <v>肥城市</v>
      </c>
      <c r="G2" s="14" t="str">
        <f ca="1">VLOOKUP(F2,Table17[[Native]:[Population4]],5,FALSE)</f>
        <v>泰安市</v>
      </c>
    </row>
    <row r="3" spans="1:7" ht="15.75" thickBot="1" x14ac:dyDescent="0.3">
      <c r="A3" t="s">
        <v>2498</v>
      </c>
      <c r="B3" s="1" t="s">
        <v>2499</v>
      </c>
      <c r="C3" s="1" t="s">
        <v>13</v>
      </c>
      <c r="D3" s="1" t="s">
        <v>2497</v>
      </c>
      <c r="E3" s="3">
        <v>50966</v>
      </c>
      <c r="F3" s="1" t="str">
        <f>VLOOKUP(D3,Table17[[Name]:[Native]],3,FALSE)</f>
        <v>肥城市</v>
      </c>
      <c r="G3" s="14" t="str">
        <f ca="1">VLOOKUP(F3,Table17[[Native]:[Population4]],5,FALSE)</f>
        <v>泰安市</v>
      </c>
    </row>
    <row r="4" spans="1:7" ht="15.75" thickBot="1" x14ac:dyDescent="0.3">
      <c r="A4" t="s">
        <v>2500</v>
      </c>
      <c r="B4" s="1" t="s">
        <v>2501</v>
      </c>
      <c r="C4" s="1" t="s">
        <v>13</v>
      </c>
      <c r="D4" s="1" t="s">
        <v>2502</v>
      </c>
      <c r="E4" s="3">
        <v>44229</v>
      </c>
      <c r="F4" s="1" t="str">
        <f>VLOOKUP(D4,Table17[[Name]:[Native]],3,FALSE)</f>
        <v>东平县</v>
      </c>
      <c r="G4" s="14" t="str">
        <f ca="1">VLOOKUP(F4,Table17[[Native]:[Population4]],5,FALSE)</f>
        <v>泰安市</v>
      </c>
    </row>
    <row r="5" spans="1:7" ht="15.75" thickBot="1" x14ac:dyDescent="0.3">
      <c r="A5" t="s">
        <v>2503</v>
      </c>
      <c r="B5" s="1" t="s">
        <v>2504</v>
      </c>
      <c r="C5" s="1" t="s">
        <v>7</v>
      </c>
      <c r="D5" s="1" t="s">
        <v>2505</v>
      </c>
      <c r="E5" s="3">
        <v>41577</v>
      </c>
      <c r="F5" s="1" t="str">
        <f>VLOOKUP(D5,Table17[[Name]:[Native]],3,FALSE)</f>
        <v>宁阳县</v>
      </c>
      <c r="G5" s="14" t="str">
        <f ca="1">VLOOKUP(F5,Table17[[Native]:[Population4]],5,FALSE)</f>
        <v>泰安市</v>
      </c>
    </row>
    <row r="6" spans="1:7" ht="15.75" thickBot="1" x14ac:dyDescent="0.3">
      <c r="A6" t="s">
        <v>2506</v>
      </c>
      <c r="B6" s="1" t="s">
        <v>2507</v>
      </c>
      <c r="C6" s="1" t="s">
        <v>7</v>
      </c>
      <c r="D6" s="1" t="s">
        <v>2508</v>
      </c>
      <c r="E6" s="3">
        <v>83871</v>
      </c>
      <c r="F6" s="1" t="str">
        <f>VLOOKUP(D6,Table17[[Name]:[Native]],3,FALSE)</f>
        <v>岱岳区</v>
      </c>
      <c r="G6" s="14" t="str">
        <f ca="1">VLOOKUP(F6,Table17[[Native]:[Population4]],5,FALSE)</f>
        <v>泰安市</v>
      </c>
    </row>
    <row r="7" spans="1:7" ht="15.75" thickBot="1" x14ac:dyDescent="0.3">
      <c r="A7" t="s">
        <v>2509</v>
      </c>
      <c r="B7" s="1" t="s">
        <v>2510</v>
      </c>
      <c r="C7" s="1" t="s">
        <v>13</v>
      </c>
      <c r="D7" s="1" t="s">
        <v>2497</v>
      </c>
      <c r="E7" s="3">
        <v>73473</v>
      </c>
      <c r="F7" s="1" t="str">
        <f>VLOOKUP(D7,Table17[[Name]:[Native]],3,FALSE)</f>
        <v>肥城市</v>
      </c>
      <c r="G7" s="14" t="str">
        <f ca="1">VLOOKUP(F7,Table17[[Native]:[Population4]],5,FALSE)</f>
        <v>泰安市</v>
      </c>
    </row>
    <row r="8" spans="1:7" ht="15.75" thickBot="1" x14ac:dyDescent="0.3">
      <c r="A8" t="s">
        <v>2511</v>
      </c>
      <c r="B8" s="1" t="s">
        <v>2512</v>
      </c>
      <c r="C8" s="1" t="s">
        <v>7</v>
      </c>
      <c r="D8" s="1" t="s">
        <v>2513</v>
      </c>
      <c r="E8" s="3">
        <v>164665</v>
      </c>
      <c r="F8" s="1" t="str">
        <f>VLOOKUP(D8,Table17[[Name]:[Native]],3,FALSE)</f>
        <v>泰山区</v>
      </c>
      <c r="G8" s="14" t="str">
        <f ca="1">VLOOKUP(F8,Table17[[Native]:[Population4]],5,FALSE)</f>
        <v>泰安市</v>
      </c>
    </row>
    <row r="9" spans="1:7" ht="15.75" thickBot="1" x14ac:dyDescent="0.3">
      <c r="A9" t="s">
        <v>2514</v>
      </c>
      <c r="B9" s="1" t="s">
        <v>2515</v>
      </c>
      <c r="C9" s="1" t="s">
        <v>13</v>
      </c>
      <c r="D9" s="1" t="s">
        <v>2497</v>
      </c>
      <c r="E9" s="3">
        <v>21954</v>
      </c>
      <c r="F9" s="1" t="str">
        <f>VLOOKUP(D9,Table17[[Name]:[Native]],3,FALSE)</f>
        <v>肥城市</v>
      </c>
      <c r="G9" s="14" t="str">
        <f ca="1">VLOOKUP(F9,Table17[[Native]:[Population4]],5,FALSE)</f>
        <v>泰安市</v>
      </c>
    </row>
    <row r="10" spans="1:7" ht="15.75" thickBot="1" x14ac:dyDescent="0.3">
      <c r="A10" t="s">
        <v>2516</v>
      </c>
      <c r="B10" s="1" t="s">
        <v>2517</v>
      </c>
      <c r="C10" s="1" t="s">
        <v>13</v>
      </c>
      <c r="D10" s="1" t="s">
        <v>2505</v>
      </c>
      <c r="E10" s="3">
        <v>84922</v>
      </c>
      <c r="F10" s="1" t="str">
        <f>VLOOKUP(D10,Table17[[Name]:[Native]],3,FALSE)</f>
        <v>宁阳县</v>
      </c>
      <c r="G10" s="14" t="str">
        <f ca="1">VLOOKUP(F10,Table17[[Native]:[Population4]],5,FALSE)</f>
        <v>泰安市</v>
      </c>
    </row>
    <row r="11" spans="1:7" ht="15.75" thickBot="1" x14ac:dyDescent="0.3">
      <c r="A11" t="s">
        <v>2518</v>
      </c>
      <c r="B11" s="1" t="s">
        <v>2519</v>
      </c>
      <c r="C11" s="1" t="s">
        <v>13</v>
      </c>
      <c r="D11" s="1" t="s">
        <v>2508</v>
      </c>
      <c r="E11" s="3">
        <v>54916</v>
      </c>
      <c r="F11" s="1" t="str">
        <f>VLOOKUP(D11,Table17[[Name]:[Native]],3,FALSE)</f>
        <v>岱岳区</v>
      </c>
      <c r="G11" s="14" t="str">
        <f ca="1">VLOOKUP(F11,Table17[[Native]:[Population4]],5,FALSE)</f>
        <v>泰安市</v>
      </c>
    </row>
    <row r="12" spans="1:7" ht="15.75" thickBot="1" x14ac:dyDescent="0.3">
      <c r="A12" t="s">
        <v>2520</v>
      </c>
      <c r="B12" s="1" t="s">
        <v>2521</v>
      </c>
      <c r="C12" s="1" t="s">
        <v>7</v>
      </c>
      <c r="D12" s="1" t="s">
        <v>2513</v>
      </c>
      <c r="E12" s="3">
        <v>135165</v>
      </c>
      <c r="F12" s="1" t="str">
        <f>VLOOKUP(D12,Table17[[Name]:[Native]],3,FALSE)</f>
        <v>泰山区</v>
      </c>
      <c r="G12" s="14" t="str">
        <f ca="1">VLOOKUP(F12,Table17[[Native]:[Population4]],5,FALSE)</f>
        <v>泰安市</v>
      </c>
    </row>
    <row r="13" spans="1:7" ht="15.75" thickBot="1" x14ac:dyDescent="0.3">
      <c r="A13" t="s">
        <v>2522</v>
      </c>
      <c r="B13" s="1" t="s">
        <v>2523</v>
      </c>
      <c r="C13" s="1" t="s">
        <v>13</v>
      </c>
      <c r="D13" s="1" t="s">
        <v>2502</v>
      </c>
      <c r="E13" s="3">
        <v>36074</v>
      </c>
      <c r="F13" s="1" t="str">
        <f>VLOOKUP(D13,Table17[[Name]:[Native]],3,FALSE)</f>
        <v>东平县</v>
      </c>
      <c r="G13" s="14" t="str">
        <f ca="1">VLOOKUP(F13,Table17[[Native]:[Population4]],5,FALSE)</f>
        <v>泰安市</v>
      </c>
    </row>
    <row r="14" spans="1:7" ht="15.75" thickBot="1" x14ac:dyDescent="0.3">
      <c r="A14" t="s">
        <v>2524</v>
      </c>
      <c r="B14" s="1" t="s">
        <v>2525</v>
      </c>
      <c r="C14" s="1" t="s">
        <v>61</v>
      </c>
      <c r="D14" s="1" t="s">
        <v>2513</v>
      </c>
      <c r="E14" s="3">
        <v>10936</v>
      </c>
      <c r="F14" s="1" t="str">
        <f>VLOOKUP(D14,Table17[[Name]:[Native]],3,FALSE)</f>
        <v>泰山区</v>
      </c>
      <c r="G14" s="14" t="str">
        <f ca="1">VLOOKUP(F14,Table17[[Native]:[Population4]],5,FALSE)</f>
        <v>泰安市</v>
      </c>
    </row>
    <row r="15" spans="1:7" ht="15.75" thickBot="1" x14ac:dyDescent="0.3">
      <c r="A15" t="s">
        <v>2526</v>
      </c>
      <c r="B15" s="1" t="s">
        <v>2527</v>
      </c>
      <c r="C15" s="1" t="s">
        <v>13</v>
      </c>
      <c r="D15" s="1" t="s">
        <v>2508</v>
      </c>
      <c r="E15" s="3">
        <v>31344</v>
      </c>
      <c r="F15" s="1" t="str">
        <f>VLOOKUP(D15,Table17[[Name]:[Native]],3,FALSE)</f>
        <v>岱岳区</v>
      </c>
      <c r="G15" s="14" t="str">
        <f ca="1">VLOOKUP(F15,Table17[[Native]:[Population4]],5,FALSE)</f>
        <v>泰安市</v>
      </c>
    </row>
    <row r="16" spans="1:7" ht="15.75" thickBot="1" x14ac:dyDescent="0.3">
      <c r="A16" t="s">
        <v>2528</v>
      </c>
      <c r="B16" s="1" t="s">
        <v>2529</v>
      </c>
      <c r="C16" s="1" t="s">
        <v>13</v>
      </c>
      <c r="D16" s="1" t="s">
        <v>2508</v>
      </c>
      <c r="E16" s="3">
        <v>74986</v>
      </c>
      <c r="F16" s="1" t="str">
        <f>VLOOKUP(D16,Table17[[Name]:[Native]],3,FALSE)</f>
        <v>岱岳区</v>
      </c>
      <c r="G16" s="14" t="str">
        <f ca="1">VLOOKUP(F16,Table17[[Native]:[Population4]],5,FALSE)</f>
        <v>泰安市</v>
      </c>
    </row>
    <row r="17" spans="1:7" ht="15.75" thickBot="1" x14ac:dyDescent="0.3">
      <c r="A17" t="s">
        <v>2530</v>
      </c>
      <c r="B17" s="1" t="s">
        <v>2531</v>
      </c>
      <c r="C17" s="1" t="s">
        <v>13</v>
      </c>
      <c r="D17" s="1" t="s">
        <v>2502</v>
      </c>
      <c r="E17" s="3">
        <v>32266</v>
      </c>
      <c r="F17" s="1" t="str">
        <f>VLOOKUP(D17,Table17[[Name]:[Native]],3,FALSE)</f>
        <v>东平县</v>
      </c>
      <c r="G17" s="14" t="str">
        <f ca="1">VLOOKUP(F17,Table17[[Native]:[Population4]],5,FALSE)</f>
        <v>泰安市</v>
      </c>
    </row>
    <row r="18" spans="1:7" ht="15.75" thickBot="1" x14ac:dyDescent="0.3">
      <c r="A18" t="s">
        <v>2532</v>
      </c>
      <c r="B18" s="1" t="s">
        <v>2533</v>
      </c>
      <c r="C18" s="1" t="s">
        <v>13</v>
      </c>
      <c r="D18" s="1" t="s">
        <v>2534</v>
      </c>
      <c r="E18" s="3">
        <v>53257</v>
      </c>
      <c r="F18" s="1" t="str">
        <f>VLOOKUP(D18,Table17[[Name]:[Native]],3,FALSE)</f>
        <v>新泰市</v>
      </c>
      <c r="G18" s="14" t="str">
        <f ca="1">VLOOKUP(F18,Table17[[Native]:[Population4]],5,FALSE)</f>
        <v>泰安市</v>
      </c>
    </row>
    <row r="19" spans="1:7" ht="15.75" thickBot="1" x14ac:dyDescent="0.3">
      <c r="A19" t="s">
        <v>2535</v>
      </c>
      <c r="B19" s="1" t="s">
        <v>2536</v>
      </c>
      <c r="C19" s="1" t="s">
        <v>7</v>
      </c>
      <c r="D19" s="1" t="s">
        <v>2502</v>
      </c>
      <c r="E19" s="3">
        <v>147097</v>
      </c>
      <c r="F19" s="1" t="str">
        <f>VLOOKUP(D19,Table17[[Name]:[Native]],3,FALSE)</f>
        <v>东平县</v>
      </c>
      <c r="G19" s="14" t="str">
        <f ca="1">VLOOKUP(F19,Table17[[Native]:[Population4]],5,FALSE)</f>
        <v>泰安市</v>
      </c>
    </row>
    <row r="20" spans="1:7" ht="15.75" thickBot="1" x14ac:dyDescent="0.3">
      <c r="A20" t="s">
        <v>2537</v>
      </c>
      <c r="B20" s="1" t="s">
        <v>2538</v>
      </c>
      <c r="C20" s="1" t="s">
        <v>13</v>
      </c>
      <c r="D20" s="1" t="s">
        <v>2505</v>
      </c>
      <c r="E20" s="3">
        <v>53889</v>
      </c>
      <c r="F20" s="1" t="str">
        <f>VLOOKUP(D20,Table17[[Name]:[Native]],3,FALSE)</f>
        <v>宁阳县</v>
      </c>
      <c r="G20" s="14" t="str">
        <f ca="1">VLOOKUP(F20,Table17[[Native]:[Population4]],5,FALSE)</f>
        <v>泰安市</v>
      </c>
    </row>
    <row r="21" spans="1:7" ht="15.75" thickBot="1" x14ac:dyDescent="0.3">
      <c r="A21" t="s">
        <v>2539</v>
      </c>
      <c r="B21" s="1" t="s">
        <v>2540</v>
      </c>
      <c r="C21" s="1" t="s">
        <v>13</v>
      </c>
      <c r="D21" s="1" t="s">
        <v>2505</v>
      </c>
      <c r="E21" s="3">
        <v>53459</v>
      </c>
      <c r="F21" s="1" t="str">
        <f>VLOOKUP(D21,Table17[[Name]:[Native]],3,FALSE)</f>
        <v>宁阳县</v>
      </c>
      <c r="G21" s="14" t="str">
        <f ca="1">VLOOKUP(F21,Table17[[Native]:[Population4]],5,FALSE)</f>
        <v>泰安市</v>
      </c>
    </row>
    <row r="22" spans="1:7" ht="15.75" thickBot="1" x14ac:dyDescent="0.3">
      <c r="A22" t="s">
        <v>2541</v>
      </c>
      <c r="B22" s="1" t="s">
        <v>2542</v>
      </c>
      <c r="C22" s="1" t="s">
        <v>13</v>
      </c>
      <c r="D22" s="1" t="s">
        <v>2534</v>
      </c>
      <c r="E22" s="3">
        <v>29726</v>
      </c>
      <c r="F22" s="1" t="str">
        <f>VLOOKUP(D22,Table17[[Name]:[Native]],3,FALSE)</f>
        <v>新泰市</v>
      </c>
      <c r="G22" s="14" t="str">
        <f ca="1">VLOOKUP(F22,Table17[[Native]:[Population4]],5,FALSE)</f>
        <v>泰安市</v>
      </c>
    </row>
    <row r="23" spans="1:7" ht="15.75" thickBot="1" x14ac:dyDescent="0.3">
      <c r="A23" t="s">
        <v>2543</v>
      </c>
      <c r="B23" s="1" t="s">
        <v>2544</v>
      </c>
      <c r="C23" s="1" t="s">
        <v>13</v>
      </c>
      <c r="D23" s="1" t="s">
        <v>2508</v>
      </c>
      <c r="E23" s="3">
        <v>54739</v>
      </c>
      <c r="F23" s="1" t="str">
        <f>VLOOKUP(D23,Table17[[Name]:[Native]],3,FALSE)</f>
        <v>岱岳区</v>
      </c>
      <c r="G23" s="14" t="str">
        <f ca="1">VLOOKUP(F23,Table17[[Native]:[Population4]],5,FALSE)</f>
        <v>泰安市</v>
      </c>
    </row>
    <row r="24" spans="1:7" ht="15.75" thickBot="1" x14ac:dyDescent="0.3">
      <c r="A24" t="s">
        <v>2545</v>
      </c>
      <c r="B24" s="1" t="s">
        <v>2546</v>
      </c>
      <c r="C24" s="1" t="s">
        <v>13</v>
      </c>
      <c r="D24" s="1" t="s">
        <v>2508</v>
      </c>
      <c r="E24" s="3">
        <v>55644</v>
      </c>
      <c r="F24" s="1" t="str">
        <f>VLOOKUP(D24,Table17[[Name]:[Native]],3,FALSE)</f>
        <v>岱岳区</v>
      </c>
      <c r="G24" s="14" t="str">
        <f ca="1">VLOOKUP(F24,Table17[[Native]:[Population4]],5,FALSE)</f>
        <v>泰安市</v>
      </c>
    </row>
    <row r="25" spans="1:7" ht="15.75" thickBot="1" x14ac:dyDescent="0.3">
      <c r="A25" t="s">
        <v>2547</v>
      </c>
      <c r="B25" s="1" t="s">
        <v>2548</v>
      </c>
      <c r="C25" s="1" t="s">
        <v>13</v>
      </c>
      <c r="D25" s="1" t="s">
        <v>2505</v>
      </c>
      <c r="E25" s="3">
        <v>57306</v>
      </c>
      <c r="F25" s="1" t="str">
        <f>VLOOKUP(D25,Table17[[Name]:[Native]],3,FALSE)</f>
        <v>宁阳县</v>
      </c>
      <c r="G25" s="14" t="str">
        <f ca="1">VLOOKUP(F25,Table17[[Native]:[Population4]],5,FALSE)</f>
        <v>泰安市</v>
      </c>
    </row>
    <row r="26" spans="1:7" ht="15.75" thickBot="1" x14ac:dyDescent="0.3">
      <c r="A26" t="s">
        <v>2549</v>
      </c>
      <c r="B26" s="1" t="s">
        <v>2550</v>
      </c>
      <c r="C26" s="1" t="s">
        <v>13</v>
      </c>
      <c r="D26" s="1" t="s">
        <v>2505</v>
      </c>
      <c r="E26" s="3">
        <v>70864</v>
      </c>
      <c r="F26" s="1" t="str">
        <f>VLOOKUP(D26,Table17[[Name]:[Native]],3,FALSE)</f>
        <v>宁阳县</v>
      </c>
      <c r="G26" s="14" t="str">
        <f ca="1">VLOOKUP(F26,Table17[[Native]:[Population4]],5,FALSE)</f>
        <v>泰安市</v>
      </c>
    </row>
    <row r="27" spans="1:7" ht="15.75" thickBot="1" x14ac:dyDescent="0.3">
      <c r="A27" t="s">
        <v>2551</v>
      </c>
      <c r="B27" s="1" t="s">
        <v>2552</v>
      </c>
      <c r="C27" s="1" t="s">
        <v>13</v>
      </c>
      <c r="D27" s="1" t="s">
        <v>2505</v>
      </c>
      <c r="E27" s="3">
        <v>56115</v>
      </c>
      <c r="F27" s="1" t="str">
        <f>VLOOKUP(D27,Table17[[Name]:[Native]],3,FALSE)</f>
        <v>宁阳县</v>
      </c>
      <c r="G27" s="14" t="str">
        <f ca="1">VLOOKUP(F27,Table17[[Native]:[Population4]],5,FALSE)</f>
        <v>泰安市</v>
      </c>
    </row>
    <row r="28" spans="1:7" ht="15.75" thickBot="1" x14ac:dyDescent="0.3">
      <c r="A28" t="s">
        <v>2553</v>
      </c>
      <c r="B28" s="1" t="s">
        <v>2554</v>
      </c>
      <c r="C28" s="1" t="s">
        <v>13</v>
      </c>
      <c r="D28" s="1" t="s">
        <v>2534</v>
      </c>
      <c r="E28" s="3">
        <v>51160</v>
      </c>
      <c r="F28" s="1" t="str">
        <f>VLOOKUP(D28,Table17[[Name]:[Native]],3,FALSE)</f>
        <v>新泰市</v>
      </c>
      <c r="G28" s="14" t="str">
        <f ca="1">VLOOKUP(F28,Table17[[Native]:[Population4]],5,FALSE)</f>
        <v>泰安市</v>
      </c>
    </row>
    <row r="29" spans="1:7" ht="15.75" thickBot="1" x14ac:dyDescent="0.3">
      <c r="A29" t="s">
        <v>2555</v>
      </c>
      <c r="B29" s="1" t="s">
        <v>2556</v>
      </c>
      <c r="C29" s="1" t="s">
        <v>13</v>
      </c>
      <c r="D29" s="1" t="s">
        <v>2534</v>
      </c>
      <c r="E29" s="3">
        <v>49080</v>
      </c>
      <c r="F29" s="1" t="str">
        <f>VLOOKUP(D29,Table17[[Name]:[Native]],3,FALSE)</f>
        <v>新泰市</v>
      </c>
      <c r="G29" s="14" t="str">
        <f ca="1">VLOOKUP(F29,Table17[[Native]:[Population4]],5,FALSE)</f>
        <v>泰安市</v>
      </c>
    </row>
    <row r="30" spans="1:7" ht="15.75" thickBot="1" x14ac:dyDescent="0.3">
      <c r="A30" t="s">
        <v>2557</v>
      </c>
      <c r="B30" s="1" t="s">
        <v>2558</v>
      </c>
      <c r="C30" s="1" t="s">
        <v>13</v>
      </c>
      <c r="D30" s="1" t="s">
        <v>2534</v>
      </c>
      <c r="E30" s="3">
        <v>33594</v>
      </c>
      <c r="F30" s="1" t="str">
        <f>VLOOKUP(D30,Table17[[Name]:[Native]],3,FALSE)</f>
        <v>新泰市</v>
      </c>
      <c r="G30" s="14" t="str">
        <f ca="1">VLOOKUP(F30,Table17[[Native]:[Population4]],5,FALSE)</f>
        <v>泰安市</v>
      </c>
    </row>
    <row r="31" spans="1:7" ht="15.75" thickBot="1" x14ac:dyDescent="0.3">
      <c r="A31" t="s">
        <v>2559</v>
      </c>
      <c r="B31" s="1" t="s">
        <v>2560</v>
      </c>
      <c r="C31" s="1" t="s">
        <v>13</v>
      </c>
      <c r="D31" s="1" t="s">
        <v>2505</v>
      </c>
      <c r="E31" s="3">
        <v>44226</v>
      </c>
      <c r="F31" s="1" t="str">
        <f>VLOOKUP(D31,Table17[[Name]:[Native]],3,FALSE)</f>
        <v>宁阳县</v>
      </c>
      <c r="G31" s="14" t="str">
        <f ca="1">VLOOKUP(F31,Table17[[Native]:[Population4]],5,FALSE)</f>
        <v>泰安市</v>
      </c>
    </row>
    <row r="32" spans="1:7" ht="15.75" thickBot="1" x14ac:dyDescent="0.3">
      <c r="A32" t="s">
        <v>2561</v>
      </c>
      <c r="B32" s="1" t="s">
        <v>2562</v>
      </c>
      <c r="C32" s="1" t="s">
        <v>13</v>
      </c>
      <c r="D32" s="1" t="s">
        <v>2505</v>
      </c>
      <c r="E32" s="3">
        <v>87989</v>
      </c>
      <c r="F32" s="1" t="str">
        <f>VLOOKUP(D32,Table17[[Name]:[Native]],3,FALSE)</f>
        <v>宁阳县</v>
      </c>
      <c r="G32" s="14" t="str">
        <f ca="1">VLOOKUP(F32,Table17[[Native]:[Population4]],5,FALSE)</f>
        <v>泰安市</v>
      </c>
    </row>
    <row r="33" spans="1:7" ht="15.75" thickBot="1" x14ac:dyDescent="0.3">
      <c r="A33" t="s">
        <v>2563</v>
      </c>
      <c r="B33" s="1" t="s">
        <v>2564</v>
      </c>
      <c r="C33" s="1" t="s">
        <v>61</v>
      </c>
      <c r="D33" s="1" t="s">
        <v>2508</v>
      </c>
      <c r="E33" s="3">
        <v>32642</v>
      </c>
      <c r="F33" s="1" t="str">
        <f>VLOOKUP(D33,Table17[[Name]:[Native]],3,FALSE)</f>
        <v>岱岳区</v>
      </c>
      <c r="G33" s="14" t="str">
        <f ca="1">VLOOKUP(F33,Table17[[Native]:[Population4]],5,FALSE)</f>
        <v>泰安市</v>
      </c>
    </row>
    <row r="34" spans="1:7" ht="15.75" thickBot="1" x14ac:dyDescent="0.3">
      <c r="A34" t="s">
        <v>2565</v>
      </c>
      <c r="B34" s="1" t="s">
        <v>2566</v>
      </c>
      <c r="C34" s="1" t="s">
        <v>13</v>
      </c>
      <c r="D34" s="1" t="s">
        <v>2508</v>
      </c>
      <c r="E34" s="3">
        <v>31942</v>
      </c>
      <c r="F34" s="1" t="str">
        <f>VLOOKUP(D34,Table17[[Name]:[Native]],3,FALSE)</f>
        <v>岱岳区</v>
      </c>
      <c r="G34" s="14" t="str">
        <f ca="1">VLOOKUP(F34,Table17[[Native]:[Population4]],5,FALSE)</f>
        <v>泰安市</v>
      </c>
    </row>
    <row r="35" spans="1:7" ht="15.75" thickBot="1" x14ac:dyDescent="0.3">
      <c r="A35" t="s">
        <v>1620</v>
      </c>
      <c r="B35" s="1" t="s">
        <v>2567</v>
      </c>
      <c r="C35" s="1" t="s">
        <v>13</v>
      </c>
      <c r="D35" s="1" t="s">
        <v>2497</v>
      </c>
      <c r="E35" s="3">
        <v>72838</v>
      </c>
      <c r="F35" s="1" t="str">
        <f>VLOOKUP(D35,Table17[[Name]:[Native]],3,FALSE)</f>
        <v>肥城市</v>
      </c>
      <c r="G35" s="14" t="str">
        <f ca="1">VLOOKUP(F35,Table17[[Native]:[Population4]],5,FALSE)</f>
        <v>泰安市</v>
      </c>
    </row>
    <row r="36" spans="1:7" ht="15.75" thickBot="1" x14ac:dyDescent="0.3">
      <c r="A36" t="s">
        <v>2568</v>
      </c>
      <c r="B36" s="1" t="s">
        <v>2569</v>
      </c>
      <c r="C36" s="1" t="s">
        <v>13</v>
      </c>
      <c r="D36" s="1" t="s">
        <v>2505</v>
      </c>
      <c r="E36" s="3">
        <v>43140</v>
      </c>
      <c r="F36" s="1" t="str">
        <f>VLOOKUP(D36,Table17[[Name]:[Native]],3,FALSE)</f>
        <v>宁阳县</v>
      </c>
      <c r="G36" s="14" t="str">
        <f ca="1">VLOOKUP(F36,Table17[[Native]:[Population4]],5,FALSE)</f>
        <v>泰安市</v>
      </c>
    </row>
    <row r="37" spans="1:7" ht="15.75" thickBot="1" x14ac:dyDescent="0.3">
      <c r="A37" t="s">
        <v>2570</v>
      </c>
      <c r="B37" s="1" t="s">
        <v>2571</v>
      </c>
      <c r="C37" s="1" t="s">
        <v>13</v>
      </c>
      <c r="D37" s="1" t="s">
        <v>2508</v>
      </c>
      <c r="E37" s="3">
        <v>30285</v>
      </c>
      <c r="F37" s="1" t="str">
        <f>VLOOKUP(D37,Table17[[Name]:[Native]],3,FALSE)</f>
        <v>岱岳区</v>
      </c>
      <c r="G37" s="14" t="str">
        <f ca="1">VLOOKUP(F37,Table17[[Native]:[Population4]],5,FALSE)</f>
        <v>泰安市</v>
      </c>
    </row>
    <row r="38" spans="1:7" ht="15.75" thickBot="1" x14ac:dyDescent="0.3">
      <c r="A38" t="s">
        <v>2572</v>
      </c>
      <c r="B38" s="1" t="s">
        <v>2573</v>
      </c>
      <c r="C38" s="1" t="s">
        <v>13</v>
      </c>
      <c r="D38" s="1" t="s">
        <v>2502</v>
      </c>
      <c r="E38" s="3">
        <v>56194</v>
      </c>
      <c r="F38" s="1" t="str">
        <f>VLOOKUP(D38,Table17[[Name]:[Native]],3,FALSE)</f>
        <v>东平县</v>
      </c>
      <c r="G38" s="14" t="str">
        <f ca="1">VLOOKUP(F38,Table17[[Native]:[Population4]],5,FALSE)</f>
        <v>泰安市</v>
      </c>
    </row>
    <row r="39" spans="1:7" ht="15.75" thickBot="1" x14ac:dyDescent="0.3">
      <c r="A39" t="s">
        <v>2574</v>
      </c>
      <c r="B39" s="1" t="s">
        <v>2575</v>
      </c>
      <c r="C39" s="1" t="s">
        <v>61</v>
      </c>
      <c r="D39" s="1" t="s">
        <v>2502</v>
      </c>
      <c r="E39" s="3">
        <v>24992</v>
      </c>
      <c r="F39" s="1" t="str">
        <f>VLOOKUP(D39,Table17[[Name]:[Native]],3,FALSE)</f>
        <v>东平县</v>
      </c>
      <c r="G39" s="14" t="str">
        <f ca="1">VLOOKUP(F39,Table17[[Native]:[Population4]],5,FALSE)</f>
        <v>泰安市</v>
      </c>
    </row>
    <row r="40" spans="1:7" ht="15.75" thickBot="1" x14ac:dyDescent="0.3">
      <c r="A40" t="s">
        <v>2576</v>
      </c>
      <c r="B40" s="1" t="s">
        <v>2577</v>
      </c>
      <c r="C40" s="1" t="s">
        <v>7</v>
      </c>
      <c r="D40" s="1" t="s">
        <v>2497</v>
      </c>
      <c r="E40" s="3">
        <v>66057</v>
      </c>
      <c r="F40" s="1" t="str">
        <f>VLOOKUP(D40,Table17[[Name]:[Native]],3,FALSE)</f>
        <v>肥城市</v>
      </c>
      <c r="G40" s="14" t="str">
        <f ca="1">VLOOKUP(F40,Table17[[Native]:[Population4]],5,FALSE)</f>
        <v>泰安市</v>
      </c>
    </row>
    <row r="41" spans="1:7" ht="15.75" thickBot="1" x14ac:dyDescent="0.3">
      <c r="A41" t="s">
        <v>2578</v>
      </c>
      <c r="B41" s="1" t="s">
        <v>2579</v>
      </c>
      <c r="C41" s="1" t="s">
        <v>13</v>
      </c>
      <c r="D41" s="1" t="s">
        <v>2502</v>
      </c>
      <c r="E41" s="3">
        <v>60800</v>
      </c>
      <c r="F41" s="1" t="str">
        <f>VLOOKUP(D41,Table17[[Name]:[Native]],3,FALSE)</f>
        <v>东平县</v>
      </c>
      <c r="G41" s="14" t="str">
        <f ca="1">VLOOKUP(F41,Table17[[Native]:[Population4]],5,FALSE)</f>
        <v>泰安市</v>
      </c>
    </row>
    <row r="42" spans="1:7" ht="15.75" thickBot="1" x14ac:dyDescent="0.3">
      <c r="A42" t="s">
        <v>2580</v>
      </c>
      <c r="B42" s="1" t="s">
        <v>2581</v>
      </c>
      <c r="C42" s="1" t="s">
        <v>13</v>
      </c>
      <c r="D42" s="1" t="s">
        <v>2508</v>
      </c>
      <c r="E42" s="3">
        <v>69986</v>
      </c>
      <c r="F42" s="1" t="str">
        <f>VLOOKUP(D42,Table17[[Name]:[Native]],3,FALSE)</f>
        <v>岱岳区</v>
      </c>
      <c r="G42" s="14" t="str">
        <f ca="1">VLOOKUP(F42,Table17[[Native]:[Population4]],5,FALSE)</f>
        <v>泰安市</v>
      </c>
    </row>
    <row r="43" spans="1:7" ht="15.75" thickBot="1" x14ac:dyDescent="0.3">
      <c r="A43" t="s">
        <v>2582</v>
      </c>
      <c r="B43" s="1" t="s">
        <v>2583</v>
      </c>
      <c r="C43" s="1" t="s">
        <v>13</v>
      </c>
      <c r="D43" s="1" t="s">
        <v>2534</v>
      </c>
      <c r="E43" s="3">
        <v>28492</v>
      </c>
      <c r="F43" s="1" t="str">
        <f>VLOOKUP(D43,Table17[[Name]:[Native]],3,FALSE)</f>
        <v>新泰市</v>
      </c>
      <c r="G43" s="14" t="str">
        <f ca="1">VLOOKUP(F43,Table17[[Native]:[Population4]],5,FALSE)</f>
        <v>泰安市</v>
      </c>
    </row>
    <row r="44" spans="1:7" ht="15.75" thickBot="1" x14ac:dyDescent="0.3">
      <c r="A44" t="s">
        <v>2584</v>
      </c>
      <c r="B44" s="1" t="s">
        <v>2585</v>
      </c>
      <c r="C44" s="1" t="s">
        <v>13</v>
      </c>
      <c r="D44" s="1" t="s">
        <v>2534</v>
      </c>
      <c r="E44" s="3">
        <v>57549</v>
      </c>
      <c r="F44" s="1" t="str">
        <f>VLOOKUP(D44,Table17[[Name]:[Native]],3,FALSE)</f>
        <v>新泰市</v>
      </c>
      <c r="G44" s="14" t="str">
        <f ca="1">VLOOKUP(F44,Table17[[Native]:[Population4]],5,FALSE)</f>
        <v>泰安市</v>
      </c>
    </row>
    <row r="45" spans="1:7" ht="15.75" thickBot="1" x14ac:dyDescent="0.3">
      <c r="A45" t="s">
        <v>2586</v>
      </c>
      <c r="B45" s="1" t="s">
        <v>2587</v>
      </c>
      <c r="C45" s="1" t="s">
        <v>13</v>
      </c>
      <c r="D45" s="1" t="s">
        <v>2534</v>
      </c>
      <c r="E45" s="3">
        <v>67853</v>
      </c>
      <c r="F45" s="1" t="str">
        <f>VLOOKUP(D45,Table17[[Name]:[Native]],3,FALSE)</f>
        <v>新泰市</v>
      </c>
      <c r="G45" s="14" t="str">
        <f ca="1">VLOOKUP(F45,Table17[[Native]:[Population4]],5,FALSE)</f>
        <v>泰安市</v>
      </c>
    </row>
    <row r="46" spans="1:7" ht="15.75" thickBot="1" x14ac:dyDescent="0.3">
      <c r="A46" t="s">
        <v>2588</v>
      </c>
      <c r="B46" s="1" t="s">
        <v>2589</v>
      </c>
      <c r="C46" s="1" t="s">
        <v>13</v>
      </c>
      <c r="D46" s="1" t="s">
        <v>2508</v>
      </c>
      <c r="E46" s="3">
        <v>69246</v>
      </c>
      <c r="F46" s="1" t="str">
        <f>VLOOKUP(D46,Table17[[Name]:[Native]],3,FALSE)</f>
        <v>岱岳区</v>
      </c>
      <c r="G46" s="14" t="str">
        <f ca="1">VLOOKUP(F46,Table17[[Native]:[Population4]],5,FALSE)</f>
        <v>泰安市</v>
      </c>
    </row>
    <row r="47" spans="1:7" ht="15.75" thickBot="1" x14ac:dyDescent="0.3">
      <c r="A47" t="s">
        <v>2590</v>
      </c>
      <c r="B47" s="1" t="s">
        <v>1955</v>
      </c>
      <c r="C47" s="1" t="s">
        <v>13</v>
      </c>
      <c r="D47" s="1" t="s">
        <v>2508</v>
      </c>
      <c r="E47" s="3">
        <v>47272</v>
      </c>
      <c r="F47" s="1" t="str">
        <f>VLOOKUP(D47,Table17[[Name]:[Native]],3,FALSE)</f>
        <v>岱岳区</v>
      </c>
      <c r="G47" s="14" t="str">
        <f ca="1">VLOOKUP(F47,Table17[[Native]:[Population4]],5,FALSE)</f>
        <v>泰安市</v>
      </c>
    </row>
    <row r="48" spans="1:7" ht="15.75" thickBot="1" x14ac:dyDescent="0.3">
      <c r="A48" t="s">
        <v>2591</v>
      </c>
      <c r="B48" s="1" t="s">
        <v>2592</v>
      </c>
      <c r="C48" s="1" t="s">
        <v>7</v>
      </c>
      <c r="D48" s="1" t="s">
        <v>2502</v>
      </c>
      <c r="E48" s="3">
        <v>60632</v>
      </c>
      <c r="F48" s="1" t="str">
        <f>VLOOKUP(D48,Table17[[Name]:[Native]],3,FALSE)</f>
        <v>东平县</v>
      </c>
      <c r="G48" s="14" t="str">
        <f ca="1">VLOOKUP(F48,Table17[[Native]:[Population4]],5,FALSE)</f>
        <v>泰安市</v>
      </c>
    </row>
    <row r="49" spans="1:7" ht="15.75" thickBot="1" x14ac:dyDescent="0.3">
      <c r="A49" t="s">
        <v>2593</v>
      </c>
      <c r="B49" s="1" t="s">
        <v>2594</v>
      </c>
      <c r="C49" s="1" t="s">
        <v>7</v>
      </c>
      <c r="D49" s="1" t="s">
        <v>2534</v>
      </c>
      <c r="E49" s="3">
        <v>230917</v>
      </c>
      <c r="F49" s="1" t="str">
        <f>VLOOKUP(D49,Table17[[Name]:[Native]],3,FALSE)</f>
        <v>新泰市</v>
      </c>
      <c r="G49" s="14" t="str">
        <f ca="1">VLOOKUP(F49,Table17[[Native]:[Population4]],5,FALSE)</f>
        <v>泰安市</v>
      </c>
    </row>
    <row r="50" spans="1:7" ht="15.75" thickBot="1" x14ac:dyDescent="0.3">
      <c r="A50" t="s">
        <v>2595</v>
      </c>
      <c r="B50" s="1" t="s">
        <v>2596</v>
      </c>
      <c r="C50" s="1" t="s">
        <v>13</v>
      </c>
      <c r="D50" s="1" t="s">
        <v>2513</v>
      </c>
      <c r="E50" s="3">
        <v>62026</v>
      </c>
      <c r="F50" s="1" t="str">
        <f>VLOOKUP(D50,Table17[[Name]:[Native]],3,FALSE)</f>
        <v>泰山区</v>
      </c>
      <c r="G50" s="14" t="str">
        <f ca="1">VLOOKUP(F50,Table17[[Native]:[Population4]],5,FALSE)</f>
        <v>泰安市</v>
      </c>
    </row>
    <row r="51" spans="1:7" ht="15.75" thickBot="1" x14ac:dyDescent="0.3">
      <c r="A51" t="s">
        <v>2597</v>
      </c>
      <c r="B51" s="1" t="s">
        <v>2598</v>
      </c>
      <c r="C51" s="1" t="s">
        <v>13</v>
      </c>
      <c r="D51" s="1" t="s">
        <v>2534</v>
      </c>
      <c r="E51" s="3">
        <v>48511</v>
      </c>
      <c r="F51" s="1" t="str">
        <f>VLOOKUP(D51,Table17[[Name]:[Native]],3,FALSE)</f>
        <v>新泰市</v>
      </c>
      <c r="G51" s="14" t="str">
        <f ca="1">VLOOKUP(F51,Table17[[Native]:[Population4]],5,FALSE)</f>
        <v>泰安市</v>
      </c>
    </row>
    <row r="52" spans="1:7" ht="15.75" thickBot="1" x14ac:dyDescent="0.3">
      <c r="A52" t="s">
        <v>2599</v>
      </c>
      <c r="B52" s="1" t="s">
        <v>2600</v>
      </c>
      <c r="C52" s="1" t="s">
        <v>13</v>
      </c>
      <c r="D52" s="1" t="s">
        <v>2502</v>
      </c>
      <c r="E52" s="3">
        <v>54614</v>
      </c>
      <c r="F52" s="1" t="str">
        <f>VLOOKUP(D52,Table17[[Name]:[Native]],3,FALSE)</f>
        <v>东平县</v>
      </c>
      <c r="G52" s="14" t="str">
        <f ca="1">VLOOKUP(F52,Table17[[Native]:[Population4]],5,FALSE)</f>
        <v>泰安市</v>
      </c>
    </row>
    <row r="53" spans="1:7" ht="15.75" thickBot="1" x14ac:dyDescent="0.3">
      <c r="A53" t="s">
        <v>2601</v>
      </c>
      <c r="B53" s="1" t="s">
        <v>2602</v>
      </c>
      <c r="C53" s="1" t="s">
        <v>7</v>
      </c>
      <c r="D53" s="1" t="s">
        <v>2513</v>
      </c>
      <c r="E53" s="3">
        <v>121586</v>
      </c>
      <c r="F53" s="1" t="str">
        <f>VLOOKUP(D53,Table17[[Name]:[Native]],3,FALSE)</f>
        <v>泰山区</v>
      </c>
      <c r="G53" s="14" t="str">
        <f ca="1">VLOOKUP(F53,Table17[[Native]:[Population4]],5,FALSE)</f>
        <v>泰安市</v>
      </c>
    </row>
    <row r="54" spans="1:7" ht="15.75" thickBot="1" x14ac:dyDescent="0.3">
      <c r="A54" t="s">
        <v>2603</v>
      </c>
      <c r="B54" s="1" t="s">
        <v>2604</v>
      </c>
      <c r="C54" s="1" t="s">
        <v>61</v>
      </c>
      <c r="D54" s="1" t="s">
        <v>2502</v>
      </c>
      <c r="E54" s="3">
        <v>29458</v>
      </c>
      <c r="F54" s="1" t="str">
        <f>VLOOKUP(D54,Table17[[Name]:[Native]],3,FALSE)</f>
        <v>东平县</v>
      </c>
      <c r="G54" s="14" t="str">
        <f ca="1">VLOOKUP(F54,Table17[[Native]:[Population4]],5,FALSE)</f>
        <v>泰安市</v>
      </c>
    </row>
    <row r="55" spans="1:7" ht="15.75" thickBot="1" x14ac:dyDescent="0.3">
      <c r="A55" t="s">
        <v>2605</v>
      </c>
      <c r="B55" s="1" t="s">
        <v>2606</v>
      </c>
      <c r="C55" s="1" t="s">
        <v>13</v>
      </c>
      <c r="D55" s="1" t="s">
        <v>2508</v>
      </c>
      <c r="E55" s="3">
        <v>50238</v>
      </c>
      <c r="F55" s="1" t="str">
        <f>VLOOKUP(D55,Table17[[Name]:[Native]],3,FALSE)</f>
        <v>岱岳区</v>
      </c>
      <c r="G55" s="14" t="str">
        <f ca="1">VLOOKUP(F55,Table17[[Native]:[Population4]],5,FALSE)</f>
        <v>泰安市</v>
      </c>
    </row>
    <row r="56" spans="1:7" ht="15.75" thickBot="1" x14ac:dyDescent="0.3">
      <c r="A56" t="s">
        <v>2607</v>
      </c>
      <c r="B56" s="1" t="s">
        <v>2608</v>
      </c>
      <c r="C56" s="1" t="s">
        <v>13</v>
      </c>
      <c r="D56" s="1" t="s">
        <v>2513</v>
      </c>
      <c r="E56" s="3">
        <v>62541</v>
      </c>
      <c r="F56" s="1" t="str">
        <f>VLOOKUP(D56,Table17[[Name]:[Native]],3,FALSE)</f>
        <v>泰山区</v>
      </c>
      <c r="G56" s="14" t="str">
        <f ca="1">VLOOKUP(F56,Table17[[Native]:[Population4]],5,FALSE)</f>
        <v>泰安市</v>
      </c>
    </row>
    <row r="57" spans="1:7" ht="15.75" thickBot="1" x14ac:dyDescent="0.3">
      <c r="A57" t="s">
        <v>2609</v>
      </c>
      <c r="B57" s="1" t="s">
        <v>2610</v>
      </c>
      <c r="C57" s="1" t="s">
        <v>13</v>
      </c>
      <c r="D57" s="1" t="s">
        <v>2497</v>
      </c>
      <c r="E57" s="3">
        <v>80515</v>
      </c>
      <c r="F57" s="1" t="str">
        <f>VLOOKUP(D57,Table17[[Name]:[Native]],3,FALSE)</f>
        <v>肥城市</v>
      </c>
      <c r="G57" s="14" t="str">
        <f ca="1">VLOOKUP(F57,Table17[[Native]:[Population4]],5,FALSE)</f>
        <v>泰安市</v>
      </c>
    </row>
    <row r="58" spans="1:7" ht="15.75" thickBot="1" x14ac:dyDescent="0.3">
      <c r="A58" t="s">
        <v>2611</v>
      </c>
      <c r="B58" s="1" t="s">
        <v>2612</v>
      </c>
      <c r="C58" s="1" t="s">
        <v>13</v>
      </c>
      <c r="D58" s="1" t="s">
        <v>2534</v>
      </c>
      <c r="E58" s="3">
        <v>60091</v>
      </c>
      <c r="F58" s="1" t="str">
        <f>VLOOKUP(D58,Table17[[Name]:[Native]],3,FALSE)</f>
        <v>新泰市</v>
      </c>
      <c r="G58" s="14" t="str">
        <f ca="1">VLOOKUP(F58,Table17[[Native]:[Population4]],5,FALSE)</f>
        <v>泰安市</v>
      </c>
    </row>
    <row r="59" spans="1:7" ht="15.75" thickBot="1" x14ac:dyDescent="0.3">
      <c r="A59" t="s">
        <v>2613</v>
      </c>
      <c r="B59" s="1" t="s">
        <v>2614</v>
      </c>
      <c r="C59" s="1" t="s">
        <v>13</v>
      </c>
      <c r="D59" s="1" t="s">
        <v>2505</v>
      </c>
      <c r="E59" s="3">
        <v>39919</v>
      </c>
      <c r="F59" s="1" t="str">
        <f>VLOOKUP(D59,Table17[[Name]:[Native]],3,FALSE)</f>
        <v>宁阳县</v>
      </c>
      <c r="G59" s="14" t="str">
        <f ca="1">VLOOKUP(F59,Table17[[Native]:[Population4]],5,FALSE)</f>
        <v>泰安市</v>
      </c>
    </row>
    <row r="60" spans="1:7" ht="15.75" thickBot="1" x14ac:dyDescent="0.3">
      <c r="A60" t="s">
        <v>2615</v>
      </c>
      <c r="B60" s="1" t="s">
        <v>2616</v>
      </c>
      <c r="C60" s="1" t="s">
        <v>13</v>
      </c>
      <c r="D60" s="1" t="s">
        <v>2497</v>
      </c>
      <c r="E60" s="3">
        <v>27872</v>
      </c>
      <c r="F60" s="1" t="str">
        <f>VLOOKUP(D60,Table17[[Name]:[Native]],3,FALSE)</f>
        <v>肥城市</v>
      </c>
      <c r="G60" s="14" t="str">
        <f ca="1">VLOOKUP(F60,Table17[[Native]:[Population4]],5,FALSE)</f>
        <v>泰安市</v>
      </c>
    </row>
    <row r="61" spans="1:7" ht="15.75" thickBot="1" x14ac:dyDescent="0.3">
      <c r="A61" t="s">
        <v>2617</v>
      </c>
      <c r="B61" s="1" t="s">
        <v>2618</v>
      </c>
      <c r="C61" s="1" t="s">
        <v>7</v>
      </c>
      <c r="D61" s="1" t="s">
        <v>2513</v>
      </c>
      <c r="E61" s="3">
        <v>161678</v>
      </c>
      <c r="F61" s="1" t="str">
        <f>VLOOKUP(D61,Table17[[Name]:[Native]],3,FALSE)</f>
        <v>泰山区</v>
      </c>
      <c r="G61" s="14" t="str">
        <f ca="1">VLOOKUP(F61,Table17[[Native]:[Population4]],5,FALSE)</f>
        <v>泰安市</v>
      </c>
    </row>
    <row r="62" spans="1:7" ht="15.75" thickBot="1" x14ac:dyDescent="0.3">
      <c r="A62" t="s">
        <v>2619</v>
      </c>
      <c r="B62" s="1" t="s">
        <v>2620</v>
      </c>
      <c r="C62" s="1" t="s">
        <v>13</v>
      </c>
      <c r="D62" s="1" t="s">
        <v>2497</v>
      </c>
      <c r="E62" s="3">
        <v>50638</v>
      </c>
      <c r="F62" s="1" t="str">
        <f>VLOOKUP(D62,Table17[[Name]:[Native]],3,FALSE)</f>
        <v>肥城市</v>
      </c>
      <c r="G62" s="14" t="str">
        <f ca="1">VLOOKUP(F62,Table17[[Native]:[Population4]],5,FALSE)</f>
        <v>泰安市</v>
      </c>
    </row>
    <row r="63" spans="1:7" ht="15.75" thickBot="1" x14ac:dyDescent="0.3">
      <c r="A63" t="s">
        <v>2621</v>
      </c>
      <c r="B63" s="1" t="s">
        <v>2622</v>
      </c>
      <c r="C63" s="1" t="s">
        <v>13</v>
      </c>
      <c r="D63" s="1" t="s">
        <v>2534</v>
      </c>
      <c r="E63" s="3">
        <v>71030</v>
      </c>
      <c r="F63" s="1" t="str">
        <f>VLOOKUP(D63,Table17[[Name]:[Native]],3,FALSE)</f>
        <v>新泰市</v>
      </c>
      <c r="G63" s="14" t="str">
        <f ca="1">VLOOKUP(F63,Table17[[Native]:[Population4]],5,FALSE)</f>
        <v>泰安市</v>
      </c>
    </row>
    <row r="64" spans="1:7" ht="15.75" thickBot="1" x14ac:dyDescent="0.3">
      <c r="A64" t="s">
        <v>2623</v>
      </c>
      <c r="B64" s="1" t="s">
        <v>2624</v>
      </c>
      <c r="C64" s="1" t="s">
        <v>7</v>
      </c>
      <c r="D64" s="1" t="s">
        <v>2508</v>
      </c>
      <c r="E64" s="3">
        <v>35559</v>
      </c>
      <c r="F64" s="1" t="str">
        <f>VLOOKUP(D64,Table17[[Name]:[Native]],3,FALSE)</f>
        <v>岱岳区</v>
      </c>
      <c r="G64" s="14" t="str">
        <f ca="1">VLOOKUP(F64,Table17[[Native]:[Population4]],5,FALSE)</f>
        <v>泰安市</v>
      </c>
    </row>
    <row r="65" spans="1:7" ht="15.75" thickBot="1" x14ac:dyDescent="0.3">
      <c r="A65" t="s">
        <v>2625</v>
      </c>
      <c r="B65" s="1" t="s">
        <v>2626</v>
      </c>
      <c r="C65" s="1" t="s">
        <v>13</v>
      </c>
      <c r="D65" s="1" t="s">
        <v>2502</v>
      </c>
      <c r="E65" s="3">
        <v>38178</v>
      </c>
      <c r="F65" s="1" t="str">
        <f>VLOOKUP(D65,Table17[[Name]:[Native]],3,FALSE)</f>
        <v>东平县</v>
      </c>
      <c r="G65" s="14" t="str">
        <f ca="1">VLOOKUP(F65,Table17[[Native]:[Population4]],5,FALSE)</f>
        <v>泰安市</v>
      </c>
    </row>
    <row r="66" spans="1:7" ht="15.75" thickBot="1" x14ac:dyDescent="0.3">
      <c r="A66" t="s">
        <v>2627</v>
      </c>
      <c r="B66" s="1" t="s">
        <v>2628</v>
      </c>
      <c r="C66" s="1" t="s">
        <v>7</v>
      </c>
      <c r="D66" s="1" t="s">
        <v>2497</v>
      </c>
      <c r="E66" s="3">
        <v>82065</v>
      </c>
      <c r="F66" s="1" t="str">
        <f>VLOOKUP(D66,Table17[[Name]:[Native]],3,FALSE)</f>
        <v>肥城市</v>
      </c>
      <c r="G66" s="14" t="str">
        <f ca="1">VLOOKUP(F66,Table17[[Native]:[Population4]],5,FALSE)</f>
        <v>泰安市</v>
      </c>
    </row>
    <row r="67" spans="1:7" ht="15.75" thickBot="1" x14ac:dyDescent="0.3">
      <c r="A67" t="s">
        <v>1440</v>
      </c>
      <c r="B67" s="1" t="s">
        <v>1441</v>
      </c>
      <c r="C67" s="1" t="s">
        <v>13</v>
      </c>
      <c r="D67" s="1" t="s">
        <v>2497</v>
      </c>
      <c r="E67" s="3">
        <v>52339</v>
      </c>
      <c r="F67" s="1" t="str">
        <f>VLOOKUP(D67,Table17[[Name]:[Native]],3,FALSE)</f>
        <v>肥城市</v>
      </c>
      <c r="G67" s="14" t="str">
        <f ca="1">VLOOKUP(F67,Table17[[Native]:[Population4]],5,FALSE)</f>
        <v>泰安市</v>
      </c>
    </row>
    <row r="68" spans="1:7" ht="15.75" thickBot="1" x14ac:dyDescent="0.3">
      <c r="A68" t="s">
        <v>2629</v>
      </c>
      <c r="B68" s="1" t="s">
        <v>2630</v>
      </c>
      <c r="C68" s="1" t="s">
        <v>7</v>
      </c>
      <c r="D68" s="1" t="s">
        <v>2505</v>
      </c>
      <c r="E68" s="3">
        <v>90172</v>
      </c>
      <c r="F68" s="1" t="str">
        <f>VLOOKUP(D68,Table17[[Name]:[Native]],3,FALSE)</f>
        <v>宁阳县</v>
      </c>
      <c r="G68" s="14" t="str">
        <f ca="1">VLOOKUP(F68,Table17[[Native]:[Population4]],5,FALSE)</f>
        <v>泰安市</v>
      </c>
    </row>
    <row r="69" spans="1:7" ht="15.75" thickBot="1" x14ac:dyDescent="0.3">
      <c r="A69" t="s">
        <v>2631</v>
      </c>
      <c r="B69" s="1" t="s">
        <v>2632</v>
      </c>
      <c r="C69" s="1" t="s">
        <v>13</v>
      </c>
      <c r="D69" s="1" t="s">
        <v>2534</v>
      </c>
      <c r="E69" s="3">
        <v>110530</v>
      </c>
      <c r="F69" s="1" t="str">
        <f>VLOOKUP(D69,Table17[[Name]:[Native]],3,FALSE)</f>
        <v>新泰市</v>
      </c>
      <c r="G69" s="14" t="str">
        <f ca="1">VLOOKUP(F69,Table17[[Native]:[Population4]],5,FALSE)</f>
        <v>泰安市</v>
      </c>
    </row>
    <row r="70" spans="1:7" ht="15.75" thickBot="1" x14ac:dyDescent="0.3">
      <c r="A70" t="s">
        <v>2633</v>
      </c>
      <c r="B70" s="1" t="s">
        <v>2634</v>
      </c>
      <c r="C70" s="1" t="s">
        <v>13</v>
      </c>
      <c r="D70" s="1" t="s">
        <v>2497</v>
      </c>
      <c r="E70" s="3">
        <v>73411</v>
      </c>
      <c r="F70" s="1" t="str">
        <f>VLOOKUP(D70,Table17[[Name]:[Native]],3,FALSE)</f>
        <v>肥城市</v>
      </c>
      <c r="G70" s="14" t="str">
        <f ca="1">VLOOKUP(F70,Table17[[Native]:[Population4]],5,FALSE)</f>
        <v>泰安市</v>
      </c>
    </row>
    <row r="71" spans="1:7" ht="15.75" thickBot="1" x14ac:dyDescent="0.3">
      <c r="A71" t="s">
        <v>2635</v>
      </c>
      <c r="B71" s="1" t="s">
        <v>2636</v>
      </c>
      <c r="C71" s="1" t="s">
        <v>13</v>
      </c>
      <c r="D71" s="1" t="s">
        <v>2508</v>
      </c>
      <c r="E71" s="3">
        <v>38680</v>
      </c>
      <c r="F71" s="1" t="str">
        <f>VLOOKUP(D71,Table17[[Name]:[Native]],3,FALSE)</f>
        <v>岱岳区</v>
      </c>
      <c r="G71" s="14" t="str">
        <f ca="1">VLOOKUP(F71,Table17[[Native]:[Population4]],5,FALSE)</f>
        <v>泰安市</v>
      </c>
    </row>
    <row r="72" spans="1:7" ht="15.75" thickBot="1" x14ac:dyDescent="0.3">
      <c r="A72" t="s">
        <v>2637</v>
      </c>
      <c r="B72" s="1" t="s">
        <v>2638</v>
      </c>
      <c r="C72" s="1" t="s">
        <v>61</v>
      </c>
      <c r="D72" s="1" t="s">
        <v>2505</v>
      </c>
      <c r="E72" s="3">
        <v>31069</v>
      </c>
      <c r="F72" s="1" t="str">
        <f>VLOOKUP(D72,Table17[[Name]:[Native]],3,FALSE)</f>
        <v>宁阳县</v>
      </c>
      <c r="G72" s="14" t="str">
        <f ca="1">VLOOKUP(F72,Table17[[Native]:[Population4]],5,FALSE)</f>
        <v>泰安市</v>
      </c>
    </row>
    <row r="73" spans="1:7" ht="15.75" thickBot="1" x14ac:dyDescent="0.3">
      <c r="A73" t="s">
        <v>2639</v>
      </c>
      <c r="B73" s="1" t="s">
        <v>2640</v>
      </c>
      <c r="C73" s="1" t="s">
        <v>13</v>
      </c>
      <c r="D73" s="1" t="s">
        <v>2534</v>
      </c>
      <c r="E73" s="3">
        <v>44817</v>
      </c>
      <c r="F73" s="1" t="str">
        <f>VLOOKUP(D73,Table17[[Name]:[Native]],3,FALSE)</f>
        <v>新泰市</v>
      </c>
      <c r="G73" s="14" t="str">
        <f ca="1">VLOOKUP(F73,Table17[[Native]:[Population4]],5,FALSE)</f>
        <v>泰安市</v>
      </c>
    </row>
    <row r="74" spans="1:7" ht="15.75" thickBot="1" x14ac:dyDescent="0.3">
      <c r="A74" t="s">
        <v>2641</v>
      </c>
      <c r="B74" s="1" t="s">
        <v>2642</v>
      </c>
      <c r="C74" s="1" t="s">
        <v>13</v>
      </c>
      <c r="D74" s="1" t="s">
        <v>2508</v>
      </c>
      <c r="E74" s="3">
        <v>60728</v>
      </c>
      <c r="F74" s="1" t="str">
        <f>VLOOKUP(D74,Table17[[Name]:[Native]],3,FALSE)</f>
        <v>岱岳区</v>
      </c>
      <c r="G74" s="14" t="str">
        <f ca="1">VLOOKUP(F74,Table17[[Native]:[Population4]],5,FALSE)</f>
        <v>泰安市</v>
      </c>
    </row>
    <row r="75" spans="1:7" ht="15.75" thickBot="1" x14ac:dyDescent="0.3">
      <c r="A75" t="s">
        <v>1728</v>
      </c>
      <c r="B75" s="1" t="s">
        <v>1729</v>
      </c>
      <c r="C75" s="1" t="s">
        <v>7</v>
      </c>
      <c r="D75" s="1" t="s">
        <v>2497</v>
      </c>
      <c r="E75" s="3">
        <v>172902</v>
      </c>
      <c r="F75" s="1" t="str">
        <f>VLOOKUP(D75,Table17[[Name]:[Native]],3,FALSE)</f>
        <v>肥城市</v>
      </c>
      <c r="G75" s="14" t="str">
        <f ca="1">VLOOKUP(F75,Table17[[Native]:[Population4]],5,FALSE)</f>
        <v>泰安市</v>
      </c>
    </row>
    <row r="76" spans="1:7" ht="15.75" thickBot="1" x14ac:dyDescent="0.3">
      <c r="A76" t="s">
        <v>2643</v>
      </c>
      <c r="B76" s="1" t="s">
        <v>2644</v>
      </c>
      <c r="C76" s="1" t="s">
        <v>13</v>
      </c>
      <c r="D76" s="1" t="s">
        <v>2502</v>
      </c>
      <c r="E76" s="3">
        <v>47137</v>
      </c>
      <c r="F76" s="1" t="str">
        <f>VLOOKUP(D76,Table17[[Name]:[Native]],3,FALSE)</f>
        <v>东平县</v>
      </c>
      <c r="G76" s="14" t="str">
        <f ca="1">VLOOKUP(F76,Table17[[Native]:[Population4]],5,FALSE)</f>
        <v>泰安市</v>
      </c>
    </row>
    <row r="77" spans="1:7" ht="15.75" thickBot="1" x14ac:dyDescent="0.3">
      <c r="A77" t="s">
        <v>2645</v>
      </c>
      <c r="B77" s="1" t="s">
        <v>2646</v>
      </c>
      <c r="C77" s="1" t="s">
        <v>7</v>
      </c>
      <c r="D77" s="1" t="s">
        <v>2534</v>
      </c>
      <c r="E77" s="3">
        <v>104583</v>
      </c>
      <c r="F77" s="1" t="str">
        <f>VLOOKUP(D77,Table17[[Name]:[Native]],3,FALSE)</f>
        <v>新泰市</v>
      </c>
      <c r="G77" s="14" t="str">
        <f ca="1">VLOOKUP(F77,Table17[[Native]:[Population4]],5,FALSE)</f>
        <v>泰安市</v>
      </c>
    </row>
    <row r="78" spans="1:7" ht="15.75" thickBot="1" x14ac:dyDescent="0.3">
      <c r="A78" t="s">
        <v>2647</v>
      </c>
      <c r="B78" s="1" t="s">
        <v>2648</v>
      </c>
      <c r="C78" s="1" t="s">
        <v>13</v>
      </c>
      <c r="D78" s="1" t="s">
        <v>2534</v>
      </c>
      <c r="E78" s="3">
        <v>37875</v>
      </c>
      <c r="F78" s="1" t="str">
        <f>VLOOKUP(D78,Table17[[Name]:[Native]],3,FALSE)</f>
        <v>新泰市</v>
      </c>
      <c r="G78" s="14" t="str">
        <f ca="1">VLOOKUP(F78,Table17[[Native]:[Population4]],5,FALSE)</f>
        <v>泰安市</v>
      </c>
    </row>
    <row r="79" spans="1:7" ht="15.75" thickBot="1" x14ac:dyDescent="0.3">
      <c r="A79" t="s">
        <v>2649</v>
      </c>
      <c r="B79" s="1" t="s">
        <v>2650</v>
      </c>
      <c r="C79" s="1" t="s">
        <v>7</v>
      </c>
      <c r="D79" s="1" t="s">
        <v>2513</v>
      </c>
      <c r="E79" s="3">
        <v>41448</v>
      </c>
      <c r="F79" s="1" t="str">
        <f>VLOOKUP(D79,Table17[[Name]:[Native]],3,FALSE)</f>
        <v>泰山区</v>
      </c>
      <c r="G79" s="14" t="str">
        <f ca="1">VLOOKUP(F79,Table17[[Native]:[Population4]],5,FALSE)</f>
        <v>泰安市</v>
      </c>
    </row>
    <row r="80" spans="1:7" ht="15.75" thickBot="1" x14ac:dyDescent="0.3">
      <c r="A80" t="s">
        <v>2651</v>
      </c>
      <c r="B80" s="1" t="s">
        <v>2652</v>
      </c>
      <c r="C80" s="1" t="s">
        <v>13</v>
      </c>
      <c r="D80" s="1" t="s">
        <v>2534</v>
      </c>
      <c r="E80" s="3">
        <v>93584</v>
      </c>
      <c r="F80" s="1" t="str">
        <f>VLOOKUP(D80,Table17[[Name]:[Native]],3,FALSE)</f>
        <v>新泰市</v>
      </c>
      <c r="G80" s="14" t="str">
        <f ca="1">VLOOKUP(F80,Table17[[Native]:[Population4]],5,FALSE)</f>
        <v>泰安市</v>
      </c>
    </row>
    <row r="81" spans="1:7" ht="15.75" thickBot="1" x14ac:dyDescent="0.3">
      <c r="A81" t="s">
        <v>2653</v>
      </c>
      <c r="B81" s="1" t="s">
        <v>2654</v>
      </c>
      <c r="C81" s="1" t="s">
        <v>13</v>
      </c>
      <c r="D81" s="1" t="s">
        <v>2502</v>
      </c>
      <c r="E81" s="3">
        <v>56196</v>
      </c>
      <c r="F81" s="1" t="str">
        <f>VLOOKUP(D81,Table17[[Name]:[Native]],3,FALSE)</f>
        <v>东平县</v>
      </c>
      <c r="G81" s="14" t="str">
        <f ca="1">VLOOKUP(F81,Table17[[Native]:[Population4]],5,FALSE)</f>
        <v>泰安市</v>
      </c>
    </row>
    <row r="82" spans="1:7" ht="15.75" thickBot="1" x14ac:dyDescent="0.3">
      <c r="A82" t="s">
        <v>2655</v>
      </c>
      <c r="B82" s="1" t="s">
        <v>2656</v>
      </c>
      <c r="C82" s="1" t="s">
        <v>7</v>
      </c>
      <c r="D82" s="1" t="s">
        <v>2497</v>
      </c>
      <c r="E82" s="3">
        <v>45362</v>
      </c>
      <c r="F82" s="1" t="str">
        <f>VLOOKUP(D82,Table17[[Name]:[Native]],3,FALSE)</f>
        <v>肥城市</v>
      </c>
      <c r="G82" s="14" t="str">
        <f ca="1">VLOOKUP(F82,Table17[[Native]:[Population4]],5,FALSE)</f>
        <v>泰安市</v>
      </c>
    </row>
    <row r="83" spans="1:7" ht="15.75" thickBot="1" x14ac:dyDescent="0.3">
      <c r="A83" t="s">
        <v>2657</v>
      </c>
      <c r="B83" s="1" t="s">
        <v>2658</v>
      </c>
      <c r="C83" s="1" t="s">
        <v>13</v>
      </c>
      <c r="D83" s="1" t="s">
        <v>2534</v>
      </c>
      <c r="E83" s="3">
        <v>48480</v>
      </c>
      <c r="F83" s="1" t="str">
        <f>VLOOKUP(D83,Table17[[Name]:[Native]],3,FALSE)</f>
        <v>新泰市</v>
      </c>
      <c r="G83" s="14" t="str">
        <f ca="1">VLOOKUP(F83,Table17[[Native]:[Population4]],5,FALSE)</f>
        <v>泰安市</v>
      </c>
    </row>
    <row r="84" spans="1:7" ht="15.75" thickBot="1" x14ac:dyDescent="0.3">
      <c r="A84" t="s">
        <v>2659</v>
      </c>
      <c r="B84" s="1" t="s">
        <v>2660</v>
      </c>
      <c r="C84" s="1" t="s">
        <v>61</v>
      </c>
      <c r="D84" s="1" t="s">
        <v>2534</v>
      </c>
      <c r="E84" s="3">
        <v>33565</v>
      </c>
      <c r="F84" s="1" t="str">
        <f>VLOOKUP(D84,Table17[[Name]:[Native]],3,FALSE)</f>
        <v>新泰市</v>
      </c>
      <c r="G84" s="14" t="str">
        <f ca="1">VLOOKUP(F84,Table17[[Native]:[Population4]],5,FALSE)</f>
        <v>泰安市</v>
      </c>
    </row>
    <row r="85" spans="1:7" ht="15.75" thickBot="1" x14ac:dyDescent="0.3">
      <c r="A85" t="s">
        <v>2661</v>
      </c>
      <c r="B85" s="1" t="s">
        <v>2662</v>
      </c>
      <c r="C85" s="1" t="s">
        <v>13</v>
      </c>
      <c r="D85" s="1" t="s">
        <v>2534</v>
      </c>
      <c r="E85" s="3">
        <v>61248</v>
      </c>
      <c r="F85" s="1" t="str">
        <f>VLOOKUP(D85,Table17[[Name]:[Native]],3,FALSE)</f>
        <v>新泰市</v>
      </c>
      <c r="G85" s="14" t="str">
        <f ca="1">VLOOKUP(F85,Table17[[Native]:[Population4]],5,FALSE)</f>
        <v>泰安市</v>
      </c>
    </row>
    <row r="86" spans="1:7" ht="15.75" thickBot="1" x14ac:dyDescent="0.3">
      <c r="A86" t="s">
        <v>2663</v>
      </c>
      <c r="B86" s="1" t="s">
        <v>2664</v>
      </c>
      <c r="C86" s="1" t="s">
        <v>7</v>
      </c>
      <c r="D86" s="1" t="s">
        <v>2502</v>
      </c>
      <c r="E86" s="3">
        <v>53699</v>
      </c>
      <c r="F86" s="1" t="str">
        <f>VLOOKUP(D86,Table17[[Name]:[Native]],3,FALSE)</f>
        <v>东平县</v>
      </c>
      <c r="G86" s="14" t="str">
        <f ca="1">VLOOKUP(F86,Table17[[Native]:[Population4]],5,FALSE)</f>
        <v>泰安市</v>
      </c>
    </row>
    <row r="87" spans="1:7" ht="15.75" thickBot="1" x14ac:dyDescent="0.3">
      <c r="A87" t="s">
        <v>2665</v>
      </c>
      <c r="B87" s="1" t="s">
        <v>2666</v>
      </c>
      <c r="C87" s="1" t="s">
        <v>7</v>
      </c>
      <c r="D87" s="1" t="s">
        <v>2508</v>
      </c>
      <c r="E87" s="3">
        <v>100684</v>
      </c>
      <c r="F87" s="1" t="str">
        <f>VLOOKUP(D87,Table17[[Name]:[Native]],3,FALSE)</f>
        <v>岱岳区</v>
      </c>
      <c r="G87" s="14" t="str">
        <f ca="1">VLOOKUP(F87,Table17[[Native]:[Population4]],5,FALSE)</f>
        <v>泰安市</v>
      </c>
    </row>
    <row r="88" spans="1:7" ht="15.75" thickBot="1" x14ac:dyDescent="0.3">
      <c r="A88" t="s">
        <v>2667</v>
      </c>
      <c r="B88" s="1" t="s">
        <v>2668</v>
      </c>
      <c r="C88" s="1" t="s">
        <v>13</v>
      </c>
      <c r="D88" s="1" t="s">
        <v>2508</v>
      </c>
      <c r="E88" s="3">
        <v>52618</v>
      </c>
      <c r="F88" s="10" t="str">
        <f>VLOOKUP(D88,Table17[[Name]:[Native]],3,FALSE)</f>
        <v>岱岳区</v>
      </c>
      <c r="G88" s="14" t="str">
        <f ca="1">VLOOKUP(F88,Table17[[Native]:[Population4]],5,FALSE)</f>
        <v>泰安市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A067-D794-467F-85B5-F78B7A61EEE7}">
  <dimension ref="A1:G119"/>
  <sheetViews>
    <sheetView workbookViewId="0">
      <selection activeCell="A2" sqref="A2:G119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2669</v>
      </c>
      <c r="B2" s="1" t="s">
        <v>2670</v>
      </c>
      <c r="C2" s="1" t="s">
        <v>13</v>
      </c>
      <c r="D2" s="1" t="s">
        <v>2671</v>
      </c>
      <c r="E2" s="3">
        <v>77235</v>
      </c>
      <c r="F2" s="9" t="str">
        <f>VLOOKUP(D2,Table17[[Name]:[Native]],3,FALSE)</f>
        <v>高密市</v>
      </c>
      <c r="G2" s="14" t="str">
        <f ca="1">VLOOKUP(F2,Table17[[Native]:[Population4]],5,FALSE)</f>
        <v>潍坊市</v>
      </c>
    </row>
    <row r="3" spans="1:7" ht="15.75" thickBot="1" x14ac:dyDescent="0.3">
      <c r="A3" t="s">
        <v>2672</v>
      </c>
      <c r="B3" s="1" t="s">
        <v>2673</v>
      </c>
      <c r="C3" s="1" t="s">
        <v>13</v>
      </c>
      <c r="D3" s="1" t="s">
        <v>2674</v>
      </c>
      <c r="E3" s="3">
        <v>42913</v>
      </c>
      <c r="F3" s="1" t="str">
        <f>VLOOKUP(D3,Table17[[Name]:[Native]],3,FALSE)</f>
        <v>诸城市</v>
      </c>
      <c r="G3" s="14" t="str">
        <f ca="1">VLOOKUP(F3,Table17[[Native]:[Population4]],5,FALSE)</f>
        <v>潍坊市</v>
      </c>
    </row>
    <row r="4" spans="1:7" ht="15.75" thickBot="1" x14ac:dyDescent="0.3">
      <c r="A4" t="s">
        <v>2675</v>
      </c>
      <c r="B4" s="1" t="s">
        <v>2676</v>
      </c>
      <c r="C4" s="1" t="s">
        <v>7</v>
      </c>
      <c r="D4" s="1" t="s">
        <v>2677</v>
      </c>
      <c r="E4" s="3">
        <v>63474</v>
      </c>
      <c r="F4" s="1" t="str">
        <f>VLOOKUP(D4,Table17[[Name]:[Native]],3,FALSE)</f>
        <v>昌乐县</v>
      </c>
      <c r="G4" s="14" t="str">
        <f ca="1">VLOOKUP(F4,Table17[[Native]:[Population4]],5,FALSE)</f>
        <v>潍坊市</v>
      </c>
    </row>
    <row r="5" spans="1:7" ht="15.75" thickBot="1" x14ac:dyDescent="0.3">
      <c r="A5" t="s">
        <v>2678</v>
      </c>
      <c r="B5" s="1" t="s">
        <v>2679</v>
      </c>
      <c r="C5" s="1" t="s">
        <v>7</v>
      </c>
      <c r="D5" s="1" t="s">
        <v>2677</v>
      </c>
      <c r="E5" s="3">
        <v>105924</v>
      </c>
      <c r="F5" s="1" t="str">
        <f>VLOOKUP(D5,Table17[[Name]:[Native]],3,FALSE)</f>
        <v>昌乐县</v>
      </c>
      <c r="G5" s="14" t="str">
        <f ca="1">VLOOKUP(F5,Table17[[Native]:[Population4]],5,FALSE)</f>
        <v>潍坊市</v>
      </c>
    </row>
    <row r="6" spans="1:7" ht="15.75" thickBot="1" x14ac:dyDescent="0.3">
      <c r="A6" t="s">
        <v>2120</v>
      </c>
      <c r="B6" s="1" t="s">
        <v>2121</v>
      </c>
      <c r="C6" s="1" t="s">
        <v>7</v>
      </c>
      <c r="D6" s="1" t="s">
        <v>2680</v>
      </c>
      <c r="E6" s="3">
        <v>80164</v>
      </c>
      <c r="F6" s="1" t="str">
        <f>VLOOKUP(D6,Table17[[Name]:[Native]],3,FALSE)</f>
        <v>潍城区</v>
      </c>
      <c r="G6" s="14" t="str">
        <f ca="1">VLOOKUP(F6,Table17[[Native]:[Population4]],5,FALSE)</f>
        <v>潍坊市</v>
      </c>
    </row>
    <row r="7" spans="1:7" ht="15.75" thickBot="1" x14ac:dyDescent="0.3">
      <c r="A7" t="s">
        <v>2681</v>
      </c>
      <c r="B7" s="1" t="s">
        <v>2682</v>
      </c>
      <c r="C7" s="1" t="s">
        <v>13</v>
      </c>
      <c r="D7" s="1" t="s">
        <v>2683</v>
      </c>
      <c r="E7" s="3">
        <v>66277</v>
      </c>
      <c r="F7" s="1" t="str">
        <f>VLOOKUP(D7,Table17[[Name]:[Native]],3,FALSE)</f>
        <v>昌邑市</v>
      </c>
      <c r="G7" s="14" t="str">
        <f ca="1">VLOOKUP(F7,Table17[[Native]:[Population4]],5,FALSE)</f>
        <v>潍坊市</v>
      </c>
    </row>
    <row r="8" spans="1:7" ht="15.75" thickBot="1" x14ac:dyDescent="0.3">
      <c r="A8" t="s">
        <v>2684</v>
      </c>
      <c r="B8" s="1" t="s">
        <v>2685</v>
      </c>
      <c r="C8" s="1" t="s">
        <v>7</v>
      </c>
      <c r="D8" s="1" t="s">
        <v>2686</v>
      </c>
      <c r="E8" s="3">
        <v>33207</v>
      </c>
      <c r="F8" s="1" t="str">
        <f>VLOOKUP(D8,Table17[[Name]:[Native]],3,FALSE)</f>
        <v>奎文区</v>
      </c>
      <c r="G8" s="14" t="str">
        <f ca="1">VLOOKUP(F8,Table17[[Native]:[Population4]],5,FALSE)</f>
        <v>潍坊市</v>
      </c>
    </row>
    <row r="9" spans="1:7" ht="15.75" thickBot="1" x14ac:dyDescent="0.3">
      <c r="A9" t="s">
        <v>2687</v>
      </c>
      <c r="B9" s="1" t="s">
        <v>2688</v>
      </c>
      <c r="C9" s="1" t="s">
        <v>13</v>
      </c>
      <c r="D9" s="1" t="s">
        <v>2683</v>
      </c>
      <c r="E9" s="3">
        <v>53474</v>
      </c>
      <c r="F9" s="1" t="str">
        <f>VLOOKUP(D9,Table17[[Name]:[Native]],3,FALSE)</f>
        <v>昌邑市</v>
      </c>
      <c r="G9" s="14" t="str">
        <f ca="1">VLOOKUP(F9,Table17[[Native]:[Population4]],5,FALSE)</f>
        <v>潍坊市</v>
      </c>
    </row>
    <row r="10" spans="1:7" ht="15.75" thickBot="1" x14ac:dyDescent="0.3">
      <c r="A10" t="s">
        <v>2689</v>
      </c>
      <c r="B10" s="1" t="s">
        <v>2690</v>
      </c>
      <c r="C10" s="1" t="s">
        <v>13</v>
      </c>
      <c r="D10" s="1" t="s">
        <v>2671</v>
      </c>
      <c r="E10" s="3">
        <v>79043</v>
      </c>
      <c r="F10" s="1" t="str">
        <f>VLOOKUP(D10,Table17[[Name]:[Native]],3,FALSE)</f>
        <v>高密市</v>
      </c>
      <c r="G10" s="14" t="str">
        <f ca="1">VLOOKUP(F10,Table17[[Native]:[Population4]],5,FALSE)</f>
        <v>潍坊市</v>
      </c>
    </row>
    <row r="11" spans="1:7" ht="15.75" thickBot="1" x14ac:dyDescent="0.3">
      <c r="A11" t="s">
        <v>2691</v>
      </c>
      <c r="B11" s="1" t="s">
        <v>2692</v>
      </c>
      <c r="C11" s="1" t="s">
        <v>13</v>
      </c>
      <c r="D11" s="1" t="s">
        <v>2674</v>
      </c>
      <c r="E11" s="3">
        <v>63208</v>
      </c>
      <c r="F11" s="1" t="str">
        <f>VLOOKUP(D11,Table17[[Name]:[Native]],3,FALSE)</f>
        <v>诸城市</v>
      </c>
      <c r="G11" s="14" t="str">
        <f ca="1">VLOOKUP(F11,Table17[[Native]:[Population4]],5,FALSE)</f>
        <v>潍坊市</v>
      </c>
    </row>
    <row r="12" spans="1:7" ht="15.75" thickBot="1" x14ac:dyDescent="0.3">
      <c r="A12" t="s">
        <v>610</v>
      </c>
      <c r="B12" s="1" t="s">
        <v>611</v>
      </c>
      <c r="C12" s="1" t="s">
        <v>7</v>
      </c>
      <c r="D12" s="1" t="s">
        <v>2680</v>
      </c>
      <c r="E12" s="3">
        <v>42617</v>
      </c>
      <c r="F12" s="1" t="str">
        <f>VLOOKUP(D12,Table17[[Name]:[Native]],3,FALSE)</f>
        <v>潍城区</v>
      </c>
      <c r="G12" s="14" t="str">
        <f ca="1">VLOOKUP(F12,Table17[[Native]:[Population4]],5,FALSE)</f>
        <v>潍坊市</v>
      </c>
    </row>
    <row r="13" spans="1:7" ht="15.75" thickBot="1" x14ac:dyDescent="0.3">
      <c r="A13" t="s">
        <v>610</v>
      </c>
      <c r="B13" s="1" t="s">
        <v>611</v>
      </c>
      <c r="C13" s="1" t="s">
        <v>7</v>
      </c>
      <c r="D13" s="1" t="s">
        <v>2693</v>
      </c>
      <c r="E13" s="3">
        <v>190207</v>
      </c>
      <c r="F13" s="1" t="str">
        <f>VLOOKUP(D13,Table17[[Name]:[Native]],3,FALSE)</f>
        <v>临朐县</v>
      </c>
      <c r="G13" s="14" t="str">
        <f ca="1">VLOOKUP(F13,Table17[[Native]:[Population4]],5,FALSE)</f>
        <v>潍坊市</v>
      </c>
    </row>
    <row r="14" spans="1:7" ht="15.75" thickBot="1" x14ac:dyDescent="0.3">
      <c r="A14" t="s">
        <v>2694</v>
      </c>
      <c r="B14" s="1" t="s">
        <v>2695</v>
      </c>
      <c r="C14" s="1" t="s">
        <v>7</v>
      </c>
      <c r="D14" s="1" t="s">
        <v>2677</v>
      </c>
      <c r="E14" s="3">
        <v>26547</v>
      </c>
      <c r="F14" s="1" t="str">
        <f>VLOOKUP(D14,Table17[[Name]:[Native]],3,FALSE)</f>
        <v>昌乐县</v>
      </c>
      <c r="G14" s="14" t="str">
        <f ca="1">VLOOKUP(F14,Table17[[Native]:[Population4]],5,FALSE)</f>
        <v>潍坊市</v>
      </c>
    </row>
    <row r="15" spans="1:7" ht="15.75" thickBot="1" x14ac:dyDescent="0.3">
      <c r="A15" t="s">
        <v>2696</v>
      </c>
      <c r="B15" s="1" t="s">
        <v>2697</v>
      </c>
      <c r="C15" s="1" t="s">
        <v>7</v>
      </c>
      <c r="D15" s="1" t="s">
        <v>2698</v>
      </c>
      <c r="E15" s="3">
        <v>76459</v>
      </c>
      <c r="F15" s="1" t="str">
        <f>VLOOKUP(D15,Table17[[Name]:[Native]],3,FALSE)</f>
        <v>寒亭区</v>
      </c>
      <c r="G15" s="14" t="str">
        <f ca="1">VLOOKUP(F15,Table17[[Native]:[Population4]],5,FALSE)</f>
        <v>潍坊市</v>
      </c>
    </row>
    <row r="16" spans="1:7" ht="15.75" thickBot="1" x14ac:dyDescent="0.3">
      <c r="A16" t="s">
        <v>2699</v>
      </c>
      <c r="B16" s="1" t="s">
        <v>2700</v>
      </c>
      <c r="C16" s="1" t="s">
        <v>13</v>
      </c>
      <c r="D16" s="1" t="s">
        <v>2671</v>
      </c>
      <c r="E16" s="3">
        <v>47569</v>
      </c>
      <c r="F16" s="1" t="str">
        <f>VLOOKUP(D16,Table17[[Name]:[Native]],3,FALSE)</f>
        <v>高密市</v>
      </c>
      <c r="G16" s="14" t="str">
        <f ca="1">VLOOKUP(F16,Table17[[Native]:[Population4]],5,FALSE)</f>
        <v>潍坊市</v>
      </c>
    </row>
    <row r="17" spans="1:7" ht="15.75" thickBot="1" x14ac:dyDescent="0.3">
      <c r="A17" t="s">
        <v>2701</v>
      </c>
      <c r="B17" s="1" t="s">
        <v>2702</v>
      </c>
      <c r="C17" s="1" t="s">
        <v>13</v>
      </c>
      <c r="D17" s="1" t="s">
        <v>2703</v>
      </c>
      <c r="E17" s="3">
        <v>93728</v>
      </c>
      <c r="F17" s="1" t="str">
        <f>VLOOKUP(D17,Table17[[Name]:[Native]],3,FALSE)</f>
        <v>寿光市</v>
      </c>
      <c r="G17" s="14" t="str">
        <f ca="1">VLOOKUP(F17,Table17[[Native]:[Population4]],5,FALSE)</f>
        <v>潍坊市</v>
      </c>
    </row>
    <row r="18" spans="1:7" ht="15.75" thickBot="1" x14ac:dyDescent="0.3">
      <c r="A18" t="s">
        <v>2704</v>
      </c>
      <c r="B18" s="1" t="s">
        <v>2705</v>
      </c>
      <c r="C18" s="1" t="s">
        <v>13</v>
      </c>
      <c r="D18" s="1" t="s">
        <v>2706</v>
      </c>
      <c r="E18" s="3">
        <v>31797</v>
      </c>
      <c r="F18" s="1" t="str">
        <f>VLOOKUP(D18,Table17[[Name]:[Native]],3,FALSE)</f>
        <v>安丘市</v>
      </c>
      <c r="G18" s="14" t="str">
        <f ca="1">VLOOKUP(F18,Table17[[Native]:[Population4]],5,FALSE)</f>
        <v>潍坊市</v>
      </c>
    </row>
    <row r="19" spans="1:7" ht="15.75" thickBot="1" x14ac:dyDescent="0.3">
      <c r="A19" t="s">
        <v>2707</v>
      </c>
      <c r="B19" s="1" t="s">
        <v>2708</v>
      </c>
      <c r="C19" s="1" t="s">
        <v>7</v>
      </c>
      <c r="D19" s="1" t="s">
        <v>2686</v>
      </c>
      <c r="E19" s="3">
        <v>114307</v>
      </c>
      <c r="F19" s="1" t="str">
        <f>VLOOKUP(D19,Table17[[Name]:[Native]],3,FALSE)</f>
        <v>奎文区</v>
      </c>
      <c r="G19" s="14" t="str">
        <f ca="1">VLOOKUP(F19,Table17[[Native]:[Population4]],5,FALSE)</f>
        <v>潍坊市</v>
      </c>
    </row>
    <row r="20" spans="1:7" ht="15.75" thickBot="1" x14ac:dyDescent="0.3">
      <c r="A20" t="s">
        <v>487</v>
      </c>
      <c r="B20" s="1" t="s">
        <v>488</v>
      </c>
      <c r="C20" s="1" t="s">
        <v>7</v>
      </c>
      <c r="D20" s="1" t="s">
        <v>2693</v>
      </c>
      <c r="E20" s="3">
        <v>109439</v>
      </c>
      <c r="F20" s="1" t="str">
        <f>VLOOKUP(D20,Table17[[Name]:[Native]],3,FALSE)</f>
        <v>临朐县</v>
      </c>
      <c r="G20" s="14" t="str">
        <f ca="1">VLOOKUP(F20,Table17[[Native]:[Population4]],5,FALSE)</f>
        <v>潍坊市</v>
      </c>
    </row>
    <row r="21" spans="1:7" ht="15.75" thickBot="1" x14ac:dyDescent="0.3">
      <c r="A21" t="s">
        <v>965</v>
      </c>
      <c r="B21" s="1" t="s">
        <v>966</v>
      </c>
      <c r="C21" s="1" t="s">
        <v>7</v>
      </c>
      <c r="D21" s="1" t="s">
        <v>2686</v>
      </c>
      <c r="E21" s="3">
        <v>80724</v>
      </c>
      <c r="F21" s="1" t="str">
        <f>VLOOKUP(D21,Table17[[Name]:[Native]],3,FALSE)</f>
        <v>奎文区</v>
      </c>
      <c r="G21" s="14" t="str">
        <f ca="1">VLOOKUP(F21,Table17[[Native]:[Population4]],5,FALSE)</f>
        <v>潍坊市</v>
      </c>
    </row>
    <row r="22" spans="1:7" ht="15.75" thickBot="1" x14ac:dyDescent="0.3">
      <c r="A22" t="s">
        <v>2709</v>
      </c>
      <c r="B22" s="1" t="s">
        <v>2710</v>
      </c>
      <c r="C22" s="1" t="s">
        <v>13</v>
      </c>
      <c r="D22" s="1" t="s">
        <v>2711</v>
      </c>
      <c r="E22" s="3">
        <v>84083</v>
      </c>
      <c r="F22" s="1" t="str">
        <f>VLOOKUP(D22,Table17[[Name]:[Native]],3,FALSE)</f>
        <v>青州市</v>
      </c>
      <c r="G22" s="14" t="str">
        <f ca="1">VLOOKUP(F22,Table17[[Native]:[Population4]],5,FALSE)</f>
        <v>潍坊市</v>
      </c>
    </row>
    <row r="23" spans="1:7" ht="15.75" thickBot="1" x14ac:dyDescent="0.3">
      <c r="A23" t="s">
        <v>2712</v>
      </c>
      <c r="B23" s="1" t="s">
        <v>2713</v>
      </c>
      <c r="C23" s="1" t="s">
        <v>7</v>
      </c>
      <c r="D23" s="1" t="s">
        <v>2683</v>
      </c>
      <c r="E23" s="3">
        <v>99909</v>
      </c>
      <c r="F23" s="1" t="str">
        <f>VLOOKUP(D23,Table17[[Name]:[Native]],3,FALSE)</f>
        <v>昌邑市</v>
      </c>
      <c r="G23" s="14" t="str">
        <f ca="1">VLOOKUP(F23,Table17[[Native]:[Population4]],5,FALSE)</f>
        <v>潍坊市</v>
      </c>
    </row>
    <row r="24" spans="1:7" ht="15.75" thickBot="1" x14ac:dyDescent="0.3">
      <c r="A24" t="s">
        <v>2714</v>
      </c>
      <c r="B24" s="1" t="s">
        <v>2715</v>
      </c>
      <c r="C24" s="1" t="s">
        <v>7</v>
      </c>
      <c r="D24" s="1" t="s">
        <v>2716</v>
      </c>
      <c r="E24" s="3">
        <v>47622</v>
      </c>
      <c r="F24" s="1" t="str">
        <f>VLOOKUP(D24,Table17[[Name]:[Native]],3,FALSE)</f>
        <v>坊子区</v>
      </c>
      <c r="G24" s="14" t="str">
        <f ca="1">VLOOKUP(F24,Table17[[Native]:[Population4]],5,FALSE)</f>
        <v>潍坊市</v>
      </c>
    </row>
    <row r="25" spans="1:7" ht="15.75" thickBot="1" x14ac:dyDescent="0.3">
      <c r="A25" t="s">
        <v>2717</v>
      </c>
      <c r="B25" s="1" t="s">
        <v>2718</v>
      </c>
      <c r="C25" s="1" t="s">
        <v>7</v>
      </c>
      <c r="D25" s="1" t="s">
        <v>2716</v>
      </c>
      <c r="E25" s="3">
        <v>90996</v>
      </c>
      <c r="F25" s="1" t="str">
        <f>VLOOKUP(D25,Table17[[Name]:[Native]],3,FALSE)</f>
        <v>坊子区</v>
      </c>
      <c r="G25" s="14" t="str">
        <f ca="1">VLOOKUP(F25,Table17[[Native]:[Population4]],5,FALSE)</f>
        <v>潍坊市</v>
      </c>
    </row>
    <row r="26" spans="1:7" ht="15.75" thickBot="1" x14ac:dyDescent="0.3">
      <c r="A26" t="s">
        <v>676</v>
      </c>
      <c r="B26" s="1" t="s">
        <v>677</v>
      </c>
      <c r="C26" s="1" t="s">
        <v>7</v>
      </c>
      <c r="D26" s="1" t="s">
        <v>2716</v>
      </c>
      <c r="E26" s="3">
        <v>56183</v>
      </c>
      <c r="F26" s="1" t="str">
        <f>VLOOKUP(D26,Table17[[Name]:[Native]],3,FALSE)</f>
        <v>坊子区</v>
      </c>
      <c r="G26" s="14" t="str">
        <f ca="1">VLOOKUP(F26,Table17[[Native]:[Population4]],5,FALSE)</f>
        <v>潍坊市</v>
      </c>
    </row>
    <row r="27" spans="1:7" ht="15.75" thickBot="1" x14ac:dyDescent="0.3">
      <c r="A27" t="s">
        <v>2719</v>
      </c>
      <c r="B27" s="1" t="s">
        <v>2720</v>
      </c>
      <c r="C27" s="1" t="s">
        <v>7</v>
      </c>
      <c r="D27" s="1" t="s">
        <v>2698</v>
      </c>
      <c r="E27" s="3">
        <v>82861</v>
      </c>
      <c r="F27" s="1" t="str">
        <f>VLOOKUP(D27,Table17[[Name]:[Native]],3,FALSE)</f>
        <v>寒亭区</v>
      </c>
      <c r="G27" s="14" t="str">
        <f ca="1">VLOOKUP(F27,Table17[[Native]:[Population4]],5,FALSE)</f>
        <v>潍坊市</v>
      </c>
    </row>
    <row r="28" spans="1:7" ht="15.75" thickBot="1" x14ac:dyDescent="0.3">
      <c r="A28" t="s">
        <v>2721</v>
      </c>
      <c r="B28" s="1" t="s">
        <v>2722</v>
      </c>
      <c r="C28" s="1" t="s">
        <v>13</v>
      </c>
      <c r="D28" s="1" t="s">
        <v>2711</v>
      </c>
      <c r="E28" s="3">
        <v>67339</v>
      </c>
      <c r="F28" s="1" t="str">
        <f>VLOOKUP(D28,Table17[[Name]:[Native]],3,FALSE)</f>
        <v>青州市</v>
      </c>
      <c r="G28" s="14" t="str">
        <f ca="1">VLOOKUP(F28,Table17[[Native]:[Population4]],5,FALSE)</f>
        <v>潍坊市</v>
      </c>
    </row>
    <row r="29" spans="1:7" ht="15.75" thickBot="1" x14ac:dyDescent="0.3">
      <c r="A29" t="s">
        <v>2723</v>
      </c>
      <c r="B29" s="1" t="s">
        <v>2724</v>
      </c>
      <c r="C29" s="1" t="s">
        <v>7</v>
      </c>
      <c r="D29" s="1" t="s">
        <v>2671</v>
      </c>
      <c r="E29" s="3">
        <v>118320</v>
      </c>
      <c r="F29" s="1" t="str">
        <f>VLOOKUP(D29,Table17[[Name]:[Native]],3,FALSE)</f>
        <v>高密市</v>
      </c>
      <c r="G29" s="14" t="str">
        <f ca="1">VLOOKUP(F29,Table17[[Native]:[Population4]],5,FALSE)</f>
        <v>潍坊市</v>
      </c>
    </row>
    <row r="30" spans="1:7" ht="15.75" thickBot="1" x14ac:dyDescent="0.3">
      <c r="A30" t="s">
        <v>2725</v>
      </c>
      <c r="B30" s="1" t="s">
        <v>2726</v>
      </c>
      <c r="C30" s="1" t="s">
        <v>7</v>
      </c>
      <c r="D30" s="1" t="s">
        <v>2671</v>
      </c>
      <c r="E30" s="3">
        <v>112360</v>
      </c>
      <c r="F30" s="1" t="str">
        <f>VLOOKUP(D30,Table17[[Name]:[Native]],3,FALSE)</f>
        <v>高密市</v>
      </c>
      <c r="G30" s="14" t="str">
        <f ca="1">VLOOKUP(F30,Table17[[Native]:[Population4]],5,FALSE)</f>
        <v>潍坊市</v>
      </c>
    </row>
    <row r="31" spans="1:7" ht="15.75" thickBot="1" x14ac:dyDescent="0.3">
      <c r="A31" t="s">
        <v>2727</v>
      </c>
      <c r="B31" s="1" t="s">
        <v>2728</v>
      </c>
      <c r="C31" s="1" t="s">
        <v>7</v>
      </c>
      <c r="D31" s="1" t="s">
        <v>2671</v>
      </c>
      <c r="E31" s="3">
        <v>161306</v>
      </c>
      <c r="F31" s="1" t="str">
        <f>VLOOKUP(D31,Table17[[Name]:[Native]],3,FALSE)</f>
        <v>高密市</v>
      </c>
      <c r="G31" s="14" t="str">
        <f ca="1">VLOOKUP(F31,Table17[[Native]:[Population4]],5,FALSE)</f>
        <v>潍坊市</v>
      </c>
    </row>
    <row r="32" spans="1:7" ht="15.75" thickBot="1" x14ac:dyDescent="0.3">
      <c r="A32" t="s">
        <v>2729</v>
      </c>
      <c r="B32" s="1" t="s">
        <v>2730</v>
      </c>
      <c r="C32" s="1" t="s">
        <v>7</v>
      </c>
      <c r="D32" s="1" t="s">
        <v>2686</v>
      </c>
      <c r="E32" s="3">
        <v>70051</v>
      </c>
      <c r="F32" s="1" t="str">
        <f>VLOOKUP(D32,Table17[[Name]:[Native]],3,FALSE)</f>
        <v>奎文区</v>
      </c>
      <c r="G32" s="14" t="str">
        <f ca="1">VLOOKUP(F32,Table17[[Native]:[Population4]],5,FALSE)</f>
        <v>潍坊市</v>
      </c>
    </row>
    <row r="33" spans="1:7" ht="15.75" thickBot="1" x14ac:dyDescent="0.3">
      <c r="A33" t="s">
        <v>2731</v>
      </c>
      <c r="B33" s="1" t="s">
        <v>2732</v>
      </c>
      <c r="C33" s="1" t="s">
        <v>13</v>
      </c>
      <c r="D33" s="1" t="s">
        <v>2706</v>
      </c>
      <c r="E33" s="3">
        <v>50826</v>
      </c>
      <c r="F33" s="1" t="str">
        <f>VLOOKUP(D33,Table17[[Name]:[Native]],3,FALSE)</f>
        <v>安丘市</v>
      </c>
      <c r="G33" s="14" t="str">
        <f ca="1">VLOOKUP(F33,Table17[[Native]:[Population4]],5,FALSE)</f>
        <v>潍坊市</v>
      </c>
    </row>
    <row r="34" spans="1:7" ht="15.75" thickBot="1" x14ac:dyDescent="0.3">
      <c r="A34" t="s">
        <v>2733</v>
      </c>
      <c r="B34" s="1" t="s">
        <v>2734</v>
      </c>
      <c r="C34" s="1" t="s">
        <v>7</v>
      </c>
      <c r="D34" s="1" t="s">
        <v>2703</v>
      </c>
      <c r="E34" s="3">
        <v>60149</v>
      </c>
      <c r="F34" s="1" t="str">
        <f>VLOOKUP(D34,Table17[[Name]:[Native]],3,FALSE)</f>
        <v>寿光市</v>
      </c>
      <c r="G34" s="14" t="str">
        <f ca="1">VLOOKUP(F34,Table17[[Native]:[Population4]],5,FALSE)</f>
        <v>潍坊市</v>
      </c>
    </row>
    <row r="35" spans="1:7" ht="15.75" thickBot="1" x14ac:dyDescent="0.3">
      <c r="A35" t="s">
        <v>2735</v>
      </c>
      <c r="B35" s="1" t="s">
        <v>2736</v>
      </c>
      <c r="C35" s="1" t="s">
        <v>7</v>
      </c>
      <c r="D35" s="1" t="s">
        <v>2698</v>
      </c>
      <c r="E35" s="3">
        <v>54053</v>
      </c>
      <c r="F35" s="1" t="str">
        <f>VLOOKUP(D35,Table17[[Name]:[Native]],3,FALSE)</f>
        <v>寒亭区</v>
      </c>
      <c r="G35" s="14" t="str">
        <f ca="1">VLOOKUP(F35,Table17[[Native]:[Population4]],5,FALSE)</f>
        <v>潍坊市</v>
      </c>
    </row>
    <row r="36" spans="1:7" ht="15.75" thickBot="1" x14ac:dyDescent="0.3">
      <c r="A36" t="s">
        <v>2737</v>
      </c>
      <c r="B36" s="1" t="s">
        <v>2738</v>
      </c>
      <c r="C36" s="1" t="s">
        <v>7</v>
      </c>
      <c r="D36" s="1" t="s">
        <v>2698</v>
      </c>
      <c r="E36" s="3">
        <v>97396</v>
      </c>
      <c r="F36" s="1" t="str">
        <f>VLOOKUP(D36,Table17[[Name]:[Native]],3,FALSE)</f>
        <v>寒亭区</v>
      </c>
      <c r="G36" s="14" t="str">
        <f ca="1">VLOOKUP(F36,Table17[[Native]:[Population4]],5,FALSE)</f>
        <v>潍坊市</v>
      </c>
    </row>
    <row r="37" spans="1:7" ht="15.75" thickBot="1" x14ac:dyDescent="0.3">
      <c r="A37" t="s">
        <v>2739</v>
      </c>
      <c r="B37" s="1" t="s">
        <v>2740</v>
      </c>
      <c r="C37" s="1" t="s">
        <v>13</v>
      </c>
      <c r="D37" s="1" t="s">
        <v>2711</v>
      </c>
      <c r="E37" s="3">
        <v>73470</v>
      </c>
      <c r="F37" s="1" t="str">
        <f>VLOOKUP(D37,Table17[[Name]:[Native]],3,FALSE)</f>
        <v>青州市</v>
      </c>
      <c r="G37" s="14" t="str">
        <f ca="1">VLOOKUP(F37,Table17[[Native]:[Population4]],5,FALSE)</f>
        <v>潍坊市</v>
      </c>
    </row>
    <row r="38" spans="1:7" ht="15.75" thickBot="1" x14ac:dyDescent="0.3">
      <c r="A38" t="s">
        <v>2741</v>
      </c>
      <c r="B38" s="1" t="s">
        <v>2742</v>
      </c>
      <c r="C38" s="1" t="s">
        <v>13</v>
      </c>
      <c r="D38" s="1" t="s">
        <v>2677</v>
      </c>
      <c r="E38" s="3">
        <v>88458</v>
      </c>
      <c r="F38" s="1" t="str">
        <f>VLOOKUP(D38,Table17[[Name]:[Native]],3,FALSE)</f>
        <v>昌乐县</v>
      </c>
      <c r="G38" s="14" t="str">
        <f ca="1">VLOOKUP(F38,Table17[[Native]:[Population4]],5,FALSE)</f>
        <v>潍坊市</v>
      </c>
    </row>
    <row r="39" spans="1:7" ht="15.75" thickBot="1" x14ac:dyDescent="0.3">
      <c r="A39" t="s">
        <v>2743</v>
      </c>
      <c r="B39" s="1" t="s">
        <v>2744</v>
      </c>
      <c r="C39" s="1" t="s">
        <v>13</v>
      </c>
      <c r="D39" s="1" t="s">
        <v>2703</v>
      </c>
      <c r="E39" s="3">
        <v>96737</v>
      </c>
      <c r="F39" s="1" t="str">
        <f>VLOOKUP(D39,Table17[[Name]:[Native]],3,FALSE)</f>
        <v>寿光市</v>
      </c>
      <c r="G39" s="14" t="str">
        <f ca="1">VLOOKUP(F39,Table17[[Native]:[Population4]],5,FALSE)</f>
        <v>潍坊市</v>
      </c>
    </row>
    <row r="40" spans="1:7" ht="15.75" thickBot="1" x14ac:dyDescent="0.3">
      <c r="A40" t="s">
        <v>2745</v>
      </c>
      <c r="B40" s="1" t="s">
        <v>2746</v>
      </c>
      <c r="C40" s="1" t="s">
        <v>13</v>
      </c>
      <c r="D40" s="1" t="s">
        <v>2703</v>
      </c>
      <c r="E40" s="3">
        <v>52660</v>
      </c>
      <c r="F40" s="1" t="str">
        <f>VLOOKUP(D40,Table17[[Name]:[Native]],3,FALSE)</f>
        <v>寿光市</v>
      </c>
      <c r="G40" s="14" t="str">
        <f ca="1">VLOOKUP(F40,Table17[[Native]:[Population4]],5,FALSE)</f>
        <v>潍坊市</v>
      </c>
    </row>
    <row r="41" spans="1:7" ht="15.75" thickBot="1" x14ac:dyDescent="0.3">
      <c r="A41" t="s">
        <v>2747</v>
      </c>
      <c r="B41" s="1" t="s">
        <v>2748</v>
      </c>
      <c r="C41" s="1" t="s">
        <v>13</v>
      </c>
      <c r="D41" s="1" t="s">
        <v>2674</v>
      </c>
      <c r="E41" s="3">
        <v>65646</v>
      </c>
      <c r="F41" s="1" t="str">
        <f>VLOOKUP(D41,Table17[[Name]:[Native]],3,FALSE)</f>
        <v>诸城市</v>
      </c>
      <c r="G41" s="14" t="str">
        <f ca="1">VLOOKUP(F41,Table17[[Native]:[Population4]],5,FALSE)</f>
        <v>潍坊市</v>
      </c>
    </row>
    <row r="42" spans="1:7" ht="15.75" thickBot="1" x14ac:dyDescent="0.3">
      <c r="A42" t="s">
        <v>2749</v>
      </c>
      <c r="B42" s="1" t="s">
        <v>2750</v>
      </c>
      <c r="C42" s="1" t="s">
        <v>7</v>
      </c>
      <c r="D42" s="1" t="s">
        <v>2711</v>
      </c>
      <c r="E42" s="3">
        <v>80055</v>
      </c>
      <c r="F42" s="1" t="str">
        <f>VLOOKUP(D42,Table17[[Name]:[Native]],3,FALSE)</f>
        <v>青州市</v>
      </c>
      <c r="G42" s="14" t="str">
        <f ca="1">VLOOKUP(F42,Table17[[Native]:[Population4]],5,FALSE)</f>
        <v>潍坊市</v>
      </c>
    </row>
    <row r="43" spans="1:7" ht="15.75" thickBot="1" x14ac:dyDescent="0.3">
      <c r="A43" t="s">
        <v>2751</v>
      </c>
      <c r="B43" s="1" t="s">
        <v>2752</v>
      </c>
      <c r="C43" s="1" t="s">
        <v>7</v>
      </c>
      <c r="D43" s="1" t="s">
        <v>2716</v>
      </c>
      <c r="E43" s="3">
        <v>47838</v>
      </c>
      <c r="F43" s="1" t="str">
        <f>VLOOKUP(D43,Table17[[Name]:[Native]],3,FALSE)</f>
        <v>坊子区</v>
      </c>
      <c r="G43" s="14" t="str">
        <f ca="1">VLOOKUP(F43,Table17[[Native]:[Population4]],5,FALSE)</f>
        <v>潍坊市</v>
      </c>
    </row>
    <row r="44" spans="1:7" ht="15.75" thickBot="1" x14ac:dyDescent="0.3">
      <c r="A44" t="s">
        <v>2753</v>
      </c>
      <c r="B44" s="1" t="s">
        <v>2754</v>
      </c>
      <c r="C44" s="1" t="s">
        <v>13</v>
      </c>
      <c r="D44" s="1" t="s">
        <v>2706</v>
      </c>
      <c r="E44" s="3">
        <v>59323</v>
      </c>
      <c r="F44" s="1" t="str">
        <f>VLOOKUP(D44,Table17[[Name]:[Native]],3,FALSE)</f>
        <v>安丘市</v>
      </c>
      <c r="G44" s="14" t="str">
        <f ca="1">VLOOKUP(F44,Table17[[Native]:[Population4]],5,FALSE)</f>
        <v>潍坊市</v>
      </c>
    </row>
    <row r="45" spans="1:7" ht="15.75" thickBot="1" x14ac:dyDescent="0.3">
      <c r="A45" t="s">
        <v>2755</v>
      </c>
      <c r="B45" s="1" t="s">
        <v>2756</v>
      </c>
      <c r="C45" s="1" t="s">
        <v>13</v>
      </c>
      <c r="D45" s="1" t="s">
        <v>2693</v>
      </c>
      <c r="E45" s="3">
        <v>78408</v>
      </c>
      <c r="F45" s="1" t="str">
        <f>VLOOKUP(D45,Table17[[Name]:[Native]],3,FALSE)</f>
        <v>临朐县</v>
      </c>
      <c r="G45" s="14" t="str">
        <f ca="1">VLOOKUP(F45,Table17[[Native]:[Population4]],5,FALSE)</f>
        <v>潍坊市</v>
      </c>
    </row>
    <row r="46" spans="1:7" ht="15.75" thickBot="1" x14ac:dyDescent="0.3">
      <c r="A46" t="s">
        <v>2757</v>
      </c>
      <c r="B46" s="1" t="s">
        <v>2758</v>
      </c>
      <c r="C46" s="1" t="s">
        <v>13</v>
      </c>
      <c r="D46" s="1" t="s">
        <v>2671</v>
      </c>
      <c r="E46" s="3">
        <v>72453</v>
      </c>
      <c r="F46" s="1" t="str">
        <f>VLOOKUP(D46,Table17[[Name]:[Native]],3,FALSE)</f>
        <v>高密市</v>
      </c>
      <c r="G46" s="14" t="str">
        <f ca="1">VLOOKUP(F46,Table17[[Native]:[Population4]],5,FALSE)</f>
        <v>潍坊市</v>
      </c>
    </row>
    <row r="47" spans="1:7" ht="15.75" thickBot="1" x14ac:dyDescent="0.3">
      <c r="A47" t="s">
        <v>2759</v>
      </c>
      <c r="B47" s="1" t="s">
        <v>2760</v>
      </c>
      <c r="C47" s="1" t="s">
        <v>13</v>
      </c>
      <c r="D47" s="1" t="s">
        <v>2674</v>
      </c>
      <c r="E47" s="3">
        <v>93228</v>
      </c>
      <c r="F47" s="1" t="str">
        <f>VLOOKUP(D47,Table17[[Name]:[Native]],3,FALSE)</f>
        <v>诸城市</v>
      </c>
      <c r="G47" s="14" t="str">
        <f ca="1">VLOOKUP(F47,Table17[[Native]:[Population4]],5,FALSE)</f>
        <v>潍坊市</v>
      </c>
    </row>
    <row r="48" spans="1:7" ht="15.75" thickBot="1" x14ac:dyDescent="0.3">
      <c r="A48" t="s">
        <v>2761</v>
      </c>
      <c r="B48" s="1" t="s">
        <v>2762</v>
      </c>
      <c r="C48" s="1" t="s">
        <v>13</v>
      </c>
      <c r="D48" s="1" t="s">
        <v>2671</v>
      </c>
      <c r="E48" s="3">
        <v>62917</v>
      </c>
      <c r="F48" s="1" t="str">
        <f>VLOOKUP(D48,Table17[[Name]:[Native]],3,FALSE)</f>
        <v>高密市</v>
      </c>
      <c r="G48" s="14" t="str">
        <f ca="1">VLOOKUP(F48,Table17[[Native]:[Population4]],5,FALSE)</f>
        <v>潍坊市</v>
      </c>
    </row>
    <row r="49" spans="1:7" ht="15.75" thickBot="1" x14ac:dyDescent="0.3">
      <c r="A49" t="s">
        <v>2763</v>
      </c>
      <c r="B49" s="1" t="s">
        <v>2764</v>
      </c>
      <c r="C49" s="1" t="s">
        <v>13</v>
      </c>
      <c r="D49" s="1" t="s">
        <v>2706</v>
      </c>
      <c r="E49" s="3">
        <v>126703</v>
      </c>
      <c r="F49" s="1" t="str">
        <f>VLOOKUP(D49,Table17[[Name]:[Native]],3,FALSE)</f>
        <v>安丘市</v>
      </c>
      <c r="G49" s="14" t="str">
        <f ca="1">VLOOKUP(F49,Table17[[Native]:[Population4]],5,FALSE)</f>
        <v>潍坊市</v>
      </c>
    </row>
    <row r="50" spans="1:7" ht="15.75" thickBot="1" x14ac:dyDescent="0.3">
      <c r="A50" t="s">
        <v>2765</v>
      </c>
      <c r="B50" s="1" t="s">
        <v>2766</v>
      </c>
      <c r="C50" s="1" t="s">
        <v>13</v>
      </c>
      <c r="D50" s="1" t="s">
        <v>2706</v>
      </c>
      <c r="E50" s="3">
        <v>39054</v>
      </c>
      <c r="F50" s="1" t="str">
        <f>VLOOKUP(D50,Table17[[Name]:[Native]],3,FALSE)</f>
        <v>安丘市</v>
      </c>
      <c r="G50" s="14" t="str">
        <f ca="1">VLOOKUP(F50,Table17[[Native]:[Population4]],5,FALSE)</f>
        <v>潍坊市</v>
      </c>
    </row>
    <row r="51" spans="1:7" ht="15.75" thickBot="1" x14ac:dyDescent="0.3">
      <c r="A51" t="s">
        <v>2767</v>
      </c>
      <c r="B51" s="1" t="s">
        <v>2768</v>
      </c>
      <c r="C51" s="1" t="s">
        <v>13</v>
      </c>
      <c r="D51" s="1" t="s">
        <v>2703</v>
      </c>
      <c r="E51" s="3">
        <v>52144</v>
      </c>
      <c r="F51" s="1" t="str">
        <f>VLOOKUP(D51,Table17[[Name]:[Native]],3,FALSE)</f>
        <v>寿光市</v>
      </c>
      <c r="G51" s="14" t="str">
        <f ca="1">VLOOKUP(F51,Table17[[Native]:[Population4]],5,FALSE)</f>
        <v>潍坊市</v>
      </c>
    </row>
    <row r="52" spans="1:7" ht="15.75" thickBot="1" x14ac:dyDescent="0.3">
      <c r="A52" t="s">
        <v>2230</v>
      </c>
      <c r="B52" s="1" t="s">
        <v>2231</v>
      </c>
      <c r="C52" s="1" t="s">
        <v>7</v>
      </c>
      <c r="D52" s="1" t="s">
        <v>2716</v>
      </c>
      <c r="E52" s="3">
        <v>70327</v>
      </c>
      <c r="F52" s="1" t="str">
        <f>VLOOKUP(D52,Table17[[Name]:[Native]],3,FALSE)</f>
        <v>坊子区</v>
      </c>
      <c r="G52" s="14" t="str">
        <f ca="1">VLOOKUP(F52,Table17[[Native]:[Population4]],5,FALSE)</f>
        <v>潍坊市</v>
      </c>
    </row>
    <row r="53" spans="1:7" ht="15.75" thickBot="1" x14ac:dyDescent="0.3">
      <c r="A53" t="s">
        <v>2769</v>
      </c>
      <c r="B53" s="1" t="s">
        <v>2770</v>
      </c>
      <c r="C53" s="1" t="s">
        <v>13</v>
      </c>
      <c r="D53" s="1" t="s">
        <v>2693</v>
      </c>
      <c r="E53" s="3">
        <v>44420</v>
      </c>
      <c r="F53" s="1" t="str">
        <f>VLOOKUP(D53,Table17[[Name]:[Native]],3,FALSE)</f>
        <v>临朐县</v>
      </c>
      <c r="G53" s="14" t="str">
        <f ca="1">VLOOKUP(F53,Table17[[Native]:[Population4]],5,FALSE)</f>
        <v>潍坊市</v>
      </c>
    </row>
    <row r="54" spans="1:7" ht="15.75" thickBot="1" x14ac:dyDescent="0.3">
      <c r="A54" t="s">
        <v>2771</v>
      </c>
      <c r="B54" s="1" t="s">
        <v>2772</v>
      </c>
      <c r="C54" s="1" t="s">
        <v>7</v>
      </c>
      <c r="D54" s="1" t="s">
        <v>2698</v>
      </c>
      <c r="E54" s="3">
        <v>32457</v>
      </c>
      <c r="F54" s="1" t="str">
        <f>VLOOKUP(D54,Table17[[Name]:[Native]],3,FALSE)</f>
        <v>寒亭区</v>
      </c>
      <c r="G54" s="14" t="str">
        <f ca="1">VLOOKUP(F54,Table17[[Native]:[Population4]],5,FALSE)</f>
        <v>潍坊市</v>
      </c>
    </row>
    <row r="55" spans="1:7" ht="15.75" thickBot="1" x14ac:dyDescent="0.3">
      <c r="A55" t="s">
        <v>2773</v>
      </c>
      <c r="B55" s="1" t="s">
        <v>2774</v>
      </c>
      <c r="C55" s="1" t="s">
        <v>13</v>
      </c>
      <c r="D55" s="1" t="s">
        <v>2671</v>
      </c>
      <c r="E55" s="3">
        <v>75669</v>
      </c>
      <c r="F55" s="1" t="str">
        <f>VLOOKUP(D55,Table17[[Name]:[Native]],3,FALSE)</f>
        <v>高密市</v>
      </c>
      <c r="G55" s="14" t="str">
        <f ca="1">VLOOKUP(F55,Table17[[Native]:[Population4]],5,FALSE)</f>
        <v>潍坊市</v>
      </c>
    </row>
    <row r="56" spans="1:7" ht="15.75" thickBot="1" x14ac:dyDescent="0.3">
      <c r="A56" t="s">
        <v>2775</v>
      </c>
      <c r="B56" s="1" t="s">
        <v>2776</v>
      </c>
      <c r="C56" s="1" t="s">
        <v>7</v>
      </c>
      <c r="D56" s="1" t="s">
        <v>2683</v>
      </c>
      <c r="E56" s="3">
        <v>103591</v>
      </c>
      <c r="F56" s="1" t="str">
        <f>VLOOKUP(D56,Table17[[Name]:[Native]],3,FALSE)</f>
        <v>昌邑市</v>
      </c>
      <c r="G56" s="14" t="str">
        <f ca="1">VLOOKUP(F56,Table17[[Native]:[Population4]],5,FALSE)</f>
        <v>潍坊市</v>
      </c>
    </row>
    <row r="57" spans="1:7" ht="15.75" thickBot="1" x14ac:dyDescent="0.3">
      <c r="A57" t="s">
        <v>2777</v>
      </c>
      <c r="B57" s="1" t="s">
        <v>2778</v>
      </c>
      <c r="C57" s="1" t="s">
        <v>7</v>
      </c>
      <c r="D57" s="1" t="s">
        <v>2706</v>
      </c>
      <c r="E57" s="3">
        <v>99069</v>
      </c>
      <c r="F57" s="1" t="str">
        <f>VLOOKUP(D57,Table17[[Name]:[Native]],3,FALSE)</f>
        <v>安丘市</v>
      </c>
      <c r="G57" s="14" t="str">
        <f ca="1">VLOOKUP(F57,Table17[[Native]:[Population4]],5,FALSE)</f>
        <v>潍坊市</v>
      </c>
    </row>
    <row r="58" spans="1:7" ht="15.75" thickBot="1" x14ac:dyDescent="0.3">
      <c r="A58" t="s">
        <v>2779</v>
      </c>
      <c r="B58" s="1" t="s">
        <v>2780</v>
      </c>
      <c r="C58" s="1" t="s">
        <v>13</v>
      </c>
      <c r="D58" s="1" t="s">
        <v>2674</v>
      </c>
      <c r="E58" s="3">
        <v>88509</v>
      </c>
      <c r="F58" s="1" t="str">
        <f>VLOOKUP(D58,Table17[[Name]:[Native]],3,FALSE)</f>
        <v>诸城市</v>
      </c>
      <c r="G58" s="14" t="str">
        <f ca="1">VLOOKUP(F58,Table17[[Native]:[Population4]],5,FALSE)</f>
        <v>潍坊市</v>
      </c>
    </row>
    <row r="59" spans="1:7" ht="15.75" thickBot="1" x14ac:dyDescent="0.3">
      <c r="A59" t="s">
        <v>2781</v>
      </c>
      <c r="B59" s="1" t="s">
        <v>2782</v>
      </c>
      <c r="C59" s="1" t="s">
        <v>13</v>
      </c>
      <c r="D59" s="1" t="s">
        <v>2693</v>
      </c>
      <c r="E59" s="3">
        <v>33992</v>
      </c>
      <c r="F59" s="1" t="str">
        <f>VLOOKUP(D59,Table17[[Name]:[Native]],3,FALSE)</f>
        <v>临朐县</v>
      </c>
      <c r="G59" s="14" t="str">
        <f ca="1">VLOOKUP(F59,Table17[[Native]:[Population4]],5,FALSE)</f>
        <v>潍坊市</v>
      </c>
    </row>
    <row r="60" spans="1:7" ht="15.75" thickBot="1" x14ac:dyDescent="0.3">
      <c r="A60" t="s">
        <v>2783</v>
      </c>
      <c r="B60" s="1" t="s">
        <v>2784</v>
      </c>
      <c r="C60" s="1" t="s">
        <v>13</v>
      </c>
      <c r="D60" s="1" t="s">
        <v>2683</v>
      </c>
      <c r="E60" s="3">
        <v>48469</v>
      </c>
      <c r="F60" s="1" t="str">
        <f>VLOOKUP(D60,Table17[[Name]:[Native]],3,FALSE)</f>
        <v>昌邑市</v>
      </c>
      <c r="G60" s="14" t="str">
        <f ca="1">VLOOKUP(F60,Table17[[Native]:[Population4]],5,FALSE)</f>
        <v>潍坊市</v>
      </c>
    </row>
    <row r="61" spans="1:7" ht="15.75" thickBot="1" x14ac:dyDescent="0.3">
      <c r="A61" t="s">
        <v>2785</v>
      </c>
      <c r="B61" s="1" t="s">
        <v>2786</v>
      </c>
      <c r="C61" s="1" t="s">
        <v>7</v>
      </c>
      <c r="D61" s="1" t="s">
        <v>2686</v>
      </c>
      <c r="E61" s="3">
        <v>50651</v>
      </c>
      <c r="F61" s="1" t="str">
        <f>VLOOKUP(D61,Table17[[Name]:[Native]],3,FALSE)</f>
        <v>奎文区</v>
      </c>
      <c r="G61" s="14" t="str">
        <f ca="1">VLOOKUP(F61,Table17[[Native]:[Population4]],5,FALSE)</f>
        <v>潍坊市</v>
      </c>
    </row>
    <row r="62" spans="1:7" ht="15.75" thickBot="1" x14ac:dyDescent="0.3">
      <c r="A62" t="s">
        <v>2787</v>
      </c>
      <c r="B62" s="1" t="s">
        <v>2788</v>
      </c>
      <c r="C62" s="1" t="s">
        <v>13</v>
      </c>
      <c r="D62" s="1" t="s">
        <v>2683</v>
      </c>
      <c r="E62" s="3">
        <v>25923</v>
      </c>
      <c r="F62" s="1" t="str">
        <f>VLOOKUP(D62,Table17[[Name]:[Native]],3,FALSE)</f>
        <v>昌邑市</v>
      </c>
      <c r="G62" s="14" t="str">
        <f ca="1">VLOOKUP(F62,Table17[[Native]:[Population4]],5,FALSE)</f>
        <v>潍坊市</v>
      </c>
    </row>
    <row r="63" spans="1:7" ht="15.75" thickBot="1" x14ac:dyDescent="0.3">
      <c r="A63" t="s">
        <v>2789</v>
      </c>
      <c r="B63" s="1" t="s">
        <v>2790</v>
      </c>
      <c r="C63" s="1" t="s">
        <v>7</v>
      </c>
      <c r="D63" s="1" t="s">
        <v>2674</v>
      </c>
      <c r="E63" s="3">
        <v>150143</v>
      </c>
      <c r="F63" s="1" t="str">
        <f>VLOOKUP(D63,Table17[[Name]:[Native]],3,FALSE)</f>
        <v>诸城市</v>
      </c>
      <c r="G63" s="14" t="str">
        <f ca="1">VLOOKUP(F63,Table17[[Native]:[Population4]],5,FALSE)</f>
        <v>潍坊市</v>
      </c>
    </row>
    <row r="64" spans="1:7" ht="15.75" thickBot="1" x14ac:dyDescent="0.3">
      <c r="A64" t="s">
        <v>2791</v>
      </c>
      <c r="B64" s="1" t="s">
        <v>2792</v>
      </c>
      <c r="C64" s="1" t="s">
        <v>7</v>
      </c>
      <c r="D64" s="1" t="s">
        <v>2703</v>
      </c>
      <c r="E64" s="3">
        <v>106656</v>
      </c>
      <c r="F64" s="1" t="str">
        <f>VLOOKUP(D64,Table17[[Name]:[Native]],3,FALSE)</f>
        <v>寿光市</v>
      </c>
      <c r="G64" s="14" t="str">
        <f ca="1">VLOOKUP(F64,Table17[[Native]:[Population4]],5,FALSE)</f>
        <v>潍坊市</v>
      </c>
    </row>
    <row r="65" spans="1:7" ht="15.75" thickBot="1" x14ac:dyDescent="0.3">
      <c r="A65" t="s">
        <v>2793</v>
      </c>
      <c r="B65" s="1" t="s">
        <v>2794</v>
      </c>
      <c r="C65" s="1" t="s">
        <v>13</v>
      </c>
      <c r="D65" s="1" t="s">
        <v>2711</v>
      </c>
      <c r="E65" s="3">
        <v>38147</v>
      </c>
      <c r="F65" s="1" t="str">
        <f>VLOOKUP(D65,Table17[[Name]:[Native]],3,FALSE)</f>
        <v>青州市</v>
      </c>
      <c r="G65" s="14" t="str">
        <f ca="1">VLOOKUP(F65,Table17[[Native]:[Population4]],5,FALSE)</f>
        <v>潍坊市</v>
      </c>
    </row>
    <row r="66" spans="1:7" ht="15.75" thickBot="1" x14ac:dyDescent="0.3">
      <c r="A66" t="s">
        <v>2795</v>
      </c>
      <c r="B66" s="1" t="s">
        <v>2796</v>
      </c>
      <c r="C66" s="1" t="s">
        <v>13</v>
      </c>
      <c r="D66" s="1" t="s">
        <v>2711</v>
      </c>
      <c r="E66" s="3">
        <v>49545</v>
      </c>
      <c r="F66" s="1" t="str">
        <f>VLOOKUP(D66,Table17[[Name]:[Native]],3,FALSE)</f>
        <v>青州市</v>
      </c>
      <c r="G66" s="14" t="str">
        <f ca="1">VLOOKUP(F66,Table17[[Native]:[Population4]],5,FALSE)</f>
        <v>潍坊市</v>
      </c>
    </row>
    <row r="67" spans="1:7" ht="15.75" thickBot="1" x14ac:dyDescent="0.3">
      <c r="A67" t="s">
        <v>2797</v>
      </c>
      <c r="B67" s="1" t="s">
        <v>2798</v>
      </c>
      <c r="C67" s="1" t="s">
        <v>7</v>
      </c>
      <c r="D67" s="1" t="s">
        <v>2674</v>
      </c>
      <c r="E67" s="3">
        <v>214252</v>
      </c>
      <c r="F67" s="1" t="str">
        <f>VLOOKUP(D67,Table17[[Name]:[Native]],3,FALSE)</f>
        <v>诸城市</v>
      </c>
      <c r="G67" s="14" t="str">
        <f ca="1">VLOOKUP(F67,Table17[[Native]:[Population4]],5,FALSE)</f>
        <v>潍坊市</v>
      </c>
    </row>
    <row r="68" spans="1:7" ht="15.75" thickBot="1" x14ac:dyDescent="0.3">
      <c r="A68" t="s">
        <v>2799</v>
      </c>
      <c r="B68" s="1" t="s">
        <v>2800</v>
      </c>
      <c r="C68" s="1" t="s">
        <v>7</v>
      </c>
      <c r="D68" s="1" t="s">
        <v>2680</v>
      </c>
      <c r="E68" s="3">
        <v>55883</v>
      </c>
      <c r="F68" s="1" t="str">
        <f>VLOOKUP(D68,Table17[[Name]:[Native]],3,FALSE)</f>
        <v>潍城区</v>
      </c>
      <c r="G68" s="14" t="str">
        <f ca="1">VLOOKUP(F68,Table17[[Native]:[Population4]],5,FALSE)</f>
        <v>潍坊市</v>
      </c>
    </row>
    <row r="69" spans="1:7" ht="15.75" thickBot="1" x14ac:dyDescent="0.3">
      <c r="A69" t="s">
        <v>2801</v>
      </c>
      <c r="B69" s="1" t="s">
        <v>2802</v>
      </c>
      <c r="C69" s="1" t="s">
        <v>7</v>
      </c>
      <c r="D69" s="1" t="s">
        <v>2686</v>
      </c>
      <c r="E69" s="3">
        <v>34254</v>
      </c>
      <c r="F69" s="1" t="str">
        <f>VLOOKUP(D69,Table17[[Name]:[Native]],3,FALSE)</f>
        <v>奎文区</v>
      </c>
      <c r="G69" s="14" t="str">
        <f ca="1">VLOOKUP(F69,Table17[[Native]:[Population4]],5,FALSE)</f>
        <v>潍坊市</v>
      </c>
    </row>
    <row r="70" spans="1:7" ht="15.75" thickBot="1" x14ac:dyDescent="0.3">
      <c r="A70" t="s">
        <v>2803</v>
      </c>
      <c r="B70" s="1" t="s">
        <v>2804</v>
      </c>
      <c r="C70" s="1" t="s">
        <v>13</v>
      </c>
      <c r="D70" s="1" t="s">
        <v>2677</v>
      </c>
      <c r="E70" s="3">
        <v>82467</v>
      </c>
      <c r="F70" s="1" t="str">
        <f>VLOOKUP(D70,Table17[[Name]:[Native]],3,FALSE)</f>
        <v>昌乐县</v>
      </c>
      <c r="G70" s="14" t="str">
        <f ca="1">VLOOKUP(F70,Table17[[Native]:[Population4]],5,FALSE)</f>
        <v>潍坊市</v>
      </c>
    </row>
    <row r="71" spans="1:7" ht="15.75" thickBot="1" x14ac:dyDescent="0.3">
      <c r="A71" t="s">
        <v>2805</v>
      </c>
      <c r="B71" s="1" t="s">
        <v>2806</v>
      </c>
      <c r="C71" s="1" t="s">
        <v>7</v>
      </c>
      <c r="D71" s="1" t="s">
        <v>2686</v>
      </c>
      <c r="E71" s="3">
        <v>61993</v>
      </c>
      <c r="F71" s="1" t="str">
        <f>VLOOKUP(D71,Table17[[Name]:[Native]],3,FALSE)</f>
        <v>奎文区</v>
      </c>
      <c r="G71" s="14" t="str">
        <f ca="1">VLOOKUP(F71,Table17[[Native]:[Population4]],5,FALSE)</f>
        <v>潍坊市</v>
      </c>
    </row>
    <row r="72" spans="1:7" ht="15.75" thickBot="1" x14ac:dyDescent="0.3">
      <c r="A72" t="s">
        <v>2807</v>
      </c>
      <c r="B72" s="1" t="s">
        <v>2808</v>
      </c>
      <c r="C72" s="1" t="s">
        <v>13</v>
      </c>
      <c r="D72" s="1" t="s">
        <v>2703</v>
      </c>
      <c r="E72" s="3">
        <v>65770</v>
      </c>
      <c r="F72" s="1" t="str">
        <f>VLOOKUP(D72,Table17[[Name]:[Native]],3,FALSE)</f>
        <v>寿光市</v>
      </c>
      <c r="G72" s="14" t="str">
        <f ca="1">VLOOKUP(F72,Table17[[Native]:[Population4]],5,FALSE)</f>
        <v>潍坊市</v>
      </c>
    </row>
    <row r="73" spans="1:7" ht="15.75" thickBot="1" x14ac:dyDescent="0.3">
      <c r="A73" t="s">
        <v>2809</v>
      </c>
      <c r="B73" s="1" t="s">
        <v>2810</v>
      </c>
      <c r="C73" s="1" t="s">
        <v>13</v>
      </c>
      <c r="D73" s="1" t="s">
        <v>2693</v>
      </c>
      <c r="E73" s="3">
        <v>63195</v>
      </c>
      <c r="F73" s="1" t="str">
        <f>VLOOKUP(D73,Table17[[Name]:[Native]],3,FALSE)</f>
        <v>临朐县</v>
      </c>
      <c r="G73" s="14" t="str">
        <f ca="1">VLOOKUP(F73,Table17[[Native]:[Population4]],5,FALSE)</f>
        <v>潍坊市</v>
      </c>
    </row>
    <row r="74" spans="1:7" ht="15.75" thickBot="1" x14ac:dyDescent="0.3">
      <c r="A74" t="s">
        <v>2811</v>
      </c>
      <c r="B74" s="1" t="s">
        <v>2812</v>
      </c>
      <c r="C74" s="1" t="s">
        <v>13</v>
      </c>
      <c r="D74" s="1" t="s">
        <v>2711</v>
      </c>
      <c r="E74" s="3">
        <v>66728</v>
      </c>
      <c r="F74" s="1" t="str">
        <f>VLOOKUP(D74,Table17[[Name]:[Native]],3,FALSE)</f>
        <v>青州市</v>
      </c>
      <c r="G74" s="14" t="str">
        <f ca="1">VLOOKUP(F74,Table17[[Native]:[Population4]],5,FALSE)</f>
        <v>潍坊市</v>
      </c>
    </row>
    <row r="75" spans="1:7" ht="15.75" thickBot="1" x14ac:dyDescent="0.3">
      <c r="A75" t="s">
        <v>2813</v>
      </c>
      <c r="B75" s="1" t="s">
        <v>2814</v>
      </c>
      <c r="C75" s="1" t="s">
        <v>7</v>
      </c>
      <c r="D75" s="1" t="s">
        <v>2703</v>
      </c>
      <c r="E75" s="3">
        <v>251384</v>
      </c>
      <c r="F75" s="1" t="str">
        <f>VLOOKUP(D75,Table17[[Name]:[Native]],3,FALSE)</f>
        <v>寿光市</v>
      </c>
      <c r="G75" s="14" t="str">
        <f ca="1">VLOOKUP(F75,Table17[[Native]:[Population4]],5,FALSE)</f>
        <v>潍坊市</v>
      </c>
    </row>
    <row r="76" spans="1:7" ht="15.75" thickBot="1" x14ac:dyDescent="0.3">
      <c r="A76" t="s">
        <v>2815</v>
      </c>
      <c r="B76" s="1" t="s">
        <v>2816</v>
      </c>
      <c r="C76" s="1" t="s">
        <v>13</v>
      </c>
      <c r="D76" s="1" t="s">
        <v>2706</v>
      </c>
      <c r="E76" s="3">
        <v>58333</v>
      </c>
      <c r="F76" s="1" t="str">
        <f>VLOOKUP(D76,Table17[[Name]:[Native]],3,FALSE)</f>
        <v>安丘市</v>
      </c>
      <c r="G76" s="14" t="str">
        <f ca="1">VLOOKUP(F76,Table17[[Native]:[Population4]],5,FALSE)</f>
        <v>潍坊市</v>
      </c>
    </row>
    <row r="77" spans="1:7" ht="15.75" thickBot="1" x14ac:dyDescent="0.3">
      <c r="A77" t="s">
        <v>2817</v>
      </c>
      <c r="B77" s="1" t="s">
        <v>2818</v>
      </c>
      <c r="C77" s="1" t="s">
        <v>13</v>
      </c>
      <c r="D77" s="1" t="s">
        <v>2706</v>
      </c>
      <c r="E77" s="3">
        <v>35367</v>
      </c>
      <c r="F77" s="1" t="str">
        <f>VLOOKUP(D77,Table17[[Name]:[Native]],3,FALSE)</f>
        <v>安丘市</v>
      </c>
      <c r="G77" s="14" t="str">
        <f ca="1">VLOOKUP(F77,Table17[[Native]:[Population4]],5,FALSE)</f>
        <v>潍坊市</v>
      </c>
    </row>
    <row r="78" spans="1:7" ht="15.75" thickBot="1" x14ac:dyDescent="0.3">
      <c r="A78" t="s">
        <v>2819</v>
      </c>
      <c r="B78" s="1" t="s">
        <v>2820</v>
      </c>
      <c r="C78" s="1" t="s">
        <v>13</v>
      </c>
      <c r="D78" s="1" t="s">
        <v>2674</v>
      </c>
      <c r="E78" s="3">
        <v>58538</v>
      </c>
      <c r="F78" s="1" t="str">
        <f>VLOOKUP(D78,Table17[[Name]:[Native]],3,FALSE)</f>
        <v>诸城市</v>
      </c>
      <c r="G78" s="14" t="str">
        <f ca="1">VLOOKUP(F78,Table17[[Native]:[Population4]],5,FALSE)</f>
        <v>潍坊市</v>
      </c>
    </row>
    <row r="79" spans="1:7" ht="15.75" thickBot="1" x14ac:dyDescent="0.3">
      <c r="A79" t="s">
        <v>2821</v>
      </c>
      <c r="B79" s="1" t="s">
        <v>2822</v>
      </c>
      <c r="C79" s="1" t="s">
        <v>7</v>
      </c>
      <c r="D79" s="1" t="s">
        <v>2674</v>
      </c>
      <c r="E79" s="3">
        <v>134890</v>
      </c>
      <c r="F79" s="1" t="str">
        <f>VLOOKUP(D79,Table17[[Name]:[Native]],3,FALSE)</f>
        <v>诸城市</v>
      </c>
      <c r="G79" s="14" t="str">
        <f ca="1">VLOOKUP(F79,Table17[[Native]:[Population4]],5,FALSE)</f>
        <v>潍坊市</v>
      </c>
    </row>
    <row r="80" spans="1:7" ht="15.75" thickBot="1" x14ac:dyDescent="0.3">
      <c r="A80" t="s">
        <v>2823</v>
      </c>
      <c r="B80" s="1" t="s">
        <v>2824</v>
      </c>
      <c r="C80" s="1" t="s">
        <v>13</v>
      </c>
      <c r="D80" s="1" t="s">
        <v>2693</v>
      </c>
      <c r="E80" s="3">
        <v>56289</v>
      </c>
      <c r="F80" s="1" t="str">
        <f>VLOOKUP(D80,Table17[[Name]:[Native]],3,FALSE)</f>
        <v>临朐县</v>
      </c>
      <c r="G80" s="14" t="str">
        <f ca="1">VLOOKUP(F80,Table17[[Native]:[Population4]],5,FALSE)</f>
        <v>潍坊市</v>
      </c>
    </row>
    <row r="81" spans="1:7" ht="15.75" thickBot="1" x14ac:dyDescent="0.3">
      <c r="A81" t="s">
        <v>2825</v>
      </c>
      <c r="B81" s="1" t="s">
        <v>2826</v>
      </c>
      <c r="C81" s="1" t="s">
        <v>7</v>
      </c>
      <c r="D81" s="1" t="s">
        <v>2703</v>
      </c>
      <c r="E81" s="3">
        <v>57268</v>
      </c>
      <c r="F81" s="1" t="str">
        <f>VLOOKUP(D81,Table17[[Name]:[Native]],3,FALSE)</f>
        <v>寿光市</v>
      </c>
      <c r="G81" s="14" t="str">
        <f ca="1">VLOOKUP(F81,Table17[[Native]:[Population4]],5,FALSE)</f>
        <v>潍坊市</v>
      </c>
    </row>
    <row r="82" spans="1:7" ht="15.75" thickBot="1" x14ac:dyDescent="0.3">
      <c r="A82" t="s">
        <v>2827</v>
      </c>
      <c r="B82" s="1" t="s">
        <v>2828</v>
      </c>
      <c r="C82" s="1" t="s">
        <v>7</v>
      </c>
      <c r="D82" s="1" t="s">
        <v>2716</v>
      </c>
      <c r="E82" s="3">
        <v>131531</v>
      </c>
      <c r="F82" s="1" t="str">
        <f>VLOOKUP(D82,Table17[[Name]:[Native]],3,FALSE)</f>
        <v>坊子区</v>
      </c>
      <c r="G82" s="14" t="str">
        <f ca="1">VLOOKUP(F82,Table17[[Native]:[Population4]],5,FALSE)</f>
        <v>潍坊市</v>
      </c>
    </row>
    <row r="83" spans="1:7" ht="15.75" thickBot="1" x14ac:dyDescent="0.3">
      <c r="A83" t="s">
        <v>2829</v>
      </c>
      <c r="B83" s="1" t="s">
        <v>2830</v>
      </c>
      <c r="C83" s="1" t="s">
        <v>13</v>
      </c>
      <c r="D83" s="1" t="s">
        <v>2703</v>
      </c>
      <c r="E83" s="3">
        <v>60354</v>
      </c>
      <c r="F83" s="1" t="str">
        <f>VLOOKUP(D83,Table17[[Name]:[Native]],3,FALSE)</f>
        <v>寿光市</v>
      </c>
      <c r="G83" s="14" t="str">
        <f ca="1">VLOOKUP(F83,Table17[[Native]:[Population4]],5,FALSE)</f>
        <v>潍坊市</v>
      </c>
    </row>
    <row r="84" spans="1:7" ht="15.75" thickBot="1" x14ac:dyDescent="0.3">
      <c r="A84" t="s">
        <v>2831</v>
      </c>
      <c r="B84" s="1" t="s">
        <v>2832</v>
      </c>
      <c r="C84" s="1" t="s">
        <v>13</v>
      </c>
      <c r="D84" s="1" t="s">
        <v>2711</v>
      </c>
      <c r="E84" s="3">
        <v>91460</v>
      </c>
      <c r="F84" s="1" t="str">
        <f>VLOOKUP(D84,Table17[[Name]:[Native]],3,FALSE)</f>
        <v>青州市</v>
      </c>
      <c r="G84" s="14" t="str">
        <f ca="1">VLOOKUP(F84,Table17[[Native]:[Population4]],5,FALSE)</f>
        <v>潍坊市</v>
      </c>
    </row>
    <row r="85" spans="1:7" ht="15.75" thickBot="1" x14ac:dyDescent="0.3">
      <c r="A85" t="s">
        <v>2833</v>
      </c>
      <c r="B85" s="1" t="s">
        <v>2834</v>
      </c>
      <c r="C85" s="1" t="s">
        <v>13</v>
      </c>
      <c r="D85" s="1" t="s">
        <v>2677</v>
      </c>
      <c r="E85" s="3">
        <v>93260</v>
      </c>
      <c r="F85" s="1" t="str">
        <f>VLOOKUP(D85,Table17[[Name]:[Native]],3,FALSE)</f>
        <v>昌乐县</v>
      </c>
      <c r="G85" s="14" t="str">
        <f ca="1">VLOOKUP(F85,Table17[[Native]:[Population4]],5,FALSE)</f>
        <v>潍坊市</v>
      </c>
    </row>
    <row r="86" spans="1:7" ht="15.75" thickBot="1" x14ac:dyDescent="0.3">
      <c r="A86" t="s">
        <v>2835</v>
      </c>
      <c r="B86" s="1" t="s">
        <v>2836</v>
      </c>
      <c r="C86" s="1" t="s">
        <v>13</v>
      </c>
      <c r="D86" s="1" t="s">
        <v>2674</v>
      </c>
      <c r="E86" s="3">
        <v>31795</v>
      </c>
      <c r="F86" s="1" t="str">
        <f>VLOOKUP(D86,Table17[[Name]:[Native]],3,FALSE)</f>
        <v>诸城市</v>
      </c>
      <c r="G86" s="14" t="str">
        <f ca="1">VLOOKUP(F86,Table17[[Native]:[Population4]],5,FALSE)</f>
        <v>潍坊市</v>
      </c>
    </row>
    <row r="87" spans="1:7" ht="15.75" thickBot="1" x14ac:dyDescent="0.3">
      <c r="A87" t="s">
        <v>2837</v>
      </c>
      <c r="B87" s="1" t="s">
        <v>2838</v>
      </c>
      <c r="C87" s="1" t="s">
        <v>13</v>
      </c>
      <c r="D87" s="1" t="s">
        <v>2703</v>
      </c>
      <c r="E87" s="3">
        <v>67165</v>
      </c>
      <c r="F87" s="1" t="str">
        <f>VLOOKUP(D87,Table17[[Name]:[Native]],3,FALSE)</f>
        <v>寿光市</v>
      </c>
      <c r="G87" s="14" t="str">
        <f ca="1">VLOOKUP(F87,Table17[[Native]:[Population4]],5,FALSE)</f>
        <v>潍坊市</v>
      </c>
    </row>
    <row r="88" spans="1:7" ht="15.75" thickBot="1" x14ac:dyDescent="0.3">
      <c r="A88" t="s">
        <v>2839</v>
      </c>
      <c r="B88" s="1" t="s">
        <v>2840</v>
      </c>
      <c r="C88" s="1" t="s">
        <v>13</v>
      </c>
      <c r="D88" s="1" t="s">
        <v>2711</v>
      </c>
      <c r="E88" s="3">
        <v>48052</v>
      </c>
      <c r="F88" s="1" t="str">
        <f>VLOOKUP(D88,Table17[[Name]:[Native]],3,FALSE)</f>
        <v>青州市</v>
      </c>
      <c r="G88" s="14" t="str">
        <f ca="1">VLOOKUP(F88,Table17[[Native]:[Population4]],5,FALSE)</f>
        <v>潍坊市</v>
      </c>
    </row>
    <row r="89" spans="1:7" ht="15.75" thickBot="1" x14ac:dyDescent="0.3">
      <c r="A89" t="s">
        <v>2841</v>
      </c>
      <c r="B89" s="1" t="s">
        <v>2842</v>
      </c>
      <c r="C89" s="1" t="s">
        <v>7</v>
      </c>
      <c r="D89" s="1" t="s">
        <v>2711</v>
      </c>
      <c r="E89" s="3">
        <v>133240</v>
      </c>
      <c r="F89" s="1" t="str">
        <f>VLOOKUP(D89,Table17[[Name]:[Native]],3,FALSE)</f>
        <v>青州市</v>
      </c>
      <c r="G89" s="14" t="str">
        <f ca="1">VLOOKUP(F89,Table17[[Native]:[Population4]],5,FALSE)</f>
        <v>潍坊市</v>
      </c>
    </row>
    <row r="90" spans="1:7" ht="15.75" thickBot="1" x14ac:dyDescent="0.3">
      <c r="A90" t="s">
        <v>2843</v>
      </c>
      <c r="B90" s="1" t="s">
        <v>2844</v>
      </c>
      <c r="C90" s="1" t="s">
        <v>7</v>
      </c>
      <c r="D90" s="1" t="s">
        <v>2716</v>
      </c>
      <c r="E90" s="3">
        <v>67664</v>
      </c>
      <c r="F90" s="1" t="str">
        <f>VLOOKUP(D90,Table17[[Name]:[Native]],3,FALSE)</f>
        <v>坊子区</v>
      </c>
      <c r="G90" s="14" t="str">
        <f ca="1">VLOOKUP(F90,Table17[[Native]:[Population4]],5,FALSE)</f>
        <v>潍坊市</v>
      </c>
    </row>
    <row r="91" spans="1:7" ht="15.75" thickBot="1" x14ac:dyDescent="0.3">
      <c r="A91" t="s">
        <v>2845</v>
      </c>
      <c r="B91" s="1" t="s">
        <v>2846</v>
      </c>
      <c r="C91" s="1" t="s">
        <v>7</v>
      </c>
      <c r="D91" s="1" t="s">
        <v>2680</v>
      </c>
      <c r="E91" s="3">
        <v>94437</v>
      </c>
      <c r="F91" s="1" t="str">
        <f>VLOOKUP(D91,Table17[[Name]:[Native]],3,FALSE)</f>
        <v>潍城区</v>
      </c>
      <c r="G91" s="14" t="str">
        <f ca="1">VLOOKUP(F91,Table17[[Native]:[Population4]],5,FALSE)</f>
        <v>潍坊市</v>
      </c>
    </row>
    <row r="92" spans="1:7" ht="15.75" thickBot="1" x14ac:dyDescent="0.3">
      <c r="A92" t="s">
        <v>2847</v>
      </c>
      <c r="B92" s="1" t="s">
        <v>2848</v>
      </c>
      <c r="C92" s="1" t="s">
        <v>7</v>
      </c>
      <c r="D92" s="1" t="s">
        <v>2686</v>
      </c>
      <c r="E92" s="3">
        <v>68910</v>
      </c>
      <c r="F92" s="1" t="str">
        <f>VLOOKUP(D92,Table17[[Name]:[Native]],3,FALSE)</f>
        <v>奎文区</v>
      </c>
      <c r="G92" s="14" t="str">
        <f ca="1">VLOOKUP(F92,Table17[[Native]:[Population4]],5,FALSE)</f>
        <v>潍坊市</v>
      </c>
    </row>
    <row r="93" spans="1:7" ht="15.75" thickBot="1" x14ac:dyDescent="0.3">
      <c r="A93" t="s">
        <v>2849</v>
      </c>
      <c r="B93" s="1" t="s">
        <v>2850</v>
      </c>
      <c r="C93" s="1" t="s">
        <v>7</v>
      </c>
      <c r="D93" s="1" t="s">
        <v>2683</v>
      </c>
      <c r="E93" s="3">
        <v>98572</v>
      </c>
      <c r="F93" s="1" t="str">
        <f>VLOOKUP(D93,Table17[[Name]:[Native]],3,FALSE)</f>
        <v>昌邑市</v>
      </c>
      <c r="G93" s="14" t="str">
        <f ca="1">VLOOKUP(F93,Table17[[Native]:[Population4]],5,FALSE)</f>
        <v>潍坊市</v>
      </c>
    </row>
    <row r="94" spans="1:7" ht="15.75" thickBot="1" x14ac:dyDescent="0.3">
      <c r="A94" t="s">
        <v>2851</v>
      </c>
      <c r="B94" s="1" t="s">
        <v>2852</v>
      </c>
      <c r="C94" s="1" t="s">
        <v>7</v>
      </c>
      <c r="D94" s="1" t="s">
        <v>2703</v>
      </c>
      <c r="E94" s="3">
        <v>58312</v>
      </c>
      <c r="F94" s="1" t="str">
        <f>VLOOKUP(D94,Table17[[Name]:[Native]],3,FALSE)</f>
        <v>寿光市</v>
      </c>
      <c r="G94" s="14" t="str">
        <f ca="1">VLOOKUP(F94,Table17[[Native]:[Population4]],5,FALSE)</f>
        <v>潍坊市</v>
      </c>
    </row>
    <row r="95" spans="1:7" ht="15.75" thickBot="1" x14ac:dyDescent="0.3">
      <c r="A95" t="s">
        <v>2853</v>
      </c>
      <c r="B95" s="1" t="s">
        <v>2854</v>
      </c>
      <c r="C95" s="1" t="s">
        <v>13</v>
      </c>
      <c r="D95" s="1" t="s">
        <v>2693</v>
      </c>
      <c r="E95" s="3">
        <v>60260</v>
      </c>
      <c r="F95" s="1" t="str">
        <f>VLOOKUP(D95,Table17[[Name]:[Native]],3,FALSE)</f>
        <v>临朐县</v>
      </c>
      <c r="G95" s="14" t="str">
        <f ca="1">VLOOKUP(F95,Table17[[Native]:[Population4]],5,FALSE)</f>
        <v>潍坊市</v>
      </c>
    </row>
    <row r="96" spans="1:7" ht="15.75" thickBot="1" x14ac:dyDescent="0.3">
      <c r="A96" t="s">
        <v>2855</v>
      </c>
      <c r="B96" s="1" t="s">
        <v>2856</v>
      </c>
      <c r="C96" s="1" t="s">
        <v>13</v>
      </c>
      <c r="D96" s="1" t="s">
        <v>2706</v>
      </c>
      <c r="E96" s="3">
        <v>33881</v>
      </c>
      <c r="F96" s="1" t="str">
        <f>VLOOKUP(D96,Table17[[Name]:[Native]],3,FALSE)</f>
        <v>安丘市</v>
      </c>
      <c r="G96" s="14" t="str">
        <f ca="1">VLOOKUP(F96,Table17[[Native]:[Population4]],5,FALSE)</f>
        <v>潍坊市</v>
      </c>
    </row>
    <row r="97" spans="1:7" ht="15.75" thickBot="1" x14ac:dyDescent="0.3">
      <c r="A97" t="s">
        <v>2857</v>
      </c>
      <c r="B97" s="1" t="s">
        <v>2858</v>
      </c>
      <c r="C97" s="1" t="s">
        <v>7</v>
      </c>
      <c r="D97" s="1" t="s">
        <v>2677</v>
      </c>
      <c r="E97" s="3">
        <v>29291</v>
      </c>
      <c r="F97" s="1" t="str">
        <f>VLOOKUP(D97,Table17[[Name]:[Native]],3,FALSE)</f>
        <v>昌乐县</v>
      </c>
      <c r="G97" s="14" t="str">
        <f ca="1">VLOOKUP(F97,Table17[[Native]:[Population4]],5,FALSE)</f>
        <v>潍坊市</v>
      </c>
    </row>
    <row r="98" spans="1:7" ht="15.75" thickBot="1" x14ac:dyDescent="0.3">
      <c r="A98" t="s">
        <v>2859</v>
      </c>
      <c r="B98" s="1" t="s">
        <v>2860</v>
      </c>
      <c r="C98" s="1" t="s">
        <v>13</v>
      </c>
      <c r="D98" s="1" t="s">
        <v>2674</v>
      </c>
      <c r="E98" s="3">
        <v>61748</v>
      </c>
      <c r="F98" s="1" t="str">
        <f>VLOOKUP(D98,Table17[[Name]:[Native]],3,FALSE)</f>
        <v>诸城市</v>
      </c>
      <c r="G98" s="14" t="str">
        <f ca="1">VLOOKUP(F98,Table17[[Native]:[Population4]],5,FALSE)</f>
        <v>潍坊市</v>
      </c>
    </row>
    <row r="99" spans="1:7" ht="15.75" thickBot="1" x14ac:dyDescent="0.3">
      <c r="A99" t="s">
        <v>2861</v>
      </c>
      <c r="B99" s="1" t="s">
        <v>2862</v>
      </c>
      <c r="C99" s="1" t="s">
        <v>13</v>
      </c>
      <c r="D99" s="1" t="s">
        <v>2683</v>
      </c>
      <c r="E99" s="3">
        <v>23395</v>
      </c>
      <c r="F99" s="1" t="str">
        <f>VLOOKUP(D99,Table17[[Name]:[Native]],3,FALSE)</f>
        <v>昌邑市</v>
      </c>
      <c r="G99" s="14" t="str">
        <f ca="1">VLOOKUP(F99,Table17[[Native]:[Population4]],5,FALSE)</f>
        <v>潍坊市</v>
      </c>
    </row>
    <row r="100" spans="1:7" ht="15.75" thickBot="1" x14ac:dyDescent="0.3">
      <c r="A100" t="s">
        <v>2480</v>
      </c>
      <c r="B100" s="1" t="s">
        <v>2481</v>
      </c>
      <c r="C100" s="1" t="s">
        <v>13</v>
      </c>
      <c r="D100" s="1" t="s">
        <v>2671</v>
      </c>
      <c r="E100" s="3">
        <v>88710</v>
      </c>
      <c r="F100" s="1" t="str">
        <f>VLOOKUP(D100,Table17[[Name]:[Native]],3,FALSE)</f>
        <v>高密市</v>
      </c>
      <c r="G100" s="14" t="str">
        <f ca="1">VLOOKUP(F100,Table17[[Native]:[Population4]],5,FALSE)</f>
        <v>潍坊市</v>
      </c>
    </row>
    <row r="101" spans="1:7" ht="15.75" thickBot="1" x14ac:dyDescent="0.3">
      <c r="A101" t="s">
        <v>2863</v>
      </c>
      <c r="B101" s="1" t="s">
        <v>2864</v>
      </c>
      <c r="C101" s="1" t="s">
        <v>7</v>
      </c>
      <c r="D101" s="1" t="s">
        <v>2680</v>
      </c>
      <c r="E101" s="3">
        <v>71199</v>
      </c>
      <c r="F101" s="1" t="str">
        <f>VLOOKUP(D101,Table17[[Name]:[Native]],3,FALSE)</f>
        <v>潍城区</v>
      </c>
      <c r="G101" s="14" t="str">
        <f ca="1">VLOOKUP(F101,Table17[[Native]:[Population4]],5,FALSE)</f>
        <v>潍坊市</v>
      </c>
    </row>
    <row r="102" spans="1:7" ht="15.75" thickBot="1" x14ac:dyDescent="0.3">
      <c r="A102" t="s">
        <v>2335</v>
      </c>
      <c r="B102" s="1" t="s">
        <v>2865</v>
      </c>
      <c r="C102" s="1" t="s">
        <v>7</v>
      </c>
      <c r="D102" s="1" t="s">
        <v>2706</v>
      </c>
      <c r="E102" s="3">
        <v>139524</v>
      </c>
      <c r="F102" s="1" t="str">
        <f>VLOOKUP(D102,Table17[[Name]:[Native]],3,FALSE)</f>
        <v>安丘市</v>
      </c>
      <c r="G102" s="14" t="str">
        <f ca="1">VLOOKUP(F102,Table17[[Native]:[Population4]],5,FALSE)</f>
        <v>潍坊市</v>
      </c>
    </row>
    <row r="103" spans="1:7" ht="15.75" thickBot="1" x14ac:dyDescent="0.3">
      <c r="A103" t="s">
        <v>1728</v>
      </c>
      <c r="B103" s="1" t="s">
        <v>1729</v>
      </c>
      <c r="C103" s="1" t="s">
        <v>7</v>
      </c>
      <c r="D103" s="1" t="s">
        <v>2686</v>
      </c>
      <c r="E103" s="3">
        <v>178546</v>
      </c>
      <c r="F103" s="1" t="str">
        <f>VLOOKUP(D103,Table17[[Name]:[Native]],3,FALSE)</f>
        <v>奎文区</v>
      </c>
      <c r="G103" s="14" t="str">
        <f ca="1">VLOOKUP(F103,Table17[[Native]:[Population4]],5,FALSE)</f>
        <v>潍坊市</v>
      </c>
    </row>
    <row r="104" spans="1:7" ht="15.75" thickBot="1" x14ac:dyDescent="0.3">
      <c r="A104" t="s">
        <v>2866</v>
      </c>
      <c r="B104" s="1" t="s">
        <v>2867</v>
      </c>
      <c r="C104" s="1" t="s">
        <v>7</v>
      </c>
      <c r="D104" s="1" t="s">
        <v>2706</v>
      </c>
      <c r="E104" s="3">
        <v>224684</v>
      </c>
      <c r="F104" s="1" t="str">
        <f>VLOOKUP(D104,Table17[[Name]:[Native]],3,FALSE)</f>
        <v>安丘市</v>
      </c>
      <c r="G104" s="14" t="str">
        <f ca="1">VLOOKUP(F104,Table17[[Native]:[Population4]],5,FALSE)</f>
        <v>潍坊市</v>
      </c>
    </row>
    <row r="105" spans="1:7" ht="15.75" thickBot="1" x14ac:dyDescent="0.3">
      <c r="A105" t="s">
        <v>2046</v>
      </c>
      <c r="B105" s="1" t="s">
        <v>2868</v>
      </c>
      <c r="C105" s="1" t="s">
        <v>13</v>
      </c>
      <c r="D105" s="1" t="s">
        <v>2674</v>
      </c>
      <c r="E105" s="3">
        <v>38200</v>
      </c>
      <c r="F105" s="1" t="str">
        <f>VLOOKUP(D105,Table17[[Name]:[Native]],3,FALSE)</f>
        <v>诸城市</v>
      </c>
      <c r="G105" s="14" t="str">
        <f ca="1">VLOOKUP(F105,Table17[[Native]:[Population4]],5,FALSE)</f>
        <v>潍坊市</v>
      </c>
    </row>
    <row r="106" spans="1:7" ht="15.75" thickBot="1" x14ac:dyDescent="0.3">
      <c r="A106" t="s">
        <v>2869</v>
      </c>
      <c r="B106" s="1" t="s">
        <v>2870</v>
      </c>
      <c r="C106" s="1" t="s">
        <v>7</v>
      </c>
      <c r="D106" s="1" t="s">
        <v>2693</v>
      </c>
      <c r="E106" s="3">
        <v>100168</v>
      </c>
      <c r="F106" s="1" t="str">
        <f>VLOOKUP(D106,Table17[[Name]:[Native]],3,FALSE)</f>
        <v>临朐县</v>
      </c>
      <c r="G106" s="14" t="str">
        <f ca="1">VLOOKUP(F106,Table17[[Native]:[Population4]],5,FALSE)</f>
        <v>潍坊市</v>
      </c>
    </row>
    <row r="107" spans="1:7" ht="15.75" thickBot="1" x14ac:dyDescent="0.3">
      <c r="A107" t="s">
        <v>2871</v>
      </c>
      <c r="B107" s="1" t="s">
        <v>2872</v>
      </c>
      <c r="C107" s="1" t="s">
        <v>13</v>
      </c>
      <c r="D107" s="1" t="s">
        <v>2703</v>
      </c>
      <c r="E107" s="3">
        <v>60036</v>
      </c>
      <c r="F107" s="1" t="str">
        <f>VLOOKUP(D107,Table17[[Name]:[Native]],3,FALSE)</f>
        <v>寿光市</v>
      </c>
      <c r="G107" s="14" t="str">
        <f ca="1">VLOOKUP(F107,Table17[[Native]:[Population4]],5,FALSE)</f>
        <v>潍坊市</v>
      </c>
    </row>
    <row r="108" spans="1:7" ht="15.75" thickBot="1" x14ac:dyDescent="0.3">
      <c r="A108" t="s">
        <v>2873</v>
      </c>
      <c r="B108" s="1" t="s">
        <v>2874</v>
      </c>
      <c r="C108" s="1" t="s">
        <v>7</v>
      </c>
      <c r="D108" s="1" t="s">
        <v>2698</v>
      </c>
      <c r="E108" s="3">
        <v>20172</v>
      </c>
      <c r="F108" s="1" t="str">
        <f>VLOOKUP(D108,Table17[[Name]:[Native]],3,FALSE)</f>
        <v>寒亭区</v>
      </c>
      <c r="G108" s="14" t="str">
        <f ca="1">VLOOKUP(F108,Table17[[Native]:[Population4]],5,FALSE)</f>
        <v>潍坊市</v>
      </c>
    </row>
    <row r="109" spans="1:7" ht="15.75" thickBot="1" x14ac:dyDescent="0.3">
      <c r="A109" t="s">
        <v>2875</v>
      </c>
      <c r="B109" s="1" t="s">
        <v>2876</v>
      </c>
      <c r="C109" s="1" t="s">
        <v>7</v>
      </c>
      <c r="D109" s="1" t="s">
        <v>2693</v>
      </c>
      <c r="E109" s="3">
        <v>97936</v>
      </c>
      <c r="F109" s="1" t="str">
        <f>VLOOKUP(D109,Table17[[Name]:[Native]],3,FALSE)</f>
        <v>临朐县</v>
      </c>
      <c r="G109" s="14" t="str">
        <f ca="1">VLOOKUP(F109,Table17[[Native]:[Population4]],5,FALSE)</f>
        <v>潍坊市</v>
      </c>
    </row>
    <row r="110" spans="1:7" ht="15.75" thickBot="1" x14ac:dyDescent="0.3">
      <c r="A110" t="s">
        <v>2877</v>
      </c>
      <c r="B110" s="1" t="s">
        <v>2878</v>
      </c>
      <c r="C110" s="1" t="s">
        <v>7</v>
      </c>
      <c r="D110" s="1" t="s">
        <v>2711</v>
      </c>
      <c r="E110" s="3">
        <v>105070</v>
      </c>
      <c r="F110" s="1" t="str">
        <f>VLOOKUP(D110,Table17[[Name]:[Native]],3,FALSE)</f>
        <v>青州市</v>
      </c>
      <c r="G110" s="14" t="str">
        <f ca="1">VLOOKUP(F110,Table17[[Native]:[Population4]],5,FALSE)</f>
        <v>潍坊市</v>
      </c>
    </row>
    <row r="111" spans="1:7" ht="15.75" thickBot="1" x14ac:dyDescent="0.3">
      <c r="A111" t="s">
        <v>860</v>
      </c>
      <c r="B111" s="1" t="s">
        <v>861</v>
      </c>
      <c r="C111" s="1" t="s">
        <v>13</v>
      </c>
      <c r="D111" s="1" t="s">
        <v>2703</v>
      </c>
      <c r="E111" s="3">
        <v>57091</v>
      </c>
      <c r="F111" s="1" t="str">
        <f>VLOOKUP(D111,Table17[[Name]:[Native]],3,FALSE)</f>
        <v>寿光市</v>
      </c>
      <c r="G111" s="14" t="str">
        <f ca="1">VLOOKUP(F111,Table17[[Native]:[Population4]],5,FALSE)</f>
        <v>潍坊市</v>
      </c>
    </row>
    <row r="112" spans="1:7" ht="15.75" thickBot="1" x14ac:dyDescent="0.3">
      <c r="A112" t="s">
        <v>2879</v>
      </c>
      <c r="B112" s="1" t="s">
        <v>2880</v>
      </c>
      <c r="C112" s="1" t="s">
        <v>13</v>
      </c>
      <c r="D112" s="1" t="s">
        <v>2677</v>
      </c>
      <c r="E112" s="3">
        <v>92564</v>
      </c>
      <c r="F112" s="1" t="str">
        <f>VLOOKUP(D112,Table17[[Name]:[Native]],3,FALSE)</f>
        <v>昌乐县</v>
      </c>
      <c r="G112" s="14" t="str">
        <f ca="1">VLOOKUP(F112,Table17[[Native]:[Population4]],5,FALSE)</f>
        <v>潍坊市</v>
      </c>
    </row>
    <row r="113" spans="1:7" ht="15.75" thickBot="1" x14ac:dyDescent="0.3">
      <c r="A113" t="s">
        <v>862</v>
      </c>
      <c r="B113" s="1" t="s">
        <v>2881</v>
      </c>
      <c r="C113" s="1" t="s">
        <v>13</v>
      </c>
      <c r="D113" s="1" t="s">
        <v>2683</v>
      </c>
      <c r="E113" s="3">
        <v>83872</v>
      </c>
      <c r="F113" s="1" t="str">
        <f>VLOOKUP(D113,Table17[[Name]:[Native]],3,FALSE)</f>
        <v>昌邑市</v>
      </c>
      <c r="G113" s="14" t="str">
        <f ca="1">VLOOKUP(F113,Table17[[Native]:[Population4]],5,FALSE)</f>
        <v>潍坊市</v>
      </c>
    </row>
    <row r="114" spans="1:7" ht="15.75" thickBot="1" x14ac:dyDescent="0.3">
      <c r="A114" t="s">
        <v>2882</v>
      </c>
      <c r="B114" s="1" t="s">
        <v>2883</v>
      </c>
      <c r="C114" s="1" t="s">
        <v>7</v>
      </c>
      <c r="D114" s="1" t="s">
        <v>2680</v>
      </c>
      <c r="E114" s="3">
        <v>70818</v>
      </c>
      <c r="F114" s="1" t="str">
        <f>VLOOKUP(D114,Table17[[Name]:[Native]],3,FALSE)</f>
        <v>潍城区</v>
      </c>
      <c r="G114" s="14" t="str">
        <f ca="1">VLOOKUP(F114,Table17[[Native]:[Population4]],5,FALSE)</f>
        <v>潍坊市</v>
      </c>
    </row>
    <row r="115" spans="1:7" ht="15.75" thickBot="1" x14ac:dyDescent="0.3">
      <c r="A115" t="s">
        <v>2884</v>
      </c>
      <c r="B115" s="1" t="s">
        <v>2885</v>
      </c>
      <c r="C115" s="1" t="s">
        <v>7</v>
      </c>
      <c r="D115" s="1" t="s">
        <v>2711</v>
      </c>
      <c r="E115" s="3">
        <v>103166</v>
      </c>
      <c r="F115" s="1" t="str">
        <f>VLOOKUP(D115,Table17[[Name]:[Native]],3,FALSE)</f>
        <v>青州市</v>
      </c>
      <c r="G115" s="14" t="str">
        <f ca="1">VLOOKUP(F115,Table17[[Native]:[Population4]],5,FALSE)</f>
        <v>潍坊市</v>
      </c>
    </row>
    <row r="116" spans="1:7" ht="15.75" thickBot="1" x14ac:dyDescent="0.3">
      <c r="A116" t="s">
        <v>2886</v>
      </c>
      <c r="B116" s="1" t="s">
        <v>2887</v>
      </c>
      <c r="C116" s="1" t="s">
        <v>13</v>
      </c>
      <c r="D116" s="1" t="s">
        <v>2706</v>
      </c>
      <c r="E116" s="3">
        <v>28333</v>
      </c>
      <c r="F116" s="1" t="str">
        <f>VLOOKUP(D116,Table17[[Name]:[Native]],3,FALSE)</f>
        <v>安丘市</v>
      </c>
      <c r="G116" s="14" t="str">
        <f ca="1">VLOOKUP(F116,Table17[[Native]:[Population4]],5,FALSE)</f>
        <v>潍坊市</v>
      </c>
    </row>
    <row r="117" spans="1:7" ht="15.75" thickBot="1" x14ac:dyDescent="0.3">
      <c r="A117" t="s">
        <v>2888</v>
      </c>
      <c r="B117" s="1" t="s">
        <v>2889</v>
      </c>
      <c r="C117" s="1" t="s">
        <v>13</v>
      </c>
      <c r="D117" s="1" t="s">
        <v>2674</v>
      </c>
      <c r="E117" s="3">
        <v>43152</v>
      </c>
      <c r="F117" s="1" t="str">
        <f>VLOOKUP(D117,Table17[[Name]:[Native]],3,FALSE)</f>
        <v>诸城市</v>
      </c>
      <c r="G117" s="14" t="str">
        <f ca="1">VLOOKUP(F117,Table17[[Native]:[Population4]],5,FALSE)</f>
        <v>潍坊市</v>
      </c>
    </row>
    <row r="118" spans="1:7" ht="15.75" thickBot="1" x14ac:dyDescent="0.3">
      <c r="A118" t="s">
        <v>2890</v>
      </c>
      <c r="B118" s="1" t="s">
        <v>2891</v>
      </c>
      <c r="C118" s="1" t="s">
        <v>7</v>
      </c>
      <c r="D118" s="1" t="s">
        <v>2698</v>
      </c>
      <c r="E118" s="3">
        <v>60708</v>
      </c>
      <c r="F118" s="1" t="str">
        <f>VLOOKUP(D118,Table17[[Name]:[Native]],3,FALSE)</f>
        <v>寒亭区</v>
      </c>
      <c r="G118" s="14" t="str">
        <f ca="1">VLOOKUP(F118,Table17[[Native]:[Population4]],5,FALSE)</f>
        <v>潍坊市</v>
      </c>
    </row>
    <row r="119" spans="1:7" ht="15.75" thickBot="1" x14ac:dyDescent="0.3">
      <c r="A119" t="s">
        <v>2892</v>
      </c>
      <c r="B119" s="1" t="s">
        <v>2893</v>
      </c>
      <c r="C119" s="1" t="s">
        <v>7</v>
      </c>
      <c r="D119" s="1" t="s">
        <v>2677</v>
      </c>
      <c r="E119" s="3">
        <v>33925</v>
      </c>
      <c r="F119" s="10" t="str">
        <f>VLOOKUP(D119,Table17[[Name]:[Native]],3,FALSE)</f>
        <v>昌乐县</v>
      </c>
      <c r="G119" s="14" t="str">
        <f ca="1">VLOOKUP(F119,Table17[[Native]:[Population4]],5,FALSE)</f>
        <v>潍坊市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E86F-E842-442F-8F3F-83DFA097C1D5}">
  <dimension ref="A1:G74"/>
  <sheetViews>
    <sheetView workbookViewId="0">
      <selection activeCell="A2" sqref="A2:G74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2894</v>
      </c>
      <c r="B2" s="1" t="s">
        <v>2895</v>
      </c>
      <c r="C2" s="1" t="s">
        <v>13</v>
      </c>
      <c r="D2" s="1" t="s">
        <v>2896</v>
      </c>
      <c r="E2" s="3">
        <v>46865</v>
      </c>
      <c r="F2" s="9" t="str">
        <f>VLOOKUP(D2,Table17[[Name]:[Native]],3,FALSE)</f>
        <v>乳山市</v>
      </c>
      <c r="G2" s="14" t="str">
        <f ca="1">VLOOKUP(F2,Table17[[Native]:[Population4]],5,FALSE)</f>
        <v>威海市</v>
      </c>
    </row>
    <row r="3" spans="1:7" ht="15.75" thickBot="1" x14ac:dyDescent="0.3">
      <c r="A3" t="s">
        <v>2897</v>
      </c>
      <c r="B3" s="1" t="s">
        <v>2898</v>
      </c>
      <c r="C3" s="1" t="s">
        <v>13</v>
      </c>
      <c r="D3" s="1" t="s">
        <v>2899</v>
      </c>
      <c r="E3" s="3">
        <v>22017</v>
      </c>
      <c r="F3" s="1" t="str">
        <f>VLOOKUP(D3,Table17[[Name]:[Native]],3,FALSE)</f>
        <v>环翠区</v>
      </c>
      <c r="G3" s="14" t="str">
        <f ca="1">VLOOKUP(F3,Table17[[Native]:[Population4]],5,FALSE)</f>
        <v>威海市</v>
      </c>
    </row>
    <row r="4" spans="1:7" ht="15.75" thickBot="1" x14ac:dyDescent="0.3">
      <c r="A4" t="s">
        <v>2900</v>
      </c>
      <c r="B4" s="1" t="s">
        <v>2901</v>
      </c>
      <c r="C4" s="1" t="s">
        <v>495</v>
      </c>
      <c r="D4" s="1" t="s">
        <v>2902</v>
      </c>
      <c r="E4" s="3">
        <v>10772</v>
      </c>
      <c r="F4" s="1" t="str">
        <f>VLOOKUP(D4,Table17[[Name]:[Native]],3,FALSE)</f>
        <v>文登区</v>
      </c>
      <c r="G4" s="14" t="str">
        <f ca="1">VLOOKUP(F4,Table17[[Native]:[Population4]],5,FALSE)</f>
        <v>威海市</v>
      </c>
    </row>
    <row r="5" spans="1:7" ht="15.75" thickBot="1" x14ac:dyDescent="0.3">
      <c r="A5" t="s">
        <v>2903</v>
      </c>
      <c r="B5" s="1" t="s">
        <v>2904</v>
      </c>
      <c r="C5" s="1" t="s">
        <v>13</v>
      </c>
      <c r="D5" s="1" t="s">
        <v>2905</v>
      </c>
      <c r="E5" s="3">
        <v>19946</v>
      </c>
      <c r="F5" s="1" t="str">
        <f>VLOOKUP(D5,Table17[[Name]:[Native]],3,FALSE)</f>
        <v>荣成市</v>
      </c>
      <c r="G5" s="14" t="str">
        <f ca="1">VLOOKUP(F5,Table17[[Native]:[Population4]],5,FALSE)</f>
        <v>威海市</v>
      </c>
    </row>
    <row r="6" spans="1:7" ht="15.75" thickBot="1" x14ac:dyDescent="0.3">
      <c r="A6" t="s">
        <v>2906</v>
      </c>
      <c r="B6" s="1" t="s">
        <v>2907</v>
      </c>
      <c r="C6" s="1" t="s">
        <v>13</v>
      </c>
      <c r="D6" s="1" t="s">
        <v>2899</v>
      </c>
      <c r="E6" s="3">
        <v>21158</v>
      </c>
      <c r="F6" s="1" t="str">
        <f>VLOOKUP(D6,Table17[[Name]:[Native]],3,FALSE)</f>
        <v>环翠区</v>
      </c>
      <c r="G6" s="14" t="str">
        <f ca="1">VLOOKUP(F6,Table17[[Native]:[Population4]],5,FALSE)</f>
        <v>威海市</v>
      </c>
    </row>
    <row r="7" spans="1:7" ht="15.75" thickBot="1" x14ac:dyDescent="0.3">
      <c r="A7" t="s">
        <v>2908</v>
      </c>
      <c r="B7" s="1" t="s">
        <v>2909</v>
      </c>
      <c r="C7" s="1" t="s">
        <v>7</v>
      </c>
      <c r="D7" s="1" t="s">
        <v>2896</v>
      </c>
      <c r="E7" s="3">
        <v>146554</v>
      </c>
      <c r="F7" s="1" t="str">
        <f>VLOOKUP(D7,Table17[[Name]:[Native]],3,FALSE)</f>
        <v>乳山市</v>
      </c>
      <c r="G7" s="14" t="str">
        <f ca="1">VLOOKUP(F7,Table17[[Native]:[Population4]],5,FALSE)</f>
        <v>威海市</v>
      </c>
    </row>
    <row r="8" spans="1:7" ht="15.75" thickBot="1" x14ac:dyDescent="0.3">
      <c r="A8" t="s">
        <v>2910</v>
      </c>
      <c r="B8" s="1" t="s">
        <v>2911</v>
      </c>
      <c r="C8" s="1" t="s">
        <v>13</v>
      </c>
      <c r="D8" s="1" t="s">
        <v>2905</v>
      </c>
      <c r="E8" s="3">
        <v>43267</v>
      </c>
      <c r="F8" s="1" t="str">
        <f>VLOOKUP(D8,Table17[[Name]:[Native]],3,FALSE)</f>
        <v>荣成市</v>
      </c>
      <c r="G8" s="14" t="str">
        <f ca="1">VLOOKUP(F8,Table17[[Native]:[Population4]],5,FALSE)</f>
        <v>威海市</v>
      </c>
    </row>
    <row r="9" spans="1:7" ht="15.75" thickBot="1" x14ac:dyDescent="0.3">
      <c r="A9" t="s">
        <v>2912</v>
      </c>
      <c r="B9" s="1" t="s">
        <v>2913</v>
      </c>
      <c r="C9" s="1" t="s">
        <v>7</v>
      </c>
      <c r="D9" s="1" t="s">
        <v>2905</v>
      </c>
      <c r="E9" s="3">
        <v>19124</v>
      </c>
      <c r="F9" s="1" t="str">
        <f>VLOOKUP(D9,Table17[[Name]:[Native]],3,FALSE)</f>
        <v>荣成市</v>
      </c>
      <c r="G9" s="14" t="str">
        <f ca="1">VLOOKUP(F9,Table17[[Native]:[Population4]],5,FALSE)</f>
        <v>威海市</v>
      </c>
    </row>
    <row r="10" spans="1:7" ht="15.75" thickBot="1" x14ac:dyDescent="0.3">
      <c r="A10" t="s">
        <v>2914</v>
      </c>
      <c r="B10" s="1" t="s">
        <v>2915</v>
      </c>
      <c r="C10" s="1" t="s">
        <v>7</v>
      </c>
      <c r="D10" s="1" t="s">
        <v>2905</v>
      </c>
      <c r="E10" s="3">
        <v>36976</v>
      </c>
      <c r="F10" s="1" t="str">
        <f>VLOOKUP(D10,Table17[[Name]:[Native]],3,FALSE)</f>
        <v>荣成市</v>
      </c>
      <c r="G10" s="14" t="str">
        <f ca="1">VLOOKUP(F10,Table17[[Native]:[Population4]],5,FALSE)</f>
        <v>威海市</v>
      </c>
    </row>
    <row r="11" spans="1:7" ht="15.75" thickBot="1" x14ac:dyDescent="0.3">
      <c r="A11" t="s">
        <v>2916</v>
      </c>
      <c r="B11" s="1" t="s">
        <v>2917</v>
      </c>
      <c r="C11" s="1" t="s">
        <v>13</v>
      </c>
      <c r="D11" s="1" t="s">
        <v>2899</v>
      </c>
      <c r="E11" s="3">
        <v>34388</v>
      </c>
      <c r="F11" s="1" t="str">
        <f>VLOOKUP(D11,Table17[[Name]:[Native]],3,FALSE)</f>
        <v>环翠区</v>
      </c>
      <c r="G11" s="14" t="str">
        <f ca="1">VLOOKUP(F11,Table17[[Native]:[Population4]],5,FALSE)</f>
        <v>威海市</v>
      </c>
    </row>
    <row r="12" spans="1:7" ht="15.75" thickBot="1" x14ac:dyDescent="0.3">
      <c r="A12" t="s">
        <v>2918</v>
      </c>
      <c r="B12" s="1" t="s">
        <v>2919</v>
      </c>
      <c r="C12" s="1" t="s">
        <v>13</v>
      </c>
      <c r="D12" s="1" t="s">
        <v>2896</v>
      </c>
      <c r="E12" s="3">
        <v>24128</v>
      </c>
      <c r="F12" s="1" t="str">
        <f>VLOOKUP(D12,Table17[[Name]:[Native]],3,FALSE)</f>
        <v>乳山市</v>
      </c>
      <c r="G12" s="14" t="str">
        <f ca="1">VLOOKUP(F12,Table17[[Native]:[Population4]],5,FALSE)</f>
        <v>威海市</v>
      </c>
    </row>
    <row r="13" spans="1:7" ht="15.75" thickBot="1" x14ac:dyDescent="0.3">
      <c r="A13" t="s">
        <v>2920</v>
      </c>
      <c r="B13" s="1" t="s">
        <v>2921</v>
      </c>
      <c r="C13" s="1" t="s">
        <v>13</v>
      </c>
      <c r="D13" s="1" t="s">
        <v>2902</v>
      </c>
      <c r="E13" s="3">
        <v>35350</v>
      </c>
      <c r="F13" s="1" t="str">
        <f>VLOOKUP(D13,Table17[[Name]:[Native]],3,FALSE)</f>
        <v>文登区</v>
      </c>
      <c r="G13" s="14" t="str">
        <f ca="1">VLOOKUP(F13,Table17[[Native]:[Population4]],5,FALSE)</f>
        <v>威海市</v>
      </c>
    </row>
    <row r="14" spans="1:7" ht="15.75" thickBot="1" x14ac:dyDescent="0.3">
      <c r="A14" t="s">
        <v>2922</v>
      </c>
      <c r="B14" s="1" t="s">
        <v>2923</v>
      </c>
      <c r="C14" s="1" t="s">
        <v>13</v>
      </c>
      <c r="D14" s="1" t="s">
        <v>2905</v>
      </c>
      <c r="E14" s="3">
        <v>15518</v>
      </c>
      <c r="F14" s="1" t="str">
        <f>VLOOKUP(D14,Table17[[Name]:[Native]],3,FALSE)</f>
        <v>荣成市</v>
      </c>
      <c r="G14" s="14" t="str">
        <f ca="1">VLOOKUP(F14,Table17[[Native]:[Population4]],5,FALSE)</f>
        <v>威海市</v>
      </c>
    </row>
    <row r="15" spans="1:7" ht="15.75" thickBot="1" x14ac:dyDescent="0.3">
      <c r="A15" t="s">
        <v>2924</v>
      </c>
      <c r="B15" s="1" t="s">
        <v>2925</v>
      </c>
      <c r="C15" s="1" t="s">
        <v>7</v>
      </c>
      <c r="D15" s="1" t="s">
        <v>2905</v>
      </c>
      <c r="E15" s="3">
        <v>17028</v>
      </c>
      <c r="F15" s="1" t="str">
        <f>VLOOKUP(D15,Table17[[Name]:[Native]],3,FALSE)</f>
        <v>荣成市</v>
      </c>
      <c r="G15" s="14" t="str">
        <f ca="1">VLOOKUP(F15,Table17[[Native]:[Population4]],5,FALSE)</f>
        <v>威海市</v>
      </c>
    </row>
    <row r="16" spans="1:7" ht="15.75" thickBot="1" x14ac:dyDescent="0.3">
      <c r="A16" t="s">
        <v>49</v>
      </c>
      <c r="B16" s="1" t="s">
        <v>50</v>
      </c>
      <c r="C16" s="1" t="s">
        <v>13</v>
      </c>
      <c r="D16" s="1" t="s">
        <v>2896</v>
      </c>
      <c r="E16" s="3">
        <v>29786</v>
      </c>
      <c r="F16" s="1" t="str">
        <f>VLOOKUP(D16,Table17[[Name]:[Native]],3,FALSE)</f>
        <v>乳山市</v>
      </c>
      <c r="G16" s="14" t="str">
        <f ca="1">VLOOKUP(F16,Table17[[Native]:[Population4]],5,FALSE)</f>
        <v>威海市</v>
      </c>
    </row>
    <row r="17" spans="1:7" ht="15.75" thickBot="1" x14ac:dyDescent="0.3">
      <c r="A17" t="s">
        <v>2926</v>
      </c>
      <c r="B17" s="1" t="s">
        <v>2927</v>
      </c>
      <c r="C17" s="1" t="s">
        <v>7</v>
      </c>
      <c r="D17" s="1" t="s">
        <v>2899</v>
      </c>
      <c r="E17" s="3">
        <v>51857</v>
      </c>
      <c r="F17" s="1" t="str">
        <f>VLOOKUP(D17,Table17[[Name]:[Native]],3,FALSE)</f>
        <v>环翠区</v>
      </c>
      <c r="G17" s="14" t="str">
        <f ca="1">VLOOKUP(F17,Table17[[Native]:[Population4]],5,FALSE)</f>
        <v>威海市</v>
      </c>
    </row>
    <row r="18" spans="1:7" ht="15.75" thickBot="1" x14ac:dyDescent="0.3">
      <c r="A18" t="s">
        <v>2928</v>
      </c>
      <c r="B18" s="1" t="s">
        <v>2929</v>
      </c>
      <c r="C18" s="1" t="s">
        <v>7</v>
      </c>
      <c r="D18" s="1" t="s">
        <v>2905</v>
      </c>
      <c r="E18" s="3">
        <v>64345</v>
      </c>
      <c r="F18" s="1" t="str">
        <f>VLOOKUP(D18,Table17[[Name]:[Native]],3,FALSE)</f>
        <v>荣成市</v>
      </c>
      <c r="G18" s="14" t="str">
        <f ca="1">VLOOKUP(F18,Table17[[Native]:[Population4]],5,FALSE)</f>
        <v>威海市</v>
      </c>
    </row>
    <row r="19" spans="1:7" ht="15.75" thickBot="1" x14ac:dyDescent="0.3">
      <c r="A19" t="s">
        <v>2930</v>
      </c>
      <c r="B19" s="1" t="s">
        <v>2931</v>
      </c>
      <c r="C19" s="1" t="s">
        <v>13</v>
      </c>
      <c r="D19" s="1" t="s">
        <v>2905</v>
      </c>
      <c r="E19" s="3">
        <v>19246</v>
      </c>
      <c r="F19" s="1" t="str">
        <f>VLOOKUP(D19,Table17[[Name]:[Native]],3,FALSE)</f>
        <v>荣成市</v>
      </c>
      <c r="G19" s="14" t="str">
        <f ca="1">VLOOKUP(F19,Table17[[Native]:[Population4]],5,FALSE)</f>
        <v>威海市</v>
      </c>
    </row>
    <row r="20" spans="1:7" ht="15.75" thickBot="1" x14ac:dyDescent="0.3">
      <c r="A20" t="s">
        <v>2932</v>
      </c>
      <c r="B20" s="1" t="s">
        <v>2933</v>
      </c>
      <c r="C20" s="1" t="s">
        <v>13</v>
      </c>
      <c r="D20" s="1" t="s">
        <v>2902</v>
      </c>
      <c r="E20" s="3">
        <v>26603</v>
      </c>
      <c r="F20" s="1" t="str">
        <f>VLOOKUP(D20,Table17[[Name]:[Native]],3,FALSE)</f>
        <v>文登区</v>
      </c>
      <c r="G20" s="14" t="str">
        <f ca="1">VLOOKUP(F20,Table17[[Native]:[Population4]],5,FALSE)</f>
        <v>威海市</v>
      </c>
    </row>
    <row r="21" spans="1:7" ht="15.75" thickBot="1" x14ac:dyDescent="0.3">
      <c r="A21" t="s">
        <v>2934</v>
      </c>
      <c r="B21" s="1" t="s">
        <v>2935</v>
      </c>
      <c r="C21" s="1" t="s">
        <v>13</v>
      </c>
      <c r="D21" s="1" t="s">
        <v>2902</v>
      </c>
      <c r="E21" s="3">
        <v>50354</v>
      </c>
      <c r="F21" s="1" t="str">
        <f>VLOOKUP(D21,Table17[[Name]:[Native]],3,FALSE)</f>
        <v>文登区</v>
      </c>
      <c r="G21" s="14" t="str">
        <f ca="1">VLOOKUP(F21,Table17[[Native]:[Population4]],5,FALSE)</f>
        <v>威海市</v>
      </c>
    </row>
    <row r="22" spans="1:7" ht="15.75" thickBot="1" x14ac:dyDescent="0.3">
      <c r="A22" t="s">
        <v>2936</v>
      </c>
      <c r="B22" s="1" t="s">
        <v>2937</v>
      </c>
      <c r="C22" s="1" t="s">
        <v>13</v>
      </c>
      <c r="D22" s="1" t="s">
        <v>2899</v>
      </c>
      <c r="E22" s="3">
        <v>24834</v>
      </c>
      <c r="F22" s="1" t="str">
        <f>VLOOKUP(D22,Table17[[Name]:[Native]],3,FALSE)</f>
        <v>环翠区</v>
      </c>
      <c r="G22" s="14" t="str">
        <f ca="1">VLOOKUP(F22,Table17[[Native]:[Population4]],5,FALSE)</f>
        <v>威海市</v>
      </c>
    </row>
    <row r="23" spans="1:7" ht="15.75" thickBot="1" x14ac:dyDescent="0.3">
      <c r="A23" t="s">
        <v>2938</v>
      </c>
      <c r="B23" s="1" t="s">
        <v>2939</v>
      </c>
      <c r="C23" s="1" t="s">
        <v>13</v>
      </c>
      <c r="D23" s="1" t="s">
        <v>2896</v>
      </c>
      <c r="E23" s="3">
        <v>29851</v>
      </c>
      <c r="F23" s="1" t="str">
        <f>VLOOKUP(D23,Table17[[Name]:[Native]],3,FALSE)</f>
        <v>乳山市</v>
      </c>
      <c r="G23" s="14" t="str">
        <f ca="1">VLOOKUP(F23,Table17[[Native]:[Population4]],5,FALSE)</f>
        <v>威海市</v>
      </c>
    </row>
    <row r="24" spans="1:7" ht="15.75" thickBot="1" x14ac:dyDescent="0.3">
      <c r="A24" t="s">
        <v>2940</v>
      </c>
      <c r="B24" s="1" t="s">
        <v>2941</v>
      </c>
      <c r="C24" s="1" t="s">
        <v>13</v>
      </c>
      <c r="D24" s="1" t="s">
        <v>2902</v>
      </c>
      <c r="E24" s="3">
        <v>22210</v>
      </c>
      <c r="F24" s="1" t="str">
        <f>VLOOKUP(D24,Table17[[Name]:[Native]],3,FALSE)</f>
        <v>文登区</v>
      </c>
      <c r="G24" s="14" t="str">
        <f ca="1">VLOOKUP(F24,Table17[[Native]:[Population4]],5,FALSE)</f>
        <v>威海市</v>
      </c>
    </row>
    <row r="25" spans="1:7" ht="15.75" thickBot="1" x14ac:dyDescent="0.3">
      <c r="A25" t="s">
        <v>2942</v>
      </c>
      <c r="B25" s="1" t="s">
        <v>2943</v>
      </c>
      <c r="C25" s="1" t="s">
        <v>7</v>
      </c>
      <c r="D25" s="1" t="s">
        <v>2899</v>
      </c>
      <c r="E25" s="3">
        <v>45998</v>
      </c>
      <c r="F25" s="1" t="str">
        <f>VLOOKUP(D25,Table17[[Name]:[Native]],3,FALSE)</f>
        <v>环翠区</v>
      </c>
      <c r="G25" s="14" t="str">
        <f ca="1">VLOOKUP(F25,Table17[[Native]:[Population4]],5,FALSE)</f>
        <v>威海市</v>
      </c>
    </row>
    <row r="26" spans="1:7" ht="15.75" thickBot="1" x14ac:dyDescent="0.3">
      <c r="A26" t="s">
        <v>2944</v>
      </c>
      <c r="B26" s="1" t="s">
        <v>2945</v>
      </c>
      <c r="C26" s="1" t="s">
        <v>7</v>
      </c>
      <c r="D26" s="1" t="s">
        <v>2899</v>
      </c>
      <c r="E26" s="3">
        <v>65887</v>
      </c>
      <c r="F26" s="1" t="str">
        <f>VLOOKUP(D26,Table17[[Name]:[Native]],3,FALSE)</f>
        <v>环翠区</v>
      </c>
      <c r="G26" s="14" t="str">
        <f ca="1">VLOOKUP(F26,Table17[[Native]:[Population4]],5,FALSE)</f>
        <v>威海市</v>
      </c>
    </row>
    <row r="27" spans="1:7" ht="15.75" thickBot="1" x14ac:dyDescent="0.3">
      <c r="A27" t="s">
        <v>2946</v>
      </c>
      <c r="B27" s="1" t="s">
        <v>2947</v>
      </c>
      <c r="C27" s="1" t="s">
        <v>7</v>
      </c>
      <c r="D27" s="1" t="s">
        <v>2902</v>
      </c>
      <c r="E27" s="3">
        <v>74383</v>
      </c>
      <c r="F27" s="1" t="str">
        <f>VLOOKUP(D27,Table17[[Name]:[Native]],3,FALSE)</f>
        <v>文登区</v>
      </c>
      <c r="G27" s="14" t="str">
        <f ca="1">VLOOKUP(F27,Table17[[Native]:[Population4]],5,FALSE)</f>
        <v>威海市</v>
      </c>
    </row>
    <row r="28" spans="1:7" ht="15.75" thickBot="1" x14ac:dyDescent="0.3">
      <c r="A28" t="s">
        <v>2428</v>
      </c>
      <c r="B28" s="1" t="s">
        <v>2429</v>
      </c>
      <c r="C28" s="1" t="s">
        <v>13</v>
      </c>
      <c r="D28" s="1" t="s">
        <v>2905</v>
      </c>
      <c r="E28" s="3">
        <v>38179</v>
      </c>
      <c r="F28" s="1" t="str">
        <f>VLOOKUP(D28,Table17[[Name]:[Native]],3,FALSE)</f>
        <v>荣成市</v>
      </c>
      <c r="G28" s="14" t="str">
        <f ca="1">VLOOKUP(F28,Table17[[Native]:[Population4]],5,FALSE)</f>
        <v>威海市</v>
      </c>
    </row>
    <row r="29" spans="1:7" ht="15.75" thickBot="1" x14ac:dyDescent="0.3">
      <c r="A29" t="s">
        <v>2948</v>
      </c>
      <c r="B29" s="1" t="s">
        <v>2949</v>
      </c>
      <c r="C29" s="1" t="s">
        <v>13</v>
      </c>
      <c r="D29" s="1" t="s">
        <v>2902</v>
      </c>
      <c r="E29" s="3">
        <v>29008</v>
      </c>
      <c r="F29" s="1" t="str">
        <f>VLOOKUP(D29,Table17[[Name]:[Native]],3,FALSE)</f>
        <v>文登区</v>
      </c>
      <c r="G29" s="14" t="str">
        <f ca="1">VLOOKUP(F29,Table17[[Native]:[Population4]],5,FALSE)</f>
        <v>威海市</v>
      </c>
    </row>
    <row r="30" spans="1:7" ht="15.75" thickBot="1" x14ac:dyDescent="0.3">
      <c r="A30" t="s">
        <v>2950</v>
      </c>
      <c r="B30" s="1" t="s">
        <v>2951</v>
      </c>
      <c r="C30" s="1" t="s">
        <v>7</v>
      </c>
      <c r="D30" s="1" t="s">
        <v>2899</v>
      </c>
      <c r="E30" s="3">
        <v>61815</v>
      </c>
      <c r="F30" s="1" t="str">
        <f>VLOOKUP(D30,Table17[[Name]:[Native]],3,FALSE)</f>
        <v>环翠区</v>
      </c>
      <c r="G30" s="14" t="str">
        <f ca="1">VLOOKUP(F30,Table17[[Native]:[Population4]],5,FALSE)</f>
        <v>威海市</v>
      </c>
    </row>
    <row r="31" spans="1:7" ht="15.75" thickBot="1" x14ac:dyDescent="0.3">
      <c r="A31" t="s">
        <v>2952</v>
      </c>
      <c r="B31" s="1" t="s">
        <v>2953</v>
      </c>
      <c r="C31" s="1" t="s">
        <v>7</v>
      </c>
      <c r="D31" s="1" t="s">
        <v>2905</v>
      </c>
      <c r="E31" s="3">
        <v>18589</v>
      </c>
      <c r="F31" s="1" t="str">
        <f>VLOOKUP(D31,Table17[[Name]:[Native]],3,FALSE)</f>
        <v>荣成市</v>
      </c>
      <c r="G31" s="14" t="str">
        <f ca="1">VLOOKUP(F31,Table17[[Native]:[Population4]],5,FALSE)</f>
        <v>威海市</v>
      </c>
    </row>
    <row r="32" spans="1:7" ht="15.75" thickBot="1" x14ac:dyDescent="0.3">
      <c r="A32" t="s">
        <v>2954</v>
      </c>
      <c r="B32" s="1" t="s">
        <v>2955</v>
      </c>
      <c r="C32" s="1" t="s">
        <v>13</v>
      </c>
      <c r="D32" s="1" t="s">
        <v>2905</v>
      </c>
      <c r="E32" s="3">
        <v>42137</v>
      </c>
      <c r="F32" s="1" t="str">
        <f>VLOOKUP(D32,Table17[[Name]:[Native]],3,FALSE)</f>
        <v>荣成市</v>
      </c>
      <c r="G32" s="14" t="str">
        <f ca="1">VLOOKUP(F32,Table17[[Native]:[Population4]],5,FALSE)</f>
        <v>威海市</v>
      </c>
    </row>
    <row r="33" spans="1:7" ht="15.75" thickBot="1" x14ac:dyDescent="0.3">
      <c r="A33" t="s">
        <v>2956</v>
      </c>
      <c r="B33" s="1" t="s">
        <v>2957</v>
      </c>
      <c r="C33" s="1" t="s">
        <v>7</v>
      </c>
      <c r="D33" s="1" t="s">
        <v>2902</v>
      </c>
      <c r="E33" s="3">
        <v>54213</v>
      </c>
      <c r="F33" s="1" t="str">
        <f>VLOOKUP(D33,Table17[[Name]:[Native]],3,FALSE)</f>
        <v>文登区</v>
      </c>
      <c r="G33" s="14" t="str">
        <f ca="1">VLOOKUP(F33,Table17[[Native]:[Population4]],5,FALSE)</f>
        <v>威海市</v>
      </c>
    </row>
    <row r="34" spans="1:7" ht="15.75" thickBot="1" x14ac:dyDescent="0.3">
      <c r="A34" t="s">
        <v>2958</v>
      </c>
      <c r="B34" s="1" t="s">
        <v>2959</v>
      </c>
      <c r="C34" s="1" t="s">
        <v>13</v>
      </c>
      <c r="D34" s="1" t="s">
        <v>2902</v>
      </c>
      <c r="E34" s="3">
        <v>25428</v>
      </c>
      <c r="F34" s="1" t="str">
        <f>VLOOKUP(D34,Table17[[Name]:[Native]],3,FALSE)</f>
        <v>文登区</v>
      </c>
      <c r="G34" s="14" t="str">
        <f ca="1">VLOOKUP(F34,Table17[[Native]:[Population4]],5,FALSE)</f>
        <v>威海市</v>
      </c>
    </row>
    <row r="35" spans="1:7" ht="15.75" thickBot="1" x14ac:dyDescent="0.3">
      <c r="A35" t="s">
        <v>2960</v>
      </c>
      <c r="B35" s="1" t="s">
        <v>2961</v>
      </c>
      <c r="C35" s="1" t="s">
        <v>13</v>
      </c>
      <c r="D35" s="1" t="s">
        <v>2896</v>
      </c>
      <c r="E35" s="3">
        <v>23500</v>
      </c>
      <c r="F35" s="1" t="str">
        <f>VLOOKUP(D35,Table17[[Name]:[Native]],3,FALSE)</f>
        <v>乳山市</v>
      </c>
      <c r="G35" s="14" t="str">
        <f ca="1">VLOOKUP(F35,Table17[[Native]:[Population4]],5,FALSE)</f>
        <v>威海市</v>
      </c>
    </row>
    <row r="36" spans="1:7" ht="15.75" thickBot="1" x14ac:dyDescent="0.3">
      <c r="A36" t="s">
        <v>2962</v>
      </c>
      <c r="B36" s="1" t="s">
        <v>2963</v>
      </c>
      <c r="C36" s="1" t="s">
        <v>7</v>
      </c>
      <c r="D36" s="1" t="s">
        <v>2905</v>
      </c>
      <c r="E36" s="3">
        <v>22017</v>
      </c>
      <c r="F36" s="1" t="str">
        <f>VLOOKUP(D36,Table17[[Name]:[Native]],3,FALSE)</f>
        <v>荣成市</v>
      </c>
      <c r="G36" s="14" t="str">
        <f ca="1">VLOOKUP(F36,Table17[[Native]:[Population4]],5,FALSE)</f>
        <v>威海市</v>
      </c>
    </row>
    <row r="37" spans="1:7" ht="15.75" thickBot="1" x14ac:dyDescent="0.3">
      <c r="A37" t="s">
        <v>2964</v>
      </c>
      <c r="B37" s="1" t="s">
        <v>2965</v>
      </c>
      <c r="C37" s="1" t="s">
        <v>13</v>
      </c>
      <c r="D37" s="1" t="s">
        <v>2899</v>
      </c>
      <c r="E37" s="3">
        <v>28345</v>
      </c>
      <c r="F37" s="1" t="str">
        <f>VLOOKUP(D37,Table17[[Name]:[Native]],3,FALSE)</f>
        <v>环翠区</v>
      </c>
      <c r="G37" s="14" t="str">
        <f ca="1">VLOOKUP(F37,Table17[[Native]:[Population4]],5,FALSE)</f>
        <v>威海市</v>
      </c>
    </row>
    <row r="38" spans="1:7" ht="15.75" thickBot="1" x14ac:dyDescent="0.3">
      <c r="A38" t="s">
        <v>2966</v>
      </c>
      <c r="B38" s="1" t="s">
        <v>2967</v>
      </c>
      <c r="C38" s="1" t="s">
        <v>13</v>
      </c>
      <c r="D38" s="1" t="s">
        <v>2899</v>
      </c>
      <c r="E38" s="3">
        <v>39827</v>
      </c>
      <c r="F38" s="1" t="str">
        <f>VLOOKUP(D38,Table17[[Name]:[Native]],3,FALSE)</f>
        <v>环翠区</v>
      </c>
      <c r="G38" s="14" t="str">
        <f ca="1">VLOOKUP(F38,Table17[[Native]:[Population4]],5,FALSE)</f>
        <v>威海市</v>
      </c>
    </row>
    <row r="39" spans="1:7" ht="15.75" thickBot="1" x14ac:dyDescent="0.3">
      <c r="A39" t="s">
        <v>2968</v>
      </c>
      <c r="B39" s="1" t="s">
        <v>2969</v>
      </c>
      <c r="C39" s="1" t="s">
        <v>13</v>
      </c>
      <c r="D39" s="1" t="s">
        <v>2905</v>
      </c>
      <c r="E39" s="3">
        <v>67868</v>
      </c>
      <c r="F39" s="1" t="str">
        <f>VLOOKUP(D39,Table17[[Name]:[Native]],3,FALSE)</f>
        <v>荣成市</v>
      </c>
      <c r="G39" s="14" t="str">
        <f ca="1">VLOOKUP(F39,Table17[[Native]:[Population4]],5,FALSE)</f>
        <v>威海市</v>
      </c>
    </row>
    <row r="40" spans="1:7" ht="15.75" thickBot="1" x14ac:dyDescent="0.3">
      <c r="A40" t="s">
        <v>2970</v>
      </c>
      <c r="B40" s="1" t="s">
        <v>2971</v>
      </c>
      <c r="C40" s="1" t="s">
        <v>13</v>
      </c>
      <c r="D40" s="1" t="s">
        <v>2896</v>
      </c>
      <c r="E40" s="3">
        <v>31986</v>
      </c>
      <c r="F40" s="1" t="str">
        <f>VLOOKUP(D40,Table17[[Name]:[Native]],3,FALSE)</f>
        <v>乳山市</v>
      </c>
      <c r="G40" s="14" t="str">
        <f ca="1">VLOOKUP(F40,Table17[[Native]:[Population4]],5,FALSE)</f>
        <v>威海市</v>
      </c>
    </row>
    <row r="41" spans="1:7" ht="15.75" thickBot="1" x14ac:dyDescent="0.3">
      <c r="A41" t="s">
        <v>2972</v>
      </c>
      <c r="B41" s="1" t="s">
        <v>2973</v>
      </c>
      <c r="C41" s="1" t="s">
        <v>13</v>
      </c>
      <c r="D41" s="1" t="s">
        <v>2896</v>
      </c>
      <c r="E41" s="3">
        <v>30699</v>
      </c>
      <c r="F41" s="1" t="str">
        <f>VLOOKUP(D41,Table17[[Name]:[Native]],3,FALSE)</f>
        <v>乳山市</v>
      </c>
      <c r="G41" s="14" t="str">
        <f ca="1">VLOOKUP(F41,Table17[[Native]:[Population4]],5,FALSE)</f>
        <v>威海市</v>
      </c>
    </row>
    <row r="42" spans="1:7" ht="15.75" thickBot="1" x14ac:dyDescent="0.3">
      <c r="A42" t="s">
        <v>2974</v>
      </c>
      <c r="B42" s="1" t="s">
        <v>2975</v>
      </c>
      <c r="C42" s="1" t="s">
        <v>13</v>
      </c>
      <c r="D42" s="1" t="s">
        <v>2905</v>
      </c>
      <c r="E42" s="3">
        <v>22890</v>
      </c>
      <c r="F42" s="1" t="str">
        <f>VLOOKUP(D42,Table17[[Name]:[Native]],3,FALSE)</f>
        <v>荣成市</v>
      </c>
      <c r="G42" s="14" t="str">
        <f ca="1">VLOOKUP(F42,Table17[[Native]:[Population4]],5,FALSE)</f>
        <v>威海市</v>
      </c>
    </row>
    <row r="43" spans="1:7" ht="15.75" thickBot="1" x14ac:dyDescent="0.3">
      <c r="A43" t="s">
        <v>2976</v>
      </c>
      <c r="B43" s="1" t="s">
        <v>2977</v>
      </c>
      <c r="C43" s="1" t="s">
        <v>13</v>
      </c>
      <c r="D43" s="1" t="s">
        <v>2902</v>
      </c>
      <c r="E43" s="3">
        <v>37381</v>
      </c>
      <c r="F43" s="1" t="str">
        <f>VLOOKUP(D43,Table17[[Name]:[Native]],3,FALSE)</f>
        <v>文登区</v>
      </c>
      <c r="G43" s="14" t="str">
        <f ca="1">VLOOKUP(F43,Table17[[Native]:[Population4]],5,FALSE)</f>
        <v>威海市</v>
      </c>
    </row>
    <row r="44" spans="1:7" ht="15.75" thickBot="1" x14ac:dyDescent="0.3">
      <c r="A44" t="s">
        <v>2978</v>
      </c>
      <c r="B44" s="1" t="s">
        <v>2979</v>
      </c>
      <c r="C44" s="1" t="s">
        <v>7</v>
      </c>
      <c r="D44" s="1" t="s">
        <v>2899</v>
      </c>
      <c r="E44" s="3">
        <v>16495</v>
      </c>
      <c r="F44" s="1" t="str">
        <f>VLOOKUP(D44,Table17[[Name]:[Native]],3,FALSE)</f>
        <v>环翠区</v>
      </c>
      <c r="G44" s="14" t="str">
        <f ca="1">VLOOKUP(F44,Table17[[Native]:[Population4]],5,FALSE)</f>
        <v>威海市</v>
      </c>
    </row>
    <row r="45" spans="1:7" ht="15.75" thickBot="1" x14ac:dyDescent="0.3">
      <c r="A45" t="s">
        <v>379</v>
      </c>
      <c r="B45" s="1" t="s">
        <v>380</v>
      </c>
      <c r="C45" s="1" t="s">
        <v>7</v>
      </c>
      <c r="D45" s="1" t="s">
        <v>2905</v>
      </c>
      <c r="E45" s="3">
        <v>13134</v>
      </c>
      <c r="F45" s="1" t="str">
        <f>VLOOKUP(D45,Table17[[Name]:[Native]],3,FALSE)</f>
        <v>荣成市</v>
      </c>
      <c r="G45" s="14" t="str">
        <f ca="1">VLOOKUP(F45,Table17[[Native]:[Population4]],5,FALSE)</f>
        <v>威海市</v>
      </c>
    </row>
    <row r="46" spans="1:7" ht="15.75" thickBot="1" x14ac:dyDescent="0.3">
      <c r="A46" t="s">
        <v>2980</v>
      </c>
      <c r="B46" s="1" t="s">
        <v>2981</v>
      </c>
      <c r="C46" s="1" t="s">
        <v>13</v>
      </c>
      <c r="D46" s="1" t="s">
        <v>2905</v>
      </c>
      <c r="E46" s="3">
        <v>27116</v>
      </c>
      <c r="F46" s="1" t="str">
        <f>VLOOKUP(D46,Table17[[Name]:[Native]],3,FALSE)</f>
        <v>荣成市</v>
      </c>
      <c r="G46" s="14" t="str">
        <f ca="1">VLOOKUP(F46,Table17[[Native]:[Population4]],5,FALSE)</f>
        <v>威海市</v>
      </c>
    </row>
    <row r="47" spans="1:7" ht="15.75" thickBot="1" x14ac:dyDescent="0.3">
      <c r="A47" t="s">
        <v>2982</v>
      </c>
      <c r="B47" s="1" t="s">
        <v>2983</v>
      </c>
      <c r="C47" s="1" t="s">
        <v>7</v>
      </c>
      <c r="D47" s="1" t="s">
        <v>2902</v>
      </c>
      <c r="E47" s="3">
        <v>62408</v>
      </c>
      <c r="F47" s="1" t="str">
        <f>VLOOKUP(D47,Table17[[Name]:[Native]],3,FALSE)</f>
        <v>文登区</v>
      </c>
      <c r="G47" s="14" t="str">
        <f ca="1">VLOOKUP(F47,Table17[[Native]:[Population4]],5,FALSE)</f>
        <v>威海市</v>
      </c>
    </row>
    <row r="48" spans="1:7" ht="15.75" thickBot="1" x14ac:dyDescent="0.3">
      <c r="A48" t="s">
        <v>2984</v>
      </c>
      <c r="B48" s="1" t="s">
        <v>2985</v>
      </c>
      <c r="C48" s="1" t="s">
        <v>7</v>
      </c>
      <c r="D48" s="1" t="s">
        <v>2899</v>
      </c>
      <c r="E48" s="3">
        <v>92597</v>
      </c>
      <c r="F48" s="1" t="str">
        <f>VLOOKUP(D48,Table17[[Name]:[Native]],3,FALSE)</f>
        <v>环翠区</v>
      </c>
      <c r="G48" s="14" t="str">
        <f ca="1">VLOOKUP(F48,Table17[[Native]:[Population4]],5,FALSE)</f>
        <v>威海市</v>
      </c>
    </row>
    <row r="49" spans="1:7" ht="15.75" thickBot="1" x14ac:dyDescent="0.3">
      <c r="A49" t="s">
        <v>2986</v>
      </c>
      <c r="B49" s="1" t="s">
        <v>2987</v>
      </c>
      <c r="C49" s="1" t="s">
        <v>7</v>
      </c>
      <c r="D49" s="1" t="s">
        <v>2905</v>
      </c>
      <c r="E49" s="3">
        <v>16530</v>
      </c>
      <c r="F49" s="1" t="str">
        <f>VLOOKUP(D49,Table17[[Name]:[Native]],3,FALSE)</f>
        <v>荣成市</v>
      </c>
      <c r="G49" s="14" t="str">
        <f ca="1">VLOOKUP(F49,Table17[[Native]:[Population4]],5,FALSE)</f>
        <v>威海市</v>
      </c>
    </row>
    <row r="50" spans="1:7" ht="15.75" thickBot="1" x14ac:dyDescent="0.3">
      <c r="A50" t="s">
        <v>2988</v>
      </c>
      <c r="B50" s="1" t="s">
        <v>2989</v>
      </c>
      <c r="C50" s="1" t="s">
        <v>13</v>
      </c>
      <c r="D50" s="1" t="s">
        <v>2899</v>
      </c>
      <c r="E50" s="3">
        <v>24061</v>
      </c>
      <c r="F50" s="1" t="str">
        <f>VLOOKUP(D50,Table17[[Name]:[Native]],3,FALSE)</f>
        <v>环翠区</v>
      </c>
      <c r="G50" s="14" t="str">
        <f ca="1">VLOOKUP(F50,Table17[[Native]:[Population4]],5,FALSE)</f>
        <v>威海市</v>
      </c>
    </row>
    <row r="51" spans="1:7" ht="15.75" thickBot="1" x14ac:dyDescent="0.3">
      <c r="A51" t="s">
        <v>2990</v>
      </c>
      <c r="B51" s="1" t="s">
        <v>2991</v>
      </c>
      <c r="C51" s="1" t="s">
        <v>495</v>
      </c>
      <c r="D51" s="1" t="s">
        <v>2902</v>
      </c>
      <c r="E51" s="3">
        <v>31274</v>
      </c>
      <c r="F51" s="1" t="str">
        <f>VLOOKUP(D51,Table17[[Name]:[Native]],3,FALSE)</f>
        <v>文登区</v>
      </c>
      <c r="G51" s="14" t="str">
        <f ca="1">VLOOKUP(F51,Table17[[Native]:[Population4]],5,FALSE)</f>
        <v>威海市</v>
      </c>
    </row>
    <row r="52" spans="1:7" ht="15.75" thickBot="1" x14ac:dyDescent="0.3">
      <c r="A52" t="s">
        <v>2992</v>
      </c>
      <c r="B52" s="1" t="s">
        <v>2993</v>
      </c>
      <c r="C52" s="1" t="s">
        <v>13</v>
      </c>
      <c r="D52" s="1" t="s">
        <v>2902</v>
      </c>
      <c r="E52" s="3">
        <v>32280</v>
      </c>
      <c r="F52" s="1" t="str">
        <f>VLOOKUP(D52,Table17[[Name]:[Native]],3,FALSE)</f>
        <v>文登区</v>
      </c>
      <c r="G52" s="14" t="str">
        <f ca="1">VLOOKUP(F52,Table17[[Native]:[Population4]],5,FALSE)</f>
        <v>威海市</v>
      </c>
    </row>
    <row r="53" spans="1:7" ht="15.75" thickBot="1" x14ac:dyDescent="0.3">
      <c r="A53" t="s">
        <v>2994</v>
      </c>
      <c r="B53" s="1" t="s">
        <v>2995</v>
      </c>
      <c r="C53" s="1" t="s">
        <v>13</v>
      </c>
      <c r="D53" s="1" t="s">
        <v>2899</v>
      </c>
      <c r="E53" s="3">
        <v>33486</v>
      </c>
      <c r="F53" s="1" t="str">
        <f>VLOOKUP(D53,Table17[[Name]:[Native]],3,FALSE)</f>
        <v>环翠区</v>
      </c>
      <c r="G53" s="14" t="str">
        <f ca="1">VLOOKUP(F53,Table17[[Native]:[Population4]],5,FALSE)</f>
        <v>威海市</v>
      </c>
    </row>
    <row r="54" spans="1:7" ht="15.75" thickBot="1" x14ac:dyDescent="0.3">
      <c r="A54" t="s">
        <v>2996</v>
      </c>
      <c r="B54" s="1" t="s">
        <v>2997</v>
      </c>
      <c r="C54" s="1" t="s">
        <v>13</v>
      </c>
      <c r="D54" s="1" t="s">
        <v>2896</v>
      </c>
      <c r="E54" s="3">
        <v>23081</v>
      </c>
      <c r="F54" s="1" t="str">
        <f>VLOOKUP(D54,Table17[[Name]:[Native]],3,FALSE)</f>
        <v>乳山市</v>
      </c>
      <c r="G54" s="14" t="str">
        <f ca="1">VLOOKUP(F54,Table17[[Native]:[Population4]],5,FALSE)</f>
        <v>威海市</v>
      </c>
    </row>
    <row r="55" spans="1:7" ht="15.75" thickBot="1" x14ac:dyDescent="0.3">
      <c r="A55" t="s">
        <v>2998</v>
      </c>
      <c r="B55" s="1" t="s">
        <v>2999</v>
      </c>
      <c r="C55" s="1" t="s">
        <v>13</v>
      </c>
      <c r="D55" s="1" t="s">
        <v>2896</v>
      </c>
      <c r="E55" s="3">
        <v>26863</v>
      </c>
      <c r="F55" s="1" t="str">
        <f>VLOOKUP(D55,Table17[[Name]:[Native]],3,FALSE)</f>
        <v>乳山市</v>
      </c>
      <c r="G55" s="14" t="str">
        <f ca="1">VLOOKUP(F55,Table17[[Native]:[Population4]],5,FALSE)</f>
        <v>威海市</v>
      </c>
    </row>
    <row r="56" spans="1:7" ht="15.75" thickBot="1" x14ac:dyDescent="0.3">
      <c r="A56" t="s">
        <v>3000</v>
      </c>
      <c r="B56" s="1" t="s">
        <v>3001</v>
      </c>
      <c r="C56" s="1" t="s">
        <v>13</v>
      </c>
      <c r="D56" s="1" t="s">
        <v>2896</v>
      </c>
      <c r="E56" s="3">
        <v>38792</v>
      </c>
      <c r="F56" s="1" t="str">
        <f>VLOOKUP(D56,Table17[[Name]:[Native]],3,FALSE)</f>
        <v>乳山市</v>
      </c>
      <c r="G56" s="14" t="str">
        <f ca="1">VLOOKUP(F56,Table17[[Native]:[Population4]],5,FALSE)</f>
        <v>威海市</v>
      </c>
    </row>
    <row r="57" spans="1:7" ht="15.75" thickBot="1" x14ac:dyDescent="0.3">
      <c r="A57" t="s">
        <v>3002</v>
      </c>
      <c r="B57" s="1" t="s">
        <v>3003</v>
      </c>
      <c r="C57" s="1" t="s">
        <v>13</v>
      </c>
      <c r="D57" s="1" t="s">
        <v>2902</v>
      </c>
      <c r="E57" s="3">
        <v>36706</v>
      </c>
      <c r="F57" s="1" t="str">
        <f>VLOOKUP(D57,Table17[[Name]:[Native]],3,FALSE)</f>
        <v>文登区</v>
      </c>
      <c r="G57" s="14" t="str">
        <f ca="1">VLOOKUP(F57,Table17[[Native]:[Population4]],5,FALSE)</f>
        <v>威海市</v>
      </c>
    </row>
    <row r="58" spans="1:7" ht="15.75" thickBot="1" x14ac:dyDescent="0.3">
      <c r="A58" t="s">
        <v>2480</v>
      </c>
      <c r="B58" s="1" t="s">
        <v>2481</v>
      </c>
      <c r="C58" s="1" t="s">
        <v>13</v>
      </c>
      <c r="D58" s="1" t="s">
        <v>2905</v>
      </c>
      <c r="E58" s="3">
        <v>11407</v>
      </c>
      <c r="F58" s="1" t="str">
        <f>VLOOKUP(D58,Table17[[Name]:[Native]],3,FALSE)</f>
        <v>荣成市</v>
      </c>
      <c r="G58" s="14" t="str">
        <f ca="1">VLOOKUP(F58,Table17[[Native]:[Population4]],5,FALSE)</f>
        <v>威海市</v>
      </c>
    </row>
    <row r="59" spans="1:7" ht="15.75" thickBot="1" x14ac:dyDescent="0.3">
      <c r="A59" t="s">
        <v>3004</v>
      </c>
      <c r="B59" s="1" t="s">
        <v>3005</v>
      </c>
      <c r="C59" s="1" t="s">
        <v>7</v>
      </c>
      <c r="D59" s="1" t="s">
        <v>2899</v>
      </c>
      <c r="E59" s="3">
        <v>25187</v>
      </c>
      <c r="F59" s="1" t="str">
        <f>VLOOKUP(D59,Table17[[Name]:[Native]],3,FALSE)</f>
        <v>环翠区</v>
      </c>
      <c r="G59" s="14" t="str">
        <f ca="1">VLOOKUP(F59,Table17[[Native]:[Population4]],5,FALSE)</f>
        <v>威海市</v>
      </c>
    </row>
    <row r="60" spans="1:7" ht="15.75" thickBot="1" x14ac:dyDescent="0.3">
      <c r="A60" t="s">
        <v>3006</v>
      </c>
      <c r="B60" s="1" t="s">
        <v>3007</v>
      </c>
      <c r="C60" s="1" t="s">
        <v>13</v>
      </c>
      <c r="D60" s="1" t="s">
        <v>2896</v>
      </c>
      <c r="E60" s="3">
        <v>17225</v>
      </c>
      <c r="F60" s="1" t="str">
        <f>VLOOKUP(D60,Table17[[Name]:[Native]],3,FALSE)</f>
        <v>乳山市</v>
      </c>
      <c r="G60" s="14" t="str">
        <f ca="1">VLOOKUP(F60,Table17[[Native]:[Population4]],5,FALSE)</f>
        <v>威海市</v>
      </c>
    </row>
    <row r="61" spans="1:7" ht="15.75" thickBot="1" x14ac:dyDescent="0.3">
      <c r="A61" t="s">
        <v>3008</v>
      </c>
      <c r="B61" s="1" t="s">
        <v>3009</v>
      </c>
      <c r="C61" s="1" t="s">
        <v>7</v>
      </c>
      <c r="D61" s="1" t="s">
        <v>2905</v>
      </c>
      <c r="E61" s="3">
        <v>29556</v>
      </c>
      <c r="F61" s="1" t="str">
        <f>VLOOKUP(D61,Table17[[Name]:[Native]],3,FALSE)</f>
        <v>荣成市</v>
      </c>
      <c r="G61" s="14" t="str">
        <f ca="1">VLOOKUP(F61,Table17[[Native]:[Population4]],5,FALSE)</f>
        <v>威海市</v>
      </c>
    </row>
    <row r="62" spans="1:7" ht="15.75" thickBot="1" x14ac:dyDescent="0.3">
      <c r="A62" t="s">
        <v>3010</v>
      </c>
      <c r="B62" s="1" t="s">
        <v>3011</v>
      </c>
      <c r="C62" s="1" t="s">
        <v>13</v>
      </c>
      <c r="D62" s="1" t="s">
        <v>2899</v>
      </c>
      <c r="E62" s="3">
        <v>31118</v>
      </c>
      <c r="F62" s="1" t="str">
        <f>VLOOKUP(D62,Table17[[Name]:[Native]],3,FALSE)</f>
        <v>环翠区</v>
      </c>
      <c r="G62" s="14" t="str">
        <f ca="1">VLOOKUP(F62,Table17[[Native]:[Population4]],5,FALSE)</f>
        <v>威海市</v>
      </c>
    </row>
    <row r="63" spans="1:7" ht="15.75" thickBot="1" x14ac:dyDescent="0.3">
      <c r="A63" t="s">
        <v>3012</v>
      </c>
      <c r="B63" s="1" t="s">
        <v>3013</v>
      </c>
      <c r="C63" s="1" t="s">
        <v>7</v>
      </c>
      <c r="D63" s="1" t="s">
        <v>2905</v>
      </c>
      <c r="E63" s="3">
        <v>139993</v>
      </c>
      <c r="F63" s="1" t="str">
        <f>VLOOKUP(D63,Table17[[Name]:[Native]],3,FALSE)</f>
        <v>荣成市</v>
      </c>
      <c r="G63" s="14" t="str">
        <f ca="1">VLOOKUP(F63,Table17[[Native]:[Population4]],5,FALSE)</f>
        <v>威海市</v>
      </c>
    </row>
    <row r="64" spans="1:7" ht="15.75" thickBot="1" x14ac:dyDescent="0.3">
      <c r="A64" t="s">
        <v>3014</v>
      </c>
      <c r="B64" s="1" t="s">
        <v>3015</v>
      </c>
      <c r="C64" s="1" t="s">
        <v>13</v>
      </c>
      <c r="D64" s="1" t="s">
        <v>2905</v>
      </c>
      <c r="E64" s="3">
        <v>17575</v>
      </c>
      <c r="F64" s="1" t="str">
        <f>VLOOKUP(D64,Table17[[Name]:[Native]],3,FALSE)</f>
        <v>荣成市</v>
      </c>
      <c r="G64" s="14" t="str">
        <f ca="1">VLOOKUP(F64,Table17[[Native]:[Population4]],5,FALSE)</f>
        <v>威海市</v>
      </c>
    </row>
    <row r="65" spans="1:7" ht="15.75" thickBot="1" x14ac:dyDescent="0.3">
      <c r="A65" t="s">
        <v>3016</v>
      </c>
      <c r="B65" s="1" t="s">
        <v>3017</v>
      </c>
      <c r="C65" s="1" t="s">
        <v>13</v>
      </c>
      <c r="D65" s="1" t="s">
        <v>2896</v>
      </c>
      <c r="E65" s="3">
        <v>37165</v>
      </c>
      <c r="F65" s="1" t="str">
        <f>VLOOKUP(D65,Table17[[Name]:[Native]],3,FALSE)</f>
        <v>乳山市</v>
      </c>
      <c r="G65" s="14" t="str">
        <f ca="1">VLOOKUP(F65,Table17[[Native]:[Population4]],5,FALSE)</f>
        <v>威海市</v>
      </c>
    </row>
    <row r="66" spans="1:7" ht="15.75" thickBot="1" x14ac:dyDescent="0.3">
      <c r="A66" t="s">
        <v>3018</v>
      </c>
      <c r="B66" s="1" t="s">
        <v>3019</v>
      </c>
      <c r="C66" s="1" t="s">
        <v>13</v>
      </c>
      <c r="D66" s="1" t="s">
        <v>2905</v>
      </c>
      <c r="E66" s="3">
        <v>11914</v>
      </c>
      <c r="F66" s="1" t="str">
        <f>VLOOKUP(D66,Table17[[Name]:[Native]],3,FALSE)</f>
        <v>荣成市</v>
      </c>
      <c r="G66" s="14" t="str">
        <f ca="1">VLOOKUP(F66,Table17[[Native]:[Population4]],5,FALSE)</f>
        <v>威海市</v>
      </c>
    </row>
    <row r="67" spans="1:7" ht="15.75" thickBot="1" x14ac:dyDescent="0.3">
      <c r="A67" t="s">
        <v>3020</v>
      </c>
      <c r="B67" s="1" t="s">
        <v>3021</v>
      </c>
      <c r="C67" s="1" t="s">
        <v>7</v>
      </c>
      <c r="D67" s="1" t="s">
        <v>2899</v>
      </c>
      <c r="E67" s="3">
        <v>142496</v>
      </c>
      <c r="F67" s="1" t="str">
        <f>VLOOKUP(D67,Table17[[Name]:[Native]],3,FALSE)</f>
        <v>环翠区</v>
      </c>
      <c r="G67" s="14" t="str">
        <f ca="1">VLOOKUP(F67,Table17[[Native]:[Population4]],5,FALSE)</f>
        <v>威海市</v>
      </c>
    </row>
    <row r="68" spans="1:7" ht="15.75" thickBot="1" x14ac:dyDescent="0.3">
      <c r="A68" t="s">
        <v>3022</v>
      </c>
      <c r="B68" s="1" t="s">
        <v>3023</v>
      </c>
      <c r="C68" s="1" t="s">
        <v>13</v>
      </c>
      <c r="D68" s="1" t="s">
        <v>2896</v>
      </c>
      <c r="E68" s="3">
        <v>27429</v>
      </c>
      <c r="F68" s="1" t="str">
        <f>VLOOKUP(D68,Table17[[Name]:[Native]],3,FALSE)</f>
        <v>乳山市</v>
      </c>
      <c r="G68" s="14" t="str">
        <f ca="1">VLOOKUP(F68,Table17[[Native]:[Population4]],5,FALSE)</f>
        <v>威海市</v>
      </c>
    </row>
    <row r="69" spans="1:7" ht="15.75" thickBot="1" x14ac:dyDescent="0.3">
      <c r="A69" t="s">
        <v>3024</v>
      </c>
      <c r="B69" s="1" t="s">
        <v>3025</v>
      </c>
      <c r="C69" s="1" t="s">
        <v>13</v>
      </c>
      <c r="D69" s="1" t="s">
        <v>2902</v>
      </c>
      <c r="E69" s="3">
        <v>24540</v>
      </c>
      <c r="F69" s="1" t="str">
        <f>VLOOKUP(D69,Table17[[Name]:[Native]],3,FALSE)</f>
        <v>文登区</v>
      </c>
      <c r="G69" s="14" t="str">
        <f ca="1">VLOOKUP(F69,Table17[[Native]:[Population4]],5,FALSE)</f>
        <v>威海市</v>
      </c>
    </row>
    <row r="70" spans="1:7" ht="15.75" thickBot="1" x14ac:dyDescent="0.3">
      <c r="A70" t="s">
        <v>3026</v>
      </c>
      <c r="B70" s="1" t="s">
        <v>3027</v>
      </c>
      <c r="C70" s="1" t="s">
        <v>13</v>
      </c>
      <c r="D70" s="1" t="s">
        <v>2902</v>
      </c>
      <c r="E70" s="3">
        <v>33787</v>
      </c>
      <c r="F70" s="1" t="str">
        <f>VLOOKUP(D70,Table17[[Name]:[Native]],3,FALSE)</f>
        <v>文登区</v>
      </c>
      <c r="G70" s="14" t="str">
        <f ca="1">VLOOKUP(F70,Table17[[Native]:[Population4]],5,FALSE)</f>
        <v>威海市</v>
      </c>
    </row>
    <row r="71" spans="1:7" ht="15.75" thickBot="1" x14ac:dyDescent="0.3">
      <c r="A71" t="s">
        <v>3028</v>
      </c>
      <c r="B71" s="1" t="s">
        <v>3029</v>
      </c>
      <c r="C71" s="1" t="s">
        <v>13</v>
      </c>
      <c r="D71" s="1" t="s">
        <v>2899</v>
      </c>
      <c r="E71" s="3">
        <v>58617</v>
      </c>
      <c r="F71" s="1" t="str">
        <f>VLOOKUP(D71,Table17[[Name]:[Native]],3,FALSE)</f>
        <v>环翠区</v>
      </c>
      <c r="G71" s="14" t="str">
        <f ca="1">VLOOKUP(F71,Table17[[Native]:[Population4]],5,FALSE)</f>
        <v>威海市</v>
      </c>
    </row>
    <row r="72" spans="1:7" ht="15.75" thickBot="1" x14ac:dyDescent="0.3">
      <c r="A72" t="s">
        <v>3030</v>
      </c>
      <c r="B72" s="1" t="s">
        <v>3031</v>
      </c>
      <c r="C72" s="1" t="s">
        <v>13</v>
      </c>
      <c r="D72" s="1" t="s">
        <v>2902</v>
      </c>
      <c r="E72" s="3">
        <v>23040</v>
      </c>
      <c r="F72" s="1" t="str">
        <f>VLOOKUP(D72,Table17[[Name]:[Native]],3,FALSE)</f>
        <v>文登区</v>
      </c>
      <c r="G72" s="14" t="str">
        <f ca="1">VLOOKUP(F72,Table17[[Native]:[Population4]],5,FALSE)</f>
        <v>威海市</v>
      </c>
    </row>
    <row r="73" spans="1:7" ht="15.75" thickBot="1" x14ac:dyDescent="0.3">
      <c r="A73" t="s">
        <v>3032</v>
      </c>
      <c r="B73" s="1" t="s">
        <v>3033</v>
      </c>
      <c r="C73" s="1" t="s">
        <v>7</v>
      </c>
      <c r="D73" s="1" t="s">
        <v>2899</v>
      </c>
      <c r="E73" s="3">
        <v>88015</v>
      </c>
      <c r="F73" s="1" t="str">
        <f>VLOOKUP(D73,Table17[[Name]:[Native]],3,FALSE)</f>
        <v>环翠区</v>
      </c>
      <c r="G73" s="14" t="str">
        <f ca="1">VLOOKUP(F73,Table17[[Native]:[Population4]],5,FALSE)</f>
        <v>威海市</v>
      </c>
    </row>
    <row r="74" spans="1:7" ht="15.75" thickBot="1" x14ac:dyDescent="0.3">
      <c r="A74" t="s">
        <v>3034</v>
      </c>
      <c r="B74" s="1" t="s">
        <v>3035</v>
      </c>
      <c r="C74" s="1" t="s">
        <v>13</v>
      </c>
      <c r="D74" s="1" t="s">
        <v>2896</v>
      </c>
      <c r="E74" s="3">
        <v>38557</v>
      </c>
      <c r="F74" s="10" t="str">
        <f>VLOOKUP(D74,Table17[[Name]:[Native]],3,FALSE)</f>
        <v>乳山市</v>
      </c>
      <c r="G74" s="14" t="str">
        <f ca="1">VLOOKUP(F74,Table17[[Native]:[Population4]],5,FALSE)</f>
        <v>威海市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AA54-AEAE-48BA-9F8A-23272A9B0361}">
  <dimension ref="A1:G155"/>
  <sheetViews>
    <sheetView workbookViewId="0">
      <selection activeCell="A2" sqref="A2:G155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3036</v>
      </c>
      <c r="B2" s="1" t="s">
        <v>3037</v>
      </c>
      <c r="C2" s="1" t="s">
        <v>7</v>
      </c>
      <c r="D2" s="1" t="s">
        <v>3038</v>
      </c>
      <c r="E2" s="3">
        <v>32734</v>
      </c>
      <c r="F2" s="9" t="str">
        <f>VLOOKUP(D2,Table17[[Name]:[Native]],3,FALSE)</f>
        <v>莱阳市</v>
      </c>
      <c r="G2" s="14" t="str">
        <f ca="1">VLOOKUP(F2,Table17[[Native]:[Population4]],5,FALSE)</f>
        <v>烟台市</v>
      </c>
    </row>
    <row r="3" spans="1:7" ht="15.75" thickBot="1" x14ac:dyDescent="0.3">
      <c r="A3" t="s">
        <v>3039</v>
      </c>
      <c r="B3" s="1" t="s">
        <v>3040</v>
      </c>
      <c r="C3" s="1" t="s">
        <v>7</v>
      </c>
      <c r="D3" s="1" t="s">
        <v>3041</v>
      </c>
      <c r="E3" s="3">
        <v>54824</v>
      </c>
      <c r="F3" s="1" t="str">
        <f>VLOOKUP(D3,Table17[[Name]:[Native]],3,FALSE)</f>
        <v>芝罘区</v>
      </c>
      <c r="G3" s="14" t="str">
        <f ca="1">VLOOKUP(F3,Table17[[Native]:[Population4]],5,FALSE)</f>
        <v>烟台市</v>
      </c>
    </row>
    <row r="4" spans="1:7" ht="15.75" thickBot="1" x14ac:dyDescent="0.3">
      <c r="A4" t="s">
        <v>3042</v>
      </c>
      <c r="B4" s="1" t="s">
        <v>3043</v>
      </c>
      <c r="C4" s="1" t="s">
        <v>7</v>
      </c>
      <c r="D4" s="1" t="s">
        <v>3044</v>
      </c>
      <c r="E4" s="3">
        <v>24001</v>
      </c>
      <c r="F4" s="1" t="str">
        <f>VLOOKUP(D4,Table17[[Name]:[Native]],3,FALSE)</f>
        <v>福山区</v>
      </c>
      <c r="G4" s="14" t="str">
        <f ca="1">VLOOKUP(F4,Table17[[Native]:[Population4]],5,FALSE)</f>
        <v>烟台市</v>
      </c>
    </row>
    <row r="5" spans="1:7" ht="15.75" thickBot="1" x14ac:dyDescent="0.3">
      <c r="A5" t="s">
        <v>3045</v>
      </c>
      <c r="B5" s="1" t="s">
        <v>3046</v>
      </c>
      <c r="C5" s="1" t="s">
        <v>61</v>
      </c>
      <c r="D5" s="1" t="s">
        <v>3047</v>
      </c>
      <c r="E5" s="3">
        <v>3774</v>
      </c>
      <c r="F5" s="1" t="str">
        <f>VLOOKUP(D5,Table17[[Name]:[Native]],3,FALSE)</f>
        <v>蓬莱区</v>
      </c>
      <c r="G5" s="14" t="str">
        <f ca="1">VLOOKUP(F5,Table17[[Native]:[Population4]],5,FALSE)</f>
        <v>烟台市</v>
      </c>
    </row>
    <row r="6" spans="1:7" ht="15.75" thickBot="1" x14ac:dyDescent="0.3">
      <c r="A6" t="s">
        <v>3048</v>
      </c>
      <c r="B6" s="1" t="s">
        <v>3049</v>
      </c>
      <c r="C6" s="1" t="s">
        <v>13</v>
      </c>
      <c r="D6" s="1" t="s">
        <v>3047</v>
      </c>
      <c r="E6" s="3">
        <v>55856</v>
      </c>
      <c r="F6" s="1" t="str">
        <f>VLOOKUP(D6,Table17[[Name]:[Native]],3,FALSE)</f>
        <v>蓬莱区</v>
      </c>
      <c r="G6" s="14" t="str">
        <f ca="1">VLOOKUP(F6,Table17[[Native]:[Population4]],5,FALSE)</f>
        <v>烟台市</v>
      </c>
    </row>
    <row r="7" spans="1:7" ht="15.75" thickBot="1" x14ac:dyDescent="0.3">
      <c r="A7" t="s">
        <v>3050</v>
      </c>
      <c r="B7" s="1" t="s">
        <v>3051</v>
      </c>
      <c r="C7" s="1" t="s">
        <v>61</v>
      </c>
      <c r="D7" s="1" t="s">
        <v>3047</v>
      </c>
      <c r="E7" s="3">
        <v>1878</v>
      </c>
      <c r="F7" s="1" t="str">
        <f>VLOOKUP(D7,Table17[[Name]:[Native]],3,FALSE)</f>
        <v>蓬莱区</v>
      </c>
      <c r="G7" s="14" t="str">
        <f ca="1">VLOOKUP(F7,Table17[[Native]:[Population4]],5,FALSE)</f>
        <v>烟台市</v>
      </c>
    </row>
    <row r="8" spans="1:7" ht="15.75" thickBot="1" x14ac:dyDescent="0.3">
      <c r="A8" t="s">
        <v>3052</v>
      </c>
      <c r="B8" s="1" t="s">
        <v>3053</v>
      </c>
      <c r="C8" s="1" t="s">
        <v>13</v>
      </c>
      <c r="D8" s="1" t="s">
        <v>3054</v>
      </c>
      <c r="E8" s="3">
        <v>56086</v>
      </c>
      <c r="F8" s="1" t="str">
        <f>VLOOKUP(D8,Table17[[Name]:[Native]],3,FALSE)</f>
        <v>龙口市</v>
      </c>
      <c r="G8" s="14" t="str">
        <f ca="1">VLOOKUP(F8,Table17[[Native]:[Population4]],5,FALSE)</f>
        <v>烟台市</v>
      </c>
    </row>
    <row r="9" spans="1:7" ht="15.75" thickBot="1" x14ac:dyDescent="0.3">
      <c r="A9" t="s">
        <v>3055</v>
      </c>
      <c r="B9" s="1" t="s">
        <v>3056</v>
      </c>
      <c r="C9" s="1" t="s">
        <v>13</v>
      </c>
      <c r="D9" s="1" t="s">
        <v>3057</v>
      </c>
      <c r="E9" s="3">
        <v>30845</v>
      </c>
      <c r="F9" s="1" t="str">
        <f>VLOOKUP(D9,Table17[[Name]:[Native]],3,FALSE)</f>
        <v>招远市</v>
      </c>
      <c r="G9" s="14" t="str">
        <f ca="1">VLOOKUP(F9,Table17[[Native]:[Population4]],5,FALSE)</f>
        <v>烟台市</v>
      </c>
    </row>
    <row r="10" spans="1:7" ht="15.75" thickBot="1" x14ac:dyDescent="0.3">
      <c r="A10" t="s">
        <v>3058</v>
      </c>
      <c r="B10" s="1" t="s">
        <v>3059</v>
      </c>
      <c r="C10" s="1" t="s">
        <v>7</v>
      </c>
      <c r="D10" s="1" t="s">
        <v>3060</v>
      </c>
      <c r="E10" s="3">
        <v>55992</v>
      </c>
      <c r="F10" s="1" t="str">
        <f>VLOOKUP(D10,Table17[[Name]:[Native]],3,FALSE)</f>
        <v>莱山区</v>
      </c>
      <c r="G10" s="14" t="str">
        <f ca="1">VLOOKUP(F10,Table17[[Native]:[Population4]],5,FALSE)</f>
        <v>烟台市</v>
      </c>
    </row>
    <row r="11" spans="1:7" ht="15.75" thickBot="1" x14ac:dyDescent="0.3">
      <c r="A11" t="s">
        <v>3061</v>
      </c>
      <c r="B11" s="1" t="s">
        <v>3062</v>
      </c>
      <c r="C11" s="1" t="s">
        <v>13</v>
      </c>
      <c r="D11" s="1" t="s">
        <v>3057</v>
      </c>
      <c r="E11" s="3">
        <v>29086</v>
      </c>
      <c r="F11" s="1" t="str">
        <f>VLOOKUP(D11,Table17[[Name]:[Native]],3,FALSE)</f>
        <v>招远市</v>
      </c>
      <c r="G11" s="14" t="str">
        <f ca="1">VLOOKUP(F11,Table17[[Native]:[Population4]],5,FALSE)</f>
        <v>烟台市</v>
      </c>
    </row>
    <row r="12" spans="1:7" ht="15.75" thickBot="1" x14ac:dyDescent="0.3">
      <c r="A12" t="s">
        <v>3063</v>
      </c>
      <c r="B12" s="1" t="s">
        <v>3064</v>
      </c>
      <c r="C12" s="1" t="s">
        <v>13</v>
      </c>
      <c r="D12" s="1" t="s">
        <v>3047</v>
      </c>
      <c r="E12" s="3">
        <v>27014</v>
      </c>
      <c r="F12" s="1" t="str">
        <f>VLOOKUP(D12,Table17[[Name]:[Native]],3,FALSE)</f>
        <v>蓬莱区</v>
      </c>
      <c r="G12" s="14" t="str">
        <f ca="1">VLOOKUP(F12,Table17[[Native]:[Population4]],5,FALSE)</f>
        <v>烟台市</v>
      </c>
    </row>
    <row r="13" spans="1:7" ht="15.75" thickBot="1" x14ac:dyDescent="0.3">
      <c r="A13" t="s">
        <v>3065</v>
      </c>
      <c r="B13" s="1" t="s">
        <v>3066</v>
      </c>
      <c r="C13" s="1" t="s">
        <v>7</v>
      </c>
      <c r="D13" s="1" t="s">
        <v>3067</v>
      </c>
      <c r="E13" s="3">
        <v>69738</v>
      </c>
      <c r="F13" s="1" t="str">
        <f>VLOOKUP(D13,Table17[[Name]:[Native]],3,FALSE)</f>
        <v>莱州市</v>
      </c>
      <c r="G13" s="14" t="str">
        <f ca="1">VLOOKUP(F13,Table17[[Native]:[Population4]],5,FALSE)</f>
        <v>烟台市</v>
      </c>
    </row>
    <row r="14" spans="1:7" ht="15.75" thickBot="1" x14ac:dyDescent="0.3">
      <c r="A14" t="s">
        <v>3068</v>
      </c>
      <c r="B14" s="1" t="s">
        <v>3069</v>
      </c>
      <c r="C14" s="1" t="s">
        <v>13</v>
      </c>
      <c r="D14" s="1" t="s">
        <v>3067</v>
      </c>
      <c r="E14" s="3">
        <v>48639</v>
      </c>
      <c r="F14" s="1" t="str">
        <f>VLOOKUP(D14,Table17[[Name]:[Native]],3,FALSE)</f>
        <v>莱州市</v>
      </c>
      <c r="G14" s="14" t="str">
        <f ca="1">VLOOKUP(F14,Table17[[Native]:[Population4]],5,FALSE)</f>
        <v>烟台市</v>
      </c>
    </row>
    <row r="15" spans="1:7" ht="15.75" thickBot="1" x14ac:dyDescent="0.3">
      <c r="A15" t="s">
        <v>3070</v>
      </c>
      <c r="B15" s="1" t="s">
        <v>3071</v>
      </c>
      <c r="C15" s="1" t="s">
        <v>7</v>
      </c>
      <c r="D15" s="1" t="s">
        <v>3038</v>
      </c>
      <c r="E15" s="3">
        <v>172357</v>
      </c>
      <c r="F15" s="1" t="str">
        <f>VLOOKUP(D15,Table17[[Name]:[Native]],3,FALSE)</f>
        <v>莱阳市</v>
      </c>
      <c r="G15" s="14" t="str">
        <f ca="1">VLOOKUP(F15,Table17[[Native]:[Population4]],5,FALSE)</f>
        <v>烟台市</v>
      </c>
    </row>
    <row r="16" spans="1:7" ht="15.75" thickBot="1" x14ac:dyDescent="0.3">
      <c r="A16" t="s">
        <v>3072</v>
      </c>
      <c r="B16" s="1" t="s">
        <v>3073</v>
      </c>
      <c r="C16" s="1" t="s">
        <v>7</v>
      </c>
      <c r="D16" s="1" t="s">
        <v>3060</v>
      </c>
      <c r="E16" s="3">
        <v>61867</v>
      </c>
      <c r="F16" s="1" t="str">
        <f>VLOOKUP(D16,Table17[[Name]:[Native]],3,FALSE)</f>
        <v>莱山区</v>
      </c>
      <c r="G16" s="14" t="str">
        <f ca="1">VLOOKUP(F16,Table17[[Native]:[Population4]],5,FALSE)</f>
        <v>烟台市</v>
      </c>
    </row>
    <row r="17" spans="1:7" ht="15.75" thickBot="1" x14ac:dyDescent="0.3">
      <c r="A17" t="s">
        <v>3074</v>
      </c>
      <c r="B17" s="1" t="s">
        <v>3075</v>
      </c>
      <c r="C17" s="1" t="s">
        <v>7</v>
      </c>
      <c r="D17" s="1" t="s">
        <v>3076</v>
      </c>
      <c r="E17" s="3">
        <v>53995</v>
      </c>
      <c r="F17" s="1" t="str">
        <f>VLOOKUP(D17,Table17[[Name]:[Native]],3,FALSE)</f>
        <v>栖霞市</v>
      </c>
      <c r="G17" s="14" t="str">
        <f ca="1">VLOOKUP(F17,Table17[[Native]:[Population4]],5,FALSE)</f>
        <v>烟台市</v>
      </c>
    </row>
    <row r="18" spans="1:7" ht="15.75" thickBot="1" x14ac:dyDescent="0.3">
      <c r="A18" t="s">
        <v>3077</v>
      </c>
      <c r="B18" s="1" t="s">
        <v>3078</v>
      </c>
      <c r="C18" s="1" t="s">
        <v>13</v>
      </c>
      <c r="D18" s="1" t="s">
        <v>3047</v>
      </c>
      <c r="E18" s="3">
        <v>41373</v>
      </c>
      <c r="F18" s="1" t="str">
        <f>VLOOKUP(D18,Table17[[Name]:[Native]],3,FALSE)</f>
        <v>蓬莱区</v>
      </c>
      <c r="G18" s="14" t="str">
        <f ca="1">VLOOKUP(F18,Table17[[Native]:[Population4]],5,FALSE)</f>
        <v>烟台市</v>
      </c>
    </row>
    <row r="19" spans="1:7" ht="15.75" thickBot="1" x14ac:dyDescent="0.3">
      <c r="A19" t="s">
        <v>3079</v>
      </c>
      <c r="B19" s="1" t="s">
        <v>3080</v>
      </c>
      <c r="C19" s="1" t="s">
        <v>7</v>
      </c>
      <c r="D19" s="1" t="s">
        <v>3044</v>
      </c>
      <c r="E19" s="3">
        <v>32495</v>
      </c>
      <c r="F19" s="1" t="str">
        <f>VLOOKUP(D19,Table17[[Name]:[Native]],3,FALSE)</f>
        <v>福山区</v>
      </c>
      <c r="G19" s="14" t="str">
        <f ca="1">VLOOKUP(F19,Table17[[Native]:[Population4]],5,FALSE)</f>
        <v>烟台市</v>
      </c>
    </row>
    <row r="20" spans="1:7" ht="15.75" thickBot="1" x14ac:dyDescent="0.3">
      <c r="A20" t="s">
        <v>3081</v>
      </c>
      <c r="B20" s="1" t="s">
        <v>3082</v>
      </c>
      <c r="C20" s="1" t="s">
        <v>13</v>
      </c>
      <c r="D20" s="1" t="s">
        <v>3038</v>
      </c>
      <c r="E20" s="3">
        <v>29875</v>
      </c>
      <c r="F20" s="1" t="str">
        <f>VLOOKUP(D20,Table17[[Name]:[Native]],3,FALSE)</f>
        <v>莱阳市</v>
      </c>
      <c r="G20" s="14" t="str">
        <f ca="1">VLOOKUP(F20,Table17[[Native]:[Population4]],5,FALSE)</f>
        <v>烟台市</v>
      </c>
    </row>
    <row r="21" spans="1:7" ht="15.75" thickBot="1" x14ac:dyDescent="0.3">
      <c r="A21" t="s">
        <v>3083</v>
      </c>
      <c r="B21" s="1" t="s">
        <v>3084</v>
      </c>
      <c r="C21" s="1" t="s">
        <v>13</v>
      </c>
      <c r="D21" s="1" t="s">
        <v>3047</v>
      </c>
      <c r="E21" s="3">
        <v>24322</v>
      </c>
      <c r="F21" s="1" t="str">
        <f>VLOOKUP(D21,Table17[[Name]:[Native]],3,FALSE)</f>
        <v>蓬莱区</v>
      </c>
      <c r="G21" s="14" t="str">
        <f ca="1">VLOOKUP(F21,Table17[[Native]:[Population4]],5,FALSE)</f>
        <v>烟台市</v>
      </c>
    </row>
    <row r="22" spans="1:7" ht="15.75" thickBot="1" x14ac:dyDescent="0.3">
      <c r="A22" t="s">
        <v>3085</v>
      </c>
      <c r="B22" s="1" t="s">
        <v>3086</v>
      </c>
      <c r="C22" s="1" t="s">
        <v>61</v>
      </c>
      <c r="D22" s="1" t="s">
        <v>3047</v>
      </c>
      <c r="E22" s="3">
        <v>3801</v>
      </c>
      <c r="F22" s="1" t="str">
        <f>VLOOKUP(D22,Table17[[Name]:[Native]],3,FALSE)</f>
        <v>蓬莱区</v>
      </c>
      <c r="G22" s="14" t="str">
        <f ca="1">VLOOKUP(F22,Table17[[Native]:[Population4]],5,FALSE)</f>
        <v>烟台市</v>
      </c>
    </row>
    <row r="23" spans="1:7" ht="15.75" thickBot="1" x14ac:dyDescent="0.3">
      <c r="A23" t="s">
        <v>3087</v>
      </c>
      <c r="B23" s="1" t="s">
        <v>3088</v>
      </c>
      <c r="C23" s="1" t="s">
        <v>7</v>
      </c>
      <c r="D23" s="1" t="s">
        <v>3057</v>
      </c>
      <c r="E23" s="3">
        <v>28538</v>
      </c>
      <c r="F23" s="1" t="str">
        <f>VLOOKUP(D23,Table17[[Name]:[Native]],3,FALSE)</f>
        <v>招远市</v>
      </c>
      <c r="G23" s="14" t="str">
        <f ca="1">VLOOKUP(F23,Table17[[Native]:[Population4]],5,FALSE)</f>
        <v>烟台市</v>
      </c>
    </row>
    <row r="24" spans="1:7" ht="15.75" thickBot="1" x14ac:dyDescent="0.3">
      <c r="A24" t="s">
        <v>3089</v>
      </c>
      <c r="B24" s="1" t="s">
        <v>3090</v>
      </c>
      <c r="C24" s="1" t="s">
        <v>13</v>
      </c>
      <c r="D24" s="1" t="s">
        <v>3047</v>
      </c>
      <c r="E24" s="3">
        <v>67453</v>
      </c>
      <c r="F24" s="1" t="str">
        <f>VLOOKUP(D24,Table17[[Name]:[Native]],3,FALSE)</f>
        <v>蓬莱区</v>
      </c>
      <c r="G24" s="14" t="str">
        <f ca="1">VLOOKUP(F24,Table17[[Native]:[Population4]],5,FALSE)</f>
        <v>烟台市</v>
      </c>
    </row>
    <row r="25" spans="1:7" ht="15.75" thickBot="1" x14ac:dyDescent="0.3">
      <c r="A25" t="s">
        <v>3091</v>
      </c>
      <c r="B25" s="1" t="s">
        <v>3092</v>
      </c>
      <c r="C25" s="1" t="s">
        <v>7</v>
      </c>
      <c r="D25" s="1" t="s">
        <v>3093</v>
      </c>
      <c r="E25" s="3">
        <v>31142</v>
      </c>
      <c r="F25" s="1" t="str">
        <f>VLOOKUP(D25,Table17[[Name]:[Native]],3,FALSE)</f>
        <v>牟平区</v>
      </c>
      <c r="G25" s="14" t="str">
        <f ca="1">VLOOKUP(F25,Table17[[Native]:[Population4]],5,FALSE)</f>
        <v>烟台市</v>
      </c>
    </row>
    <row r="26" spans="1:7" ht="15.75" thickBot="1" x14ac:dyDescent="0.3">
      <c r="A26" t="s">
        <v>3094</v>
      </c>
      <c r="B26" s="1" t="s">
        <v>3095</v>
      </c>
      <c r="C26" s="1" t="s">
        <v>7</v>
      </c>
      <c r="D26" s="1" t="s">
        <v>3047</v>
      </c>
      <c r="E26" s="3">
        <v>70939</v>
      </c>
      <c r="F26" s="1" t="str">
        <f>VLOOKUP(D26,Table17[[Name]:[Native]],3,FALSE)</f>
        <v>蓬莱区</v>
      </c>
      <c r="G26" s="14" t="str">
        <f ca="1">VLOOKUP(F26,Table17[[Native]:[Population4]],5,FALSE)</f>
        <v>烟台市</v>
      </c>
    </row>
    <row r="27" spans="1:7" ht="15.75" thickBot="1" x14ac:dyDescent="0.3">
      <c r="A27" t="s">
        <v>3096</v>
      </c>
      <c r="B27" s="1" t="s">
        <v>3097</v>
      </c>
      <c r="C27" s="1" t="s">
        <v>7</v>
      </c>
      <c r="D27" s="1" t="s">
        <v>3098</v>
      </c>
      <c r="E27" s="3">
        <v>79039</v>
      </c>
      <c r="F27" s="1" t="str">
        <f>VLOOKUP(D27,Table17[[Name]:[Native]],3,FALSE)</f>
        <v>海阳市</v>
      </c>
      <c r="G27" s="14" t="str">
        <f ca="1">VLOOKUP(F27,Table17[[Native]:[Population4]],5,FALSE)</f>
        <v>烟台市</v>
      </c>
    </row>
    <row r="28" spans="1:7" ht="15.75" thickBot="1" x14ac:dyDescent="0.3">
      <c r="A28" t="s">
        <v>3099</v>
      </c>
      <c r="B28" s="1" t="s">
        <v>3100</v>
      </c>
      <c r="C28" s="1" t="s">
        <v>7</v>
      </c>
      <c r="D28" s="1" t="s">
        <v>3054</v>
      </c>
      <c r="E28" s="3">
        <v>65372</v>
      </c>
      <c r="F28" s="1" t="str">
        <f>VLOOKUP(D28,Table17[[Name]:[Native]],3,FALSE)</f>
        <v>龙口市</v>
      </c>
      <c r="G28" s="14" t="str">
        <f ca="1">VLOOKUP(F28,Table17[[Native]:[Population4]],5,FALSE)</f>
        <v>烟台市</v>
      </c>
    </row>
    <row r="29" spans="1:7" ht="15.75" thickBot="1" x14ac:dyDescent="0.3">
      <c r="A29" t="s">
        <v>3101</v>
      </c>
      <c r="B29" s="1" t="s">
        <v>3102</v>
      </c>
      <c r="C29" s="1" t="s">
        <v>7</v>
      </c>
      <c r="D29" s="1" t="s">
        <v>3054</v>
      </c>
      <c r="E29" s="3">
        <v>112454</v>
      </c>
      <c r="F29" s="1" t="str">
        <f>VLOOKUP(D29,Table17[[Name]:[Native]],3,FALSE)</f>
        <v>龙口市</v>
      </c>
      <c r="G29" s="14" t="str">
        <f ca="1">VLOOKUP(F29,Table17[[Native]:[Population4]],5,FALSE)</f>
        <v>烟台市</v>
      </c>
    </row>
    <row r="30" spans="1:7" ht="15.75" thickBot="1" x14ac:dyDescent="0.3">
      <c r="A30" t="s">
        <v>2924</v>
      </c>
      <c r="B30" s="1" t="s">
        <v>2925</v>
      </c>
      <c r="C30" s="1" t="s">
        <v>7</v>
      </c>
      <c r="D30" s="1" t="s">
        <v>3041</v>
      </c>
      <c r="E30" s="3">
        <v>68227</v>
      </c>
      <c r="F30" s="1" t="str">
        <f>VLOOKUP(D30,Table17[[Name]:[Native]],3,FALSE)</f>
        <v>芝罘区</v>
      </c>
      <c r="G30" s="14" t="str">
        <f ca="1">VLOOKUP(F30,Table17[[Native]:[Population4]],5,FALSE)</f>
        <v>烟台市</v>
      </c>
    </row>
    <row r="31" spans="1:7" ht="15.75" thickBot="1" x14ac:dyDescent="0.3">
      <c r="A31" t="s">
        <v>3103</v>
      </c>
      <c r="B31" s="1" t="s">
        <v>3104</v>
      </c>
      <c r="C31" s="1" t="s">
        <v>7</v>
      </c>
      <c r="D31" s="1" t="s">
        <v>3044</v>
      </c>
      <c r="E31" s="3">
        <v>11333</v>
      </c>
      <c r="F31" s="1" t="str">
        <f>VLOOKUP(D31,Table17[[Name]:[Native]],3,FALSE)</f>
        <v>福山区</v>
      </c>
      <c r="G31" s="14" t="str">
        <f ca="1">VLOOKUP(F31,Table17[[Native]:[Population4]],5,FALSE)</f>
        <v>烟台市</v>
      </c>
    </row>
    <row r="32" spans="1:7" ht="15.75" thickBot="1" x14ac:dyDescent="0.3">
      <c r="A32" t="s">
        <v>3105</v>
      </c>
      <c r="B32" s="1" t="s">
        <v>3106</v>
      </c>
      <c r="C32" s="1" t="s">
        <v>13</v>
      </c>
      <c r="D32" s="1" t="s">
        <v>3098</v>
      </c>
      <c r="E32" s="3">
        <v>29402</v>
      </c>
      <c r="F32" s="1" t="str">
        <f>VLOOKUP(D32,Table17[[Name]:[Native]],3,FALSE)</f>
        <v>海阳市</v>
      </c>
      <c r="G32" s="14" t="str">
        <f ca="1">VLOOKUP(F32,Table17[[Native]:[Population4]],5,FALSE)</f>
        <v>烟台市</v>
      </c>
    </row>
    <row r="33" spans="1:7" ht="15.75" thickBot="1" x14ac:dyDescent="0.3">
      <c r="A33" t="s">
        <v>3107</v>
      </c>
      <c r="B33" s="1" t="s">
        <v>3108</v>
      </c>
      <c r="C33" s="1" t="s">
        <v>13</v>
      </c>
      <c r="D33" s="1" t="s">
        <v>3098</v>
      </c>
      <c r="E33" s="3">
        <v>38677</v>
      </c>
      <c r="F33" s="1" t="str">
        <f>VLOOKUP(D33,Table17[[Name]:[Native]],3,FALSE)</f>
        <v>海阳市</v>
      </c>
      <c r="G33" s="14" t="str">
        <f ca="1">VLOOKUP(F33,Table17[[Native]:[Population4]],5,FALSE)</f>
        <v>烟台市</v>
      </c>
    </row>
    <row r="34" spans="1:7" ht="15.75" thickBot="1" x14ac:dyDescent="0.3">
      <c r="A34" t="s">
        <v>3109</v>
      </c>
      <c r="B34" s="1" t="s">
        <v>3110</v>
      </c>
      <c r="C34" s="1" t="s">
        <v>7</v>
      </c>
      <c r="D34" s="1" t="s">
        <v>3098</v>
      </c>
      <c r="E34" s="3">
        <v>74781</v>
      </c>
      <c r="F34" s="1" t="str">
        <f>VLOOKUP(D34,Table17[[Name]:[Native]],3,FALSE)</f>
        <v>海阳市</v>
      </c>
      <c r="G34" s="14" t="str">
        <f ca="1">VLOOKUP(F34,Table17[[Native]:[Population4]],5,FALSE)</f>
        <v>烟台市</v>
      </c>
    </row>
    <row r="35" spans="1:7" ht="15.75" thickBot="1" x14ac:dyDescent="0.3">
      <c r="A35" t="s">
        <v>981</v>
      </c>
      <c r="B35" s="1" t="s">
        <v>982</v>
      </c>
      <c r="C35" s="1" t="s">
        <v>7</v>
      </c>
      <c r="D35" s="1" t="s">
        <v>3098</v>
      </c>
      <c r="E35" s="3">
        <v>37777</v>
      </c>
      <c r="F35" s="1" t="str">
        <f>VLOOKUP(D35,Table17[[Name]:[Native]],3,FALSE)</f>
        <v>海阳市</v>
      </c>
      <c r="G35" s="14" t="str">
        <f ca="1">VLOOKUP(F35,Table17[[Native]:[Population4]],5,FALSE)</f>
        <v>烟台市</v>
      </c>
    </row>
    <row r="36" spans="1:7" ht="15.75" thickBot="1" x14ac:dyDescent="0.3">
      <c r="A36" t="s">
        <v>3111</v>
      </c>
      <c r="B36" s="1" t="s">
        <v>3112</v>
      </c>
      <c r="C36" s="1" t="s">
        <v>7</v>
      </c>
      <c r="D36" s="1" t="s">
        <v>3038</v>
      </c>
      <c r="E36" s="3">
        <v>32555</v>
      </c>
      <c r="F36" s="1" t="str">
        <f>VLOOKUP(D36,Table17[[Name]:[Native]],3,FALSE)</f>
        <v>莱阳市</v>
      </c>
      <c r="G36" s="14" t="str">
        <f ca="1">VLOOKUP(F36,Table17[[Native]:[Population4]],5,FALSE)</f>
        <v>烟台市</v>
      </c>
    </row>
    <row r="37" spans="1:7" ht="15.75" thickBot="1" x14ac:dyDescent="0.3">
      <c r="A37" t="s">
        <v>3113</v>
      </c>
      <c r="B37" s="1" t="s">
        <v>3114</v>
      </c>
      <c r="C37" s="1" t="s">
        <v>7</v>
      </c>
      <c r="D37" s="1" t="s">
        <v>3041</v>
      </c>
      <c r="E37" s="3">
        <v>59598</v>
      </c>
      <c r="F37" s="1" t="str">
        <f>VLOOKUP(D37,Table17[[Name]:[Native]],3,FALSE)</f>
        <v>芝罘区</v>
      </c>
      <c r="G37" s="14" t="str">
        <f ca="1">VLOOKUP(F37,Table17[[Native]:[Population4]],5,FALSE)</f>
        <v>烟台市</v>
      </c>
    </row>
    <row r="38" spans="1:7" ht="15.75" thickBot="1" x14ac:dyDescent="0.3">
      <c r="A38" t="s">
        <v>3115</v>
      </c>
      <c r="B38" s="1" t="s">
        <v>3116</v>
      </c>
      <c r="C38" s="1" t="s">
        <v>7</v>
      </c>
      <c r="D38" s="1" t="s">
        <v>3044</v>
      </c>
      <c r="E38" s="3">
        <v>164825</v>
      </c>
      <c r="F38" s="1" t="str">
        <f>VLOOKUP(D38,Table17[[Name]:[Native]],3,FALSE)</f>
        <v>福山区</v>
      </c>
      <c r="G38" s="14" t="str">
        <f ca="1">VLOOKUP(F38,Table17[[Native]:[Population4]],5,FALSE)</f>
        <v>烟台市</v>
      </c>
    </row>
    <row r="39" spans="1:7" ht="15.75" thickBot="1" x14ac:dyDescent="0.3">
      <c r="A39" t="s">
        <v>3117</v>
      </c>
      <c r="B39" s="1" t="s">
        <v>3118</v>
      </c>
      <c r="C39" s="1" t="s">
        <v>13</v>
      </c>
      <c r="D39" s="1" t="s">
        <v>3057</v>
      </c>
      <c r="E39" s="3">
        <v>49749</v>
      </c>
      <c r="F39" s="1" t="str">
        <f>VLOOKUP(D39,Table17[[Name]:[Native]],3,FALSE)</f>
        <v>招远市</v>
      </c>
      <c r="G39" s="14" t="str">
        <f ca="1">VLOOKUP(F39,Table17[[Native]:[Population4]],5,FALSE)</f>
        <v>烟台市</v>
      </c>
    </row>
    <row r="40" spans="1:7" ht="15.75" thickBot="1" x14ac:dyDescent="0.3">
      <c r="A40" t="s">
        <v>3119</v>
      </c>
      <c r="B40" s="1" t="s">
        <v>3120</v>
      </c>
      <c r="C40" s="1" t="s">
        <v>7</v>
      </c>
      <c r="D40" s="1" t="s">
        <v>3044</v>
      </c>
      <c r="E40" s="3">
        <v>59633</v>
      </c>
      <c r="F40" s="1" t="str">
        <f>VLOOKUP(D40,Table17[[Name]:[Native]],3,FALSE)</f>
        <v>福山区</v>
      </c>
      <c r="G40" s="14" t="str">
        <f ca="1">VLOOKUP(F40,Table17[[Native]:[Population4]],5,FALSE)</f>
        <v>烟台市</v>
      </c>
    </row>
    <row r="41" spans="1:7" ht="15.75" thickBot="1" x14ac:dyDescent="0.3">
      <c r="A41" t="s">
        <v>3121</v>
      </c>
      <c r="B41" s="1" t="s">
        <v>3122</v>
      </c>
      <c r="C41" s="1" t="s">
        <v>13</v>
      </c>
      <c r="D41" s="1" t="s">
        <v>3038</v>
      </c>
      <c r="E41" s="3">
        <v>29922</v>
      </c>
      <c r="F41" s="1" t="str">
        <f>VLOOKUP(D41,Table17[[Name]:[Native]],3,FALSE)</f>
        <v>莱阳市</v>
      </c>
      <c r="G41" s="14" t="str">
        <f ca="1">VLOOKUP(F41,Table17[[Native]:[Population4]],5,FALSE)</f>
        <v>烟台市</v>
      </c>
    </row>
    <row r="42" spans="1:7" ht="15.75" thickBot="1" x14ac:dyDescent="0.3">
      <c r="A42" t="s">
        <v>3123</v>
      </c>
      <c r="B42" s="1" t="s">
        <v>3124</v>
      </c>
      <c r="C42" s="1" t="s">
        <v>13</v>
      </c>
      <c r="D42" s="1" t="s">
        <v>3093</v>
      </c>
      <c r="E42" s="3">
        <v>32905</v>
      </c>
      <c r="F42" s="1" t="str">
        <f>VLOOKUP(D42,Table17[[Name]:[Native]],3,FALSE)</f>
        <v>牟平区</v>
      </c>
      <c r="G42" s="14" t="str">
        <f ca="1">VLOOKUP(F42,Table17[[Native]:[Population4]],5,FALSE)</f>
        <v>烟台市</v>
      </c>
    </row>
    <row r="43" spans="1:7" ht="15.75" thickBot="1" x14ac:dyDescent="0.3">
      <c r="A43" t="s">
        <v>3125</v>
      </c>
      <c r="B43" s="1" t="s">
        <v>3126</v>
      </c>
      <c r="C43" s="1" t="s">
        <v>13</v>
      </c>
      <c r="D43" s="1" t="s">
        <v>3044</v>
      </c>
      <c r="E43" s="3">
        <v>21159</v>
      </c>
      <c r="F43" s="1" t="str">
        <f>VLOOKUP(D43,Table17[[Name]:[Native]],3,FALSE)</f>
        <v>福山区</v>
      </c>
      <c r="G43" s="14" t="str">
        <f ca="1">VLOOKUP(F43,Table17[[Native]:[Population4]],5,FALSE)</f>
        <v>烟台市</v>
      </c>
    </row>
    <row r="44" spans="1:7" ht="15.75" thickBot="1" x14ac:dyDescent="0.3">
      <c r="A44" t="s">
        <v>3127</v>
      </c>
      <c r="B44" s="1" t="s">
        <v>3128</v>
      </c>
      <c r="C44" s="1" t="s">
        <v>13</v>
      </c>
      <c r="D44" s="1" t="s">
        <v>3076</v>
      </c>
      <c r="E44" s="3">
        <v>28440</v>
      </c>
      <c r="F44" s="1" t="str">
        <f>VLOOKUP(D44,Table17[[Name]:[Native]],3,FALSE)</f>
        <v>栖霞市</v>
      </c>
      <c r="G44" s="14" t="str">
        <f ca="1">VLOOKUP(F44,Table17[[Native]:[Population4]],5,FALSE)</f>
        <v>烟台市</v>
      </c>
    </row>
    <row r="45" spans="1:7" ht="15.75" thickBot="1" x14ac:dyDescent="0.3">
      <c r="A45" t="s">
        <v>3129</v>
      </c>
      <c r="B45" s="1" t="s">
        <v>3130</v>
      </c>
      <c r="C45" s="1" t="s">
        <v>13</v>
      </c>
      <c r="D45" s="1" t="s">
        <v>3076</v>
      </c>
      <c r="E45" s="3">
        <v>33022</v>
      </c>
      <c r="F45" s="1" t="str">
        <f>VLOOKUP(D45,Table17[[Name]:[Native]],3,FALSE)</f>
        <v>栖霞市</v>
      </c>
      <c r="G45" s="14" t="str">
        <f ca="1">VLOOKUP(F45,Table17[[Native]:[Population4]],5,FALSE)</f>
        <v>烟台市</v>
      </c>
    </row>
    <row r="46" spans="1:7" ht="15.75" thickBot="1" x14ac:dyDescent="0.3">
      <c r="A46" t="s">
        <v>3131</v>
      </c>
      <c r="B46" s="1" t="s">
        <v>3132</v>
      </c>
      <c r="C46" s="1" t="s">
        <v>13</v>
      </c>
      <c r="D46" s="1" t="s">
        <v>3093</v>
      </c>
      <c r="E46" s="3">
        <v>50377</v>
      </c>
      <c r="F46" s="1" t="str">
        <f>VLOOKUP(D46,Table17[[Name]:[Native]],3,FALSE)</f>
        <v>牟平区</v>
      </c>
      <c r="G46" s="14" t="str">
        <f ca="1">VLOOKUP(F46,Table17[[Native]:[Population4]],5,FALSE)</f>
        <v>烟台市</v>
      </c>
    </row>
    <row r="47" spans="1:7" ht="15.75" thickBot="1" x14ac:dyDescent="0.3">
      <c r="A47" t="s">
        <v>3133</v>
      </c>
      <c r="B47" s="1" t="s">
        <v>3134</v>
      </c>
      <c r="C47" s="1" t="s">
        <v>7</v>
      </c>
      <c r="D47" s="1" t="s">
        <v>3038</v>
      </c>
      <c r="E47" s="3">
        <v>52224</v>
      </c>
      <c r="F47" s="1" t="str">
        <f>VLOOKUP(D47,Table17[[Name]:[Native]],3,FALSE)</f>
        <v>莱阳市</v>
      </c>
      <c r="G47" s="14" t="str">
        <f ca="1">VLOOKUP(F47,Table17[[Native]:[Population4]],5,FALSE)</f>
        <v>烟台市</v>
      </c>
    </row>
    <row r="48" spans="1:7" ht="15.75" thickBot="1" x14ac:dyDescent="0.3">
      <c r="A48" t="s">
        <v>3135</v>
      </c>
      <c r="B48" s="1" t="s">
        <v>3136</v>
      </c>
      <c r="C48" s="1" t="s">
        <v>13</v>
      </c>
      <c r="D48" s="1" t="s">
        <v>3098</v>
      </c>
      <c r="E48" s="3">
        <v>32892</v>
      </c>
      <c r="F48" s="1" t="str">
        <f>VLOOKUP(D48,Table17[[Name]:[Native]],3,FALSE)</f>
        <v>海阳市</v>
      </c>
      <c r="G48" s="14" t="str">
        <f ca="1">VLOOKUP(F48,Table17[[Native]:[Population4]],5,FALSE)</f>
        <v>烟台市</v>
      </c>
    </row>
    <row r="49" spans="1:7" ht="15.75" thickBot="1" x14ac:dyDescent="0.3">
      <c r="A49" t="s">
        <v>3137</v>
      </c>
      <c r="B49" s="1" t="s">
        <v>3138</v>
      </c>
      <c r="C49" s="1" t="s">
        <v>13</v>
      </c>
      <c r="D49" s="1" t="s">
        <v>3067</v>
      </c>
      <c r="E49" s="3">
        <v>50544</v>
      </c>
      <c r="F49" s="1" t="str">
        <f>VLOOKUP(D49,Table17[[Name]:[Native]],3,FALSE)</f>
        <v>莱州市</v>
      </c>
      <c r="G49" s="14" t="str">
        <f ca="1">VLOOKUP(F49,Table17[[Native]:[Population4]],5,FALSE)</f>
        <v>烟台市</v>
      </c>
    </row>
    <row r="50" spans="1:7" ht="15.75" thickBot="1" x14ac:dyDescent="0.3">
      <c r="A50" t="s">
        <v>3139</v>
      </c>
      <c r="B50" s="1" t="s">
        <v>3140</v>
      </c>
      <c r="C50" s="1" t="s">
        <v>7</v>
      </c>
      <c r="D50" s="1" t="s">
        <v>3044</v>
      </c>
      <c r="E50" s="3">
        <v>91489</v>
      </c>
      <c r="F50" s="1" t="str">
        <f>VLOOKUP(D50,Table17[[Name]:[Native]],3,FALSE)</f>
        <v>福山区</v>
      </c>
      <c r="G50" s="14" t="str">
        <f ca="1">VLOOKUP(F50,Table17[[Native]:[Population4]],5,FALSE)</f>
        <v>烟台市</v>
      </c>
    </row>
    <row r="51" spans="1:7" ht="15.75" thickBot="1" x14ac:dyDescent="0.3">
      <c r="A51" t="s">
        <v>3141</v>
      </c>
      <c r="B51" s="1" t="s">
        <v>3142</v>
      </c>
      <c r="C51" s="1" t="s">
        <v>61</v>
      </c>
      <c r="D51" s="1" t="s">
        <v>3047</v>
      </c>
      <c r="E51" s="3">
        <v>1668</v>
      </c>
      <c r="F51" s="1" t="str">
        <f>VLOOKUP(D51,Table17[[Name]:[Native]],3,FALSE)</f>
        <v>蓬莱区</v>
      </c>
      <c r="G51" s="14" t="str">
        <f ca="1">VLOOKUP(F51,Table17[[Native]:[Population4]],5,FALSE)</f>
        <v>烟台市</v>
      </c>
    </row>
    <row r="52" spans="1:7" ht="15.75" thickBot="1" x14ac:dyDescent="0.3">
      <c r="A52" t="s">
        <v>3143</v>
      </c>
      <c r="B52" s="1" t="s">
        <v>3144</v>
      </c>
      <c r="C52" s="1" t="s">
        <v>13</v>
      </c>
      <c r="D52" s="1" t="s">
        <v>3038</v>
      </c>
      <c r="E52" s="3">
        <v>22488</v>
      </c>
      <c r="F52" s="1" t="str">
        <f>VLOOKUP(D52,Table17[[Name]:[Native]],3,FALSE)</f>
        <v>莱阳市</v>
      </c>
      <c r="G52" s="14" t="str">
        <f ca="1">VLOOKUP(F52,Table17[[Native]:[Population4]],5,FALSE)</f>
        <v>烟台市</v>
      </c>
    </row>
    <row r="53" spans="1:7" ht="15.75" thickBot="1" x14ac:dyDescent="0.3">
      <c r="A53" t="s">
        <v>3145</v>
      </c>
      <c r="B53" s="1" t="s">
        <v>3146</v>
      </c>
      <c r="C53" s="1" t="s">
        <v>7</v>
      </c>
      <c r="D53" s="1" t="s">
        <v>3060</v>
      </c>
      <c r="E53" s="3">
        <v>89463</v>
      </c>
      <c r="F53" s="1" t="str">
        <f>VLOOKUP(D53,Table17[[Name]:[Native]],3,FALSE)</f>
        <v>莱山区</v>
      </c>
      <c r="G53" s="14" t="str">
        <f ca="1">VLOOKUP(F53,Table17[[Native]:[Population4]],5,FALSE)</f>
        <v>烟台市</v>
      </c>
    </row>
    <row r="54" spans="1:7" ht="15.75" thickBot="1" x14ac:dyDescent="0.3">
      <c r="A54" t="s">
        <v>3147</v>
      </c>
      <c r="B54" s="1" t="s">
        <v>3148</v>
      </c>
      <c r="C54" s="1" t="s">
        <v>13</v>
      </c>
      <c r="D54" s="1" t="s">
        <v>3054</v>
      </c>
      <c r="E54" s="3">
        <v>11044</v>
      </c>
      <c r="F54" s="1" t="str">
        <f>VLOOKUP(D54,Table17[[Name]:[Native]],3,FALSE)</f>
        <v>龙口市</v>
      </c>
      <c r="G54" s="14" t="str">
        <f ca="1">VLOOKUP(F54,Table17[[Native]:[Population4]],5,FALSE)</f>
        <v>烟台市</v>
      </c>
    </row>
    <row r="55" spans="1:7" ht="15.75" thickBot="1" x14ac:dyDescent="0.3">
      <c r="A55" t="s">
        <v>3149</v>
      </c>
      <c r="B55" s="1" t="s">
        <v>3150</v>
      </c>
      <c r="C55" s="1" t="s">
        <v>7</v>
      </c>
      <c r="D55" s="1" t="s">
        <v>3041</v>
      </c>
      <c r="E55" s="3">
        <v>63625</v>
      </c>
      <c r="F55" s="1" t="str">
        <f>VLOOKUP(D55,Table17[[Name]:[Native]],3,FALSE)</f>
        <v>芝罘区</v>
      </c>
      <c r="G55" s="14" t="str">
        <f ca="1">VLOOKUP(F55,Table17[[Native]:[Population4]],5,FALSE)</f>
        <v>烟台市</v>
      </c>
    </row>
    <row r="56" spans="1:7" ht="15.75" thickBot="1" x14ac:dyDescent="0.3">
      <c r="A56" t="s">
        <v>3151</v>
      </c>
      <c r="B56" s="1" t="s">
        <v>3152</v>
      </c>
      <c r="C56" s="1" t="s">
        <v>13</v>
      </c>
      <c r="D56" s="1" t="s">
        <v>3044</v>
      </c>
      <c r="E56" s="3">
        <v>27471</v>
      </c>
      <c r="F56" s="1" t="str">
        <f>VLOOKUP(D56,Table17[[Name]:[Native]],3,FALSE)</f>
        <v>福山区</v>
      </c>
      <c r="G56" s="14" t="str">
        <f ca="1">VLOOKUP(F56,Table17[[Native]:[Population4]],5,FALSE)</f>
        <v>烟台市</v>
      </c>
    </row>
    <row r="57" spans="1:7" ht="15.75" thickBot="1" x14ac:dyDescent="0.3">
      <c r="A57" t="s">
        <v>3153</v>
      </c>
      <c r="B57" s="1" t="s">
        <v>3154</v>
      </c>
      <c r="C57" s="1" t="s">
        <v>13</v>
      </c>
      <c r="D57" s="1" t="s">
        <v>3067</v>
      </c>
      <c r="E57" s="3">
        <v>48456</v>
      </c>
      <c r="F57" s="1" t="str">
        <f>VLOOKUP(D57,Table17[[Name]:[Native]],3,FALSE)</f>
        <v>莱州市</v>
      </c>
      <c r="G57" s="14" t="str">
        <f ca="1">VLOOKUP(F57,Table17[[Native]:[Population4]],5,FALSE)</f>
        <v>烟台市</v>
      </c>
    </row>
    <row r="58" spans="1:7" ht="15.75" thickBot="1" x14ac:dyDescent="0.3">
      <c r="A58" t="s">
        <v>3155</v>
      </c>
      <c r="B58" s="1" t="s">
        <v>3156</v>
      </c>
      <c r="C58" s="1" t="s">
        <v>7</v>
      </c>
      <c r="D58" s="1" t="s">
        <v>3093</v>
      </c>
      <c r="E58" s="3">
        <v>37791</v>
      </c>
      <c r="F58" s="1" t="str">
        <f>VLOOKUP(D58,Table17[[Name]:[Native]],3,FALSE)</f>
        <v>牟平区</v>
      </c>
      <c r="G58" s="14" t="str">
        <f ca="1">VLOOKUP(F58,Table17[[Native]:[Population4]],5,FALSE)</f>
        <v>烟台市</v>
      </c>
    </row>
    <row r="59" spans="1:7" ht="15.75" thickBot="1" x14ac:dyDescent="0.3">
      <c r="A59" t="s">
        <v>3157</v>
      </c>
      <c r="B59" s="1" t="s">
        <v>3158</v>
      </c>
      <c r="C59" s="1" t="s">
        <v>13</v>
      </c>
      <c r="D59" s="1" t="s">
        <v>3038</v>
      </c>
      <c r="E59" s="3">
        <v>53285</v>
      </c>
      <c r="F59" s="1" t="str">
        <f>VLOOKUP(D59,Table17[[Name]:[Native]],3,FALSE)</f>
        <v>莱阳市</v>
      </c>
      <c r="G59" s="14" t="str">
        <f ca="1">VLOOKUP(F59,Table17[[Native]:[Population4]],5,FALSE)</f>
        <v>烟台市</v>
      </c>
    </row>
    <row r="60" spans="1:7" ht="15.75" thickBot="1" x14ac:dyDescent="0.3">
      <c r="A60" t="s">
        <v>3159</v>
      </c>
      <c r="B60" s="1" t="s">
        <v>3160</v>
      </c>
      <c r="C60" s="1" t="s">
        <v>7</v>
      </c>
      <c r="D60" s="1" t="s">
        <v>3060</v>
      </c>
      <c r="E60" s="3">
        <v>19343</v>
      </c>
      <c r="F60" s="1" t="str">
        <f>VLOOKUP(D60,Table17[[Name]:[Native]],3,FALSE)</f>
        <v>莱山区</v>
      </c>
      <c r="G60" s="14" t="str">
        <f ca="1">VLOOKUP(F60,Table17[[Native]:[Population4]],5,FALSE)</f>
        <v>烟台市</v>
      </c>
    </row>
    <row r="61" spans="1:7" ht="15.75" thickBot="1" x14ac:dyDescent="0.3">
      <c r="A61" t="s">
        <v>3161</v>
      </c>
      <c r="B61" s="1" t="s">
        <v>3162</v>
      </c>
      <c r="C61" s="1" t="s">
        <v>13</v>
      </c>
      <c r="D61" s="1" t="s">
        <v>3067</v>
      </c>
      <c r="E61" s="3">
        <v>34004</v>
      </c>
      <c r="F61" s="1" t="str">
        <f>VLOOKUP(D61,Table17[[Name]:[Native]],3,FALSE)</f>
        <v>莱州市</v>
      </c>
      <c r="G61" s="14" t="str">
        <f ca="1">VLOOKUP(F61,Table17[[Native]:[Population4]],5,FALSE)</f>
        <v>烟台市</v>
      </c>
    </row>
    <row r="62" spans="1:7" ht="15.75" thickBot="1" x14ac:dyDescent="0.3">
      <c r="A62" t="s">
        <v>3163</v>
      </c>
      <c r="B62" s="1" t="s">
        <v>3164</v>
      </c>
      <c r="C62" s="1" t="s">
        <v>13</v>
      </c>
      <c r="D62" s="1" t="s">
        <v>3057</v>
      </c>
      <c r="E62" s="3">
        <v>37209</v>
      </c>
      <c r="F62" s="1" t="str">
        <f>VLOOKUP(D62,Table17[[Name]:[Native]],3,FALSE)</f>
        <v>招远市</v>
      </c>
      <c r="G62" s="14" t="str">
        <f ca="1">VLOOKUP(F62,Table17[[Native]:[Population4]],5,FALSE)</f>
        <v>烟台市</v>
      </c>
    </row>
    <row r="63" spans="1:7" ht="15.75" thickBot="1" x14ac:dyDescent="0.3">
      <c r="A63" t="s">
        <v>3165</v>
      </c>
      <c r="B63" s="1" t="s">
        <v>3166</v>
      </c>
      <c r="C63" s="1" t="s">
        <v>13</v>
      </c>
      <c r="D63" s="1" t="s">
        <v>3093</v>
      </c>
      <c r="E63" s="3">
        <v>17393</v>
      </c>
      <c r="F63" s="1" t="str">
        <f>VLOOKUP(D63,Table17[[Name]:[Native]],3,FALSE)</f>
        <v>牟平区</v>
      </c>
      <c r="G63" s="14" t="str">
        <f ca="1">VLOOKUP(F63,Table17[[Native]:[Population4]],5,FALSE)</f>
        <v>烟台市</v>
      </c>
    </row>
    <row r="64" spans="1:7" ht="15.75" thickBot="1" x14ac:dyDescent="0.3">
      <c r="A64" t="s">
        <v>3167</v>
      </c>
      <c r="B64" s="1" t="s">
        <v>3168</v>
      </c>
      <c r="C64" s="1" t="s">
        <v>7</v>
      </c>
      <c r="D64" s="1" t="s">
        <v>3060</v>
      </c>
      <c r="E64" s="3">
        <v>42125</v>
      </c>
      <c r="F64" s="1" t="str">
        <f>VLOOKUP(D64,Table17[[Name]:[Native]],3,FALSE)</f>
        <v>莱山区</v>
      </c>
      <c r="G64" s="14" t="str">
        <f ca="1">VLOOKUP(F64,Table17[[Native]:[Population4]],5,FALSE)</f>
        <v>烟台市</v>
      </c>
    </row>
    <row r="65" spans="1:7" ht="15.75" thickBot="1" x14ac:dyDescent="0.3">
      <c r="A65" t="s">
        <v>3169</v>
      </c>
      <c r="B65" s="1" t="s">
        <v>3170</v>
      </c>
      <c r="C65" s="1" t="s">
        <v>13</v>
      </c>
      <c r="D65" s="1" t="s">
        <v>3054</v>
      </c>
      <c r="E65" s="3">
        <v>42643</v>
      </c>
      <c r="F65" s="1" t="str">
        <f>VLOOKUP(D65,Table17[[Name]:[Native]],3,FALSE)</f>
        <v>龙口市</v>
      </c>
      <c r="G65" s="14" t="str">
        <f ca="1">VLOOKUP(F65,Table17[[Native]:[Population4]],5,FALSE)</f>
        <v>烟台市</v>
      </c>
    </row>
    <row r="66" spans="1:7" ht="15.75" thickBot="1" x14ac:dyDescent="0.3">
      <c r="A66" t="s">
        <v>3171</v>
      </c>
      <c r="B66" s="1" t="s">
        <v>3172</v>
      </c>
      <c r="C66" s="1" t="s">
        <v>13</v>
      </c>
      <c r="D66" s="1" t="s">
        <v>3057</v>
      </c>
      <c r="E66" s="3">
        <v>27888</v>
      </c>
      <c r="F66" s="1" t="str">
        <f>VLOOKUP(D66,Table17[[Name]:[Native]],3,FALSE)</f>
        <v>招远市</v>
      </c>
      <c r="G66" s="14" t="str">
        <f ca="1">VLOOKUP(F66,Table17[[Native]:[Population4]],5,FALSE)</f>
        <v>烟台市</v>
      </c>
    </row>
    <row r="67" spans="1:7" ht="15.75" thickBot="1" x14ac:dyDescent="0.3">
      <c r="A67" t="s">
        <v>3173</v>
      </c>
      <c r="B67" s="1" t="s">
        <v>3174</v>
      </c>
      <c r="C67" s="1" t="s">
        <v>13</v>
      </c>
      <c r="D67" s="1" t="s">
        <v>3098</v>
      </c>
      <c r="E67" s="3">
        <v>59418</v>
      </c>
      <c r="F67" s="1" t="str">
        <f>VLOOKUP(D67,Table17[[Name]:[Native]],3,FALSE)</f>
        <v>海阳市</v>
      </c>
      <c r="G67" s="14" t="str">
        <f ca="1">VLOOKUP(F67,Table17[[Native]:[Population4]],5,FALSE)</f>
        <v>烟台市</v>
      </c>
    </row>
    <row r="68" spans="1:7" ht="15.75" thickBot="1" x14ac:dyDescent="0.3">
      <c r="A68" t="s">
        <v>3175</v>
      </c>
      <c r="B68" s="1" t="s">
        <v>3176</v>
      </c>
      <c r="C68" s="1" t="s">
        <v>13</v>
      </c>
      <c r="D68" s="1" t="s">
        <v>3047</v>
      </c>
      <c r="E68" s="3">
        <v>28547</v>
      </c>
      <c r="F68" s="1" t="str">
        <f>VLOOKUP(D68,Table17[[Name]:[Native]],3,FALSE)</f>
        <v>蓬莱区</v>
      </c>
      <c r="G68" s="14" t="str">
        <f ca="1">VLOOKUP(F68,Table17[[Native]:[Population4]],5,FALSE)</f>
        <v>烟台市</v>
      </c>
    </row>
    <row r="69" spans="1:7" ht="15.75" thickBot="1" x14ac:dyDescent="0.3">
      <c r="A69" t="s">
        <v>3177</v>
      </c>
      <c r="B69" s="1" t="s">
        <v>3178</v>
      </c>
      <c r="C69" s="1" t="s">
        <v>7</v>
      </c>
      <c r="D69" s="1" t="s">
        <v>3054</v>
      </c>
      <c r="E69" s="3">
        <v>145140</v>
      </c>
      <c r="F69" s="1" t="str">
        <f>VLOOKUP(D69,Table17[[Name]:[Native]],3,FALSE)</f>
        <v>龙口市</v>
      </c>
      <c r="G69" s="14" t="str">
        <f ca="1">VLOOKUP(F69,Table17[[Native]:[Population4]],5,FALSE)</f>
        <v>烟台市</v>
      </c>
    </row>
    <row r="70" spans="1:7" ht="15.75" thickBot="1" x14ac:dyDescent="0.3">
      <c r="A70" t="s">
        <v>3179</v>
      </c>
      <c r="B70" s="1" t="s">
        <v>3180</v>
      </c>
      <c r="C70" s="1" t="s">
        <v>13</v>
      </c>
      <c r="D70" s="1" t="s">
        <v>3093</v>
      </c>
      <c r="E70" s="3">
        <v>24154</v>
      </c>
      <c r="F70" s="1" t="str">
        <f>VLOOKUP(D70,Table17[[Name]:[Native]],3,FALSE)</f>
        <v>牟平区</v>
      </c>
      <c r="G70" s="14" t="str">
        <f ca="1">VLOOKUP(F70,Table17[[Native]:[Population4]],5,FALSE)</f>
        <v>烟台市</v>
      </c>
    </row>
    <row r="71" spans="1:7" ht="15.75" thickBot="1" x14ac:dyDescent="0.3">
      <c r="A71" t="s">
        <v>3181</v>
      </c>
      <c r="B71" s="1" t="s">
        <v>1053</v>
      </c>
      <c r="C71" s="1" t="s">
        <v>7</v>
      </c>
      <c r="D71" s="1" t="s">
        <v>3098</v>
      </c>
      <c r="E71" s="3">
        <v>27151</v>
      </c>
      <c r="F71" s="1" t="str">
        <f>VLOOKUP(D71,Table17[[Name]:[Native]],3,FALSE)</f>
        <v>海阳市</v>
      </c>
      <c r="G71" s="14" t="str">
        <f ca="1">VLOOKUP(F71,Table17[[Native]:[Population4]],5,FALSE)</f>
        <v>烟台市</v>
      </c>
    </row>
    <row r="72" spans="1:7" ht="15.75" thickBot="1" x14ac:dyDescent="0.3">
      <c r="A72" t="s">
        <v>3182</v>
      </c>
      <c r="B72" s="1" t="s">
        <v>3183</v>
      </c>
      <c r="C72" s="1" t="s">
        <v>7</v>
      </c>
      <c r="D72" s="1" t="s">
        <v>3038</v>
      </c>
      <c r="E72" s="3">
        <v>36420</v>
      </c>
      <c r="F72" s="1" t="str">
        <f>VLOOKUP(D72,Table17[[Name]:[Native]],3,FALSE)</f>
        <v>莱阳市</v>
      </c>
      <c r="G72" s="14" t="str">
        <f ca="1">VLOOKUP(F72,Table17[[Native]:[Population4]],5,FALSE)</f>
        <v>烟台市</v>
      </c>
    </row>
    <row r="73" spans="1:7" ht="15.75" thickBot="1" x14ac:dyDescent="0.3">
      <c r="A73" t="s">
        <v>3184</v>
      </c>
      <c r="B73" s="1" t="s">
        <v>3185</v>
      </c>
      <c r="C73" s="1" t="s">
        <v>13</v>
      </c>
      <c r="D73" s="1" t="s">
        <v>3038</v>
      </c>
      <c r="E73" s="3">
        <v>26142</v>
      </c>
      <c r="F73" s="1" t="str">
        <f>VLOOKUP(D73,Table17[[Name]:[Native]],3,FALSE)</f>
        <v>莱阳市</v>
      </c>
      <c r="G73" s="14" t="str">
        <f ca="1">VLOOKUP(F73,Table17[[Native]:[Population4]],5,FALSE)</f>
        <v>烟台市</v>
      </c>
    </row>
    <row r="74" spans="1:7" ht="15.75" thickBot="1" x14ac:dyDescent="0.3">
      <c r="A74" t="s">
        <v>3186</v>
      </c>
      <c r="B74" s="1" t="s">
        <v>3187</v>
      </c>
      <c r="C74" s="1" t="s">
        <v>7</v>
      </c>
      <c r="D74" s="1" t="s">
        <v>3057</v>
      </c>
      <c r="E74" s="3">
        <v>69174</v>
      </c>
      <c r="F74" s="1" t="str">
        <f>VLOOKUP(D74,Table17[[Name]:[Native]],3,FALSE)</f>
        <v>招远市</v>
      </c>
      <c r="G74" s="14" t="str">
        <f ca="1">VLOOKUP(F74,Table17[[Native]:[Population4]],5,FALSE)</f>
        <v>烟台市</v>
      </c>
    </row>
    <row r="75" spans="1:7" ht="15.75" thickBot="1" x14ac:dyDescent="0.3">
      <c r="A75" t="s">
        <v>3188</v>
      </c>
      <c r="B75" s="1" t="s">
        <v>3189</v>
      </c>
      <c r="C75" s="1" t="s">
        <v>13</v>
      </c>
      <c r="D75" s="1" t="s">
        <v>3054</v>
      </c>
      <c r="E75" s="3">
        <v>31130</v>
      </c>
      <c r="F75" s="1" t="str">
        <f>VLOOKUP(D75,Table17[[Name]:[Native]],3,FALSE)</f>
        <v>龙口市</v>
      </c>
      <c r="G75" s="14" t="str">
        <f ca="1">VLOOKUP(F75,Table17[[Native]:[Population4]],5,FALSE)</f>
        <v>烟台市</v>
      </c>
    </row>
    <row r="76" spans="1:7" ht="15.75" thickBot="1" x14ac:dyDescent="0.3">
      <c r="A76" t="s">
        <v>3190</v>
      </c>
      <c r="B76" s="1" t="s">
        <v>3191</v>
      </c>
      <c r="C76" s="1" t="s">
        <v>7</v>
      </c>
      <c r="D76" s="1" t="s">
        <v>3060</v>
      </c>
      <c r="E76" s="3">
        <v>44314</v>
      </c>
      <c r="F76" s="1" t="str">
        <f>VLOOKUP(D76,Table17[[Name]:[Native]],3,FALSE)</f>
        <v>莱山区</v>
      </c>
      <c r="G76" s="14" t="str">
        <f ca="1">VLOOKUP(F76,Table17[[Native]:[Population4]],5,FALSE)</f>
        <v>烟台市</v>
      </c>
    </row>
    <row r="77" spans="1:7" ht="15.75" thickBot="1" x14ac:dyDescent="0.3">
      <c r="A77" t="s">
        <v>3192</v>
      </c>
      <c r="B77" s="1" t="s">
        <v>3193</v>
      </c>
      <c r="C77" s="1" t="s">
        <v>7</v>
      </c>
      <c r="D77" s="1" t="s">
        <v>3057</v>
      </c>
      <c r="E77" s="3">
        <v>26403</v>
      </c>
      <c r="F77" s="1" t="str">
        <f>VLOOKUP(D77,Table17[[Name]:[Native]],3,FALSE)</f>
        <v>招远市</v>
      </c>
      <c r="G77" s="14" t="str">
        <f ca="1">VLOOKUP(F77,Table17[[Native]:[Population4]],5,FALSE)</f>
        <v>烟台市</v>
      </c>
    </row>
    <row r="78" spans="1:7" ht="15.75" thickBot="1" x14ac:dyDescent="0.3">
      <c r="A78" t="s">
        <v>3194</v>
      </c>
      <c r="B78" s="1" t="s">
        <v>3195</v>
      </c>
      <c r="C78" s="1" t="s">
        <v>7</v>
      </c>
      <c r="D78" s="1" t="s">
        <v>3044</v>
      </c>
      <c r="E78" s="3">
        <v>48423</v>
      </c>
      <c r="F78" s="1" t="str">
        <f>VLOOKUP(D78,Table17[[Name]:[Native]],3,FALSE)</f>
        <v>福山区</v>
      </c>
      <c r="G78" s="14" t="str">
        <f ca="1">VLOOKUP(F78,Table17[[Native]:[Population4]],5,FALSE)</f>
        <v>烟台市</v>
      </c>
    </row>
    <row r="79" spans="1:7" ht="15.75" thickBot="1" x14ac:dyDescent="0.3">
      <c r="A79" t="s">
        <v>3196</v>
      </c>
      <c r="B79" s="1" t="s">
        <v>3197</v>
      </c>
      <c r="C79" s="1" t="s">
        <v>13</v>
      </c>
      <c r="D79" s="1" t="s">
        <v>3076</v>
      </c>
      <c r="E79" s="3">
        <v>17795</v>
      </c>
      <c r="F79" s="1" t="str">
        <f>VLOOKUP(D79,Table17[[Name]:[Native]],3,FALSE)</f>
        <v>栖霞市</v>
      </c>
      <c r="G79" s="14" t="str">
        <f ca="1">VLOOKUP(F79,Table17[[Native]:[Population4]],5,FALSE)</f>
        <v>烟台市</v>
      </c>
    </row>
    <row r="80" spans="1:7" ht="15.75" thickBot="1" x14ac:dyDescent="0.3">
      <c r="A80" t="s">
        <v>3198</v>
      </c>
      <c r="B80" s="1" t="s">
        <v>3199</v>
      </c>
      <c r="C80" s="1" t="s">
        <v>13</v>
      </c>
      <c r="D80" s="1" t="s">
        <v>3038</v>
      </c>
      <c r="E80" s="3">
        <v>63130</v>
      </c>
      <c r="F80" s="1" t="str">
        <f>VLOOKUP(D80,Table17[[Name]:[Native]],3,FALSE)</f>
        <v>莱阳市</v>
      </c>
      <c r="G80" s="14" t="str">
        <f ca="1">VLOOKUP(F80,Table17[[Native]:[Population4]],5,FALSE)</f>
        <v>烟台市</v>
      </c>
    </row>
    <row r="81" spans="1:7" ht="15.75" thickBot="1" x14ac:dyDescent="0.3">
      <c r="A81" t="s">
        <v>3200</v>
      </c>
      <c r="B81" s="1" t="s">
        <v>3201</v>
      </c>
      <c r="C81" s="1" t="s">
        <v>7</v>
      </c>
      <c r="D81" s="1" t="s">
        <v>3047</v>
      </c>
      <c r="E81" s="3">
        <v>24414</v>
      </c>
      <c r="F81" s="1" t="str">
        <f>VLOOKUP(D81,Table17[[Name]:[Native]],3,FALSE)</f>
        <v>蓬莱区</v>
      </c>
      <c r="G81" s="14" t="str">
        <f ca="1">VLOOKUP(F81,Table17[[Native]:[Population4]],5,FALSE)</f>
        <v>烟台市</v>
      </c>
    </row>
    <row r="82" spans="1:7" ht="15.75" thickBot="1" x14ac:dyDescent="0.3">
      <c r="A82" t="s">
        <v>3202</v>
      </c>
      <c r="B82" s="1" t="s">
        <v>3203</v>
      </c>
      <c r="C82" s="1" t="s">
        <v>61</v>
      </c>
      <c r="D82" s="1" t="s">
        <v>3047</v>
      </c>
      <c r="E82" s="3">
        <v>1074</v>
      </c>
      <c r="F82" s="1" t="str">
        <f>VLOOKUP(D82,Table17[[Name]:[Native]],3,FALSE)</f>
        <v>蓬莱区</v>
      </c>
      <c r="G82" s="14" t="str">
        <f ca="1">VLOOKUP(F82,Table17[[Native]:[Population4]],5,FALSE)</f>
        <v>烟台市</v>
      </c>
    </row>
    <row r="83" spans="1:7" ht="15.75" thickBot="1" x14ac:dyDescent="0.3">
      <c r="A83" t="s">
        <v>3204</v>
      </c>
      <c r="B83" s="1" t="s">
        <v>3205</v>
      </c>
      <c r="C83" s="1" t="s">
        <v>7</v>
      </c>
      <c r="D83" s="1" t="s">
        <v>3047</v>
      </c>
      <c r="E83" s="3">
        <v>21340</v>
      </c>
      <c r="F83" s="1" t="str">
        <f>VLOOKUP(D83,Table17[[Name]:[Native]],3,FALSE)</f>
        <v>蓬莱区</v>
      </c>
      <c r="G83" s="14" t="str">
        <f ca="1">VLOOKUP(F83,Table17[[Native]:[Population4]],5,FALSE)</f>
        <v>烟台市</v>
      </c>
    </row>
    <row r="84" spans="1:7" ht="15.75" thickBot="1" x14ac:dyDescent="0.3">
      <c r="A84" t="s">
        <v>3206</v>
      </c>
      <c r="B84" s="1" t="s">
        <v>3207</v>
      </c>
      <c r="C84" s="1" t="s">
        <v>7</v>
      </c>
      <c r="D84" s="1" t="s">
        <v>3093</v>
      </c>
      <c r="E84" s="3">
        <v>96301</v>
      </c>
      <c r="F84" s="1" t="str">
        <f>VLOOKUP(D84,Table17[[Name]:[Native]],3,FALSE)</f>
        <v>牟平区</v>
      </c>
      <c r="G84" s="14" t="str">
        <f ca="1">VLOOKUP(F84,Table17[[Native]:[Population4]],5,FALSE)</f>
        <v>烟台市</v>
      </c>
    </row>
    <row r="85" spans="1:7" ht="15.75" thickBot="1" x14ac:dyDescent="0.3">
      <c r="A85" t="s">
        <v>3208</v>
      </c>
      <c r="B85" s="1" t="s">
        <v>3209</v>
      </c>
      <c r="C85" s="1" t="s">
        <v>13</v>
      </c>
      <c r="D85" s="1" t="s">
        <v>3098</v>
      </c>
      <c r="E85" s="3">
        <v>27572</v>
      </c>
      <c r="F85" s="1" t="str">
        <f>VLOOKUP(D85,Table17[[Name]:[Native]],3,FALSE)</f>
        <v>海阳市</v>
      </c>
      <c r="G85" s="14" t="str">
        <f ca="1">VLOOKUP(F85,Table17[[Native]:[Population4]],5,FALSE)</f>
        <v>烟台市</v>
      </c>
    </row>
    <row r="86" spans="1:7" ht="15.75" thickBot="1" x14ac:dyDescent="0.3">
      <c r="A86" t="s">
        <v>3210</v>
      </c>
      <c r="B86" s="1" t="s">
        <v>3211</v>
      </c>
      <c r="C86" s="1" t="s">
        <v>7</v>
      </c>
      <c r="D86" s="1" t="s">
        <v>3047</v>
      </c>
      <c r="E86" s="3">
        <v>18010</v>
      </c>
      <c r="F86" s="1" t="str">
        <f>VLOOKUP(D86,Table17[[Name]:[Native]],3,FALSE)</f>
        <v>蓬莱区</v>
      </c>
      <c r="G86" s="14" t="str">
        <f ca="1">VLOOKUP(F86,Table17[[Native]:[Population4]],5,FALSE)</f>
        <v>烟台市</v>
      </c>
    </row>
    <row r="87" spans="1:7" ht="15.75" thickBot="1" x14ac:dyDescent="0.3">
      <c r="A87" t="s">
        <v>3212</v>
      </c>
      <c r="B87" s="1" t="s">
        <v>3213</v>
      </c>
      <c r="C87" s="1" t="s">
        <v>13</v>
      </c>
      <c r="D87" s="1" t="s">
        <v>3067</v>
      </c>
      <c r="E87" s="3">
        <v>41544</v>
      </c>
      <c r="F87" s="1" t="str">
        <f>VLOOKUP(D87,Table17[[Name]:[Native]],3,FALSE)</f>
        <v>莱州市</v>
      </c>
      <c r="G87" s="14" t="str">
        <f ca="1">VLOOKUP(F87,Table17[[Native]:[Population4]],5,FALSE)</f>
        <v>烟台市</v>
      </c>
    </row>
    <row r="88" spans="1:7" ht="15.75" thickBot="1" x14ac:dyDescent="0.3">
      <c r="A88" t="s">
        <v>3214</v>
      </c>
      <c r="B88" s="1" t="s">
        <v>3215</v>
      </c>
      <c r="C88" s="1" t="s">
        <v>13</v>
      </c>
      <c r="D88" s="1" t="s">
        <v>3054</v>
      </c>
      <c r="E88" s="3">
        <v>24313</v>
      </c>
      <c r="F88" s="1" t="str">
        <f>VLOOKUP(D88,Table17[[Name]:[Native]],3,FALSE)</f>
        <v>龙口市</v>
      </c>
      <c r="G88" s="14" t="str">
        <f ca="1">VLOOKUP(F88,Table17[[Native]:[Population4]],5,FALSE)</f>
        <v>烟台市</v>
      </c>
    </row>
    <row r="89" spans="1:7" ht="15.75" thickBot="1" x14ac:dyDescent="0.3">
      <c r="A89" t="s">
        <v>3216</v>
      </c>
      <c r="B89" s="1" t="s">
        <v>3217</v>
      </c>
      <c r="C89" s="1" t="s">
        <v>7</v>
      </c>
      <c r="D89" s="1" t="s">
        <v>3044</v>
      </c>
      <c r="E89" s="3">
        <v>104967</v>
      </c>
      <c r="F89" s="1" t="str">
        <f>VLOOKUP(D89,Table17[[Name]:[Native]],3,FALSE)</f>
        <v>福山区</v>
      </c>
      <c r="G89" s="14" t="str">
        <f ca="1">VLOOKUP(F89,Table17[[Native]:[Population4]],5,FALSE)</f>
        <v>烟台市</v>
      </c>
    </row>
    <row r="90" spans="1:7" ht="15.75" thickBot="1" x14ac:dyDescent="0.3">
      <c r="A90" t="s">
        <v>3218</v>
      </c>
      <c r="B90" s="1" t="s">
        <v>3219</v>
      </c>
      <c r="C90" s="1" t="s">
        <v>7</v>
      </c>
      <c r="D90" s="1" t="s">
        <v>3041</v>
      </c>
      <c r="E90" s="3">
        <v>64906</v>
      </c>
      <c r="F90" s="1" t="str">
        <f>VLOOKUP(D90,Table17[[Name]:[Native]],3,FALSE)</f>
        <v>芝罘区</v>
      </c>
      <c r="G90" s="14" t="str">
        <f ca="1">VLOOKUP(F90,Table17[[Native]:[Population4]],5,FALSE)</f>
        <v>烟台市</v>
      </c>
    </row>
    <row r="91" spans="1:7" ht="15.75" thickBot="1" x14ac:dyDescent="0.3">
      <c r="A91" t="s">
        <v>2460</v>
      </c>
      <c r="B91" s="1" t="s">
        <v>3220</v>
      </c>
      <c r="C91" s="1" t="s">
        <v>13</v>
      </c>
      <c r="D91" s="1" t="s">
        <v>3057</v>
      </c>
      <c r="E91" s="3">
        <v>37865</v>
      </c>
      <c r="F91" s="1" t="str">
        <f>VLOOKUP(D91,Table17[[Name]:[Native]],3,FALSE)</f>
        <v>招远市</v>
      </c>
      <c r="G91" s="14" t="str">
        <f ca="1">VLOOKUP(F91,Table17[[Native]:[Population4]],5,FALSE)</f>
        <v>烟台市</v>
      </c>
    </row>
    <row r="92" spans="1:7" ht="15.75" thickBot="1" x14ac:dyDescent="0.3">
      <c r="A92" t="s">
        <v>3221</v>
      </c>
      <c r="B92" s="1" t="s">
        <v>3222</v>
      </c>
      <c r="C92" s="1" t="s">
        <v>7</v>
      </c>
      <c r="D92" s="1" t="s">
        <v>3057</v>
      </c>
      <c r="E92" s="3">
        <v>45868</v>
      </c>
      <c r="F92" s="1" t="str">
        <f>VLOOKUP(D92,Table17[[Name]:[Native]],3,FALSE)</f>
        <v>招远市</v>
      </c>
      <c r="G92" s="14" t="str">
        <f ca="1">VLOOKUP(F92,Table17[[Native]:[Population4]],5,FALSE)</f>
        <v>烟台市</v>
      </c>
    </row>
    <row r="93" spans="1:7" ht="15.75" thickBot="1" x14ac:dyDescent="0.3">
      <c r="A93" t="s">
        <v>3223</v>
      </c>
      <c r="B93" s="1" t="s">
        <v>3224</v>
      </c>
      <c r="C93" s="1" t="s">
        <v>7</v>
      </c>
      <c r="D93" s="1" t="s">
        <v>3067</v>
      </c>
      <c r="E93" s="3">
        <v>70388</v>
      </c>
      <c r="F93" s="1" t="str">
        <f>VLOOKUP(D93,Table17[[Name]:[Native]],3,FALSE)</f>
        <v>莱州市</v>
      </c>
      <c r="G93" s="14" t="str">
        <f ca="1">VLOOKUP(F93,Table17[[Native]:[Population4]],5,FALSE)</f>
        <v>烟台市</v>
      </c>
    </row>
    <row r="94" spans="1:7" ht="15.75" thickBot="1" x14ac:dyDescent="0.3">
      <c r="A94" t="s">
        <v>1100</v>
      </c>
      <c r="B94" s="1" t="s">
        <v>1101</v>
      </c>
      <c r="C94" s="1" t="s">
        <v>13</v>
      </c>
      <c r="D94" s="1" t="s">
        <v>3067</v>
      </c>
      <c r="E94" s="3">
        <v>102735</v>
      </c>
      <c r="F94" s="1" t="str">
        <f>VLOOKUP(D94,Table17[[Name]:[Native]],3,FALSE)</f>
        <v>莱州市</v>
      </c>
      <c r="G94" s="14" t="str">
        <f ca="1">VLOOKUP(F94,Table17[[Native]:[Population4]],5,FALSE)</f>
        <v>烟台市</v>
      </c>
    </row>
    <row r="95" spans="1:7" ht="15.75" thickBot="1" x14ac:dyDescent="0.3">
      <c r="A95" t="s">
        <v>3225</v>
      </c>
      <c r="B95" s="1" t="s">
        <v>3226</v>
      </c>
      <c r="C95" s="1" t="s">
        <v>13</v>
      </c>
      <c r="D95" s="1" t="s">
        <v>3038</v>
      </c>
      <c r="E95" s="3">
        <v>27748</v>
      </c>
      <c r="F95" s="1" t="str">
        <f>VLOOKUP(D95,Table17[[Name]:[Native]],3,FALSE)</f>
        <v>莱阳市</v>
      </c>
      <c r="G95" s="14" t="str">
        <f ca="1">VLOOKUP(F95,Table17[[Native]:[Population4]],5,FALSE)</f>
        <v>烟台市</v>
      </c>
    </row>
    <row r="96" spans="1:7" ht="15.75" thickBot="1" x14ac:dyDescent="0.3">
      <c r="A96" t="s">
        <v>3227</v>
      </c>
      <c r="B96" s="1" t="s">
        <v>3228</v>
      </c>
      <c r="C96" s="1" t="s">
        <v>13</v>
      </c>
      <c r="D96" s="1" t="s">
        <v>3076</v>
      </c>
      <c r="E96" s="3">
        <v>58162</v>
      </c>
      <c r="F96" s="1" t="str">
        <f>VLOOKUP(D96,Table17[[Name]:[Native]],3,FALSE)</f>
        <v>栖霞市</v>
      </c>
      <c r="G96" s="14" t="str">
        <f ca="1">VLOOKUP(F96,Table17[[Native]:[Population4]],5,FALSE)</f>
        <v>烟台市</v>
      </c>
    </row>
    <row r="97" spans="1:7" ht="15.75" thickBot="1" x14ac:dyDescent="0.3">
      <c r="A97" t="s">
        <v>3229</v>
      </c>
      <c r="B97" s="1" t="s">
        <v>3230</v>
      </c>
      <c r="C97" s="1" t="s">
        <v>7</v>
      </c>
      <c r="D97" s="1" t="s">
        <v>3041</v>
      </c>
      <c r="E97" s="3">
        <v>86596</v>
      </c>
      <c r="F97" s="1" t="str">
        <f>VLOOKUP(D97,Table17[[Name]:[Native]],3,FALSE)</f>
        <v>芝罘区</v>
      </c>
      <c r="G97" s="14" t="str">
        <f ca="1">VLOOKUP(F97,Table17[[Native]:[Population4]],5,FALSE)</f>
        <v>烟台市</v>
      </c>
    </row>
    <row r="98" spans="1:7" ht="15.75" thickBot="1" x14ac:dyDescent="0.3">
      <c r="A98" t="s">
        <v>3231</v>
      </c>
      <c r="B98" s="1" t="s">
        <v>3232</v>
      </c>
      <c r="C98" s="1" t="s">
        <v>13</v>
      </c>
      <c r="D98" s="1" t="s">
        <v>3054</v>
      </c>
      <c r="E98" s="3">
        <v>55362</v>
      </c>
      <c r="F98" s="1" t="str">
        <f>VLOOKUP(D98,Table17[[Name]:[Native]],3,FALSE)</f>
        <v>龙口市</v>
      </c>
      <c r="G98" s="14" t="str">
        <f ca="1">VLOOKUP(F98,Table17[[Native]:[Population4]],5,FALSE)</f>
        <v>烟台市</v>
      </c>
    </row>
    <row r="99" spans="1:7" ht="15.75" thickBot="1" x14ac:dyDescent="0.3">
      <c r="A99" t="s">
        <v>3233</v>
      </c>
      <c r="B99" s="1" t="s">
        <v>3234</v>
      </c>
      <c r="C99" s="1" t="s">
        <v>13</v>
      </c>
      <c r="D99" s="1" t="s">
        <v>3093</v>
      </c>
      <c r="E99" s="3">
        <v>29664</v>
      </c>
      <c r="F99" s="1" t="str">
        <f>VLOOKUP(D99,Table17[[Name]:[Native]],3,FALSE)</f>
        <v>牟平区</v>
      </c>
      <c r="G99" s="14" t="str">
        <f ca="1">VLOOKUP(F99,Table17[[Native]:[Population4]],5,FALSE)</f>
        <v>烟台市</v>
      </c>
    </row>
    <row r="100" spans="1:7" ht="15.75" thickBot="1" x14ac:dyDescent="0.3">
      <c r="A100" t="s">
        <v>3235</v>
      </c>
      <c r="B100" s="1" t="s">
        <v>3236</v>
      </c>
      <c r="C100" s="1" t="s">
        <v>13</v>
      </c>
      <c r="D100" s="1" t="s">
        <v>3076</v>
      </c>
      <c r="E100" s="3">
        <v>19706</v>
      </c>
      <c r="F100" s="1" t="str">
        <f>VLOOKUP(D100,Table17[[Name]:[Native]],3,FALSE)</f>
        <v>栖霞市</v>
      </c>
      <c r="G100" s="14" t="str">
        <f ca="1">VLOOKUP(F100,Table17[[Native]:[Population4]],5,FALSE)</f>
        <v>烟台市</v>
      </c>
    </row>
    <row r="101" spans="1:7" ht="15.75" thickBot="1" x14ac:dyDescent="0.3">
      <c r="A101" t="s">
        <v>3237</v>
      </c>
      <c r="B101" s="1" t="s">
        <v>3238</v>
      </c>
      <c r="C101" s="1" t="s">
        <v>7</v>
      </c>
      <c r="D101" s="1" t="s">
        <v>3076</v>
      </c>
      <c r="E101" s="3">
        <v>37378</v>
      </c>
      <c r="F101" s="1" t="str">
        <f>VLOOKUP(D101,Table17[[Name]:[Native]],3,FALSE)</f>
        <v>栖霞市</v>
      </c>
      <c r="G101" s="14" t="str">
        <f ca="1">VLOOKUP(F101,Table17[[Native]:[Population4]],5,FALSE)</f>
        <v>烟台市</v>
      </c>
    </row>
    <row r="102" spans="1:7" ht="15.75" thickBot="1" x14ac:dyDescent="0.3">
      <c r="A102" t="s">
        <v>3239</v>
      </c>
      <c r="B102" s="1" t="s">
        <v>3240</v>
      </c>
      <c r="C102" s="1" t="s">
        <v>13</v>
      </c>
      <c r="D102" s="1" t="s">
        <v>3076</v>
      </c>
      <c r="E102" s="3">
        <v>32642</v>
      </c>
      <c r="F102" s="1" t="str">
        <f>VLOOKUP(D102,Table17[[Name]:[Native]],3,FALSE)</f>
        <v>栖霞市</v>
      </c>
      <c r="G102" s="14" t="str">
        <f ca="1">VLOOKUP(F102,Table17[[Native]:[Population4]],5,FALSE)</f>
        <v>烟台市</v>
      </c>
    </row>
    <row r="103" spans="1:7" ht="15.75" thickBot="1" x14ac:dyDescent="0.3">
      <c r="A103" t="s">
        <v>3241</v>
      </c>
      <c r="B103" s="1" t="s">
        <v>3242</v>
      </c>
      <c r="C103" s="1" t="s">
        <v>13</v>
      </c>
      <c r="D103" s="1" t="s">
        <v>3038</v>
      </c>
      <c r="E103" s="3">
        <v>45807</v>
      </c>
      <c r="F103" s="1" t="str">
        <f>VLOOKUP(D103,Table17[[Name]:[Native]],3,FALSE)</f>
        <v>莱阳市</v>
      </c>
      <c r="G103" s="14" t="str">
        <f ca="1">VLOOKUP(F103,Table17[[Native]:[Population4]],5,FALSE)</f>
        <v>烟台市</v>
      </c>
    </row>
    <row r="104" spans="1:7" ht="15.75" thickBot="1" x14ac:dyDescent="0.3">
      <c r="A104" t="s">
        <v>3243</v>
      </c>
      <c r="B104" s="1" t="s">
        <v>3244</v>
      </c>
      <c r="C104" s="1" t="s">
        <v>13</v>
      </c>
      <c r="D104" s="1" t="s">
        <v>3076</v>
      </c>
      <c r="E104" s="3">
        <v>25001</v>
      </c>
      <c r="F104" s="1" t="str">
        <f>VLOOKUP(D104,Table17[[Name]:[Native]],3,FALSE)</f>
        <v>栖霞市</v>
      </c>
      <c r="G104" s="14" t="str">
        <f ca="1">VLOOKUP(F104,Table17[[Native]:[Population4]],5,FALSE)</f>
        <v>烟台市</v>
      </c>
    </row>
    <row r="105" spans="1:7" ht="15.75" thickBot="1" x14ac:dyDescent="0.3">
      <c r="A105" t="s">
        <v>3245</v>
      </c>
      <c r="B105" s="1" t="s">
        <v>3246</v>
      </c>
      <c r="C105" s="1" t="s">
        <v>13</v>
      </c>
      <c r="D105" s="1" t="s">
        <v>3076</v>
      </c>
      <c r="E105" s="3">
        <v>79158</v>
      </c>
      <c r="F105" s="1" t="str">
        <f>VLOOKUP(D105,Table17[[Name]:[Native]],3,FALSE)</f>
        <v>栖霞市</v>
      </c>
      <c r="G105" s="14" t="str">
        <f ca="1">VLOOKUP(F105,Table17[[Native]:[Population4]],5,FALSE)</f>
        <v>烟台市</v>
      </c>
    </row>
    <row r="106" spans="1:7" ht="15.75" thickBot="1" x14ac:dyDescent="0.3">
      <c r="A106" t="s">
        <v>3247</v>
      </c>
      <c r="B106" s="1" t="s">
        <v>3248</v>
      </c>
      <c r="C106" s="1" t="s">
        <v>13</v>
      </c>
      <c r="D106" s="1" t="s">
        <v>3076</v>
      </c>
      <c r="E106" s="3">
        <v>30400</v>
      </c>
      <c r="F106" s="1" t="str">
        <f>VLOOKUP(D106,Table17[[Name]:[Native]],3,FALSE)</f>
        <v>栖霞市</v>
      </c>
      <c r="G106" s="14" t="str">
        <f ca="1">VLOOKUP(F106,Table17[[Native]:[Population4]],5,FALSE)</f>
        <v>烟台市</v>
      </c>
    </row>
    <row r="107" spans="1:7" ht="15.75" thickBot="1" x14ac:dyDescent="0.3">
      <c r="A107" t="s">
        <v>3249</v>
      </c>
      <c r="B107" s="1" t="s">
        <v>3250</v>
      </c>
      <c r="C107" s="1" t="s">
        <v>7</v>
      </c>
      <c r="D107" s="1" t="s">
        <v>3041</v>
      </c>
      <c r="E107" s="3">
        <v>32576</v>
      </c>
      <c r="F107" s="1" t="str">
        <f>VLOOKUP(D107,Table17[[Name]:[Native]],3,FALSE)</f>
        <v>芝罘区</v>
      </c>
      <c r="G107" s="14" t="str">
        <f ca="1">VLOOKUP(F107,Table17[[Native]:[Population4]],5,FALSE)</f>
        <v>烟台市</v>
      </c>
    </row>
    <row r="108" spans="1:7" ht="15.75" thickBot="1" x14ac:dyDescent="0.3">
      <c r="A108" t="s">
        <v>3251</v>
      </c>
      <c r="B108" s="1" t="s">
        <v>3252</v>
      </c>
      <c r="C108" s="1" t="s">
        <v>13</v>
      </c>
      <c r="D108" s="1" t="s">
        <v>3038</v>
      </c>
      <c r="E108" s="3">
        <v>63150</v>
      </c>
      <c r="F108" s="1" t="str">
        <f>VLOOKUP(D108,Table17[[Name]:[Native]],3,FALSE)</f>
        <v>莱阳市</v>
      </c>
      <c r="G108" s="14" t="str">
        <f ca="1">VLOOKUP(F108,Table17[[Native]:[Population4]],5,FALSE)</f>
        <v>烟台市</v>
      </c>
    </row>
    <row r="109" spans="1:7" ht="15.75" thickBot="1" x14ac:dyDescent="0.3">
      <c r="A109" t="s">
        <v>3253</v>
      </c>
      <c r="B109" s="1" t="s">
        <v>3254</v>
      </c>
      <c r="C109" s="1" t="s">
        <v>13</v>
      </c>
      <c r="D109" s="1" t="s">
        <v>3047</v>
      </c>
      <c r="E109" s="3">
        <v>6758</v>
      </c>
      <c r="F109" s="1" t="str">
        <f>VLOOKUP(D109,Table17[[Name]:[Native]],3,FALSE)</f>
        <v>蓬莱区</v>
      </c>
      <c r="G109" s="14" t="str">
        <f ca="1">VLOOKUP(F109,Table17[[Native]:[Population4]],5,FALSE)</f>
        <v>烟台市</v>
      </c>
    </row>
    <row r="110" spans="1:7" ht="15.75" thickBot="1" x14ac:dyDescent="0.3">
      <c r="A110" t="s">
        <v>3255</v>
      </c>
      <c r="B110" s="1" t="s">
        <v>3256</v>
      </c>
      <c r="C110" s="1" t="s">
        <v>13</v>
      </c>
      <c r="D110" s="1" t="s">
        <v>3067</v>
      </c>
      <c r="E110" s="3">
        <v>55454</v>
      </c>
      <c r="F110" s="1" t="str">
        <f>VLOOKUP(D110,Table17[[Name]:[Native]],3,FALSE)</f>
        <v>莱州市</v>
      </c>
      <c r="G110" s="14" t="str">
        <f ca="1">VLOOKUP(F110,Table17[[Native]:[Population4]],5,FALSE)</f>
        <v>烟台市</v>
      </c>
    </row>
    <row r="111" spans="1:7" ht="15.75" thickBot="1" x14ac:dyDescent="0.3">
      <c r="A111" t="s">
        <v>3257</v>
      </c>
      <c r="B111" s="1" t="s">
        <v>3258</v>
      </c>
      <c r="C111" s="1" t="s">
        <v>495</v>
      </c>
      <c r="D111" s="1" t="s">
        <v>3098</v>
      </c>
      <c r="E111" s="3">
        <v>18177</v>
      </c>
      <c r="F111" s="1" t="str">
        <f>VLOOKUP(D111,Table17[[Name]:[Native]],3,FALSE)</f>
        <v>海阳市</v>
      </c>
      <c r="G111" s="14" t="str">
        <f ca="1">VLOOKUP(F111,Table17[[Native]:[Population4]],5,FALSE)</f>
        <v>烟台市</v>
      </c>
    </row>
    <row r="112" spans="1:7" ht="15.75" thickBot="1" x14ac:dyDescent="0.3">
      <c r="A112" t="s">
        <v>3259</v>
      </c>
      <c r="B112" s="1" t="s">
        <v>3260</v>
      </c>
      <c r="C112" s="1" t="s">
        <v>13</v>
      </c>
      <c r="D112" s="1" t="s">
        <v>3038</v>
      </c>
      <c r="E112" s="3">
        <v>58732</v>
      </c>
      <c r="F112" s="1" t="str">
        <f>VLOOKUP(D112,Table17[[Name]:[Native]],3,FALSE)</f>
        <v>莱阳市</v>
      </c>
      <c r="G112" s="14" t="str">
        <f ca="1">VLOOKUP(F112,Table17[[Native]:[Population4]],5,FALSE)</f>
        <v>烟台市</v>
      </c>
    </row>
    <row r="113" spans="1:7" ht="15.75" thickBot="1" x14ac:dyDescent="0.3">
      <c r="A113" t="s">
        <v>3261</v>
      </c>
      <c r="B113" s="1" t="s">
        <v>3262</v>
      </c>
      <c r="C113" s="1" t="s">
        <v>13</v>
      </c>
      <c r="D113" s="1" t="s">
        <v>3093</v>
      </c>
      <c r="E113" s="3">
        <v>18666</v>
      </c>
      <c r="F113" s="1" t="str">
        <f>VLOOKUP(D113,Table17[[Name]:[Native]],3,FALSE)</f>
        <v>牟平区</v>
      </c>
      <c r="G113" s="14" t="str">
        <f ca="1">VLOOKUP(F113,Table17[[Native]:[Population4]],5,FALSE)</f>
        <v>烟台市</v>
      </c>
    </row>
    <row r="114" spans="1:7" ht="15.75" thickBot="1" x14ac:dyDescent="0.3">
      <c r="A114" t="s">
        <v>3263</v>
      </c>
      <c r="B114" s="1" t="s">
        <v>3264</v>
      </c>
      <c r="C114" s="1" t="s">
        <v>7</v>
      </c>
      <c r="D114" s="1" t="s">
        <v>3067</v>
      </c>
      <c r="E114" s="3">
        <v>95827</v>
      </c>
      <c r="F114" s="1" t="str">
        <f>VLOOKUP(D114,Table17[[Name]:[Native]],3,FALSE)</f>
        <v>莱州市</v>
      </c>
      <c r="G114" s="14" t="str">
        <f ca="1">VLOOKUP(F114,Table17[[Native]:[Population4]],5,FALSE)</f>
        <v>烟台市</v>
      </c>
    </row>
    <row r="115" spans="1:7" ht="15.75" thickBot="1" x14ac:dyDescent="0.3">
      <c r="A115" t="s">
        <v>3265</v>
      </c>
      <c r="B115" s="1" t="s">
        <v>3266</v>
      </c>
      <c r="C115" s="1" t="s">
        <v>7</v>
      </c>
      <c r="D115" s="1" t="s">
        <v>3067</v>
      </c>
      <c r="E115" s="3">
        <v>22754</v>
      </c>
      <c r="F115" s="1" t="str">
        <f>VLOOKUP(D115,Table17[[Name]:[Native]],3,FALSE)</f>
        <v>莱州市</v>
      </c>
      <c r="G115" s="14" t="str">
        <f ca="1">VLOOKUP(F115,Table17[[Native]:[Population4]],5,FALSE)</f>
        <v>烟台市</v>
      </c>
    </row>
    <row r="116" spans="1:7" ht="15.75" thickBot="1" x14ac:dyDescent="0.3">
      <c r="A116" t="s">
        <v>3267</v>
      </c>
      <c r="B116" s="1" t="s">
        <v>3268</v>
      </c>
      <c r="C116" s="1" t="s">
        <v>7</v>
      </c>
      <c r="D116" s="1" t="s">
        <v>3093</v>
      </c>
      <c r="E116" s="3">
        <v>73094</v>
      </c>
      <c r="F116" s="1" t="str">
        <f>VLOOKUP(D116,Table17[[Name]:[Native]],3,FALSE)</f>
        <v>牟平区</v>
      </c>
      <c r="G116" s="14" t="str">
        <f ca="1">VLOOKUP(F116,Table17[[Native]:[Population4]],5,FALSE)</f>
        <v>烟台市</v>
      </c>
    </row>
    <row r="117" spans="1:7" ht="15.75" thickBot="1" x14ac:dyDescent="0.3">
      <c r="A117" t="s">
        <v>2321</v>
      </c>
      <c r="B117" s="1" t="s">
        <v>2322</v>
      </c>
      <c r="C117" s="1" t="s">
        <v>7</v>
      </c>
      <c r="D117" s="1" t="s">
        <v>3057</v>
      </c>
      <c r="E117" s="3">
        <v>50778</v>
      </c>
      <c r="F117" s="1" t="str">
        <f>VLOOKUP(D117,Table17[[Name]:[Native]],3,FALSE)</f>
        <v>招远市</v>
      </c>
      <c r="G117" s="14" t="str">
        <f ca="1">VLOOKUP(F117,Table17[[Native]:[Population4]],5,FALSE)</f>
        <v>烟台市</v>
      </c>
    </row>
    <row r="118" spans="1:7" ht="15.75" thickBot="1" x14ac:dyDescent="0.3">
      <c r="A118" t="s">
        <v>3269</v>
      </c>
      <c r="B118" s="1" t="s">
        <v>3270</v>
      </c>
      <c r="C118" s="1" t="s">
        <v>7</v>
      </c>
      <c r="D118" s="1" t="s">
        <v>3093</v>
      </c>
      <c r="E118" s="3">
        <v>32227</v>
      </c>
      <c r="F118" s="1" t="str">
        <f>VLOOKUP(D118,Table17[[Name]:[Native]],3,FALSE)</f>
        <v>牟平区</v>
      </c>
      <c r="G118" s="14" t="str">
        <f ca="1">VLOOKUP(F118,Table17[[Native]:[Population4]],5,FALSE)</f>
        <v>烟台市</v>
      </c>
    </row>
    <row r="119" spans="1:7" ht="15.75" thickBot="1" x14ac:dyDescent="0.3">
      <c r="A119" t="s">
        <v>3271</v>
      </c>
      <c r="B119" s="1" t="s">
        <v>3272</v>
      </c>
      <c r="C119" s="1" t="s">
        <v>13</v>
      </c>
      <c r="D119" s="1" t="s">
        <v>3057</v>
      </c>
      <c r="E119" s="3">
        <v>39182</v>
      </c>
      <c r="F119" s="1" t="str">
        <f>VLOOKUP(D119,Table17[[Name]:[Native]],3,FALSE)</f>
        <v>招远市</v>
      </c>
      <c r="G119" s="14" t="str">
        <f ca="1">VLOOKUP(F119,Table17[[Native]:[Population4]],5,FALSE)</f>
        <v>烟台市</v>
      </c>
    </row>
    <row r="120" spans="1:7" ht="15.75" thickBot="1" x14ac:dyDescent="0.3">
      <c r="A120" t="s">
        <v>3273</v>
      </c>
      <c r="B120" s="1" t="s">
        <v>3274</v>
      </c>
      <c r="C120" s="1" t="s">
        <v>13</v>
      </c>
      <c r="D120" s="1" t="s">
        <v>3054</v>
      </c>
      <c r="E120" s="3">
        <v>15534</v>
      </c>
      <c r="F120" s="1" t="str">
        <f>VLOOKUP(D120,Table17[[Name]:[Native]],3,FALSE)</f>
        <v>龙口市</v>
      </c>
      <c r="G120" s="14" t="str">
        <f ca="1">VLOOKUP(F120,Table17[[Native]:[Population4]],5,FALSE)</f>
        <v>烟台市</v>
      </c>
    </row>
    <row r="121" spans="1:7" ht="15.75" thickBot="1" x14ac:dyDescent="0.3">
      <c r="A121" t="s">
        <v>3275</v>
      </c>
      <c r="B121" s="1" t="s">
        <v>3276</v>
      </c>
      <c r="C121" s="1" t="s">
        <v>7</v>
      </c>
      <c r="D121" s="1" t="s">
        <v>3041</v>
      </c>
      <c r="E121" s="3">
        <v>59119</v>
      </c>
      <c r="F121" s="1" t="str">
        <f>VLOOKUP(D121,Table17[[Name]:[Native]],3,FALSE)</f>
        <v>芝罘区</v>
      </c>
      <c r="G121" s="14" t="str">
        <f ca="1">VLOOKUP(F121,Table17[[Native]:[Population4]],5,FALSE)</f>
        <v>烟台市</v>
      </c>
    </row>
    <row r="122" spans="1:7" ht="15.75" thickBot="1" x14ac:dyDescent="0.3">
      <c r="A122" t="s">
        <v>3277</v>
      </c>
      <c r="B122" s="1" t="s">
        <v>3278</v>
      </c>
      <c r="C122" s="1" t="s">
        <v>13</v>
      </c>
      <c r="D122" s="1" t="s">
        <v>3098</v>
      </c>
      <c r="E122" s="3">
        <v>45658</v>
      </c>
      <c r="F122" s="1" t="str">
        <f>VLOOKUP(D122,Table17[[Name]:[Native]],3,FALSE)</f>
        <v>海阳市</v>
      </c>
      <c r="G122" s="14" t="str">
        <f ca="1">VLOOKUP(F122,Table17[[Native]:[Population4]],5,FALSE)</f>
        <v>烟台市</v>
      </c>
    </row>
    <row r="123" spans="1:7" ht="15.75" thickBot="1" x14ac:dyDescent="0.3">
      <c r="A123" t="s">
        <v>3279</v>
      </c>
      <c r="B123" s="1" t="s">
        <v>3280</v>
      </c>
      <c r="C123" s="1" t="s">
        <v>13</v>
      </c>
      <c r="D123" s="1" t="s">
        <v>3047</v>
      </c>
      <c r="E123" s="3">
        <v>35104</v>
      </c>
      <c r="F123" s="1" t="str">
        <f>VLOOKUP(D123,Table17[[Name]:[Native]],3,FALSE)</f>
        <v>蓬莱区</v>
      </c>
      <c r="G123" s="14" t="str">
        <f ca="1">VLOOKUP(F123,Table17[[Native]:[Population4]],5,FALSE)</f>
        <v>烟台市</v>
      </c>
    </row>
    <row r="124" spans="1:7" ht="15.75" thickBot="1" x14ac:dyDescent="0.3">
      <c r="A124" t="s">
        <v>3281</v>
      </c>
      <c r="B124" s="1" t="s">
        <v>3282</v>
      </c>
      <c r="C124" s="1" t="s">
        <v>61</v>
      </c>
      <c r="D124" s="1" t="s">
        <v>3047</v>
      </c>
      <c r="E124" s="3">
        <v>658</v>
      </c>
      <c r="F124" s="1" t="str">
        <f>VLOOKUP(D124,Table17[[Name]:[Native]],3,FALSE)</f>
        <v>蓬莱区</v>
      </c>
      <c r="G124" s="14" t="str">
        <f ca="1">VLOOKUP(F124,Table17[[Native]:[Population4]],5,FALSE)</f>
        <v>烟台市</v>
      </c>
    </row>
    <row r="125" spans="1:7" ht="15.75" thickBot="1" x14ac:dyDescent="0.3">
      <c r="A125" t="s">
        <v>3283</v>
      </c>
      <c r="B125" s="1" t="s">
        <v>3284</v>
      </c>
      <c r="C125" s="1" t="s">
        <v>13</v>
      </c>
      <c r="D125" s="1" t="s">
        <v>3067</v>
      </c>
      <c r="E125" s="3">
        <v>38947</v>
      </c>
      <c r="F125" s="1" t="str">
        <f>VLOOKUP(D125,Table17[[Name]:[Native]],3,FALSE)</f>
        <v>莱州市</v>
      </c>
      <c r="G125" s="14" t="str">
        <f ca="1">VLOOKUP(F125,Table17[[Native]:[Population4]],5,FALSE)</f>
        <v>烟台市</v>
      </c>
    </row>
    <row r="126" spans="1:7" ht="15.75" thickBot="1" x14ac:dyDescent="0.3">
      <c r="A126" t="s">
        <v>3285</v>
      </c>
      <c r="B126" s="1" t="s">
        <v>3286</v>
      </c>
      <c r="C126" s="1" t="s">
        <v>13</v>
      </c>
      <c r="D126" s="1" t="s">
        <v>3076</v>
      </c>
      <c r="E126" s="3">
        <v>19104</v>
      </c>
      <c r="F126" s="1" t="str">
        <f>VLOOKUP(D126,Table17[[Name]:[Native]],3,FALSE)</f>
        <v>栖霞市</v>
      </c>
      <c r="G126" s="14" t="str">
        <f ca="1">VLOOKUP(F126,Table17[[Native]:[Population4]],5,FALSE)</f>
        <v>烟台市</v>
      </c>
    </row>
    <row r="127" spans="1:7" ht="15.75" thickBot="1" x14ac:dyDescent="0.3">
      <c r="A127" t="s">
        <v>3287</v>
      </c>
      <c r="B127" s="1" t="s">
        <v>3288</v>
      </c>
      <c r="C127" s="1" t="s">
        <v>13</v>
      </c>
      <c r="D127" s="1" t="s">
        <v>3098</v>
      </c>
      <c r="E127" s="3">
        <v>45028</v>
      </c>
      <c r="F127" s="1" t="str">
        <f>VLOOKUP(D127,Table17[[Name]:[Native]],3,FALSE)</f>
        <v>海阳市</v>
      </c>
      <c r="G127" s="14" t="str">
        <f ca="1">VLOOKUP(F127,Table17[[Native]:[Population4]],5,FALSE)</f>
        <v>烟台市</v>
      </c>
    </row>
    <row r="128" spans="1:7" ht="15.75" thickBot="1" x14ac:dyDescent="0.3">
      <c r="A128" t="s">
        <v>3289</v>
      </c>
      <c r="B128" s="1" t="s">
        <v>3290</v>
      </c>
      <c r="C128" s="1" t="s">
        <v>7</v>
      </c>
      <c r="D128" s="1" t="s">
        <v>3047</v>
      </c>
      <c r="E128" s="3">
        <v>23952</v>
      </c>
      <c r="F128" s="1" t="str">
        <f>VLOOKUP(D128,Table17[[Name]:[Native]],3,FALSE)</f>
        <v>蓬莱区</v>
      </c>
      <c r="G128" s="14" t="str">
        <f ca="1">VLOOKUP(F128,Table17[[Native]:[Population4]],5,FALSE)</f>
        <v>烟台市</v>
      </c>
    </row>
    <row r="129" spans="1:7" ht="15.75" thickBot="1" x14ac:dyDescent="0.3">
      <c r="A129" t="s">
        <v>3291</v>
      </c>
      <c r="B129" s="1" t="s">
        <v>3292</v>
      </c>
      <c r="C129" s="1" t="s">
        <v>13</v>
      </c>
      <c r="D129" s="1" t="s">
        <v>3098</v>
      </c>
      <c r="E129" s="3">
        <v>44271</v>
      </c>
      <c r="F129" s="1" t="str">
        <f>VLOOKUP(D129,Table17[[Name]:[Native]],3,FALSE)</f>
        <v>海阳市</v>
      </c>
      <c r="G129" s="14" t="str">
        <f ca="1">VLOOKUP(F129,Table17[[Native]:[Population4]],5,FALSE)</f>
        <v>烟台市</v>
      </c>
    </row>
    <row r="130" spans="1:7" ht="15.75" thickBot="1" x14ac:dyDescent="0.3">
      <c r="A130" t="s">
        <v>3293</v>
      </c>
      <c r="B130" s="1" t="s">
        <v>3294</v>
      </c>
      <c r="C130" s="1" t="s">
        <v>7</v>
      </c>
      <c r="D130" s="1" t="s">
        <v>3041</v>
      </c>
      <c r="E130" s="3">
        <v>175093</v>
      </c>
      <c r="F130" s="1" t="str">
        <f>VLOOKUP(D130,Table17[[Name]:[Native]],3,FALSE)</f>
        <v>芝罘区</v>
      </c>
      <c r="G130" s="14" t="str">
        <f ca="1">VLOOKUP(F130,Table17[[Native]:[Population4]],5,FALSE)</f>
        <v>烟台市</v>
      </c>
    </row>
    <row r="131" spans="1:7" ht="15.75" thickBot="1" x14ac:dyDescent="0.3">
      <c r="A131" t="s">
        <v>3295</v>
      </c>
      <c r="B131" s="1" t="s">
        <v>3296</v>
      </c>
      <c r="C131" s="1" t="s">
        <v>7</v>
      </c>
      <c r="D131" s="1" t="s">
        <v>3054</v>
      </c>
      <c r="E131" s="3">
        <v>23481</v>
      </c>
      <c r="F131" s="1" t="str">
        <f>VLOOKUP(D131,Table17[[Name]:[Native]],3,FALSE)</f>
        <v>龙口市</v>
      </c>
      <c r="G131" s="14" t="str">
        <f ca="1">VLOOKUP(F131,Table17[[Native]:[Population4]],5,FALSE)</f>
        <v>烟台市</v>
      </c>
    </row>
    <row r="132" spans="1:7" ht="15.75" thickBot="1" x14ac:dyDescent="0.3">
      <c r="A132" t="s">
        <v>2048</v>
      </c>
      <c r="B132" s="1" t="s">
        <v>3297</v>
      </c>
      <c r="C132" s="1" t="s">
        <v>13</v>
      </c>
      <c r="D132" s="1" t="s">
        <v>3057</v>
      </c>
      <c r="E132" s="3">
        <v>34096</v>
      </c>
      <c r="F132" s="1" t="str">
        <f>VLOOKUP(D132,Table17[[Name]:[Native]],3,FALSE)</f>
        <v>招远市</v>
      </c>
      <c r="G132" s="14" t="str">
        <f ca="1">VLOOKUP(F132,Table17[[Native]:[Population4]],5,FALSE)</f>
        <v>烟台市</v>
      </c>
    </row>
    <row r="133" spans="1:7" ht="15.75" thickBot="1" x14ac:dyDescent="0.3">
      <c r="A133" t="s">
        <v>3298</v>
      </c>
      <c r="B133" s="1" t="s">
        <v>3299</v>
      </c>
      <c r="C133" s="1" t="s">
        <v>13</v>
      </c>
      <c r="D133" s="1" t="s">
        <v>3038</v>
      </c>
      <c r="E133" s="3">
        <v>56439</v>
      </c>
      <c r="F133" s="1" t="str">
        <f>VLOOKUP(D133,Table17[[Name]:[Native]],3,FALSE)</f>
        <v>莱阳市</v>
      </c>
      <c r="G133" s="14" t="str">
        <f ca="1">VLOOKUP(F133,Table17[[Native]:[Population4]],5,FALSE)</f>
        <v>烟台市</v>
      </c>
    </row>
    <row r="134" spans="1:7" ht="15.75" thickBot="1" x14ac:dyDescent="0.3">
      <c r="A134" t="s">
        <v>3300</v>
      </c>
      <c r="B134" s="1" t="s">
        <v>3301</v>
      </c>
      <c r="C134" s="1" t="s">
        <v>7</v>
      </c>
      <c r="D134" s="1" t="s">
        <v>3054</v>
      </c>
      <c r="E134" s="3">
        <v>53925</v>
      </c>
      <c r="F134" s="1" t="str">
        <f>VLOOKUP(D134,Table17[[Name]:[Native]],3,FALSE)</f>
        <v>龙口市</v>
      </c>
      <c r="G134" s="14" t="str">
        <f ca="1">VLOOKUP(F134,Table17[[Native]:[Population4]],5,FALSE)</f>
        <v>烟台市</v>
      </c>
    </row>
    <row r="135" spans="1:7" ht="15.75" thickBot="1" x14ac:dyDescent="0.3">
      <c r="A135" t="s">
        <v>3302</v>
      </c>
      <c r="B135" s="1" t="s">
        <v>3303</v>
      </c>
      <c r="C135" s="1" t="s">
        <v>13</v>
      </c>
      <c r="D135" s="1" t="s">
        <v>3098</v>
      </c>
      <c r="E135" s="3">
        <v>43554</v>
      </c>
      <c r="F135" s="1" t="str">
        <f>VLOOKUP(D135,Table17[[Name]:[Native]],3,FALSE)</f>
        <v>海阳市</v>
      </c>
      <c r="G135" s="14" t="str">
        <f ca="1">VLOOKUP(F135,Table17[[Native]:[Population4]],5,FALSE)</f>
        <v>烟台市</v>
      </c>
    </row>
    <row r="136" spans="1:7" ht="15.75" thickBot="1" x14ac:dyDescent="0.3">
      <c r="A136" t="s">
        <v>3304</v>
      </c>
      <c r="B136" s="1" t="s">
        <v>3305</v>
      </c>
      <c r="C136" s="1" t="s">
        <v>13</v>
      </c>
      <c r="D136" s="1" t="s">
        <v>3076</v>
      </c>
      <c r="E136" s="3">
        <v>24815</v>
      </c>
      <c r="F136" s="1" t="str">
        <f>VLOOKUP(D136,Table17[[Name]:[Native]],3,FALSE)</f>
        <v>栖霞市</v>
      </c>
      <c r="G136" s="14" t="str">
        <f ca="1">VLOOKUP(F136,Table17[[Native]:[Population4]],5,FALSE)</f>
        <v>烟台市</v>
      </c>
    </row>
    <row r="137" spans="1:7" ht="15.75" thickBot="1" x14ac:dyDescent="0.3">
      <c r="A137" t="s">
        <v>3306</v>
      </c>
      <c r="B137" s="1" t="s">
        <v>3307</v>
      </c>
      <c r="C137" s="1" t="s">
        <v>13</v>
      </c>
      <c r="D137" s="1" t="s">
        <v>3038</v>
      </c>
      <c r="E137" s="3">
        <v>25603</v>
      </c>
      <c r="F137" s="1" t="str">
        <f>VLOOKUP(D137,Table17[[Name]:[Native]],3,FALSE)</f>
        <v>莱阳市</v>
      </c>
      <c r="G137" s="14" t="str">
        <f ca="1">VLOOKUP(F137,Table17[[Native]:[Population4]],5,FALSE)</f>
        <v>烟台市</v>
      </c>
    </row>
    <row r="138" spans="1:7" ht="15.75" thickBot="1" x14ac:dyDescent="0.3">
      <c r="A138" t="s">
        <v>3308</v>
      </c>
      <c r="B138" s="1" t="s">
        <v>3309</v>
      </c>
      <c r="C138" s="1" t="s">
        <v>7</v>
      </c>
      <c r="D138" s="1" t="s">
        <v>3093</v>
      </c>
      <c r="E138" s="3">
        <v>6284</v>
      </c>
      <c r="F138" s="1" t="str">
        <f>VLOOKUP(D138,Table17[[Name]:[Native]],3,FALSE)</f>
        <v>牟平区</v>
      </c>
      <c r="G138" s="14" t="str">
        <f ca="1">VLOOKUP(F138,Table17[[Native]:[Population4]],5,FALSE)</f>
        <v>烟台市</v>
      </c>
    </row>
    <row r="139" spans="1:7" ht="15.75" thickBot="1" x14ac:dyDescent="0.3">
      <c r="A139" t="s">
        <v>3310</v>
      </c>
      <c r="B139" s="1" t="s">
        <v>3311</v>
      </c>
      <c r="C139" s="1" t="s">
        <v>13</v>
      </c>
      <c r="D139" s="1" t="s">
        <v>3067</v>
      </c>
      <c r="E139" s="3">
        <v>46682</v>
      </c>
      <c r="F139" s="1" t="str">
        <f>VLOOKUP(D139,Table17[[Name]:[Native]],3,FALSE)</f>
        <v>莱州市</v>
      </c>
      <c r="G139" s="14" t="str">
        <f ca="1">VLOOKUP(F139,Table17[[Native]:[Population4]],5,FALSE)</f>
        <v>烟台市</v>
      </c>
    </row>
    <row r="140" spans="1:7" ht="15.75" thickBot="1" x14ac:dyDescent="0.3">
      <c r="A140" t="s">
        <v>3312</v>
      </c>
      <c r="B140" s="1" t="s">
        <v>3313</v>
      </c>
      <c r="C140" s="1" t="s">
        <v>7</v>
      </c>
      <c r="D140" s="1" t="s">
        <v>3067</v>
      </c>
      <c r="E140" s="3">
        <v>55958</v>
      </c>
      <c r="F140" s="1" t="str">
        <f>VLOOKUP(D140,Table17[[Name]:[Native]],3,FALSE)</f>
        <v>莱州市</v>
      </c>
      <c r="G140" s="14" t="str">
        <f ca="1">VLOOKUP(F140,Table17[[Native]:[Population4]],5,FALSE)</f>
        <v>烟台市</v>
      </c>
    </row>
    <row r="141" spans="1:7" ht="15.75" thickBot="1" x14ac:dyDescent="0.3">
      <c r="A141" t="s">
        <v>3314</v>
      </c>
      <c r="B141" s="1" t="s">
        <v>3315</v>
      </c>
      <c r="C141" s="1" t="s">
        <v>7</v>
      </c>
      <c r="D141" s="1" t="s">
        <v>3060</v>
      </c>
      <c r="E141" s="3">
        <v>16200</v>
      </c>
      <c r="F141" s="1" t="str">
        <f>VLOOKUP(D141,Table17[[Name]:[Native]],3,FALSE)</f>
        <v>莱山区</v>
      </c>
      <c r="G141" s="14" t="str">
        <f ca="1">VLOOKUP(F141,Table17[[Native]:[Population4]],5,FALSE)</f>
        <v>烟台市</v>
      </c>
    </row>
    <row r="142" spans="1:7" ht="15.75" thickBot="1" x14ac:dyDescent="0.3">
      <c r="A142" t="s">
        <v>3316</v>
      </c>
      <c r="B142" s="1" t="s">
        <v>3317</v>
      </c>
      <c r="C142" s="1" t="s">
        <v>7</v>
      </c>
      <c r="D142" s="1" t="s">
        <v>3041</v>
      </c>
      <c r="E142" s="3">
        <v>81998</v>
      </c>
      <c r="F142" s="1" t="str">
        <f>VLOOKUP(D142,Table17[[Name]:[Native]],3,FALSE)</f>
        <v>芝罘区</v>
      </c>
      <c r="G142" s="14" t="str">
        <f ca="1">VLOOKUP(F142,Table17[[Native]:[Population4]],5,FALSE)</f>
        <v>烟台市</v>
      </c>
    </row>
    <row r="143" spans="1:7" ht="15.75" thickBot="1" x14ac:dyDescent="0.3">
      <c r="A143" t="s">
        <v>3318</v>
      </c>
      <c r="B143" s="1" t="s">
        <v>3319</v>
      </c>
      <c r="C143" s="1" t="s">
        <v>13</v>
      </c>
      <c r="D143" s="1" t="s">
        <v>3093</v>
      </c>
      <c r="E143" s="3">
        <v>17909</v>
      </c>
      <c r="F143" s="1" t="str">
        <f>VLOOKUP(D143,Table17[[Name]:[Native]],3,FALSE)</f>
        <v>牟平区</v>
      </c>
      <c r="G143" s="14" t="str">
        <f ca="1">VLOOKUP(F143,Table17[[Native]:[Population4]],5,FALSE)</f>
        <v>烟台市</v>
      </c>
    </row>
    <row r="144" spans="1:7" ht="15.75" thickBot="1" x14ac:dyDescent="0.3">
      <c r="A144" t="s">
        <v>3320</v>
      </c>
      <c r="B144" s="1" t="s">
        <v>3321</v>
      </c>
      <c r="C144" s="1" t="s">
        <v>13</v>
      </c>
      <c r="D144" s="1" t="s">
        <v>3044</v>
      </c>
      <c r="E144" s="3">
        <v>72864</v>
      </c>
      <c r="F144" s="1" t="str">
        <f>VLOOKUP(D144,Table17[[Name]:[Native]],3,FALSE)</f>
        <v>福山区</v>
      </c>
      <c r="G144" s="14" t="str">
        <f ca="1">VLOOKUP(F144,Table17[[Native]:[Population4]],5,FALSE)</f>
        <v>烟台市</v>
      </c>
    </row>
    <row r="145" spans="1:7" ht="15.75" thickBot="1" x14ac:dyDescent="0.3">
      <c r="A145" t="s">
        <v>3322</v>
      </c>
      <c r="B145" s="1" t="s">
        <v>3323</v>
      </c>
      <c r="C145" s="1" t="s">
        <v>13</v>
      </c>
      <c r="D145" s="1" t="s">
        <v>3067</v>
      </c>
      <c r="E145" s="3">
        <v>42500</v>
      </c>
      <c r="F145" s="1" t="str">
        <f>VLOOKUP(D145,Table17[[Name]:[Native]],3,FALSE)</f>
        <v>莱州市</v>
      </c>
      <c r="G145" s="14" t="str">
        <f ca="1">VLOOKUP(F145,Table17[[Native]:[Population4]],5,FALSE)</f>
        <v>烟台市</v>
      </c>
    </row>
    <row r="146" spans="1:7" ht="15.75" thickBot="1" x14ac:dyDescent="0.3">
      <c r="A146" t="s">
        <v>3324</v>
      </c>
      <c r="B146" s="1" t="s">
        <v>3325</v>
      </c>
      <c r="C146" s="1" t="s">
        <v>13</v>
      </c>
      <c r="D146" s="1" t="s">
        <v>3044</v>
      </c>
      <c r="E146" s="3">
        <v>14672</v>
      </c>
      <c r="F146" s="1" t="str">
        <f>VLOOKUP(D146,Table17[[Name]:[Native]],3,FALSE)</f>
        <v>福山区</v>
      </c>
      <c r="G146" s="14" t="str">
        <f ca="1">VLOOKUP(F146,Table17[[Native]:[Population4]],5,FALSE)</f>
        <v>烟台市</v>
      </c>
    </row>
    <row r="147" spans="1:7" ht="15.75" thickBot="1" x14ac:dyDescent="0.3">
      <c r="A147" t="s">
        <v>3326</v>
      </c>
      <c r="B147" s="1" t="s">
        <v>3327</v>
      </c>
      <c r="C147" s="1" t="s">
        <v>13</v>
      </c>
      <c r="D147" s="1" t="s">
        <v>3057</v>
      </c>
      <c r="E147" s="3">
        <v>59563</v>
      </c>
      <c r="F147" s="1" t="str">
        <f>VLOOKUP(D147,Table17[[Name]:[Native]],3,FALSE)</f>
        <v>招远市</v>
      </c>
      <c r="G147" s="14" t="str">
        <f ca="1">VLOOKUP(F147,Table17[[Native]:[Population4]],5,FALSE)</f>
        <v>烟台市</v>
      </c>
    </row>
    <row r="148" spans="1:7" ht="15.75" thickBot="1" x14ac:dyDescent="0.3">
      <c r="A148" t="s">
        <v>3328</v>
      </c>
      <c r="B148" s="1" t="s">
        <v>3329</v>
      </c>
      <c r="C148" s="1" t="s">
        <v>13</v>
      </c>
      <c r="D148" s="1" t="s">
        <v>3038</v>
      </c>
      <c r="E148" s="3">
        <v>49980</v>
      </c>
      <c r="F148" s="1" t="str">
        <f>VLOOKUP(D148,Table17[[Name]:[Native]],3,FALSE)</f>
        <v>莱阳市</v>
      </c>
      <c r="G148" s="14" t="str">
        <f ca="1">VLOOKUP(F148,Table17[[Native]:[Population4]],5,FALSE)</f>
        <v>烟台市</v>
      </c>
    </row>
    <row r="149" spans="1:7" ht="15.75" thickBot="1" x14ac:dyDescent="0.3">
      <c r="A149" t="s">
        <v>3330</v>
      </c>
      <c r="B149" s="1" t="s">
        <v>3331</v>
      </c>
      <c r="C149" s="1" t="s">
        <v>7</v>
      </c>
      <c r="D149" s="1" t="s">
        <v>3041</v>
      </c>
      <c r="E149" s="3">
        <v>60704</v>
      </c>
      <c r="F149" s="1" t="str">
        <f>VLOOKUP(D149,Table17[[Name]:[Native]],3,FALSE)</f>
        <v>芝罘区</v>
      </c>
      <c r="G149" s="14" t="str">
        <f ca="1">VLOOKUP(F149,Table17[[Native]:[Population4]],5,FALSE)</f>
        <v>烟台市</v>
      </c>
    </row>
    <row r="150" spans="1:7" ht="15.75" thickBot="1" x14ac:dyDescent="0.3">
      <c r="A150" t="s">
        <v>3332</v>
      </c>
      <c r="B150" s="1" t="s">
        <v>3333</v>
      </c>
      <c r="C150" s="1" t="s">
        <v>7</v>
      </c>
      <c r="D150" s="1" t="s">
        <v>3041</v>
      </c>
      <c r="E150" s="3">
        <v>22788</v>
      </c>
      <c r="F150" s="1" t="str">
        <f>VLOOKUP(D150,Table17[[Name]:[Native]],3,FALSE)</f>
        <v>芝罘区</v>
      </c>
      <c r="G150" s="14" t="str">
        <f ca="1">VLOOKUP(F150,Table17[[Native]:[Population4]],5,FALSE)</f>
        <v>烟台市</v>
      </c>
    </row>
    <row r="151" spans="1:7" ht="15.75" thickBot="1" x14ac:dyDescent="0.3">
      <c r="A151" t="s">
        <v>3334</v>
      </c>
      <c r="B151" s="1" t="s">
        <v>3335</v>
      </c>
      <c r="C151" s="1" t="s">
        <v>7</v>
      </c>
      <c r="D151" s="1" t="s">
        <v>3076</v>
      </c>
      <c r="E151" s="3">
        <v>57138</v>
      </c>
      <c r="F151" s="1" t="str">
        <f>VLOOKUP(D151,Table17[[Name]:[Native]],3,FALSE)</f>
        <v>栖霞市</v>
      </c>
      <c r="G151" s="14" t="str">
        <f ca="1">VLOOKUP(F151,Table17[[Native]:[Population4]],5,FALSE)</f>
        <v>烟台市</v>
      </c>
    </row>
    <row r="152" spans="1:7" ht="15.75" thickBot="1" x14ac:dyDescent="0.3">
      <c r="A152" t="s">
        <v>3336</v>
      </c>
      <c r="B152" s="1" t="s">
        <v>3337</v>
      </c>
      <c r="C152" s="1" t="s">
        <v>13</v>
      </c>
      <c r="D152" s="1" t="s">
        <v>3067</v>
      </c>
      <c r="E152" s="3">
        <v>59726</v>
      </c>
      <c r="F152" s="1" t="str">
        <f>VLOOKUP(D152,Table17[[Name]:[Native]],3,FALSE)</f>
        <v>莱州市</v>
      </c>
      <c r="G152" s="14" t="str">
        <f ca="1">VLOOKUP(F152,Table17[[Native]:[Population4]],5,FALSE)</f>
        <v>烟台市</v>
      </c>
    </row>
    <row r="153" spans="1:7" ht="15.75" thickBot="1" x14ac:dyDescent="0.3">
      <c r="A153" t="s">
        <v>3338</v>
      </c>
      <c r="B153" s="1" t="s">
        <v>3339</v>
      </c>
      <c r="C153" s="1" t="s">
        <v>13</v>
      </c>
      <c r="D153" s="1" t="s">
        <v>3098</v>
      </c>
      <c r="E153" s="3">
        <v>35332</v>
      </c>
      <c r="F153" s="1" t="str">
        <f>VLOOKUP(D153,Table17[[Name]:[Native]],3,FALSE)</f>
        <v>海阳市</v>
      </c>
      <c r="G153" s="14" t="str">
        <f ca="1">VLOOKUP(F153,Table17[[Native]:[Population4]],5,FALSE)</f>
        <v>烟台市</v>
      </c>
    </row>
    <row r="154" spans="1:7" ht="15.75" thickBot="1" x14ac:dyDescent="0.3">
      <c r="A154" t="s">
        <v>3340</v>
      </c>
      <c r="B154" s="1" t="s">
        <v>3341</v>
      </c>
      <c r="C154" s="1" t="s">
        <v>13</v>
      </c>
      <c r="D154" s="1" t="s">
        <v>3054</v>
      </c>
      <c r="E154" s="3">
        <v>51771</v>
      </c>
      <c r="F154" s="1" t="str">
        <f>VLOOKUP(D154,Table17[[Name]:[Native]],3,FALSE)</f>
        <v>龙口市</v>
      </c>
      <c r="G154" s="14" t="str">
        <f ca="1">VLOOKUP(F154,Table17[[Native]:[Population4]],5,FALSE)</f>
        <v>烟台市</v>
      </c>
    </row>
    <row r="155" spans="1:7" ht="15.75" thickBot="1" x14ac:dyDescent="0.3">
      <c r="A155" t="s">
        <v>3342</v>
      </c>
      <c r="B155" s="1" t="s">
        <v>3343</v>
      </c>
      <c r="C155" s="1" t="s">
        <v>7</v>
      </c>
      <c r="D155" s="1" t="s">
        <v>3047</v>
      </c>
      <c r="E155" s="3">
        <v>37199</v>
      </c>
      <c r="F155" s="10" t="str">
        <f>VLOOKUP(D155,Table17[[Name]:[Native]],3,FALSE)</f>
        <v>蓬莱区</v>
      </c>
      <c r="G155" s="14" t="str">
        <f ca="1">VLOOKUP(F155,Table17[[Native]:[Population4]],5,FALSE)</f>
        <v>烟台市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960BC-A88A-439E-B606-B83ADE273395}">
  <dimension ref="A1:G65"/>
  <sheetViews>
    <sheetView workbookViewId="0">
      <selection activeCell="G2" sqref="G2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3344</v>
      </c>
      <c r="B2" s="1" t="s">
        <v>3345</v>
      </c>
      <c r="C2" s="1" t="s">
        <v>13</v>
      </c>
      <c r="D2" s="1" t="s">
        <v>3346</v>
      </c>
      <c r="E2" s="3">
        <v>81019</v>
      </c>
      <c r="F2" s="9" t="str">
        <f>VLOOKUP(D2,Table17[[Name]:[Native]],3,FALSE)</f>
        <v>滕州市</v>
      </c>
      <c r="G2" s="14" t="str">
        <f ca="1">VLOOKUP(F2,Table17[[Native]:[Population4]],5,FALSE)</f>
        <v>枣庄市</v>
      </c>
    </row>
    <row r="3" spans="1:7" ht="15.75" thickBot="1" x14ac:dyDescent="0.3">
      <c r="A3" t="s">
        <v>3347</v>
      </c>
      <c r="B3" s="1" t="s">
        <v>3348</v>
      </c>
      <c r="C3" s="1" t="s">
        <v>7</v>
      </c>
      <c r="D3" s="1" t="s">
        <v>3346</v>
      </c>
      <c r="E3" s="3">
        <v>116923</v>
      </c>
      <c r="F3" s="1" t="str">
        <f>VLOOKUP(D3,Table17[[Name]:[Native]],3,FALSE)</f>
        <v>滕州市</v>
      </c>
      <c r="G3" s="14" t="str">
        <f ca="1">VLOOKUP(F3,Table17[[Native]:[Population4]],5,FALSE)</f>
        <v>枣庄市</v>
      </c>
    </row>
    <row r="4" spans="1:7" ht="15.75" thickBot="1" x14ac:dyDescent="0.3">
      <c r="A4" t="s">
        <v>3349</v>
      </c>
      <c r="B4" s="1" t="s">
        <v>3350</v>
      </c>
      <c r="C4" s="1" t="s">
        <v>13</v>
      </c>
      <c r="D4" s="1" t="s">
        <v>3351</v>
      </c>
      <c r="E4" s="3">
        <v>38827</v>
      </c>
      <c r="F4" s="1" t="str">
        <f>VLOOKUP(D4,Table17[[Name]:[Native]],3,FALSE)</f>
        <v>山亭区</v>
      </c>
      <c r="G4" s="14" t="str">
        <f ca="1">VLOOKUP(F4,Table17[[Native]:[Population4]],5,FALSE)</f>
        <v>枣庄市</v>
      </c>
    </row>
    <row r="5" spans="1:7" ht="15.75" thickBot="1" x14ac:dyDescent="0.3">
      <c r="A5" t="s">
        <v>3352</v>
      </c>
      <c r="B5" s="1" t="s">
        <v>3353</v>
      </c>
      <c r="C5" s="1" t="s">
        <v>13</v>
      </c>
      <c r="D5" s="1" t="s">
        <v>3346</v>
      </c>
      <c r="E5" s="3">
        <v>95863</v>
      </c>
      <c r="F5" s="1" t="str">
        <f>VLOOKUP(D5,Table17[[Name]:[Native]],3,FALSE)</f>
        <v>滕州市</v>
      </c>
      <c r="G5" s="14" t="str">
        <f ca="1">VLOOKUP(F5,Table17[[Native]:[Population4]],5,FALSE)</f>
        <v>枣庄市</v>
      </c>
    </row>
    <row r="6" spans="1:7" ht="15.75" thickBot="1" x14ac:dyDescent="0.3">
      <c r="A6" t="s">
        <v>223</v>
      </c>
      <c r="B6" s="1" t="s">
        <v>224</v>
      </c>
      <c r="C6" s="1" t="s">
        <v>13</v>
      </c>
      <c r="D6" s="1" t="s">
        <v>3346</v>
      </c>
      <c r="E6" s="3">
        <v>34423</v>
      </c>
      <c r="F6" s="1" t="str">
        <f>VLOOKUP(D6,Table17[[Name]:[Native]],3,FALSE)</f>
        <v>滕州市</v>
      </c>
      <c r="G6" s="14" t="str">
        <f ca="1">VLOOKUP(F6,Table17[[Native]:[Population4]],5,FALSE)</f>
        <v>枣庄市</v>
      </c>
    </row>
    <row r="7" spans="1:7" ht="15.75" thickBot="1" x14ac:dyDescent="0.3">
      <c r="A7" t="s">
        <v>3354</v>
      </c>
      <c r="B7" s="1" t="s">
        <v>3355</v>
      </c>
      <c r="C7" s="1" t="s">
        <v>7</v>
      </c>
      <c r="D7" s="1" t="s">
        <v>3356</v>
      </c>
      <c r="E7" s="3">
        <v>69153</v>
      </c>
      <c r="F7" s="1" t="str">
        <f>VLOOKUP(D7,Table17[[Name]:[Native]],3,FALSE)</f>
        <v>薛城区</v>
      </c>
      <c r="G7" s="14" t="str">
        <f ca="1">VLOOKUP(F7,Table17[[Native]:[Population4]],5,FALSE)</f>
        <v>枣庄市</v>
      </c>
    </row>
    <row r="8" spans="1:7" ht="15.75" thickBot="1" x14ac:dyDescent="0.3">
      <c r="A8" t="s">
        <v>3357</v>
      </c>
      <c r="B8" s="1" t="s">
        <v>3358</v>
      </c>
      <c r="C8" s="1" t="s">
        <v>13</v>
      </c>
      <c r="D8" s="1" t="s">
        <v>3351</v>
      </c>
      <c r="E8" s="3">
        <v>41343</v>
      </c>
      <c r="F8" s="1" t="str">
        <f>VLOOKUP(D8,Table17[[Name]:[Native]],3,FALSE)</f>
        <v>山亭区</v>
      </c>
      <c r="G8" s="14" t="str">
        <f ca="1">VLOOKUP(F8,Table17[[Native]:[Population4]],5,FALSE)</f>
        <v>枣庄市</v>
      </c>
    </row>
    <row r="9" spans="1:7" ht="15.75" thickBot="1" x14ac:dyDescent="0.3">
      <c r="A9" t="s">
        <v>3359</v>
      </c>
      <c r="B9" s="1" t="s">
        <v>3360</v>
      </c>
      <c r="C9" s="1" t="s">
        <v>13</v>
      </c>
      <c r="D9" s="1" t="s">
        <v>3346</v>
      </c>
      <c r="E9" s="3">
        <v>81408</v>
      </c>
      <c r="F9" s="1" t="str">
        <f>VLOOKUP(D9,Table17[[Name]:[Native]],3,FALSE)</f>
        <v>滕州市</v>
      </c>
      <c r="G9" s="14" t="str">
        <f ca="1">VLOOKUP(F9,Table17[[Native]:[Population4]],5,FALSE)</f>
        <v>枣庄市</v>
      </c>
    </row>
    <row r="10" spans="1:7" ht="15.75" thickBot="1" x14ac:dyDescent="0.3">
      <c r="A10" t="s">
        <v>43</v>
      </c>
      <c r="B10" s="1" t="s">
        <v>44</v>
      </c>
      <c r="C10" s="1" t="s">
        <v>13</v>
      </c>
      <c r="D10" s="1" t="s">
        <v>3351</v>
      </c>
      <c r="E10" s="3">
        <v>31300</v>
      </c>
      <c r="F10" s="1" t="str">
        <f>VLOOKUP(D10,Table17[[Name]:[Native]],3,FALSE)</f>
        <v>山亭区</v>
      </c>
      <c r="G10" s="14" t="str">
        <f ca="1">VLOOKUP(F10,Table17[[Native]:[Population4]],5,FALSE)</f>
        <v>枣庄市</v>
      </c>
    </row>
    <row r="11" spans="1:7" ht="15.75" thickBot="1" x14ac:dyDescent="0.3">
      <c r="A11" t="s">
        <v>3361</v>
      </c>
      <c r="B11" s="1" t="s">
        <v>3362</v>
      </c>
      <c r="C11" s="1" t="s">
        <v>13</v>
      </c>
      <c r="D11" s="1" t="s">
        <v>3363</v>
      </c>
      <c r="E11" s="3">
        <v>40105</v>
      </c>
      <c r="F11" s="1" t="str">
        <f>VLOOKUP(D11,Table17[[Name]:[Native]],3,FALSE)</f>
        <v>峄城区</v>
      </c>
      <c r="G11" s="14" t="str">
        <f ca="1">VLOOKUP(F11,Table17[[Native]:[Population4]],5,FALSE)</f>
        <v>枣庄市</v>
      </c>
    </row>
    <row r="12" spans="1:7" ht="15.75" thickBot="1" x14ac:dyDescent="0.3">
      <c r="A12" t="s">
        <v>3364</v>
      </c>
      <c r="B12" s="1" t="s">
        <v>3365</v>
      </c>
      <c r="C12" s="1" t="s">
        <v>13</v>
      </c>
      <c r="D12" s="1" t="s">
        <v>3346</v>
      </c>
      <c r="E12" s="3">
        <v>102183</v>
      </c>
      <c r="F12" s="1" t="str">
        <f>VLOOKUP(D12,Table17[[Name]:[Native]],3,FALSE)</f>
        <v>滕州市</v>
      </c>
      <c r="G12" s="14" t="str">
        <f ca="1">VLOOKUP(F12,Table17[[Native]:[Population4]],5,FALSE)</f>
        <v>枣庄市</v>
      </c>
    </row>
    <row r="13" spans="1:7" ht="15.75" thickBot="1" x14ac:dyDescent="0.3">
      <c r="A13" t="s">
        <v>3366</v>
      </c>
      <c r="B13" s="1" t="s">
        <v>3367</v>
      </c>
      <c r="C13" s="1" t="s">
        <v>7</v>
      </c>
      <c r="D13" s="1" t="s">
        <v>3346</v>
      </c>
      <c r="E13" s="3">
        <v>49022</v>
      </c>
      <c r="F13" s="1" t="str">
        <f>VLOOKUP(D13,Table17[[Name]:[Native]],3,FALSE)</f>
        <v>滕州市</v>
      </c>
      <c r="G13" s="14" t="str">
        <f ca="1">VLOOKUP(F13,Table17[[Native]:[Population4]],5,FALSE)</f>
        <v>枣庄市</v>
      </c>
    </row>
    <row r="14" spans="1:7" ht="15.75" thickBot="1" x14ac:dyDescent="0.3">
      <c r="A14" t="s">
        <v>3368</v>
      </c>
      <c r="B14" s="1" t="s">
        <v>3369</v>
      </c>
      <c r="C14" s="1" t="s">
        <v>13</v>
      </c>
      <c r="D14" s="1" t="s">
        <v>3363</v>
      </c>
      <c r="E14" s="3">
        <v>54452</v>
      </c>
      <c r="F14" s="1" t="str">
        <f>VLOOKUP(D14,Table17[[Name]:[Native]],3,FALSE)</f>
        <v>峄城区</v>
      </c>
      <c r="G14" s="14" t="str">
        <f ca="1">VLOOKUP(F14,Table17[[Native]:[Population4]],5,FALSE)</f>
        <v>枣庄市</v>
      </c>
    </row>
    <row r="15" spans="1:7" ht="15.75" thickBot="1" x14ac:dyDescent="0.3">
      <c r="A15" t="s">
        <v>3370</v>
      </c>
      <c r="B15" s="1" t="s">
        <v>3371</v>
      </c>
      <c r="C15" s="1" t="s">
        <v>13</v>
      </c>
      <c r="D15" s="1" t="s">
        <v>3351</v>
      </c>
      <c r="E15" s="3">
        <v>51235</v>
      </c>
      <c r="F15" s="1" t="str">
        <f>VLOOKUP(D15,Table17[[Name]:[Native]],3,FALSE)</f>
        <v>山亭区</v>
      </c>
      <c r="G15" s="14" t="str">
        <f ca="1">VLOOKUP(F15,Table17[[Native]:[Population4]],5,FALSE)</f>
        <v>枣庄市</v>
      </c>
    </row>
    <row r="16" spans="1:7" ht="15.75" thickBot="1" x14ac:dyDescent="0.3">
      <c r="A16" t="s">
        <v>3372</v>
      </c>
      <c r="B16" s="1" t="s">
        <v>3373</v>
      </c>
      <c r="C16" s="1" t="s">
        <v>13</v>
      </c>
      <c r="D16" s="1" t="s">
        <v>3351</v>
      </c>
      <c r="E16" s="3">
        <v>27978</v>
      </c>
      <c r="F16" s="1" t="str">
        <f>VLOOKUP(D16,Table17[[Name]:[Native]],3,FALSE)</f>
        <v>山亭区</v>
      </c>
      <c r="G16" s="14" t="str">
        <f ca="1">VLOOKUP(F16,Table17[[Native]:[Population4]],5,FALSE)</f>
        <v>枣庄市</v>
      </c>
    </row>
    <row r="17" spans="1:7" ht="15.75" thickBot="1" x14ac:dyDescent="0.3">
      <c r="A17" t="s">
        <v>3374</v>
      </c>
      <c r="B17" s="1" t="s">
        <v>3375</v>
      </c>
      <c r="C17" s="1" t="s">
        <v>7</v>
      </c>
      <c r="D17" s="1" t="s">
        <v>908</v>
      </c>
      <c r="E17" s="3">
        <v>50816</v>
      </c>
      <c r="F17" s="1" t="str">
        <f>VLOOKUP(D17,Table17[[Name]:[Native]],3,FALSE)</f>
        <v>市中区</v>
      </c>
      <c r="G17" s="14" t="str">
        <f ca="1">VLOOKUP(F17,Table17[[Native]:[Population4]],5,FALSE)</f>
        <v>济南市</v>
      </c>
    </row>
    <row r="18" spans="1:7" ht="15.75" thickBot="1" x14ac:dyDescent="0.3">
      <c r="A18" t="s">
        <v>3376</v>
      </c>
      <c r="B18" s="1" t="s">
        <v>3377</v>
      </c>
      <c r="C18" s="1" t="s">
        <v>7</v>
      </c>
      <c r="D18" s="1" t="s">
        <v>908</v>
      </c>
      <c r="E18" s="3">
        <v>60848</v>
      </c>
      <c r="F18" s="1" t="str">
        <f>VLOOKUP(D18,Table17[[Name]:[Native]],3,FALSE)</f>
        <v>市中区</v>
      </c>
      <c r="G18" s="14" t="str">
        <f ca="1">VLOOKUP(F18,Table17[[Native]:[Population4]],5,FALSE)</f>
        <v>济南市</v>
      </c>
    </row>
    <row r="19" spans="1:7" ht="15.75" thickBot="1" x14ac:dyDescent="0.3">
      <c r="A19" t="s">
        <v>3378</v>
      </c>
      <c r="B19" s="1" t="s">
        <v>3379</v>
      </c>
      <c r="C19" s="1" t="s">
        <v>13</v>
      </c>
      <c r="D19" s="1" t="s">
        <v>3346</v>
      </c>
      <c r="E19" s="3">
        <v>62303</v>
      </c>
      <c r="F19" s="1" t="str">
        <f>VLOOKUP(D19,Table17[[Name]:[Native]],3,FALSE)</f>
        <v>滕州市</v>
      </c>
      <c r="G19" s="14" t="str">
        <f ca="1">VLOOKUP(F19,Table17[[Native]:[Population4]],5,FALSE)</f>
        <v>枣庄市</v>
      </c>
    </row>
    <row r="20" spans="1:7" ht="15.75" thickBot="1" x14ac:dyDescent="0.3">
      <c r="A20" t="s">
        <v>3380</v>
      </c>
      <c r="B20" s="1" t="s">
        <v>3381</v>
      </c>
      <c r="C20" s="1" t="s">
        <v>13</v>
      </c>
      <c r="D20" s="1" t="s">
        <v>3363</v>
      </c>
      <c r="E20" s="3">
        <v>66112</v>
      </c>
      <c r="F20" s="1" t="str">
        <f>VLOOKUP(D20,Table17[[Name]:[Native]],3,FALSE)</f>
        <v>峄城区</v>
      </c>
      <c r="G20" s="14" t="str">
        <f ca="1">VLOOKUP(F20,Table17[[Native]:[Population4]],5,FALSE)</f>
        <v>枣庄市</v>
      </c>
    </row>
    <row r="21" spans="1:7" ht="15.75" thickBot="1" x14ac:dyDescent="0.3">
      <c r="A21" t="s">
        <v>3382</v>
      </c>
      <c r="B21" s="1" t="s">
        <v>3383</v>
      </c>
      <c r="C21" s="1" t="s">
        <v>13</v>
      </c>
      <c r="D21" s="1" t="s">
        <v>3346</v>
      </c>
      <c r="E21" s="3">
        <v>37088</v>
      </c>
      <c r="F21" s="1" t="str">
        <f>VLOOKUP(D21,Table17[[Name]:[Native]],3,FALSE)</f>
        <v>滕州市</v>
      </c>
      <c r="G21" s="14" t="str">
        <f ca="1">VLOOKUP(F21,Table17[[Native]:[Population4]],5,FALSE)</f>
        <v>枣庄市</v>
      </c>
    </row>
    <row r="22" spans="1:7" ht="15.75" thickBot="1" x14ac:dyDescent="0.3">
      <c r="A22" t="s">
        <v>3384</v>
      </c>
      <c r="B22" s="1" t="s">
        <v>3385</v>
      </c>
      <c r="C22" s="1" t="s">
        <v>13</v>
      </c>
      <c r="D22" s="1" t="s">
        <v>3346</v>
      </c>
      <c r="E22" s="3">
        <v>76836</v>
      </c>
      <c r="F22" s="1" t="str">
        <f>VLOOKUP(D22,Table17[[Name]:[Native]],3,FALSE)</f>
        <v>滕州市</v>
      </c>
      <c r="G22" s="14" t="str">
        <f ca="1">VLOOKUP(F22,Table17[[Native]:[Population4]],5,FALSE)</f>
        <v>枣庄市</v>
      </c>
    </row>
    <row r="23" spans="1:7" ht="15.75" thickBot="1" x14ac:dyDescent="0.3">
      <c r="A23" t="s">
        <v>3386</v>
      </c>
      <c r="B23" s="1" t="s">
        <v>3387</v>
      </c>
      <c r="C23" s="1" t="s">
        <v>13</v>
      </c>
      <c r="D23" s="1" t="s">
        <v>3388</v>
      </c>
      <c r="E23" s="3">
        <v>53631</v>
      </c>
      <c r="F23" s="1" t="str">
        <f>VLOOKUP(D23,Table17[[Name]:[Native]],3,FALSE)</f>
        <v>台儿庄区</v>
      </c>
      <c r="G23" s="14" t="str">
        <f ca="1">VLOOKUP(F23,Table17[[Native]:[Population4]],5,FALSE)</f>
        <v>枣庄市</v>
      </c>
    </row>
    <row r="24" spans="1:7" ht="15.75" thickBot="1" x14ac:dyDescent="0.3">
      <c r="A24" t="s">
        <v>3389</v>
      </c>
      <c r="B24" s="1" t="s">
        <v>3390</v>
      </c>
      <c r="C24" s="1" t="s">
        <v>13</v>
      </c>
      <c r="D24" s="1" t="s">
        <v>3346</v>
      </c>
      <c r="E24" s="3">
        <v>65974</v>
      </c>
      <c r="F24" s="1" t="str">
        <f>VLOOKUP(D24,Table17[[Name]:[Native]],3,FALSE)</f>
        <v>滕州市</v>
      </c>
      <c r="G24" s="14" t="str">
        <f ca="1">VLOOKUP(F24,Table17[[Native]:[Population4]],5,FALSE)</f>
        <v>枣庄市</v>
      </c>
    </row>
    <row r="25" spans="1:7" ht="15.75" thickBot="1" x14ac:dyDescent="0.3">
      <c r="A25" t="s">
        <v>3391</v>
      </c>
      <c r="B25" s="1" t="s">
        <v>3392</v>
      </c>
      <c r="C25" s="1" t="s">
        <v>7</v>
      </c>
      <c r="D25" s="1" t="s">
        <v>3346</v>
      </c>
      <c r="E25" s="3">
        <v>127807</v>
      </c>
      <c r="F25" s="1" t="str">
        <f>VLOOKUP(D25,Table17[[Name]:[Native]],3,FALSE)</f>
        <v>滕州市</v>
      </c>
      <c r="G25" s="14" t="str">
        <f ca="1">VLOOKUP(F25,Table17[[Native]:[Population4]],5,FALSE)</f>
        <v>枣庄市</v>
      </c>
    </row>
    <row r="26" spans="1:7" ht="15.75" thickBot="1" x14ac:dyDescent="0.3">
      <c r="A26" t="s">
        <v>3393</v>
      </c>
      <c r="B26" s="1" t="s">
        <v>3394</v>
      </c>
      <c r="C26" s="1" t="s">
        <v>13</v>
      </c>
      <c r="D26" s="1" t="s">
        <v>3346</v>
      </c>
      <c r="E26" s="3">
        <v>80657</v>
      </c>
      <c r="F26" s="1" t="str">
        <f>VLOOKUP(D26,Table17[[Name]:[Native]],3,FALSE)</f>
        <v>滕州市</v>
      </c>
      <c r="G26" s="14" t="str">
        <f ca="1">VLOOKUP(F26,Table17[[Native]:[Population4]],5,FALSE)</f>
        <v>枣庄市</v>
      </c>
    </row>
    <row r="27" spans="1:7" ht="15.75" thickBot="1" x14ac:dyDescent="0.3">
      <c r="A27" t="s">
        <v>3395</v>
      </c>
      <c r="B27" s="1" t="s">
        <v>3396</v>
      </c>
      <c r="C27" s="1" t="s">
        <v>7</v>
      </c>
      <c r="D27" s="1" t="s">
        <v>908</v>
      </c>
      <c r="E27" s="3">
        <v>25050</v>
      </c>
      <c r="F27" s="1" t="str">
        <f>VLOOKUP(D27,Table17[[Name]:[Native]],3,FALSE)</f>
        <v>市中区</v>
      </c>
      <c r="G27" s="14" t="str">
        <f ca="1">VLOOKUP(F27,Table17[[Native]:[Population4]],5,FALSE)</f>
        <v>济南市</v>
      </c>
    </row>
    <row r="28" spans="1:7" ht="15.75" thickBot="1" x14ac:dyDescent="0.3">
      <c r="A28" t="s">
        <v>3397</v>
      </c>
      <c r="B28" s="1" t="s">
        <v>3398</v>
      </c>
      <c r="C28" s="1" t="s">
        <v>7</v>
      </c>
      <c r="D28" s="1" t="s">
        <v>3356</v>
      </c>
      <c r="E28" s="3">
        <v>84860</v>
      </c>
      <c r="F28" s="1" t="str">
        <f>VLOOKUP(D28,Table17[[Name]:[Native]],3,FALSE)</f>
        <v>薛城区</v>
      </c>
      <c r="G28" s="14" t="str">
        <f ca="1">VLOOKUP(F28,Table17[[Native]:[Population4]],5,FALSE)</f>
        <v>枣庄市</v>
      </c>
    </row>
    <row r="29" spans="1:7" ht="15.75" thickBot="1" x14ac:dyDescent="0.3">
      <c r="A29" t="s">
        <v>3399</v>
      </c>
      <c r="B29" s="1" t="s">
        <v>3400</v>
      </c>
      <c r="C29" s="1" t="s">
        <v>13</v>
      </c>
      <c r="D29" s="1" t="s">
        <v>3363</v>
      </c>
      <c r="E29" s="3">
        <v>56488</v>
      </c>
      <c r="F29" s="1" t="str">
        <f>VLOOKUP(D29,Table17[[Name]:[Native]],3,FALSE)</f>
        <v>峄城区</v>
      </c>
      <c r="G29" s="14" t="str">
        <f ca="1">VLOOKUP(F29,Table17[[Native]:[Population4]],5,FALSE)</f>
        <v>枣庄市</v>
      </c>
    </row>
    <row r="30" spans="1:7" ht="15.75" thickBot="1" x14ac:dyDescent="0.3">
      <c r="A30" t="s">
        <v>2262</v>
      </c>
      <c r="B30" s="1" t="s">
        <v>2263</v>
      </c>
      <c r="C30" s="1" t="s">
        <v>7</v>
      </c>
      <c r="D30" s="1" t="s">
        <v>3346</v>
      </c>
      <c r="E30" s="3">
        <v>160898</v>
      </c>
      <c r="F30" s="1" t="str">
        <f>VLOOKUP(D30,Table17[[Name]:[Native]],3,FALSE)</f>
        <v>滕州市</v>
      </c>
      <c r="G30" s="14" t="str">
        <f ca="1">VLOOKUP(F30,Table17[[Native]:[Population4]],5,FALSE)</f>
        <v>枣庄市</v>
      </c>
    </row>
    <row r="31" spans="1:7" ht="15.75" thickBot="1" x14ac:dyDescent="0.3">
      <c r="A31" t="s">
        <v>2956</v>
      </c>
      <c r="B31" s="1" t="s">
        <v>2957</v>
      </c>
      <c r="C31" s="1" t="s">
        <v>7</v>
      </c>
      <c r="D31" s="1" t="s">
        <v>908</v>
      </c>
      <c r="E31" s="3">
        <v>39082</v>
      </c>
      <c r="F31" s="1" t="str">
        <f>VLOOKUP(D31,Table17[[Name]:[Native]],3,FALSE)</f>
        <v>市中区</v>
      </c>
      <c r="G31" s="14" t="str">
        <f ca="1">VLOOKUP(F31,Table17[[Native]:[Population4]],5,FALSE)</f>
        <v>济南市</v>
      </c>
    </row>
    <row r="32" spans="1:7" ht="15.75" thickBot="1" x14ac:dyDescent="0.3">
      <c r="A32" t="s">
        <v>3401</v>
      </c>
      <c r="B32" s="1" t="s">
        <v>3402</v>
      </c>
      <c r="C32" s="1" t="s">
        <v>13</v>
      </c>
      <c r="D32" s="1" t="s">
        <v>3346</v>
      </c>
      <c r="E32" s="3">
        <v>65634</v>
      </c>
      <c r="F32" s="1" t="str">
        <f>VLOOKUP(D32,Table17[[Name]:[Native]],3,FALSE)</f>
        <v>滕州市</v>
      </c>
      <c r="G32" s="14" t="str">
        <f ca="1">VLOOKUP(F32,Table17[[Native]:[Population4]],5,FALSE)</f>
        <v>枣庄市</v>
      </c>
    </row>
    <row r="33" spans="1:7" ht="15.75" thickBot="1" x14ac:dyDescent="0.3">
      <c r="A33" t="s">
        <v>3403</v>
      </c>
      <c r="B33" s="1" t="s">
        <v>3404</v>
      </c>
      <c r="C33" s="1" t="s">
        <v>13</v>
      </c>
      <c r="D33" s="1" t="s">
        <v>3388</v>
      </c>
      <c r="E33" s="3">
        <v>59500</v>
      </c>
      <c r="F33" s="1" t="str">
        <f>VLOOKUP(D33,Table17[[Name]:[Native]],3,FALSE)</f>
        <v>台儿庄区</v>
      </c>
      <c r="G33" s="14" t="str">
        <f ca="1">VLOOKUP(F33,Table17[[Native]:[Population4]],5,FALSE)</f>
        <v>枣庄市</v>
      </c>
    </row>
    <row r="34" spans="1:7" ht="15.75" thickBot="1" x14ac:dyDescent="0.3">
      <c r="A34" t="s">
        <v>3405</v>
      </c>
      <c r="B34" s="1" t="s">
        <v>3406</v>
      </c>
      <c r="C34" s="1" t="s">
        <v>13</v>
      </c>
      <c r="D34" s="1" t="s">
        <v>908</v>
      </c>
      <c r="E34" s="3">
        <v>30184</v>
      </c>
      <c r="F34" s="1" t="str">
        <f>VLOOKUP(D34,Table17[[Name]:[Native]],3,FALSE)</f>
        <v>市中区</v>
      </c>
      <c r="G34" s="14" t="str">
        <f ca="1">VLOOKUP(F34,Table17[[Native]:[Population4]],5,FALSE)</f>
        <v>济南市</v>
      </c>
    </row>
    <row r="35" spans="1:7" ht="15.75" thickBot="1" x14ac:dyDescent="0.3">
      <c r="A35" t="s">
        <v>3407</v>
      </c>
      <c r="B35" s="1" t="s">
        <v>3408</v>
      </c>
      <c r="C35" s="1" t="s">
        <v>13</v>
      </c>
      <c r="D35" s="1" t="s">
        <v>3346</v>
      </c>
      <c r="E35" s="3">
        <v>44234</v>
      </c>
      <c r="F35" s="1" t="str">
        <f>VLOOKUP(D35,Table17[[Name]:[Native]],3,FALSE)</f>
        <v>滕州市</v>
      </c>
      <c r="G35" s="14" t="str">
        <f ca="1">VLOOKUP(F35,Table17[[Native]:[Population4]],5,FALSE)</f>
        <v>枣庄市</v>
      </c>
    </row>
    <row r="36" spans="1:7" ht="15.75" thickBot="1" x14ac:dyDescent="0.3">
      <c r="A36" t="s">
        <v>3409</v>
      </c>
      <c r="B36" s="1" t="s">
        <v>3410</v>
      </c>
      <c r="C36" s="1" t="s">
        <v>13</v>
      </c>
      <c r="D36" s="1" t="s">
        <v>3346</v>
      </c>
      <c r="E36" s="3">
        <v>44289</v>
      </c>
      <c r="F36" s="1" t="str">
        <f>VLOOKUP(D36,Table17[[Name]:[Native]],3,FALSE)</f>
        <v>滕州市</v>
      </c>
      <c r="G36" s="14" t="str">
        <f ca="1">VLOOKUP(F36,Table17[[Native]:[Population4]],5,FALSE)</f>
        <v>枣庄市</v>
      </c>
    </row>
    <row r="37" spans="1:7" ht="15.75" thickBot="1" x14ac:dyDescent="0.3">
      <c r="A37" t="s">
        <v>3411</v>
      </c>
      <c r="B37" s="1" t="s">
        <v>3412</v>
      </c>
      <c r="C37" s="1" t="s">
        <v>13</v>
      </c>
      <c r="D37" s="1" t="s">
        <v>3388</v>
      </c>
      <c r="E37" s="3">
        <v>56533</v>
      </c>
      <c r="F37" s="1" t="str">
        <f>VLOOKUP(D37,Table17[[Name]:[Native]],3,FALSE)</f>
        <v>台儿庄区</v>
      </c>
      <c r="G37" s="14" t="str">
        <f ca="1">VLOOKUP(F37,Table17[[Native]:[Population4]],5,FALSE)</f>
        <v>枣庄市</v>
      </c>
    </row>
    <row r="38" spans="1:7" ht="15.75" thickBot="1" x14ac:dyDescent="0.3">
      <c r="A38" t="s">
        <v>3413</v>
      </c>
      <c r="B38" s="1" t="s">
        <v>3414</v>
      </c>
      <c r="C38" s="1" t="s">
        <v>13</v>
      </c>
      <c r="D38" s="1" t="s">
        <v>3388</v>
      </c>
      <c r="E38" s="3">
        <v>26970</v>
      </c>
      <c r="F38" s="1" t="str">
        <f>VLOOKUP(D38,Table17[[Name]:[Native]],3,FALSE)</f>
        <v>台儿庄区</v>
      </c>
      <c r="G38" s="14" t="str">
        <f ca="1">VLOOKUP(F38,Table17[[Native]:[Population4]],5,FALSE)</f>
        <v>枣庄市</v>
      </c>
    </row>
    <row r="39" spans="1:7" ht="15.75" thickBot="1" x14ac:dyDescent="0.3">
      <c r="A39" t="s">
        <v>3415</v>
      </c>
      <c r="B39" s="1" t="s">
        <v>3416</v>
      </c>
      <c r="C39" s="1" t="s">
        <v>13</v>
      </c>
      <c r="D39" s="1" t="s">
        <v>908</v>
      </c>
      <c r="E39" s="3">
        <v>72027</v>
      </c>
      <c r="F39" s="1" t="str">
        <f>VLOOKUP(D39,Table17[[Name]:[Native]],3,FALSE)</f>
        <v>市中区</v>
      </c>
      <c r="G39" s="14" t="str">
        <f ca="1">VLOOKUP(F39,Table17[[Native]:[Population4]],5,FALSE)</f>
        <v>济南市</v>
      </c>
    </row>
    <row r="40" spans="1:7" ht="15.75" thickBot="1" x14ac:dyDescent="0.3">
      <c r="A40" t="s">
        <v>3417</v>
      </c>
      <c r="B40" s="1" t="s">
        <v>3418</v>
      </c>
      <c r="C40" s="1" t="s">
        <v>13</v>
      </c>
      <c r="D40" s="1" t="s">
        <v>3351</v>
      </c>
      <c r="E40" s="3">
        <v>56551</v>
      </c>
      <c r="F40" s="1" t="str">
        <f>VLOOKUP(D40,Table17[[Name]:[Native]],3,FALSE)</f>
        <v>山亭区</v>
      </c>
      <c r="G40" s="14" t="str">
        <f ca="1">VLOOKUP(F40,Table17[[Native]:[Population4]],5,FALSE)</f>
        <v>枣庄市</v>
      </c>
    </row>
    <row r="41" spans="1:7" ht="15.75" thickBot="1" x14ac:dyDescent="0.3">
      <c r="A41" t="s">
        <v>1982</v>
      </c>
      <c r="B41" s="1" t="s">
        <v>1983</v>
      </c>
      <c r="C41" s="1" t="s">
        <v>13</v>
      </c>
      <c r="D41" s="1" t="s">
        <v>3356</v>
      </c>
      <c r="E41" s="3">
        <v>46673</v>
      </c>
      <c r="F41" s="1" t="str">
        <f>VLOOKUP(D41,Table17[[Name]:[Native]],3,FALSE)</f>
        <v>薛城区</v>
      </c>
      <c r="G41" s="14" t="str">
        <f ca="1">VLOOKUP(F41,Table17[[Native]:[Population4]],5,FALSE)</f>
        <v>枣庄市</v>
      </c>
    </row>
    <row r="42" spans="1:7" ht="15.75" thickBot="1" x14ac:dyDescent="0.3">
      <c r="A42" t="s">
        <v>3419</v>
      </c>
      <c r="B42" s="1" t="s">
        <v>3420</v>
      </c>
      <c r="C42" s="1" t="s">
        <v>7</v>
      </c>
      <c r="D42" s="1" t="s">
        <v>3351</v>
      </c>
      <c r="E42" s="3">
        <v>99245</v>
      </c>
      <c r="F42" s="1" t="str">
        <f>VLOOKUP(D42,Table17[[Name]:[Native]],3,FALSE)</f>
        <v>山亭区</v>
      </c>
      <c r="G42" s="14" t="str">
        <f ca="1">VLOOKUP(F42,Table17[[Native]:[Population4]],5,FALSE)</f>
        <v>枣庄市</v>
      </c>
    </row>
    <row r="43" spans="1:7" ht="15.75" thickBot="1" x14ac:dyDescent="0.3">
      <c r="A43" t="s">
        <v>3421</v>
      </c>
      <c r="B43" s="1" t="s">
        <v>3422</v>
      </c>
      <c r="C43" s="1" t="s">
        <v>7</v>
      </c>
      <c r="D43" s="1" t="s">
        <v>3346</v>
      </c>
      <c r="E43" s="3">
        <v>25176</v>
      </c>
      <c r="F43" s="1" t="str">
        <f>VLOOKUP(D43,Table17[[Name]:[Native]],3,FALSE)</f>
        <v>滕州市</v>
      </c>
      <c r="G43" s="14" t="str">
        <f ca="1">VLOOKUP(F43,Table17[[Native]:[Population4]],5,FALSE)</f>
        <v>枣庄市</v>
      </c>
    </row>
    <row r="44" spans="1:7" ht="15.75" thickBot="1" x14ac:dyDescent="0.3">
      <c r="A44" t="s">
        <v>3423</v>
      </c>
      <c r="B44" s="1" t="s">
        <v>3424</v>
      </c>
      <c r="C44" s="1" t="s">
        <v>13</v>
      </c>
      <c r="D44" s="1" t="s">
        <v>908</v>
      </c>
      <c r="E44" s="3">
        <v>45156</v>
      </c>
      <c r="F44" s="1" t="str">
        <f>VLOOKUP(D44,Table17[[Name]:[Native]],3,FALSE)</f>
        <v>市中区</v>
      </c>
      <c r="G44" s="14" t="str">
        <f ca="1">VLOOKUP(F44,Table17[[Native]:[Population4]],5,FALSE)</f>
        <v>济南市</v>
      </c>
    </row>
    <row r="45" spans="1:7" ht="15.75" thickBot="1" x14ac:dyDescent="0.3">
      <c r="A45" t="s">
        <v>3425</v>
      </c>
      <c r="B45" s="1" t="s">
        <v>3426</v>
      </c>
      <c r="C45" s="1" t="s">
        <v>13</v>
      </c>
      <c r="D45" s="1" t="s">
        <v>3351</v>
      </c>
      <c r="E45" s="3">
        <v>39412</v>
      </c>
      <c r="F45" s="1" t="str">
        <f>VLOOKUP(D45,Table17[[Name]:[Native]],3,FALSE)</f>
        <v>山亭区</v>
      </c>
      <c r="G45" s="14" t="str">
        <f ca="1">VLOOKUP(F45,Table17[[Native]:[Population4]],5,FALSE)</f>
        <v>枣庄市</v>
      </c>
    </row>
    <row r="46" spans="1:7" ht="15.75" thickBot="1" x14ac:dyDescent="0.3">
      <c r="A46" t="s">
        <v>3427</v>
      </c>
      <c r="B46" s="1" t="s">
        <v>3428</v>
      </c>
      <c r="C46" s="1" t="s">
        <v>7</v>
      </c>
      <c r="D46" s="1" t="s">
        <v>3363</v>
      </c>
      <c r="E46" s="3">
        <v>65521</v>
      </c>
      <c r="F46" s="1" t="str">
        <f>VLOOKUP(D46,Table17[[Name]:[Native]],3,FALSE)</f>
        <v>峄城区</v>
      </c>
      <c r="G46" s="14" t="str">
        <f ca="1">VLOOKUP(F46,Table17[[Native]:[Population4]],5,FALSE)</f>
        <v>枣庄市</v>
      </c>
    </row>
    <row r="47" spans="1:7" ht="15.75" thickBot="1" x14ac:dyDescent="0.3">
      <c r="A47" t="s">
        <v>3429</v>
      </c>
      <c r="B47" s="1" t="s">
        <v>3430</v>
      </c>
      <c r="C47" s="1" t="s">
        <v>13</v>
      </c>
      <c r="D47" s="1" t="s">
        <v>3356</v>
      </c>
      <c r="E47" s="3">
        <v>68253</v>
      </c>
      <c r="F47" s="1" t="str">
        <f>VLOOKUP(D47,Table17[[Name]:[Native]],3,FALSE)</f>
        <v>薛城区</v>
      </c>
      <c r="G47" s="14" t="str">
        <f ca="1">VLOOKUP(F47,Table17[[Native]:[Population4]],5,FALSE)</f>
        <v>枣庄市</v>
      </c>
    </row>
    <row r="48" spans="1:7" ht="15.75" thickBot="1" x14ac:dyDescent="0.3">
      <c r="A48" t="s">
        <v>3431</v>
      </c>
      <c r="B48" s="1" t="s">
        <v>3432</v>
      </c>
      <c r="C48" s="1" t="s">
        <v>7</v>
      </c>
      <c r="D48" s="1" t="s">
        <v>908</v>
      </c>
      <c r="E48" s="3">
        <v>81371</v>
      </c>
      <c r="F48" s="1" t="str">
        <f>VLOOKUP(D48,Table17[[Name]:[Native]],3,FALSE)</f>
        <v>市中区</v>
      </c>
      <c r="G48" s="14" t="str">
        <f ca="1">VLOOKUP(F48,Table17[[Native]:[Population4]],5,FALSE)</f>
        <v>济南市</v>
      </c>
    </row>
    <row r="49" spans="1:7" ht="15.75" thickBot="1" x14ac:dyDescent="0.3">
      <c r="A49" t="s">
        <v>3433</v>
      </c>
      <c r="B49" s="1" t="s">
        <v>3434</v>
      </c>
      <c r="C49" s="1" t="s">
        <v>7</v>
      </c>
      <c r="D49" s="1" t="s">
        <v>3363</v>
      </c>
      <c r="E49" s="3">
        <v>33926</v>
      </c>
      <c r="F49" s="1" t="str">
        <f>VLOOKUP(D49,Table17[[Name]:[Native]],3,FALSE)</f>
        <v>峄城区</v>
      </c>
      <c r="G49" s="14" t="str">
        <f ca="1">VLOOKUP(F49,Table17[[Native]:[Population4]],5,FALSE)</f>
        <v>枣庄市</v>
      </c>
    </row>
    <row r="50" spans="1:7" ht="15.75" thickBot="1" x14ac:dyDescent="0.3">
      <c r="A50" t="s">
        <v>3435</v>
      </c>
      <c r="B50" s="1" t="s">
        <v>3436</v>
      </c>
      <c r="C50" s="1" t="s">
        <v>13</v>
      </c>
      <c r="D50" s="1" t="s">
        <v>3346</v>
      </c>
      <c r="E50" s="3">
        <v>101610</v>
      </c>
      <c r="F50" s="1" t="str">
        <f>VLOOKUP(D50,Table17[[Name]:[Native]],3,FALSE)</f>
        <v>滕州市</v>
      </c>
      <c r="G50" s="14" t="str">
        <f ca="1">VLOOKUP(F50,Table17[[Native]:[Population4]],5,FALSE)</f>
        <v>枣庄市</v>
      </c>
    </row>
    <row r="51" spans="1:7" ht="15.75" thickBot="1" x14ac:dyDescent="0.3">
      <c r="A51" t="s">
        <v>3437</v>
      </c>
      <c r="B51" s="1" t="s">
        <v>3438</v>
      </c>
      <c r="C51" s="1" t="s">
        <v>13</v>
      </c>
      <c r="D51" s="1" t="s">
        <v>3351</v>
      </c>
      <c r="E51" s="3">
        <v>29568</v>
      </c>
      <c r="F51" s="1" t="str">
        <f>VLOOKUP(D51,Table17[[Name]:[Native]],3,FALSE)</f>
        <v>山亭区</v>
      </c>
      <c r="G51" s="14" t="str">
        <f ca="1">VLOOKUP(F51,Table17[[Native]:[Population4]],5,FALSE)</f>
        <v>枣庄市</v>
      </c>
    </row>
    <row r="52" spans="1:7" ht="15.75" thickBot="1" x14ac:dyDescent="0.3">
      <c r="A52" t="s">
        <v>3439</v>
      </c>
      <c r="B52" s="1" t="s">
        <v>3440</v>
      </c>
      <c r="C52" s="1" t="s">
        <v>7</v>
      </c>
      <c r="D52" s="1" t="s">
        <v>3356</v>
      </c>
      <c r="E52" s="3">
        <v>27406</v>
      </c>
      <c r="F52" s="1" t="str">
        <f>VLOOKUP(D52,Table17[[Name]:[Native]],3,FALSE)</f>
        <v>薛城区</v>
      </c>
      <c r="G52" s="14" t="str">
        <f ca="1">VLOOKUP(F52,Table17[[Native]:[Population4]],5,FALSE)</f>
        <v>枣庄市</v>
      </c>
    </row>
    <row r="53" spans="1:7" ht="15.75" thickBot="1" x14ac:dyDescent="0.3">
      <c r="A53" t="s">
        <v>3441</v>
      </c>
      <c r="B53" s="1" t="s">
        <v>3442</v>
      </c>
      <c r="C53" s="1" t="s">
        <v>7</v>
      </c>
      <c r="D53" s="1" t="s">
        <v>3356</v>
      </c>
      <c r="E53" s="3">
        <v>62410</v>
      </c>
      <c r="F53" s="1" t="str">
        <f>VLOOKUP(D53,Table17[[Name]:[Native]],3,FALSE)</f>
        <v>薛城区</v>
      </c>
      <c r="G53" s="14" t="str">
        <f ca="1">VLOOKUP(F53,Table17[[Native]:[Population4]],5,FALSE)</f>
        <v>枣庄市</v>
      </c>
    </row>
    <row r="54" spans="1:7" ht="15.75" thickBot="1" x14ac:dyDescent="0.3">
      <c r="A54" t="s">
        <v>3443</v>
      </c>
      <c r="B54" s="1" t="s">
        <v>3444</v>
      </c>
      <c r="C54" s="1" t="s">
        <v>13</v>
      </c>
      <c r="D54" s="1" t="s">
        <v>908</v>
      </c>
      <c r="E54" s="3">
        <v>41139</v>
      </c>
      <c r="F54" s="1" t="str">
        <f>VLOOKUP(D54,Table17[[Name]:[Native]],3,FALSE)</f>
        <v>市中区</v>
      </c>
      <c r="G54" s="14" t="str">
        <f ca="1">VLOOKUP(F54,Table17[[Native]:[Population4]],5,FALSE)</f>
        <v>济南市</v>
      </c>
    </row>
    <row r="55" spans="1:7" ht="15.75" thickBot="1" x14ac:dyDescent="0.3">
      <c r="A55" t="s">
        <v>1744</v>
      </c>
      <c r="B55" s="1" t="s">
        <v>1745</v>
      </c>
      <c r="C55" s="1" t="s">
        <v>13</v>
      </c>
      <c r="D55" s="1" t="s">
        <v>3351</v>
      </c>
      <c r="E55" s="3">
        <v>49345</v>
      </c>
      <c r="F55" s="1" t="str">
        <f>VLOOKUP(D55,Table17[[Name]:[Native]],3,FALSE)</f>
        <v>山亭区</v>
      </c>
      <c r="G55" s="14" t="str">
        <f ca="1">VLOOKUP(F55,Table17[[Native]:[Population4]],5,FALSE)</f>
        <v>枣庄市</v>
      </c>
    </row>
    <row r="56" spans="1:7" ht="15.75" thickBot="1" x14ac:dyDescent="0.3">
      <c r="A56" t="s">
        <v>1186</v>
      </c>
      <c r="B56" s="1" t="s">
        <v>3445</v>
      </c>
      <c r="C56" s="1" t="s">
        <v>13</v>
      </c>
      <c r="D56" s="1" t="s">
        <v>3346</v>
      </c>
      <c r="E56" s="3">
        <v>66755</v>
      </c>
      <c r="F56" s="1" t="str">
        <f>VLOOKUP(D56,Table17[[Name]:[Native]],3,FALSE)</f>
        <v>滕州市</v>
      </c>
      <c r="G56" s="14" t="str">
        <f ca="1">VLOOKUP(F56,Table17[[Native]:[Population4]],5,FALSE)</f>
        <v>枣庄市</v>
      </c>
    </row>
    <row r="57" spans="1:7" ht="15.75" thickBot="1" x14ac:dyDescent="0.3">
      <c r="A57" t="s">
        <v>3446</v>
      </c>
      <c r="B57" s="1" t="s">
        <v>3447</v>
      </c>
      <c r="C57" s="1" t="s">
        <v>13</v>
      </c>
      <c r="D57" s="1" t="s">
        <v>3363</v>
      </c>
      <c r="E57" s="3">
        <v>47634</v>
      </c>
      <c r="F57" s="1" t="str">
        <f>VLOOKUP(D57,Table17[[Name]:[Native]],3,FALSE)</f>
        <v>峄城区</v>
      </c>
      <c r="G57" s="14" t="str">
        <f ca="1">VLOOKUP(F57,Table17[[Native]:[Population4]],5,FALSE)</f>
        <v>枣庄市</v>
      </c>
    </row>
    <row r="58" spans="1:7" ht="15.75" thickBot="1" x14ac:dyDescent="0.3">
      <c r="A58" t="s">
        <v>571</v>
      </c>
      <c r="B58" s="1" t="s">
        <v>572</v>
      </c>
      <c r="C58" s="1" t="s">
        <v>13</v>
      </c>
      <c r="D58" s="1" t="s">
        <v>908</v>
      </c>
      <c r="E58" s="3">
        <v>49422</v>
      </c>
      <c r="F58" s="1" t="str">
        <f>VLOOKUP(D58,Table17[[Name]:[Native]],3,FALSE)</f>
        <v>市中区</v>
      </c>
      <c r="G58" s="14" t="str">
        <f ca="1">VLOOKUP(F58,Table17[[Native]:[Population4]],5,FALSE)</f>
        <v>济南市</v>
      </c>
    </row>
    <row r="59" spans="1:7" ht="15.75" thickBot="1" x14ac:dyDescent="0.3">
      <c r="A59" t="s">
        <v>437</v>
      </c>
      <c r="B59" s="1" t="s">
        <v>438</v>
      </c>
      <c r="C59" s="1" t="s">
        <v>7</v>
      </c>
      <c r="D59" s="1" t="s">
        <v>3388</v>
      </c>
      <c r="E59" s="3">
        <v>42008</v>
      </c>
      <c r="F59" s="1" t="str">
        <f>VLOOKUP(D59,Table17[[Name]:[Native]],3,FALSE)</f>
        <v>台儿庄区</v>
      </c>
      <c r="G59" s="14" t="str">
        <f ca="1">VLOOKUP(F59,Table17[[Native]:[Population4]],5,FALSE)</f>
        <v>枣庄市</v>
      </c>
    </row>
    <row r="60" spans="1:7" ht="15.75" thickBot="1" x14ac:dyDescent="0.3">
      <c r="A60" t="s">
        <v>3448</v>
      </c>
      <c r="B60" s="1" t="s">
        <v>3449</v>
      </c>
      <c r="C60" s="1" t="s">
        <v>7</v>
      </c>
      <c r="D60" s="1" t="s">
        <v>3356</v>
      </c>
      <c r="E60" s="3">
        <v>32002</v>
      </c>
      <c r="F60" s="1" t="str">
        <f>VLOOKUP(D60,Table17[[Name]:[Native]],3,FALSE)</f>
        <v>薛城区</v>
      </c>
      <c r="G60" s="14" t="str">
        <f ca="1">VLOOKUP(F60,Table17[[Native]:[Population4]],5,FALSE)</f>
        <v>枣庄市</v>
      </c>
    </row>
    <row r="61" spans="1:7" ht="15.75" thickBot="1" x14ac:dyDescent="0.3">
      <c r="A61" t="s">
        <v>3450</v>
      </c>
      <c r="B61" s="1" t="s">
        <v>3451</v>
      </c>
      <c r="C61" s="1" t="s">
        <v>13</v>
      </c>
      <c r="D61" s="1" t="s">
        <v>3388</v>
      </c>
      <c r="E61" s="3">
        <v>40832</v>
      </c>
      <c r="F61" s="1" t="str">
        <f>VLOOKUP(D61,Table17[[Name]:[Native]],3,FALSE)</f>
        <v>台儿庄区</v>
      </c>
      <c r="G61" s="14" t="str">
        <f ca="1">VLOOKUP(F61,Table17[[Native]:[Population4]],5,FALSE)</f>
        <v>枣庄市</v>
      </c>
    </row>
    <row r="62" spans="1:7" ht="15.75" thickBot="1" x14ac:dyDescent="0.3">
      <c r="A62" t="s">
        <v>3452</v>
      </c>
      <c r="B62" s="1" t="s">
        <v>3453</v>
      </c>
      <c r="C62" s="1" t="s">
        <v>13</v>
      </c>
      <c r="D62" s="1" t="s">
        <v>3346</v>
      </c>
      <c r="E62" s="3">
        <v>83557</v>
      </c>
      <c r="F62" s="1" t="str">
        <f>VLOOKUP(D62,Table17[[Name]:[Native]],3,FALSE)</f>
        <v>滕州市</v>
      </c>
      <c r="G62" s="14" t="str">
        <f ca="1">VLOOKUP(F62,Table17[[Native]:[Population4]],5,FALSE)</f>
        <v>枣庄市</v>
      </c>
    </row>
    <row r="63" spans="1:7" ht="15.75" thickBot="1" x14ac:dyDescent="0.3">
      <c r="A63" t="s">
        <v>3454</v>
      </c>
      <c r="B63" s="1" t="s">
        <v>3455</v>
      </c>
      <c r="C63" s="1" t="s">
        <v>7</v>
      </c>
      <c r="D63" s="1" t="s">
        <v>908</v>
      </c>
      <c r="E63" s="3">
        <v>40420</v>
      </c>
      <c r="F63" s="1" t="str">
        <f>VLOOKUP(D63,Table17[[Name]:[Native]],3,FALSE)</f>
        <v>市中区</v>
      </c>
      <c r="G63" s="14" t="str">
        <f ca="1">VLOOKUP(F63,Table17[[Native]:[Population4]],5,FALSE)</f>
        <v>济南市</v>
      </c>
    </row>
    <row r="64" spans="1:7" ht="15.75" thickBot="1" x14ac:dyDescent="0.3">
      <c r="A64" t="s">
        <v>3456</v>
      </c>
      <c r="B64" s="1" t="s">
        <v>3457</v>
      </c>
      <c r="C64" s="1" t="s">
        <v>13</v>
      </c>
      <c r="D64" s="1" t="s">
        <v>3356</v>
      </c>
      <c r="E64" s="3">
        <v>51591</v>
      </c>
      <c r="F64" s="1" t="str">
        <f>VLOOKUP(D64,Table17[[Name]:[Native]],3,FALSE)</f>
        <v>薛城区</v>
      </c>
      <c r="G64" s="14" t="str">
        <f ca="1">VLOOKUP(F64,Table17[[Native]:[Population4]],5,FALSE)</f>
        <v>枣庄市</v>
      </c>
    </row>
    <row r="65" spans="1:7" ht="15.75" thickBot="1" x14ac:dyDescent="0.3">
      <c r="A65" t="s">
        <v>3458</v>
      </c>
      <c r="B65" s="1" t="s">
        <v>3459</v>
      </c>
      <c r="C65" s="1" t="s">
        <v>13</v>
      </c>
      <c r="D65" s="1" t="s">
        <v>3356</v>
      </c>
      <c r="E65" s="3">
        <v>39102</v>
      </c>
      <c r="F65" s="10" t="str">
        <f>VLOOKUP(D65,Table17[[Name]:[Native]],3,FALSE)</f>
        <v>薛城区</v>
      </c>
      <c r="G65" s="14" t="str">
        <f ca="1">VLOOKUP(F65,Table17[[Native]:[Population4]],5,FALSE)</f>
        <v>枣庄市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44790-56E0-4B70-99E4-4E5D65F773BA}">
  <dimension ref="A1:G91"/>
  <sheetViews>
    <sheetView workbookViewId="0">
      <selection activeCell="A2" sqref="A2:G9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3806</v>
      </c>
      <c r="G1" t="s">
        <v>3808</v>
      </c>
    </row>
    <row r="2" spans="1:7" ht="15.75" thickBot="1" x14ac:dyDescent="0.3">
      <c r="A2" t="s">
        <v>3460</v>
      </c>
      <c r="B2" s="1" t="s">
        <v>3461</v>
      </c>
      <c r="C2" s="1" t="s">
        <v>13</v>
      </c>
      <c r="D2" s="1" t="s">
        <v>3462</v>
      </c>
      <c r="E2" s="3">
        <v>36357</v>
      </c>
      <c r="F2" s="9" t="str">
        <f>VLOOKUP(D2,Table17[[Name]:[Native]],3,FALSE)</f>
        <v>博山区</v>
      </c>
      <c r="G2" s="14" t="str">
        <f ca="1">VLOOKUP(F2,Table17[[Native]:[Population4]],5,FALSE)</f>
        <v>淄博市</v>
      </c>
    </row>
    <row r="3" spans="1:7" ht="15.75" thickBot="1" x14ac:dyDescent="0.3">
      <c r="A3" t="s">
        <v>3463</v>
      </c>
      <c r="B3" s="1" t="s">
        <v>3464</v>
      </c>
      <c r="C3" s="1" t="s">
        <v>13</v>
      </c>
      <c r="D3" s="1" t="s">
        <v>3462</v>
      </c>
      <c r="E3" s="3">
        <v>36761</v>
      </c>
      <c r="F3" s="1" t="str">
        <f>VLOOKUP(D3,Table17[[Name]:[Native]],3,FALSE)</f>
        <v>博山区</v>
      </c>
      <c r="G3" s="14" t="str">
        <f ca="1">VLOOKUP(F3,Table17[[Native]:[Population4]],5,FALSE)</f>
        <v>淄博市</v>
      </c>
    </row>
    <row r="4" spans="1:7" ht="15.75" thickBot="1" x14ac:dyDescent="0.3">
      <c r="A4" t="s">
        <v>3465</v>
      </c>
      <c r="B4" s="1" t="s">
        <v>3466</v>
      </c>
      <c r="C4" s="1" t="s">
        <v>7</v>
      </c>
      <c r="D4" s="1" t="s">
        <v>3467</v>
      </c>
      <c r="E4" s="3">
        <v>60348</v>
      </c>
      <c r="F4" s="1" t="str">
        <f>VLOOKUP(D4,Table17[[Name]:[Native]],3,FALSE)</f>
        <v>淄川区</v>
      </c>
      <c r="G4" s="14" t="str">
        <f ca="1">VLOOKUP(F4,Table17[[Native]:[Population4]],5,FALSE)</f>
        <v>淄博市</v>
      </c>
    </row>
    <row r="5" spans="1:7" ht="15.75" thickBot="1" x14ac:dyDescent="0.3">
      <c r="A5" t="s">
        <v>3468</v>
      </c>
      <c r="B5" s="1" t="s">
        <v>3469</v>
      </c>
      <c r="C5" s="1" t="s">
        <v>13</v>
      </c>
      <c r="D5" s="1" t="s">
        <v>3470</v>
      </c>
      <c r="E5" s="3">
        <v>59085</v>
      </c>
      <c r="F5" s="1" t="str">
        <f>VLOOKUP(D5,Table17[[Name]:[Native]],3,FALSE)</f>
        <v>周村区</v>
      </c>
      <c r="G5" s="14" t="str">
        <f ca="1">VLOOKUP(F5,Table17[[Native]:[Population4]],5,FALSE)</f>
        <v>淄博市</v>
      </c>
    </row>
    <row r="6" spans="1:7" ht="15.75" thickBot="1" x14ac:dyDescent="0.3">
      <c r="A6" t="s">
        <v>3471</v>
      </c>
      <c r="B6" s="1" t="s">
        <v>3472</v>
      </c>
      <c r="C6" s="1" t="s">
        <v>13</v>
      </c>
      <c r="D6" s="1" t="s">
        <v>3462</v>
      </c>
      <c r="E6" s="3">
        <v>43515</v>
      </c>
      <c r="F6" s="1" t="str">
        <f>VLOOKUP(D6,Table17[[Name]:[Native]],3,FALSE)</f>
        <v>博山区</v>
      </c>
      <c r="G6" s="14" t="str">
        <f ca="1">VLOOKUP(F6,Table17[[Native]:[Population4]],5,FALSE)</f>
        <v>淄博市</v>
      </c>
    </row>
    <row r="7" spans="1:7" ht="15.75" thickBot="1" x14ac:dyDescent="0.3">
      <c r="A7" t="s">
        <v>230</v>
      </c>
      <c r="B7" s="1" t="s">
        <v>231</v>
      </c>
      <c r="C7" s="1" t="s">
        <v>13</v>
      </c>
      <c r="D7" s="1" t="s">
        <v>3473</v>
      </c>
      <c r="E7" s="3">
        <v>28093</v>
      </c>
      <c r="F7" s="1" t="str">
        <f>VLOOKUP(D7,Table17[[Name]:[Native]],3,FALSE)</f>
        <v>高青县</v>
      </c>
      <c r="G7" s="14" t="str">
        <f ca="1">VLOOKUP(F7,Table17[[Native]:[Population4]],5,FALSE)</f>
        <v>淄博市</v>
      </c>
    </row>
    <row r="8" spans="1:7" ht="15.75" thickBot="1" x14ac:dyDescent="0.3">
      <c r="A8" t="s">
        <v>3474</v>
      </c>
      <c r="B8" s="1" t="s">
        <v>3475</v>
      </c>
      <c r="C8" s="1" t="s">
        <v>7</v>
      </c>
      <c r="D8" s="1" t="s">
        <v>3470</v>
      </c>
      <c r="E8" s="3">
        <v>15212</v>
      </c>
      <c r="F8" s="1" t="str">
        <f>VLOOKUP(D8,Table17[[Name]:[Native]],3,FALSE)</f>
        <v>周村区</v>
      </c>
      <c r="G8" s="14" t="str">
        <f ca="1">VLOOKUP(F8,Table17[[Native]:[Population4]],5,FALSE)</f>
        <v>淄博市</v>
      </c>
    </row>
    <row r="9" spans="1:7" ht="15.75" thickBot="1" x14ac:dyDescent="0.3">
      <c r="A9" t="s">
        <v>25</v>
      </c>
      <c r="B9" s="1" t="s">
        <v>26</v>
      </c>
      <c r="C9" s="1" t="s">
        <v>7</v>
      </c>
      <c r="D9" s="1" t="s">
        <v>3462</v>
      </c>
      <c r="E9" s="3">
        <v>49097</v>
      </c>
      <c r="F9" s="1" t="str">
        <f>VLOOKUP(D9,Table17[[Name]:[Native]],3,FALSE)</f>
        <v>博山区</v>
      </c>
      <c r="G9" s="14" t="str">
        <f ca="1">VLOOKUP(F9,Table17[[Native]:[Population4]],5,FALSE)</f>
        <v>淄博市</v>
      </c>
    </row>
    <row r="10" spans="1:7" ht="15.75" thickBot="1" x14ac:dyDescent="0.3">
      <c r="A10" t="s">
        <v>2912</v>
      </c>
      <c r="B10" s="1" t="s">
        <v>2913</v>
      </c>
      <c r="C10" s="1" t="s">
        <v>7</v>
      </c>
      <c r="D10" s="1" t="s">
        <v>3462</v>
      </c>
      <c r="E10" s="3">
        <v>70302</v>
      </c>
      <c r="F10" s="1" t="str">
        <f>VLOOKUP(D10,Table17[[Name]:[Native]],3,FALSE)</f>
        <v>博山区</v>
      </c>
      <c r="G10" s="14" t="str">
        <f ca="1">VLOOKUP(F10,Table17[[Native]:[Population4]],5,FALSE)</f>
        <v>淄博市</v>
      </c>
    </row>
    <row r="11" spans="1:7" ht="15.75" thickBot="1" x14ac:dyDescent="0.3">
      <c r="A11" t="s">
        <v>3476</v>
      </c>
      <c r="B11" s="1" t="s">
        <v>3477</v>
      </c>
      <c r="C11" s="1" t="s">
        <v>7</v>
      </c>
      <c r="D11" s="1" t="s">
        <v>3478</v>
      </c>
      <c r="E11" s="3">
        <v>53320</v>
      </c>
      <c r="F11" s="1" t="str">
        <f>VLOOKUP(D11,Table17[[Name]:[Native]],3,FALSE)</f>
        <v>张店区</v>
      </c>
      <c r="G11" s="14" t="str">
        <f ca="1">VLOOKUP(F11,Table17[[Native]:[Population4]],5,FALSE)</f>
        <v>淄博市</v>
      </c>
    </row>
    <row r="12" spans="1:7" ht="15.75" thickBot="1" x14ac:dyDescent="0.3">
      <c r="A12" t="s">
        <v>3479</v>
      </c>
      <c r="B12" s="1" t="s">
        <v>3480</v>
      </c>
      <c r="C12" s="1" t="s">
        <v>13</v>
      </c>
      <c r="D12" s="1" t="s">
        <v>3462</v>
      </c>
      <c r="E12" s="3">
        <v>17561</v>
      </c>
      <c r="F12" s="1" t="str">
        <f>VLOOKUP(D12,Table17[[Name]:[Native]],3,FALSE)</f>
        <v>博山区</v>
      </c>
      <c r="G12" s="14" t="str">
        <f ca="1">VLOOKUP(F12,Table17[[Native]:[Population4]],5,FALSE)</f>
        <v>淄博市</v>
      </c>
    </row>
    <row r="13" spans="1:7" ht="15.75" thickBot="1" x14ac:dyDescent="0.3">
      <c r="A13" t="s">
        <v>3481</v>
      </c>
      <c r="B13" s="1" t="s">
        <v>3482</v>
      </c>
      <c r="C13" s="1" t="s">
        <v>7</v>
      </c>
      <c r="D13" s="1" t="s">
        <v>3470</v>
      </c>
      <c r="E13" s="3">
        <v>39629</v>
      </c>
      <c r="F13" s="1" t="str">
        <f>VLOOKUP(D13,Table17[[Name]:[Native]],3,FALSE)</f>
        <v>周村区</v>
      </c>
      <c r="G13" s="14" t="str">
        <f ca="1">VLOOKUP(F13,Table17[[Native]:[Population4]],5,FALSE)</f>
        <v>淄博市</v>
      </c>
    </row>
    <row r="14" spans="1:7" ht="15.75" thickBot="1" x14ac:dyDescent="0.3">
      <c r="A14" t="s">
        <v>3483</v>
      </c>
      <c r="B14" s="1" t="s">
        <v>3484</v>
      </c>
      <c r="C14" s="1" t="s">
        <v>13</v>
      </c>
      <c r="D14" s="1" t="s">
        <v>3485</v>
      </c>
      <c r="E14" s="3">
        <v>35459</v>
      </c>
      <c r="F14" s="1" t="str">
        <f>VLOOKUP(D14,Table17[[Name]:[Native]],3,FALSE)</f>
        <v>沂源县</v>
      </c>
      <c r="G14" s="14" t="str">
        <f ca="1">VLOOKUP(F14,Table17[[Native]:[Population4]],5,FALSE)</f>
        <v>淄博市</v>
      </c>
    </row>
    <row r="15" spans="1:7" ht="15.75" thickBot="1" x14ac:dyDescent="0.3">
      <c r="A15" t="s">
        <v>3486</v>
      </c>
      <c r="B15" s="1" t="s">
        <v>3487</v>
      </c>
      <c r="C15" s="1" t="s">
        <v>13</v>
      </c>
      <c r="D15" s="1" t="s">
        <v>3485</v>
      </c>
      <c r="E15" s="3">
        <v>50260</v>
      </c>
      <c r="F15" s="1" t="str">
        <f>VLOOKUP(D15,Table17[[Name]:[Native]],3,FALSE)</f>
        <v>沂源县</v>
      </c>
      <c r="G15" s="14" t="str">
        <f ca="1">VLOOKUP(F15,Table17[[Native]:[Population4]],5,FALSE)</f>
        <v>淄博市</v>
      </c>
    </row>
    <row r="16" spans="1:7" ht="15.75" thickBot="1" x14ac:dyDescent="0.3">
      <c r="A16" t="s">
        <v>3488</v>
      </c>
      <c r="B16" s="1" t="s">
        <v>3489</v>
      </c>
      <c r="C16" s="1" t="s">
        <v>13</v>
      </c>
      <c r="D16" s="1" t="s">
        <v>3478</v>
      </c>
      <c r="E16" s="3">
        <v>29991</v>
      </c>
      <c r="F16" s="1" t="str">
        <f>VLOOKUP(D16,Table17[[Name]:[Native]],3,FALSE)</f>
        <v>张店区</v>
      </c>
      <c r="G16" s="14" t="str">
        <f ca="1">VLOOKUP(F16,Table17[[Native]:[Population4]],5,FALSE)</f>
        <v>淄博市</v>
      </c>
    </row>
    <row r="17" spans="1:7" ht="15.75" thickBot="1" x14ac:dyDescent="0.3">
      <c r="A17" t="s">
        <v>3490</v>
      </c>
      <c r="B17" s="1" t="s">
        <v>679</v>
      </c>
      <c r="C17" s="1" t="s">
        <v>13</v>
      </c>
      <c r="D17" s="1" t="s">
        <v>3491</v>
      </c>
      <c r="E17" s="3">
        <v>74674</v>
      </c>
      <c r="F17" s="1" t="str">
        <f>VLOOKUP(D17,Table17[[Name]:[Native]],3,FALSE)</f>
        <v>临淄区</v>
      </c>
      <c r="G17" s="14" t="str">
        <f ca="1">VLOOKUP(F17,Table17[[Native]:[Population4]],5,FALSE)</f>
        <v>淄博市</v>
      </c>
    </row>
    <row r="18" spans="1:7" ht="15.75" thickBot="1" x14ac:dyDescent="0.3">
      <c r="A18" t="s">
        <v>3492</v>
      </c>
      <c r="B18" s="1" t="s">
        <v>3493</v>
      </c>
      <c r="C18" s="1" t="s">
        <v>13</v>
      </c>
      <c r="D18" s="1" t="s">
        <v>3478</v>
      </c>
      <c r="E18" s="3">
        <v>36434</v>
      </c>
      <c r="F18" s="1" t="str">
        <f>VLOOKUP(D18,Table17[[Name]:[Native]],3,FALSE)</f>
        <v>张店区</v>
      </c>
      <c r="G18" s="14" t="str">
        <f ca="1">VLOOKUP(F18,Table17[[Native]:[Population4]],5,FALSE)</f>
        <v>淄博市</v>
      </c>
    </row>
    <row r="19" spans="1:7" ht="15.75" thickBot="1" x14ac:dyDescent="0.3">
      <c r="A19" t="s">
        <v>3494</v>
      </c>
      <c r="B19" s="1" t="s">
        <v>3495</v>
      </c>
      <c r="C19" s="1" t="s">
        <v>13</v>
      </c>
      <c r="D19" s="1" t="s">
        <v>3478</v>
      </c>
      <c r="E19" s="3">
        <v>67652</v>
      </c>
      <c r="F19" s="1" t="str">
        <f>VLOOKUP(D19,Table17[[Name]:[Native]],3,FALSE)</f>
        <v>张店区</v>
      </c>
      <c r="G19" s="14" t="str">
        <f ca="1">VLOOKUP(F19,Table17[[Native]:[Population4]],5,FALSE)</f>
        <v>淄博市</v>
      </c>
    </row>
    <row r="20" spans="1:7" ht="15.75" thickBot="1" x14ac:dyDescent="0.3">
      <c r="A20" t="s">
        <v>3496</v>
      </c>
      <c r="B20" s="1" t="s">
        <v>3497</v>
      </c>
      <c r="C20" s="1" t="s">
        <v>13</v>
      </c>
      <c r="D20" s="1" t="s">
        <v>3473</v>
      </c>
      <c r="E20" s="3">
        <v>38121</v>
      </c>
      <c r="F20" s="1" t="str">
        <f>VLOOKUP(D20,Table17[[Name]:[Native]],3,FALSE)</f>
        <v>高青县</v>
      </c>
      <c r="G20" s="14" t="str">
        <f ca="1">VLOOKUP(F20,Table17[[Native]:[Population4]],5,FALSE)</f>
        <v>淄博市</v>
      </c>
    </row>
    <row r="21" spans="1:7" ht="15.75" thickBot="1" x14ac:dyDescent="0.3">
      <c r="A21" t="s">
        <v>3498</v>
      </c>
      <c r="B21" s="1" t="s">
        <v>3499</v>
      </c>
      <c r="C21" s="1" t="s">
        <v>7</v>
      </c>
      <c r="D21" s="1" t="s">
        <v>3478</v>
      </c>
      <c r="E21" s="3">
        <v>58890</v>
      </c>
      <c r="F21" s="1" t="str">
        <f>VLOOKUP(D21,Table17[[Name]:[Native]],3,FALSE)</f>
        <v>张店区</v>
      </c>
      <c r="G21" s="14" t="str">
        <f ca="1">VLOOKUP(F21,Table17[[Native]:[Population4]],5,FALSE)</f>
        <v>淄博市</v>
      </c>
    </row>
    <row r="22" spans="1:7" ht="15.75" thickBot="1" x14ac:dyDescent="0.3">
      <c r="A22" t="s">
        <v>3500</v>
      </c>
      <c r="B22" s="1" t="s">
        <v>3501</v>
      </c>
      <c r="C22" s="1" t="s">
        <v>13</v>
      </c>
      <c r="D22" s="1" t="s">
        <v>3502</v>
      </c>
      <c r="E22" s="3">
        <v>67340</v>
      </c>
      <c r="F22" s="1" t="str">
        <f>VLOOKUP(D22,Table17[[Name]:[Native]],3,FALSE)</f>
        <v>桓台县</v>
      </c>
      <c r="G22" s="14" t="str">
        <f ca="1">VLOOKUP(F22,Table17[[Native]:[Population4]],5,FALSE)</f>
        <v>淄博市</v>
      </c>
    </row>
    <row r="23" spans="1:7" ht="15.75" thickBot="1" x14ac:dyDescent="0.3">
      <c r="A23" t="s">
        <v>3503</v>
      </c>
      <c r="B23" s="1" t="s">
        <v>3504</v>
      </c>
      <c r="C23" s="1" t="s">
        <v>13</v>
      </c>
      <c r="D23" s="1" t="s">
        <v>3473</v>
      </c>
      <c r="E23" s="3">
        <v>39312</v>
      </c>
      <c r="F23" s="1" t="str">
        <f>VLOOKUP(D23,Table17[[Name]:[Native]],3,FALSE)</f>
        <v>高青县</v>
      </c>
      <c r="G23" s="14" t="str">
        <f ca="1">VLOOKUP(F23,Table17[[Native]:[Population4]],5,FALSE)</f>
        <v>淄博市</v>
      </c>
    </row>
    <row r="24" spans="1:7" ht="15.75" thickBot="1" x14ac:dyDescent="0.3">
      <c r="A24" t="s">
        <v>3505</v>
      </c>
      <c r="B24" s="1" t="s">
        <v>3506</v>
      </c>
      <c r="C24" s="1" t="s">
        <v>7</v>
      </c>
      <c r="D24" s="1" t="s">
        <v>3478</v>
      </c>
      <c r="E24" s="3">
        <v>40736</v>
      </c>
      <c r="F24" s="1" t="str">
        <f>VLOOKUP(D24,Table17[[Name]:[Native]],3,FALSE)</f>
        <v>张店区</v>
      </c>
      <c r="G24" s="14" t="str">
        <f ca="1">VLOOKUP(F24,Table17[[Native]:[Population4]],5,FALSE)</f>
        <v>淄博市</v>
      </c>
    </row>
    <row r="25" spans="1:7" ht="15.75" thickBot="1" x14ac:dyDescent="0.3">
      <c r="A25" t="s">
        <v>3507</v>
      </c>
      <c r="B25" s="1" t="s">
        <v>3508</v>
      </c>
      <c r="C25" s="1" t="s">
        <v>13</v>
      </c>
      <c r="D25" s="1" t="s">
        <v>3467</v>
      </c>
      <c r="E25" s="3">
        <v>50470</v>
      </c>
      <c r="F25" s="1" t="str">
        <f>VLOOKUP(D25,Table17[[Name]:[Native]],3,FALSE)</f>
        <v>淄川区</v>
      </c>
      <c r="G25" s="14" t="str">
        <f ca="1">VLOOKUP(F25,Table17[[Native]:[Population4]],5,FALSE)</f>
        <v>淄博市</v>
      </c>
    </row>
    <row r="26" spans="1:7" ht="15.75" thickBot="1" x14ac:dyDescent="0.3">
      <c r="A26" t="s">
        <v>3509</v>
      </c>
      <c r="B26" s="1" t="s">
        <v>3510</v>
      </c>
      <c r="C26" s="1" t="s">
        <v>13</v>
      </c>
      <c r="D26" s="1" t="s">
        <v>3473</v>
      </c>
      <c r="E26" s="3">
        <v>52961</v>
      </c>
      <c r="F26" s="1" t="str">
        <f>VLOOKUP(D26,Table17[[Name]:[Native]],3,FALSE)</f>
        <v>高青县</v>
      </c>
      <c r="G26" s="14" t="str">
        <f ca="1">VLOOKUP(F26,Table17[[Native]:[Population4]],5,FALSE)</f>
        <v>淄博市</v>
      </c>
    </row>
    <row r="27" spans="1:7" ht="15.75" thickBot="1" x14ac:dyDescent="0.3">
      <c r="A27" t="s">
        <v>3511</v>
      </c>
      <c r="B27" s="1" t="s">
        <v>3512</v>
      </c>
      <c r="C27" s="1" t="s">
        <v>13</v>
      </c>
      <c r="D27" s="1" t="s">
        <v>3491</v>
      </c>
      <c r="E27" s="3">
        <v>49583</v>
      </c>
      <c r="F27" s="1" t="str">
        <f>VLOOKUP(D27,Table17[[Name]:[Native]],3,FALSE)</f>
        <v>临淄区</v>
      </c>
      <c r="G27" s="14" t="str">
        <f ca="1">VLOOKUP(F27,Table17[[Native]:[Population4]],5,FALSE)</f>
        <v>淄博市</v>
      </c>
    </row>
    <row r="28" spans="1:7" ht="15.75" thickBot="1" x14ac:dyDescent="0.3">
      <c r="A28" s="1" t="s">
        <v>3513</v>
      </c>
      <c r="B28" s="1" t="s">
        <v>3514</v>
      </c>
      <c r="C28" s="1" t="s">
        <v>7</v>
      </c>
      <c r="D28" s="1" t="s">
        <v>3478</v>
      </c>
      <c r="E28" s="3">
        <v>26517</v>
      </c>
      <c r="F28" s="1" t="str">
        <f>VLOOKUP(D28,Table17[[Name]:[Native]],3,FALSE)</f>
        <v>张店区</v>
      </c>
      <c r="G28" s="14" t="str">
        <f ca="1">VLOOKUP(F28,Table17[[Native]:[Population4]],5,FALSE)</f>
        <v>淄博市</v>
      </c>
    </row>
    <row r="29" spans="1:7" ht="15.75" thickBot="1" x14ac:dyDescent="0.3">
      <c r="A29" t="s">
        <v>3515</v>
      </c>
      <c r="B29" s="1" t="s">
        <v>3516</v>
      </c>
      <c r="C29" s="1" t="s">
        <v>7</v>
      </c>
      <c r="D29" s="1" t="s">
        <v>3467</v>
      </c>
      <c r="E29" s="3">
        <v>58145</v>
      </c>
      <c r="F29" s="1" t="str">
        <f>VLOOKUP(D29,Table17[[Name]:[Native]],3,FALSE)</f>
        <v>淄川区</v>
      </c>
      <c r="G29" s="14" t="str">
        <f ca="1">VLOOKUP(F29,Table17[[Native]:[Population4]],5,FALSE)</f>
        <v>淄博市</v>
      </c>
    </row>
    <row r="30" spans="1:7" ht="15.75" thickBot="1" x14ac:dyDescent="0.3">
      <c r="A30" t="s">
        <v>3517</v>
      </c>
      <c r="B30" s="1" t="s">
        <v>3518</v>
      </c>
      <c r="C30" s="1" t="s">
        <v>13</v>
      </c>
      <c r="D30" s="1" t="s">
        <v>3502</v>
      </c>
      <c r="E30" s="3">
        <v>41375</v>
      </c>
      <c r="F30" s="1" t="str">
        <f>VLOOKUP(D30,Table17[[Name]:[Native]],3,FALSE)</f>
        <v>桓台县</v>
      </c>
      <c r="G30" s="14" t="str">
        <f ca="1">VLOOKUP(F30,Table17[[Native]:[Population4]],5,FALSE)</f>
        <v>淄博市</v>
      </c>
    </row>
    <row r="31" spans="1:7" ht="15.75" thickBot="1" x14ac:dyDescent="0.3">
      <c r="A31" t="s">
        <v>3519</v>
      </c>
      <c r="B31" s="1" t="s">
        <v>3520</v>
      </c>
      <c r="C31" s="1" t="s">
        <v>13</v>
      </c>
      <c r="D31" s="1" t="s">
        <v>3491</v>
      </c>
      <c r="E31" s="3">
        <v>30935</v>
      </c>
      <c r="F31" s="1" t="str">
        <f>VLOOKUP(D31,Table17[[Name]:[Native]],3,FALSE)</f>
        <v>临淄区</v>
      </c>
      <c r="G31" s="14" t="str">
        <f ca="1">VLOOKUP(F31,Table17[[Native]:[Population4]],5,FALSE)</f>
        <v>淄博市</v>
      </c>
    </row>
    <row r="32" spans="1:7" ht="15.75" thickBot="1" x14ac:dyDescent="0.3">
      <c r="A32" t="s">
        <v>3163</v>
      </c>
      <c r="B32" s="1" t="s">
        <v>3164</v>
      </c>
      <c r="C32" s="1" t="s">
        <v>13</v>
      </c>
      <c r="D32" s="1" t="s">
        <v>3491</v>
      </c>
      <c r="E32" s="3">
        <v>15667</v>
      </c>
      <c r="F32" s="1" t="str">
        <f>VLOOKUP(D32,Table17[[Name]:[Native]],3,FALSE)</f>
        <v>临淄区</v>
      </c>
      <c r="G32" s="14" t="str">
        <f ca="1">VLOOKUP(F32,Table17[[Native]:[Population4]],5,FALSE)</f>
        <v>淄博市</v>
      </c>
    </row>
    <row r="33" spans="1:7" ht="15.75" thickBot="1" x14ac:dyDescent="0.3">
      <c r="A33" t="s">
        <v>3521</v>
      </c>
      <c r="B33" s="1" t="s">
        <v>3522</v>
      </c>
      <c r="C33" s="1" t="s">
        <v>13</v>
      </c>
      <c r="D33" s="1" t="s">
        <v>3491</v>
      </c>
      <c r="E33" s="3">
        <v>83784</v>
      </c>
      <c r="F33" s="1" t="str">
        <f>VLOOKUP(D33,Table17[[Name]:[Native]],3,FALSE)</f>
        <v>临淄区</v>
      </c>
      <c r="G33" s="14" t="str">
        <f ca="1">VLOOKUP(F33,Table17[[Native]:[Population4]],5,FALSE)</f>
        <v>淄博市</v>
      </c>
    </row>
    <row r="34" spans="1:7" ht="15.75" thickBot="1" x14ac:dyDescent="0.3">
      <c r="A34" t="s">
        <v>3523</v>
      </c>
      <c r="B34" s="1" t="s">
        <v>3524</v>
      </c>
      <c r="C34" s="1" t="s">
        <v>7</v>
      </c>
      <c r="D34" s="1" t="s">
        <v>3491</v>
      </c>
      <c r="E34" s="3">
        <v>65413</v>
      </c>
      <c r="F34" s="1" t="str">
        <f>VLOOKUP(D34,Table17[[Name]:[Native]],3,FALSE)</f>
        <v>临淄区</v>
      </c>
      <c r="G34" s="14" t="str">
        <f ca="1">VLOOKUP(F34,Table17[[Native]:[Population4]],5,FALSE)</f>
        <v>淄博市</v>
      </c>
    </row>
    <row r="35" spans="1:7" ht="15.75" thickBot="1" x14ac:dyDescent="0.3">
      <c r="A35" t="s">
        <v>3525</v>
      </c>
      <c r="B35" s="1" t="s">
        <v>3526</v>
      </c>
      <c r="C35" s="1" t="s">
        <v>7</v>
      </c>
      <c r="D35" s="1" t="s">
        <v>3478</v>
      </c>
      <c r="E35" s="3">
        <v>129080</v>
      </c>
      <c r="F35" s="1" t="str">
        <f>VLOOKUP(D35,Table17[[Name]:[Native]],3,FALSE)</f>
        <v>张店区</v>
      </c>
      <c r="G35" s="14" t="str">
        <f ca="1">VLOOKUP(F35,Table17[[Native]:[Population4]],5,FALSE)</f>
        <v>淄博市</v>
      </c>
    </row>
    <row r="36" spans="1:7" ht="15.75" thickBot="1" x14ac:dyDescent="0.3">
      <c r="A36" t="s">
        <v>3527</v>
      </c>
      <c r="B36" s="1" t="s">
        <v>3528</v>
      </c>
      <c r="C36" s="1" t="s">
        <v>13</v>
      </c>
      <c r="D36" s="1" t="s">
        <v>3467</v>
      </c>
      <c r="E36" s="3">
        <v>74287</v>
      </c>
      <c r="F36" s="1" t="str">
        <f>VLOOKUP(D36,Table17[[Name]:[Native]],3,FALSE)</f>
        <v>淄川区</v>
      </c>
      <c r="G36" s="14" t="str">
        <f ca="1">VLOOKUP(F36,Table17[[Native]:[Population4]],5,FALSE)</f>
        <v>淄博市</v>
      </c>
    </row>
    <row r="37" spans="1:7" ht="15.75" thickBot="1" x14ac:dyDescent="0.3">
      <c r="A37" t="s">
        <v>3529</v>
      </c>
      <c r="B37" s="1" t="s">
        <v>3530</v>
      </c>
      <c r="C37" s="1" t="s">
        <v>13</v>
      </c>
      <c r="D37" s="1" t="s">
        <v>3467</v>
      </c>
      <c r="E37" s="3">
        <v>35205</v>
      </c>
      <c r="F37" s="1" t="str">
        <f>VLOOKUP(D37,Table17[[Name]:[Native]],3,FALSE)</f>
        <v>淄川区</v>
      </c>
      <c r="G37" s="14" t="str">
        <f ca="1">VLOOKUP(F37,Table17[[Native]:[Population4]],5,FALSE)</f>
        <v>淄博市</v>
      </c>
    </row>
    <row r="38" spans="1:7" ht="15.75" thickBot="1" x14ac:dyDescent="0.3">
      <c r="A38" t="s">
        <v>3531</v>
      </c>
      <c r="B38" s="1" t="s">
        <v>3532</v>
      </c>
      <c r="C38" s="1" t="s">
        <v>7</v>
      </c>
      <c r="D38" s="1" t="s">
        <v>3485</v>
      </c>
      <c r="E38" s="3">
        <v>97248</v>
      </c>
      <c r="F38" s="1" t="str">
        <f>VLOOKUP(D38,Table17[[Name]:[Native]],3,FALSE)</f>
        <v>沂源县</v>
      </c>
      <c r="G38" s="14" t="str">
        <f ca="1">VLOOKUP(F38,Table17[[Native]:[Population4]],5,FALSE)</f>
        <v>淄博市</v>
      </c>
    </row>
    <row r="39" spans="1:7" ht="15.75" thickBot="1" x14ac:dyDescent="0.3">
      <c r="A39" t="s">
        <v>3179</v>
      </c>
      <c r="B39" s="1" t="s">
        <v>3180</v>
      </c>
      <c r="C39" s="1" t="s">
        <v>13</v>
      </c>
      <c r="D39" s="1" t="s">
        <v>3467</v>
      </c>
      <c r="E39" s="3">
        <v>40380</v>
      </c>
      <c r="F39" s="1" t="str">
        <f>VLOOKUP(D39,Table17[[Name]:[Native]],3,FALSE)</f>
        <v>淄川区</v>
      </c>
      <c r="G39" s="14" t="str">
        <f ca="1">VLOOKUP(F39,Table17[[Native]:[Population4]],5,FALSE)</f>
        <v>淄博市</v>
      </c>
    </row>
    <row r="40" spans="1:7" ht="15.75" thickBot="1" x14ac:dyDescent="0.3">
      <c r="A40" t="s">
        <v>3533</v>
      </c>
      <c r="B40" s="1" t="s">
        <v>3534</v>
      </c>
      <c r="C40" s="1" t="s">
        <v>13</v>
      </c>
      <c r="D40" s="1" t="s">
        <v>3485</v>
      </c>
      <c r="E40" s="3">
        <v>70413</v>
      </c>
      <c r="F40" s="1" t="str">
        <f>VLOOKUP(D40,Table17[[Name]:[Native]],3,FALSE)</f>
        <v>沂源县</v>
      </c>
      <c r="G40" s="14" t="str">
        <f ca="1">VLOOKUP(F40,Table17[[Native]:[Population4]],5,FALSE)</f>
        <v>淄博市</v>
      </c>
    </row>
    <row r="41" spans="1:7" ht="15.75" thickBot="1" x14ac:dyDescent="0.3">
      <c r="A41" t="s">
        <v>3535</v>
      </c>
      <c r="B41" s="1" t="s">
        <v>3536</v>
      </c>
      <c r="C41" s="1" t="s">
        <v>7</v>
      </c>
      <c r="D41" s="1" t="s">
        <v>3473</v>
      </c>
      <c r="E41" s="3">
        <v>56432</v>
      </c>
      <c r="F41" s="1" t="str">
        <f>VLOOKUP(D41,Table17[[Name]:[Native]],3,FALSE)</f>
        <v>高青县</v>
      </c>
      <c r="G41" s="14" t="str">
        <f ca="1">VLOOKUP(F41,Table17[[Native]:[Population4]],5,FALSE)</f>
        <v>淄博市</v>
      </c>
    </row>
    <row r="42" spans="1:7" ht="15.75" thickBot="1" x14ac:dyDescent="0.3">
      <c r="A42" t="s">
        <v>3537</v>
      </c>
      <c r="B42" s="1" t="s">
        <v>3538</v>
      </c>
      <c r="C42" s="1" t="s">
        <v>13</v>
      </c>
      <c r="D42" s="1" t="s">
        <v>3467</v>
      </c>
      <c r="E42" s="3">
        <v>56302</v>
      </c>
      <c r="F42" s="1" t="str">
        <f>VLOOKUP(D42,Table17[[Name]:[Native]],3,FALSE)</f>
        <v>淄川区</v>
      </c>
      <c r="G42" s="14" t="str">
        <f ca="1">VLOOKUP(F42,Table17[[Native]:[Population4]],5,FALSE)</f>
        <v>淄博市</v>
      </c>
    </row>
    <row r="43" spans="1:7" ht="15.75" thickBot="1" x14ac:dyDescent="0.3">
      <c r="A43" t="s">
        <v>3539</v>
      </c>
      <c r="B43" s="1" t="s">
        <v>3540</v>
      </c>
      <c r="C43" s="1" t="s">
        <v>13</v>
      </c>
      <c r="D43" s="1" t="s">
        <v>3502</v>
      </c>
      <c r="E43" s="3">
        <v>51207</v>
      </c>
      <c r="F43" s="1" t="str">
        <f>VLOOKUP(D43,Table17[[Name]:[Native]],3,FALSE)</f>
        <v>桓台县</v>
      </c>
      <c r="G43" s="14" t="str">
        <f ca="1">VLOOKUP(F43,Table17[[Native]:[Population4]],5,FALSE)</f>
        <v>淄博市</v>
      </c>
    </row>
    <row r="44" spans="1:7" ht="15.75" thickBot="1" x14ac:dyDescent="0.3">
      <c r="A44" t="s">
        <v>3541</v>
      </c>
      <c r="B44" s="1" t="s">
        <v>3542</v>
      </c>
      <c r="C44" s="1" t="s">
        <v>7</v>
      </c>
      <c r="D44" s="1" t="s">
        <v>3478</v>
      </c>
      <c r="E44" s="3">
        <v>124550</v>
      </c>
      <c r="F44" s="1" t="str">
        <f>VLOOKUP(D44,Table17[[Name]:[Native]],3,FALSE)</f>
        <v>张店区</v>
      </c>
      <c r="G44" s="14" t="str">
        <f ca="1">VLOOKUP(F44,Table17[[Native]:[Population4]],5,FALSE)</f>
        <v>淄博市</v>
      </c>
    </row>
    <row r="45" spans="1:7" ht="15.75" thickBot="1" x14ac:dyDescent="0.3">
      <c r="A45" t="s">
        <v>3543</v>
      </c>
      <c r="B45" s="1" t="s">
        <v>3544</v>
      </c>
      <c r="C45" s="1" t="s">
        <v>13</v>
      </c>
      <c r="D45" s="1" t="s">
        <v>3470</v>
      </c>
      <c r="E45" s="3">
        <v>27815</v>
      </c>
      <c r="F45" s="1" t="str">
        <f>VLOOKUP(D45,Table17[[Name]:[Native]],3,FALSE)</f>
        <v>周村区</v>
      </c>
      <c r="G45" s="14" t="str">
        <f ca="1">VLOOKUP(F45,Table17[[Native]:[Population4]],5,FALSE)</f>
        <v>淄博市</v>
      </c>
    </row>
    <row r="46" spans="1:7" ht="15.75" thickBot="1" x14ac:dyDescent="0.3">
      <c r="A46" t="s">
        <v>3545</v>
      </c>
      <c r="B46" s="1" t="s">
        <v>3546</v>
      </c>
      <c r="C46" s="1" t="s">
        <v>13</v>
      </c>
      <c r="D46" s="1" t="s">
        <v>3473</v>
      </c>
      <c r="E46" s="3">
        <v>30794</v>
      </c>
      <c r="F46" s="1" t="str">
        <f>VLOOKUP(D46,Table17[[Name]:[Native]],3,FALSE)</f>
        <v>高青县</v>
      </c>
      <c r="G46" s="14" t="str">
        <f ca="1">VLOOKUP(F46,Table17[[Native]:[Population4]],5,FALSE)</f>
        <v>淄博市</v>
      </c>
    </row>
    <row r="47" spans="1:7" ht="15.75" thickBot="1" x14ac:dyDescent="0.3">
      <c r="A47" t="s">
        <v>3547</v>
      </c>
      <c r="B47" s="1" t="s">
        <v>3548</v>
      </c>
      <c r="C47" s="1" t="s">
        <v>13</v>
      </c>
      <c r="D47" s="1" t="s">
        <v>3478</v>
      </c>
      <c r="E47" s="3">
        <v>90448</v>
      </c>
      <c r="F47" s="1" t="str">
        <f>VLOOKUP(D47,Table17[[Name]:[Native]],3,FALSE)</f>
        <v>张店区</v>
      </c>
      <c r="G47" s="14" t="str">
        <f ca="1">VLOOKUP(F47,Table17[[Native]:[Population4]],5,FALSE)</f>
        <v>淄博市</v>
      </c>
    </row>
    <row r="48" spans="1:7" ht="15.75" thickBot="1" x14ac:dyDescent="0.3">
      <c r="A48" t="s">
        <v>3549</v>
      </c>
      <c r="B48" s="1" t="s">
        <v>3550</v>
      </c>
      <c r="C48" s="1" t="s">
        <v>13</v>
      </c>
      <c r="D48" s="1" t="s">
        <v>3470</v>
      </c>
      <c r="E48" s="3">
        <v>38155</v>
      </c>
      <c r="F48" s="1" t="str">
        <f>VLOOKUP(D48,Table17[[Name]:[Native]],3,FALSE)</f>
        <v>周村区</v>
      </c>
      <c r="G48" s="14" t="str">
        <f ca="1">VLOOKUP(F48,Table17[[Native]:[Population4]],5,FALSE)</f>
        <v>淄博市</v>
      </c>
    </row>
    <row r="49" spans="1:7" ht="15.75" thickBot="1" x14ac:dyDescent="0.3">
      <c r="A49" t="s">
        <v>3551</v>
      </c>
      <c r="B49" s="1" t="s">
        <v>3552</v>
      </c>
      <c r="C49" s="1" t="s">
        <v>13</v>
      </c>
      <c r="D49" s="1" t="s">
        <v>3485</v>
      </c>
      <c r="E49" s="3">
        <v>35214</v>
      </c>
      <c r="F49" s="1" t="str">
        <f>VLOOKUP(D49,Table17[[Name]:[Native]],3,FALSE)</f>
        <v>沂源县</v>
      </c>
      <c r="G49" s="14" t="str">
        <f ca="1">VLOOKUP(F49,Table17[[Native]:[Population4]],5,FALSE)</f>
        <v>淄博市</v>
      </c>
    </row>
    <row r="50" spans="1:7" ht="15.75" thickBot="1" x14ac:dyDescent="0.3">
      <c r="A50" t="s">
        <v>3553</v>
      </c>
      <c r="B50" s="1" t="s">
        <v>3554</v>
      </c>
      <c r="C50" s="1" t="s">
        <v>7</v>
      </c>
      <c r="D50" s="1" t="s">
        <v>3485</v>
      </c>
      <c r="E50" s="3">
        <v>60949</v>
      </c>
      <c r="F50" s="1" t="str">
        <f>VLOOKUP(D50,Table17[[Name]:[Native]],3,FALSE)</f>
        <v>沂源县</v>
      </c>
      <c r="G50" s="14" t="str">
        <f ca="1">VLOOKUP(F50,Table17[[Native]:[Population4]],5,FALSE)</f>
        <v>淄博市</v>
      </c>
    </row>
    <row r="51" spans="1:7" ht="15.75" thickBot="1" x14ac:dyDescent="0.3">
      <c r="A51" t="s">
        <v>3555</v>
      </c>
      <c r="B51" s="1" t="s">
        <v>3556</v>
      </c>
      <c r="C51" s="1" t="s">
        <v>13</v>
      </c>
      <c r="D51" s="1" t="s">
        <v>3491</v>
      </c>
      <c r="E51" s="3">
        <v>47367</v>
      </c>
      <c r="F51" s="1" t="str">
        <f>VLOOKUP(D51,Table17[[Name]:[Native]],3,FALSE)</f>
        <v>临淄区</v>
      </c>
      <c r="G51" s="14" t="str">
        <f ca="1">VLOOKUP(F51,Table17[[Native]:[Population4]],5,FALSE)</f>
        <v>淄博市</v>
      </c>
    </row>
    <row r="52" spans="1:7" ht="15.75" thickBot="1" x14ac:dyDescent="0.3">
      <c r="A52" t="s">
        <v>3557</v>
      </c>
      <c r="B52" s="1" t="s">
        <v>3558</v>
      </c>
      <c r="C52" s="1" t="s">
        <v>13</v>
      </c>
      <c r="D52" s="1" t="s">
        <v>3502</v>
      </c>
      <c r="E52" s="3">
        <v>52700</v>
      </c>
      <c r="F52" s="1" t="str">
        <f>VLOOKUP(D52,Table17[[Name]:[Native]],3,FALSE)</f>
        <v>桓台县</v>
      </c>
      <c r="G52" s="14" t="str">
        <f ca="1">VLOOKUP(F52,Table17[[Native]:[Population4]],5,FALSE)</f>
        <v>淄博市</v>
      </c>
    </row>
    <row r="53" spans="1:7" ht="15.75" thickBot="1" x14ac:dyDescent="0.3">
      <c r="A53" t="s">
        <v>3559</v>
      </c>
      <c r="B53" s="1" t="s">
        <v>3560</v>
      </c>
      <c r="C53" s="1" t="s">
        <v>7</v>
      </c>
      <c r="D53" s="1" t="s">
        <v>3491</v>
      </c>
      <c r="E53" s="3">
        <v>30662</v>
      </c>
      <c r="F53" s="1" t="str">
        <f>VLOOKUP(D53,Table17[[Name]:[Native]],3,FALSE)</f>
        <v>临淄区</v>
      </c>
      <c r="G53" s="14" t="str">
        <f ca="1">VLOOKUP(F53,Table17[[Native]:[Population4]],5,FALSE)</f>
        <v>淄博市</v>
      </c>
    </row>
    <row r="54" spans="1:7" ht="15.75" thickBot="1" x14ac:dyDescent="0.3">
      <c r="A54" t="s">
        <v>3561</v>
      </c>
      <c r="B54" s="1" t="s">
        <v>3562</v>
      </c>
      <c r="C54" s="1" t="s">
        <v>13</v>
      </c>
      <c r="D54" s="1" t="s">
        <v>3473</v>
      </c>
      <c r="E54" s="3">
        <v>31961</v>
      </c>
      <c r="F54" s="1" t="str">
        <f>VLOOKUP(D54,Table17[[Name]:[Native]],3,FALSE)</f>
        <v>高青县</v>
      </c>
      <c r="G54" s="14" t="str">
        <f ca="1">VLOOKUP(F54,Table17[[Native]:[Population4]],5,FALSE)</f>
        <v>淄博市</v>
      </c>
    </row>
    <row r="55" spans="1:7" ht="15.75" thickBot="1" x14ac:dyDescent="0.3">
      <c r="A55" t="s">
        <v>1670</v>
      </c>
      <c r="B55" s="1" t="s">
        <v>1671</v>
      </c>
      <c r="C55" s="1" t="s">
        <v>7</v>
      </c>
      <c r="D55" s="1" t="s">
        <v>3470</v>
      </c>
      <c r="E55" s="3">
        <v>52758</v>
      </c>
      <c r="F55" s="1" t="str">
        <f>VLOOKUP(D55,Table17[[Name]:[Native]],3,FALSE)</f>
        <v>周村区</v>
      </c>
      <c r="G55" s="14" t="str">
        <f ca="1">VLOOKUP(F55,Table17[[Native]:[Population4]],5,FALSE)</f>
        <v>淄博市</v>
      </c>
    </row>
    <row r="56" spans="1:7" ht="15.75" thickBot="1" x14ac:dyDescent="0.3">
      <c r="A56" t="s">
        <v>3563</v>
      </c>
      <c r="B56" s="1" t="s">
        <v>3564</v>
      </c>
      <c r="C56" s="1" t="s">
        <v>13</v>
      </c>
      <c r="D56" s="1" t="s">
        <v>3470</v>
      </c>
      <c r="E56" s="3">
        <v>19673</v>
      </c>
      <c r="F56" s="1" t="str">
        <f>VLOOKUP(D56,Table17[[Name]:[Native]],3,FALSE)</f>
        <v>周村区</v>
      </c>
      <c r="G56" s="14" t="str">
        <f ca="1">VLOOKUP(F56,Table17[[Native]:[Population4]],5,FALSE)</f>
        <v>淄博市</v>
      </c>
    </row>
    <row r="57" spans="1:7" ht="15.75" thickBot="1" x14ac:dyDescent="0.3">
      <c r="A57" t="s">
        <v>3565</v>
      </c>
      <c r="B57" s="1" t="s">
        <v>3566</v>
      </c>
      <c r="C57" s="1" t="s">
        <v>7</v>
      </c>
      <c r="D57" s="1" t="s">
        <v>3462</v>
      </c>
      <c r="E57" s="3">
        <v>52688</v>
      </c>
      <c r="F57" s="1" t="str">
        <f>VLOOKUP(D57,Table17[[Name]:[Native]],3,FALSE)</f>
        <v>博山区</v>
      </c>
      <c r="G57" s="14" t="str">
        <f ca="1">VLOOKUP(F57,Table17[[Native]:[Population4]],5,FALSE)</f>
        <v>淄博市</v>
      </c>
    </row>
    <row r="58" spans="1:7" ht="15.75" thickBot="1" x14ac:dyDescent="0.3">
      <c r="A58" t="s">
        <v>3567</v>
      </c>
      <c r="B58" s="1" t="s">
        <v>3568</v>
      </c>
      <c r="C58" s="1" t="s">
        <v>7</v>
      </c>
      <c r="D58" s="1" t="s">
        <v>3502</v>
      </c>
      <c r="E58" s="3">
        <v>87353</v>
      </c>
      <c r="F58" s="1" t="str">
        <f>VLOOKUP(D58,Table17[[Name]:[Native]],3,FALSE)</f>
        <v>桓台县</v>
      </c>
      <c r="G58" s="14" t="str">
        <f ca="1">VLOOKUP(F58,Table17[[Native]:[Population4]],5,FALSE)</f>
        <v>淄博市</v>
      </c>
    </row>
    <row r="59" spans="1:7" ht="15.75" thickBot="1" x14ac:dyDescent="0.3">
      <c r="A59" t="s">
        <v>3569</v>
      </c>
      <c r="B59" s="1" t="s">
        <v>3570</v>
      </c>
      <c r="C59" s="1" t="s">
        <v>13</v>
      </c>
      <c r="D59" s="1" t="s">
        <v>3462</v>
      </c>
      <c r="E59" s="3">
        <v>21865</v>
      </c>
      <c r="F59" s="1" t="str">
        <f>VLOOKUP(D59,Table17[[Name]:[Native]],3,FALSE)</f>
        <v>博山区</v>
      </c>
      <c r="G59" s="14" t="str">
        <f ca="1">VLOOKUP(F59,Table17[[Native]:[Population4]],5,FALSE)</f>
        <v>淄博市</v>
      </c>
    </row>
    <row r="60" spans="1:7" ht="15.75" thickBot="1" x14ac:dyDescent="0.3">
      <c r="A60" t="s">
        <v>1408</v>
      </c>
      <c r="B60" s="1" t="s">
        <v>1409</v>
      </c>
      <c r="C60" s="1" t="s">
        <v>13</v>
      </c>
      <c r="D60" s="1" t="s">
        <v>3485</v>
      </c>
      <c r="E60" s="3">
        <v>27385</v>
      </c>
      <c r="F60" s="1" t="str">
        <f>VLOOKUP(D60,Table17[[Name]:[Native]],3,FALSE)</f>
        <v>沂源县</v>
      </c>
      <c r="G60" s="14" t="str">
        <f ca="1">VLOOKUP(F60,Table17[[Native]:[Population4]],5,FALSE)</f>
        <v>淄博市</v>
      </c>
    </row>
    <row r="61" spans="1:7" ht="15.75" thickBot="1" x14ac:dyDescent="0.3">
      <c r="A61" t="s">
        <v>3571</v>
      </c>
      <c r="B61" s="1" t="s">
        <v>3572</v>
      </c>
      <c r="C61" s="1" t="s">
        <v>13</v>
      </c>
      <c r="D61" s="1" t="s">
        <v>3467</v>
      </c>
      <c r="E61" s="3">
        <v>71561</v>
      </c>
      <c r="F61" s="1" t="str">
        <f>VLOOKUP(D61,Table17[[Name]:[Native]],3,FALSE)</f>
        <v>淄川区</v>
      </c>
      <c r="G61" s="14" t="str">
        <f ca="1">VLOOKUP(F61,Table17[[Native]:[Population4]],5,FALSE)</f>
        <v>淄博市</v>
      </c>
    </row>
    <row r="62" spans="1:7" ht="15.75" thickBot="1" x14ac:dyDescent="0.3">
      <c r="A62" t="s">
        <v>3573</v>
      </c>
      <c r="B62" s="1" t="s">
        <v>3574</v>
      </c>
      <c r="C62" s="1" t="s">
        <v>7</v>
      </c>
      <c r="D62" s="1" t="s">
        <v>3478</v>
      </c>
      <c r="E62" s="3">
        <v>148416</v>
      </c>
      <c r="F62" s="1" t="str">
        <f>VLOOKUP(D62,Table17[[Name]:[Native]],3,FALSE)</f>
        <v>张店区</v>
      </c>
      <c r="G62" s="14" t="str">
        <f ca="1">VLOOKUP(F62,Table17[[Native]:[Population4]],5,FALSE)</f>
        <v>淄博市</v>
      </c>
    </row>
    <row r="63" spans="1:7" ht="15.75" thickBot="1" x14ac:dyDescent="0.3">
      <c r="A63" t="s">
        <v>3575</v>
      </c>
      <c r="B63" s="1" t="s">
        <v>3576</v>
      </c>
      <c r="C63" s="1" t="s">
        <v>7</v>
      </c>
      <c r="D63" s="1" t="s">
        <v>3470</v>
      </c>
      <c r="E63" s="3">
        <v>46513</v>
      </c>
      <c r="F63" s="1" t="str">
        <f>VLOOKUP(D63,Table17[[Name]:[Native]],3,FALSE)</f>
        <v>周村区</v>
      </c>
      <c r="G63" s="14" t="str">
        <f ca="1">VLOOKUP(F63,Table17[[Native]:[Population4]],5,FALSE)</f>
        <v>淄博市</v>
      </c>
    </row>
    <row r="64" spans="1:7" ht="15.75" thickBot="1" x14ac:dyDescent="0.3">
      <c r="A64" t="s">
        <v>3577</v>
      </c>
      <c r="B64" s="1" t="s">
        <v>3578</v>
      </c>
      <c r="C64" s="1" t="s">
        <v>7</v>
      </c>
      <c r="D64" s="1" t="s">
        <v>3467</v>
      </c>
      <c r="E64" s="3">
        <v>60972</v>
      </c>
      <c r="F64" s="1" t="str">
        <f>VLOOKUP(D64,Table17[[Name]:[Native]],3,FALSE)</f>
        <v>淄川区</v>
      </c>
      <c r="G64" s="14" t="str">
        <f ca="1">VLOOKUP(F64,Table17[[Native]:[Population4]],5,FALSE)</f>
        <v>淄博市</v>
      </c>
    </row>
    <row r="65" spans="1:7" ht="15.75" thickBot="1" x14ac:dyDescent="0.3">
      <c r="A65" t="s">
        <v>3579</v>
      </c>
      <c r="B65" s="1" t="s">
        <v>3580</v>
      </c>
      <c r="C65" s="1" t="s">
        <v>7</v>
      </c>
      <c r="D65" s="1" t="s">
        <v>3502</v>
      </c>
      <c r="E65" s="3">
        <v>68702</v>
      </c>
      <c r="F65" s="1" t="str">
        <f>VLOOKUP(D65,Table17[[Name]:[Native]],3,FALSE)</f>
        <v>桓台县</v>
      </c>
      <c r="G65" s="14" t="str">
        <f ca="1">VLOOKUP(F65,Table17[[Native]:[Population4]],5,FALSE)</f>
        <v>淄博市</v>
      </c>
    </row>
    <row r="66" spans="1:7" ht="15.75" thickBot="1" x14ac:dyDescent="0.3">
      <c r="A66" t="s">
        <v>3581</v>
      </c>
      <c r="B66" s="1" t="s">
        <v>3582</v>
      </c>
      <c r="C66" s="1" t="s">
        <v>13</v>
      </c>
      <c r="D66" s="1" t="s">
        <v>3467</v>
      </c>
      <c r="E66" s="3">
        <v>51159</v>
      </c>
      <c r="F66" s="1" t="str">
        <f>VLOOKUP(D66,Table17[[Name]:[Native]],3,FALSE)</f>
        <v>淄川区</v>
      </c>
      <c r="G66" s="14" t="str">
        <f ca="1">VLOOKUP(F66,Table17[[Native]:[Population4]],5,FALSE)</f>
        <v>淄博市</v>
      </c>
    </row>
    <row r="67" spans="1:7" ht="15.75" thickBot="1" x14ac:dyDescent="0.3">
      <c r="A67" t="s">
        <v>3583</v>
      </c>
      <c r="B67" s="1" t="s">
        <v>3584</v>
      </c>
      <c r="C67" s="1" t="s">
        <v>13</v>
      </c>
      <c r="D67" s="1" t="s">
        <v>3473</v>
      </c>
      <c r="E67" s="3">
        <v>29444</v>
      </c>
      <c r="F67" s="1" t="str">
        <f>VLOOKUP(D67,Table17[[Name]:[Native]],3,FALSE)</f>
        <v>高青县</v>
      </c>
      <c r="G67" s="14" t="str">
        <f ca="1">VLOOKUP(F67,Table17[[Native]:[Population4]],5,FALSE)</f>
        <v>淄博市</v>
      </c>
    </row>
    <row r="68" spans="1:7" ht="15.75" thickBot="1" x14ac:dyDescent="0.3">
      <c r="A68" t="s">
        <v>3585</v>
      </c>
      <c r="B68" s="1" t="s">
        <v>3586</v>
      </c>
      <c r="C68" s="1" t="s">
        <v>13</v>
      </c>
      <c r="D68" s="1" t="s">
        <v>3502</v>
      </c>
      <c r="E68" s="3">
        <v>55971</v>
      </c>
      <c r="F68" s="1" t="str">
        <f>VLOOKUP(D68,Table17[[Name]:[Native]],3,FALSE)</f>
        <v>桓台县</v>
      </c>
      <c r="G68" s="14" t="str">
        <f ca="1">VLOOKUP(F68,Table17[[Native]:[Population4]],5,FALSE)</f>
        <v>淄博市</v>
      </c>
    </row>
    <row r="69" spans="1:7" ht="15.75" thickBot="1" x14ac:dyDescent="0.3">
      <c r="A69" t="s">
        <v>3587</v>
      </c>
      <c r="B69" s="1" t="s">
        <v>3588</v>
      </c>
      <c r="C69" s="1" t="s">
        <v>7</v>
      </c>
      <c r="D69" s="1" t="s">
        <v>3473</v>
      </c>
      <c r="E69" s="3">
        <v>40749</v>
      </c>
      <c r="F69" s="1" t="str">
        <f>VLOOKUP(D69,Table17[[Name]:[Native]],3,FALSE)</f>
        <v>高青县</v>
      </c>
      <c r="G69" s="14" t="str">
        <f ca="1">VLOOKUP(F69,Table17[[Native]:[Population4]],5,FALSE)</f>
        <v>淄博市</v>
      </c>
    </row>
    <row r="70" spans="1:7" ht="15.75" thickBot="1" x14ac:dyDescent="0.3">
      <c r="A70" t="s">
        <v>824</v>
      </c>
      <c r="B70" s="1" t="s">
        <v>825</v>
      </c>
      <c r="C70" s="1" t="s">
        <v>13</v>
      </c>
      <c r="D70" s="1" t="s">
        <v>3502</v>
      </c>
      <c r="E70" s="3">
        <v>45130</v>
      </c>
      <c r="F70" s="1" t="str">
        <f>VLOOKUP(D70,Table17[[Name]:[Native]],3,FALSE)</f>
        <v>桓台县</v>
      </c>
      <c r="G70" s="14" t="str">
        <f ca="1">VLOOKUP(F70,Table17[[Native]:[Population4]],5,FALSE)</f>
        <v>淄博市</v>
      </c>
    </row>
    <row r="71" spans="1:7" ht="15.75" thickBot="1" x14ac:dyDescent="0.3">
      <c r="A71" t="s">
        <v>3589</v>
      </c>
      <c r="B71" s="1" t="s">
        <v>3590</v>
      </c>
      <c r="C71" s="1" t="s">
        <v>7</v>
      </c>
      <c r="D71" s="1" t="s">
        <v>3478</v>
      </c>
      <c r="E71" s="3">
        <v>67580</v>
      </c>
      <c r="F71" s="1" t="str">
        <f>VLOOKUP(D71,Table17[[Name]:[Native]],3,FALSE)</f>
        <v>张店区</v>
      </c>
      <c r="G71" s="14" t="str">
        <f ca="1">VLOOKUP(F71,Table17[[Native]:[Population4]],5,FALSE)</f>
        <v>淄博市</v>
      </c>
    </row>
    <row r="72" spans="1:7" ht="15.75" thickBot="1" x14ac:dyDescent="0.3">
      <c r="A72" t="s">
        <v>3591</v>
      </c>
      <c r="B72" s="1" t="s">
        <v>3592</v>
      </c>
      <c r="C72" s="1" t="s">
        <v>13</v>
      </c>
      <c r="D72" s="1" t="s">
        <v>3470</v>
      </c>
      <c r="E72" s="3">
        <v>43025</v>
      </c>
      <c r="F72" s="1" t="str">
        <f>VLOOKUP(D72,Table17[[Name]:[Native]],3,FALSE)</f>
        <v>周村区</v>
      </c>
      <c r="G72" s="14" t="str">
        <f ca="1">VLOOKUP(F72,Table17[[Native]:[Population4]],5,FALSE)</f>
        <v>淄博市</v>
      </c>
    </row>
    <row r="73" spans="1:7" ht="15.75" thickBot="1" x14ac:dyDescent="0.3">
      <c r="A73" t="s">
        <v>3593</v>
      </c>
      <c r="B73" s="1" t="s">
        <v>3594</v>
      </c>
      <c r="C73" s="1" t="s">
        <v>7</v>
      </c>
      <c r="D73" s="1" t="s">
        <v>3491</v>
      </c>
      <c r="E73" s="3">
        <v>80387</v>
      </c>
      <c r="F73" s="1" t="str">
        <f>VLOOKUP(D73,Table17[[Name]:[Native]],3,FALSE)</f>
        <v>临淄区</v>
      </c>
      <c r="G73" s="14" t="str">
        <f ca="1">VLOOKUP(F73,Table17[[Native]:[Population4]],5,FALSE)</f>
        <v>淄博市</v>
      </c>
    </row>
    <row r="74" spans="1:7" ht="15.75" thickBot="1" x14ac:dyDescent="0.3">
      <c r="A74" s="1" t="s">
        <v>3595</v>
      </c>
      <c r="B74" s="1" t="s">
        <v>3596</v>
      </c>
      <c r="C74" s="1" t="s">
        <v>7</v>
      </c>
      <c r="D74" s="1" t="s">
        <v>3462</v>
      </c>
      <c r="E74" s="3">
        <v>27394</v>
      </c>
      <c r="F74" s="1" t="str">
        <f>VLOOKUP(D74,Table17[[Name]:[Native]],3,FALSE)</f>
        <v>博山区</v>
      </c>
      <c r="G74" s="14" t="str">
        <f ca="1">VLOOKUP(F74,Table17[[Native]:[Population4]],5,FALSE)</f>
        <v>淄博市</v>
      </c>
    </row>
    <row r="75" spans="1:7" ht="15.75" thickBot="1" x14ac:dyDescent="0.3">
      <c r="A75" t="s">
        <v>3597</v>
      </c>
      <c r="B75" s="1" t="s">
        <v>3598</v>
      </c>
      <c r="C75" s="1" t="s">
        <v>13</v>
      </c>
      <c r="D75" s="1" t="s">
        <v>3467</v>
      </c>
      <c r="E75" s="3">
        <v>46431</v>
      </c>
      <c r="F75" s="1" t="str">
        <f>VLOOKUP(D75,Table17[[Name]:[Native]],3,FALSE)</f>
        <v>淄川区</v>
      </c>
      <c r="G75" s="14" t="str">
        <f ca="1">VLOOKUP(F75,Table17[[Native]:[Population4]],5,FALSE)</f>
        <v>淄博市</v>
      </c>
    </row>
    <row r="76" spans="1:7" ht="15.75" thickBot="1" x14ac:dyDescent="0.3">
      <c r="A76" t="s">
        <v>3599</v>
      </c>
      <c r="B76" s="1" t="s">
        <v>3600</v>
      </c>
      <c r="C76" s="1" t="s">
        <v>13</v>
      </c>
      <c r="D76" s="1" t="s">
        <v>3485</v>
      </c>
      <c r="E76" s="3">
        <v>44544</v>
      </c>
      <c r="F76" s="1" t="str">
        <f>VLOOKUP(D76,Table17[[Name]:[Native]],3,FALSE)</f>
        <v>沂源县</v>
      </c>
      <c r="G76" s="14" t="str">
        <f ca="1">VLOOKUP(F76,Table17[[Native]:[Population4]],5,FALSE)</f>
        <v>淄博市</v>
      </c>
    </row>
    <row r="77" spans="1:7" ht="15.75" thickBot="1" x14ac:dyDescent="0.3">
      <c r="A77" t="s">
        <v>3601</v>
      </c>
      <c r="B77" s="1" t="s">
        <v>3602</v>
      </c>
      <c r="C77" s="1" t="s">
        <v>13</v>
      </c>
      <c r="D77" s="1" t="s">
        <v>3502</v>
      </c>
      <c r="E77" s="3">
        <v>34233</v>
      </c>
      <c r="F77" s="1" t="str">
        <f>VLOOKUP(D77,Table17[[Name]:[Native]],3,FALSE)</f>
        <v>桓台县</v>
      </c>
      <c r="G77" s="14" t="str">
        <f ca="1">VLOOKUP(F77,Table17[[Native]:[Population4]],5,FALSE)</f>
        <v>淄博市</v>
      </c>
    </row>
    <row r="78" spans="1:7" ht="15.75" thickBot="1" x14ac:dyDescent="0.3">
      <c r="A78" t="s">
        <v>561</v>
      </c>
      <c r="B78" s="1" t="s">
        <v>562</v>
      </c>
      <c r="C78" s="1" t="s">
        <v>7</v>
      </c>
      <c r="D78" s="1" t="s">
        <v>3491</v>
      </c>
      <c r="E78" s="3">
        <v>63830</v>
      </c>
      <c r="F78" s="1" t="str">
        <f>VLOOKUP(D78,Table17[[Name]:[Native]],3,FALSE)</f>
        <v>临淄区</v>
      </c>
      <c r="G78" s="14" t="str">
        <f ca="1">VLOOKUP(F78,Table17[[Native]:[Population4]],5,FALSE)</f>
        <v>淄博市</v>
      </c>
    </row>
    <row r="79" spans="1:7" ht="15.75" thickBot="1" x14ac:dyDescent="0.3">
      <c r="A79" t="s">
        <v>3603</v>
      </c>
      <c r="B79" s="1" t="s">
        <v>3604</v>
      </c>
      <c r="C79" s="1" t="s">
        <v>7</v>
      </c>
      <c r="D79" s="1" t="s">
        <v>3478</v>
      </c>
      <c r="E79" s="3">
        <v>35206</v>
      </c>
      <c r="F79" s="1" t="str">
        <f>VLOOKUP(D79,Table17[[Name]:[Native]],3,FALSE)</f>
        <v>张店区</v>
      </c>
      <c r="G79" s="14" t="str">
        <f ca="1">VLOOKUP(F79,Table17[[Native]:[Population4]],5,FALSE)</f>
        <v>淄博市</v>
      </c>
    </row>
    <row r="80" spans="1:7" ht="15.75" thickBot="1" x14ac:dyDescent="0.3">
      <c r="A80" t="s">
        <v>3605</v>
      </c>
      <c r="B80" s="1" t="s">
        <v>3606</v>
      </c>
      <c r="C80" s="1" t="s">
        <v>7</v>
      </c>
      <c r="D80" s="1" t="s">
        <v>3491</v>
      </c>
      <c r="E80" s="3">
        <v>51154</v>
      </c>
      <c r="F80" s="1" t="str">
        <f>VLOOKUP(D80,Table17[[Name]:[Native]],3,FALSE)</f>
        <v>临淄区</v>
      </c>
      <c r="G80" s="14" t="str">
        <f ca="1">VLOOKUP(F80,Table17[[Native]:[Population4]],5,FALSE)</f>
        <v>淄博市</v>
      </c>
    </row>
    <row r="81" spans="1:7" ht="15.75" thickBot="1" x14ac:dyDescent="0.3">
      <c r="A81" t="s">
        <v>3607</v>
      </c>
      <c r="B81" s="1" t="s">
        <v>3608</v>
      </c>
      <c r="C81" s="1" t="s">
        <v>13</v>
      </c>
      <c r="D81" s="1" t="s">
        <v>3485</v>
      </c>
      <c r="E81" s="3">
        <v>27188</v>
      </c>
      <c r="F81" s="1" t="str">
        <f>VLOOKUP(D81,Table17[[Name]:[Native]],3,FALSE)</f>
        <v>沂源县</v>
      </c>
      <c r="G81" s="14" t="str">
        <f ca="1">VLOOKUP(F81,Table17[[Native]:[Population4]],5,FALSE)</f>
        <v>淄博市</v>
      </c>
    </row>
    <row r="82" spans="1:7" ht="15.75" thickBot="1" x14ac:dyDescent="0.3">
      <c r="A82" t="s">
        <v>3609</v>
      </c>
      <c r="B82" s="1" t="s">
        <v>3610</v>
      </c>
      <c r="C82" s="1" t="s">
        <v>7</v>
      </c>
      <c r="D82" s="1" t="s">
        <v>3470</v>
      </c>
      <c r="E82" s="3">
        <v>40102</v>
      </c>
      <c r="F82" s="1" t="str">
        <f>VLOOKUP(D82,Table17[[Name]:[Native]],3,FALSE)</f>
        <v>周村区</v>
      </c>
      <c r="G82" s="14" t="str">
        <f ca="1">VLOOKUP(F82,Table17[[Native]:[Population4]],5,FALSE)</f>
        <v>淄博市</v>
      </c>
    </row>
    <row r="83" spans="1:7" ht="15.75" thickBot="1" x14ac:dyDescent="0.3">
      <c r="A83" t="s">
        <v>3611</v>
      </c>
      <c r="B83" s="1" t="s">
        <v>3612</v>
      </c>
      <c r="C83" s="1" t="s">
        <v>13</v>
      </c>
      <c r="D83" s="1" t="s">
        <v>3462</v>
      </c>
      <c r="E83" s="3">
        <v>31485</v>
      </c>
      <c r="F83" s="1" t="str">
        <f>VLOOKUP(D83,Table17[[Name]:[Native]],3,FALSE)</f>
        <v>博山区</v>
      </c>
      <c r="G83" s="14" t="str">
        <f ca="1">VLOOKUP(F83,Table17[[Native]:[Population4]],5,FALSE)</f>
        <v>淄博市</v>
      </c>
    </row>
    <row r="84" spans="1:7" ht="15.75" thickBot="1" x14ac:dyDescent="0.3">
      <c r="A84" t="s">
        <v>3613</v>
      </c>
      <c r="B84" s="1" t="s">
        <v>3614</v>
      </c>
      <c r="C84" s="1" t="s">
        <v>13</v>
      </c>
      <c r="D84" s="1" t="s">
        <v>3462</v>
      </c>
      <c r="E84" s="3">
        <v>75988</v>
      </c>
      <c r="F84" s="1" t="str">
        <f>VLOOKUP(D84,Table17[[Name]:[Native]],3,FALSE)</f>
        <v>博山区</v>
      </c>
      <c r="G84" s="14" t="str">
        <f ca="1">VLOOKUP(F84,Table17[[Native]:[Population4]],5,FALSE)</f>
        <v>淄博市</v>
      </c>
    </row>
    <row r="85" spans="1:7" ht="15.75" thickBot="1" x14ac:dyDescent="0.3">
      <c r="A85" t="s">
        <v>3615</v>
      </c>
      <c r="B85" s="1" t="s">
        <v>3616</v>
      </c>
      <c r="C85" s="1" t="s">
        <v>13</v>
      </c>
      <c r="D85" s="1" t="s">
        <v>3485</v>
      </c>
      <c r="E85" s="3">
        <v>47893</v>
      </c>
      <c r="F85" s="1" t="str">
        <f>VLOOKUP(D85,Table17[[Name]:[Native]],3,FALSE)</f>
        <v>沂源县</v>
      </c>
      <c r="G85" s="14" t="str">
        <f ca="1">VLOOKUP(F85,Table17[[Native]:[Population4]],5,FALSE)</f>
        <v>淄博市</v>
      </c>
    </row>
    <row r="86" spans="1:7" ht="15.75" thickBot="1" x14ac:dyDescent="0.3">
      <c r="A86" t="s">
        <v>3617</v>
      </c>
      <c r="B86" s="1" t="s">
        <v>1207</v>
      </c>
      <c r="C86" s="1" t="s">
        <v>13</v>
      </c>
      <c r="D86" s="1" t="s">
        <v>3467</v>
      </c>
      <c r="E86" s="3">
        <v>55054</v>
      </c>
      <c r="F86" s="1" t="str">
        <f>VLOOKUP(D86,Table17[[Name]:[Native]],3,FALSE)</f>
        <v>淄川区</v>
      </c>
      <c r="G86" s="14" t="str">
        <f ca="1">VLOOKUP(F86,Table17[[Native]:[Population4]],5,FALSE)</f>
        <v>淄博市</v>
      </c>
    </row>
    <row r="87" spans="1:7" ht="15.75" thickBot="1" x14ac:dyDescent="0.3">
      <c r="A87" t="s">
        <v>3618</v>
      </c>
      <c r="B87" s="1" t="s">
        <v>3619</v>
      </c>
      <c r="C87" s="1" t="s">
        <v>13</v>
      </c>
      <c r="D87" s="1" t="s">
        <v>3485</v>
      </c>
      <c r="E87" s="3">
        <v>24432</v>
      </c>
      <c r="F87" s="1" t="str">
        <f>VLOOKUP(D87,Table17[[Name]:[Native]],3,FALSE)</f>
        <v>沂源县</v>
      </c>
      <c r="G87" s="14" t="str">
        <f ca="1">VLOOKUP(F87,Table17[[Native]:[Population4]],5,FALSE)</f>
        <v>淄博市</v>
      </c>
    </row>
    <row r="88" spans="1:7" ht="15.75" thickBot="1" x14ac:dyDescent="0.3">
      <c r="A88" t="s">
        <v>3620</v>
      </c>
      <c r="B88" s="1" t="s">
        <v>3621</v>
      </c>
      <c r="C88" s="1" t="s">
        <v>13</v>
      </c>
      <c r="D88" s="1" t="s">
        <v>3478</v>
      </c>
      <c r="E88" s="3">
        <v>20422</v>
      </c>
      <c r="F88" s="1" t="str">
        <f>VLOOKUP(D88,Table17[[Name]:[Native]],3,FALSE)</f>
        <v>张店区</v>
      </c>
      <c r="G88" s="14" t="str">
        <f ca="1">VLOOKUP(F88,Table17[[Native]:[Population4]],5,FALSE)</f>
        <v>淄博市</v>
      </c>
    </row>
    <row r="89" spans="1:7" ht="15.75" thickBot="1" x14ac:dyDescent="0.3">
      <c r="A89" t="s">
        <v>3622</v>
      </c>
      <c r="B89" s="1" t="s">
        <v>3623</v>
      </c>
      <c r="C89" s="1" t="s">
        <v>7</v>
      </c>
      <c r="D89" s="1" t="s">
        <v>3467</v>
      </c>
      <c r="E89" s="3">
        <v>51861</v>
      </c>
      <c r="F89" s="1" t="str">
        <f>VLOOKUP(D89,Table17[[Name]:[Native]],3,FALSE)</f>
        <v>淄川区</v>
      </c>
      <c r="G89" s="14" t="str">
        <f ca="1">VLOOKUP(F89,Table17[[Native]:[Population4]],5,FALSE)</f>
        <v>淄博市</v>
      </c>
    </row>
    <row r="90" spans="1:7" ht="15.75" thickBot="1" x14ac:dyDescent="0.3">
      <c r="A90" t="s">
        <v>3624</v>
      </c>
      <c r="B90" s="1" t="s">
        <v>3625</v>
      </c>
      <c r="C90" s="1" t="s">
        <v>13</v>
      </c>
      <c r="D90" s="1" t="s">
        <v>3485</v>
      </c>
      <c r="E90" s="3">
        <v>28506</v>
      </c>
      <c r="F90" s="1" t="str">
        <f>VLOOKUP(D90,Table17[[Name]:[Native]],3,FALSE)</f>
        <v>沂源县</v>
      </c>
      <c r="G90" s="14" t="str">
        <f ca="1">VLOOKUP(F90,Table17[[Native]:[Population4]],5,FALSE)</f>
        <v>淄博市</v>
      </c>
    </row>
    <row r="91" spans="1:7" ht="15.75" thickBot="1" x14ac:dyDescent="0.3">
      <c r="A91" t="s">
        <v>3626</v>
      </c>
      <c r="B91" s="1" t="s">
        <v>3627</v>
      </c>
      <c r="C91" s="1" t="s">
        <v>13</v>
      </c>
      <c r="D91" s="1" t="s">
        <v>3491</v>
      </c>
      <c r="E91" s="3">
        <v>49375</v>
      </c>
      <c r="F91" s="10" t="str">
        <f>VLOOKUP(D91,Table17[[Name]:[Native]],3,FALSE)</f>
        <v>临淄区</v>
      </c>
      <c r="G91" s="14" t="str">
        <f ca="1">VLOOKUP(F91,Table17[[Native]:[Population4]],5,FALSE)</f>
        <v>淄博市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FDE9D-23DA-4119-83D5-C4F7B1278750}">
  <dimension ref="A1:P1834"/>
  <sheetViews>
    <sheetView tabSelected="1" workbookViewId="0">
      <selection activeCell="P2" sqref="P2:P1834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3806</v>
      </c>
      <c r="B1" t="s">
        <v>3816</v>
      </c>
      <c r="C1" t="s">
        <v>4837</v>
      </c>
      <c r="D1" t="s">
        <v>3808</v>
      </c>
      <c r="E1" t="s">
        <v>3809</v>
      </c>
      <c r="F1" t="s">
        <v>3810</v>
      </c>
      <c r="G1" t="s">
        <v>3811</v>
      </c>
      <c r="H1" t="s">
        <v>3812</v>
      </c>
      <c r="I1" t="s">
        <v>3813</v>
      </c>
      <c r="J1" t="s">
        <v>3814</v>
      </c>
      <c r="K1" t="s">
        <v>3815</v>
      </c>
      <c r="L1" t="s">
        <v>4838</v>
      </c>
      <c r="M1" t="s">
        <v>4839</v>
      </c>
      <c r="N1" t="s">
        <v>4840</v>
      </c>
      <c r="O1" t="s">
        <v>6657</v>
      </c>
      <c r="P1" t="s">
        <v>6658</v>
      </c>
    </row>
    <row r="2" spans="1:16" hidden="1" x14ac:dyDescent="0.25">
      <c r="A2" t="s">
        <v>1533</v>
      </c>
      <c r="B2" t="str">
        <f>IF(COUNTIF(A:A,A2)&gt;1,_xlfn.CONCAT(A2," (",N2,")"),A2)</f>
        <v>Āchéng Zhèn</v>
      </c>
      <c r="C2" t="str">
        <f>IF(COUNTIF(B:B,B2)&gt;1,_xlfn.CONCAT(A2," (",M2,")"),B2)</f>
        <v>Āchéng Zhèn</v>
      </c>
      <c r="D2" t="s">
        <v>1534</v>
      </c>
      <c r="E2" t="s">
        <v>13</v>
      </c>
      <c r="F2" t="str">
        <f>_xlfn.CONCAT(D2,", ",H2,", ",I2,", ","山东省")</f>
        <v>阿城镇, 阳谷县, 聊城市, 山东省</v>
      </c>
      <c r="G2">
        <v>61652</v>
      </c>
      <c r="H2" t="s">
        <v>3708</v>
      </c>
      <c r="I2" t="s">
        <v>3700</v>
      </c>
      <c r="J2">
        <f>VLOOKUP(F2,[1]!china_towns_second__2[[Column1]:[Y]],3,FALSE)</f>
        <v>36.151691203083402</v>
      </c>
      <c r="K2">
        <f>VLOOKUP(F2,[1]!china_towns_second__2[[Column1]:[Y]],2,FALSE)</f>
        <v>116.0021955</v>
      </c>
      <c r="L2" t="s">
        <v>4841</v>
      </c>
      <c r="M2" t="str">
        <f>VLOOKUP(H2,CHOOSE({1,2},Table17[Native],Table17[Name]),2,0)</f>
        <v>Yánggŭ Xiàn</v>
      </c>
      <c r="N2" s="15" t="str">
        <f>VLOOKUP(I2,CHOOSE({1,2},Table17[Native],Table17[Name]),2,0)</f>
        <v>Liáochéng Shì</v>
      </c>
      <c r="O2" s="15" t="str">
        <f t="shared" ref="O2:O65" si="0">_xlfn.CONCAT(L2," (",N2,")")</f>
        <v>Acheng Zhen (Liáochéng Shì)</v>
      </c>
      <c r="P2" s="15" t="str">
        <f t="shared" ref="P2:P65" si="1">IF(COUNTIF(O:O,O2)&gt;1,_xlfn.CONCAT(L2," (",M2,")"),O2)</f>
        <v>Acheng Zhen (Liáochéng Shì)</v>
      </c>
    </row>
    <row r="3" spans="1:16" hidden="1" x14ac:dyDescent="0.25">
      <c r="A3" t="s">
        <v>900</v>
      </c>
      <c r="B3" t="str">
        <f>IF(COUNTIF(A:A,A3)&gt;1,_xlfn.CONCAT(A3," (",N3,")"),A3)</f>
        <v>Àishān Jiēdào</v>
      </c>
      <c r="C3" t="str">
        <f>IF(COUNTIF(B:B,B3)&gt;1,_xlfn.CONCAT(A3," (",M3,")"),B3)</f>
        <v>Àishān Jiēdào</v>
      </c>
      <c r="D3" t="s">
        <v>901</v>
      </c>
      <c r="E3" t="s">
        <v>7</v>
      </c>
      <c r="F3" t="str">
        <f>_xlfn.CONCAT(D3,", ",H3,", ",I3,", ","山东省")</f>
        <v>艾山街道, 钢城区, 济南市, 山东省</v>
      </c>
      <c r="G3">
        <v>80813</v>
      </c>
      <c r="H3" t="s">
        <v>3675</v>
      </c>
      <c r="I3" t="s">
        <v>3673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4842</v>
      </c>
      <c r="M3" t="str">
        <f>VLOOKUP(H3,CHOOSE({1,2},Table17[Native],Table17[Name]),2,0)</f>
        <v>Gāngchéng Qū</v>
      </c>
      <c r="N3" s="15" t="str">
        <f>VLOOKUP(I3,CHOOSE({1,2},Table17[Native],Table17[Name]),2,0)</f>
        <v>Jìnán Shì</v>
      </c>
      <c r="O3" s="15" t="str">
        <f t="shared" si="0"/>
        <v>Aishan Jiedao (Jìnán Shì)</v>
      </c>
      <c r="P3" s="15" t="str">
        <f t="shared" si="1"/>
        <v>Aishan Jiedao (Jìnán Shì)</v>
      </c>
    </row>
    <row r="4" spans="1:16" hidden="1" x14ac:dyDescent="0.25">
      <c r="A4" t="s">
        <v>573</v>
      </c>
      <c r="B4" t="str">
        <f>IF(COUNTIF(A:A,A4)&gt;1,_xlfn.CONCAT(A4," (",N4,")"),A4)</f>
        <v>Āncáilóu Zhèn</v>
      </c>
      <c r="C4" t="str">
        <f>IF(COUNTIF(B:B,B4)&gt;1,_xlfn.CONCAT(A4," (",M4,")"),B4)</f>
        <v>Āncáilóu Zhèn</v>
      </c>
      <c r="D4" t="s">
        <v>574</v>
      </c>
      <c r="E4" t="s">
        <v>13</v>
      </c>
      <c r="F4" t="str">
        <f>_xlfn.CONCAT(D4,", ",H4,", ",I4,", ","山东省")</f>
        <v>安才楼镇, 曹县, 菏泽市, 山东省</v>
      </c>
      <c r="G4">
        <v>50254</v>
      </c>
      <c r="H4" t="s">
        <v>3663</v>
      </c>
      <c r="I4" t="s">
        <v>3662</v>
      </c>
      <c r="J4">
        <f>VLOOKUP(F4,[1]!china_towns_second__2[[Column1]:[Y]],3,FALSE)</f>
        <v>34.6888985173129</v>
      </c>
      <c r="K4">
        <f>VLOOKUP(F4,[1]!china_towns_second__2[[Column1]:[Y]],2,FALSE)</f>
        <v>115.6829254</v>
      </c>
      <c r="L4" t="s">
        <v>4843</v>
      </c>
      <c r="M4" t="str">
        <f>VLOOKUP(H4,CHOOSE({1,2},Table17[Native],Table17[Name]),2,0)</f>
        <v>Cáo Xiàn</v>
      </c>
      <c r="N4" s="15" t="str">
        <f>VLOOKUP(I4,CHOOSE({1,2},Table17[Native],Table17[Name]),2,0)</f>
        <v>Hézé Shì</v>
      </c>
      <c r="O4" s="15" t="str">
        <f t="shared" si="0"/>
        <v>Ancailou Zhen (Hézé Shì)</v>
      </c>
      <c r="P4" s="15" t="str">
        <f t="shared" si="1"/>
        <v>Ancailou Zhen (Hézé Shì)</v>
      </c>
    </row>
    <row r="5" spans="1:16" hidden="1" x14ac:dyDescent="0.25">
      <c r="A5" t="s">
        <v>903</v>
      </c>
      <c r="B5" t="str">
        <f>IF(COUNTIF(A:A,A5)&gt;1,_xlfn.CONCAT(A5," (",N5,")"),A5)</f>
        <v>Ānchéng Zhèn</v>
      </c>
      <c r="C5" t="str">
        <f>IF(COUNTIF(B:B,B5)&gt;1,_xlfn.CONCAT(A5," (",M5,")"),B5)</f>
        <v>Ānchéng Zhèn</v>
      </c>
      <c r="D5" t="s">
        <v>904</v>
      </c>
      <c r="E5" t="s">
        <v>13</v>
      </c>
      <c r="F5" t="str">
        <f>_xlfn.CONCAT(D5,", ",H5,", ",I5,", ","山东省")</f>
        <v>安城镇, 平阴县, 济南市, 山东省</v>
      </c>
      <c r="G5">
        <v>32716</v>
      </c>
      <c r="H5" t="s">
        <v>3681</v>
      </c>
      <c r="I5" t="s">
        <v>3673</v>
      </c>
      <c r="J5">
        <f>VLOOKUP(F5,[1]!china_towns_second__2[[Column1]:[Y]],3,FALSE)</f>
        <v>36.307259157530403</v>
      </c>
      <c r="K5">
        <f>VLOOKUP(F5,[1]!china_towns_second__2[[Column1]:[Y]],2,FALSE)</f>
        <v>116.5297791</v>
      </c>
      <c r="L5" t="s">
        <v>4844</v>
      </c>
      <c r="M5" t="str">
        <f>VLOOKUP(H5,CHOOSE({1,2},Table17[Native],Table17[Name]),2,0)</f>
        <v>Píngyīn Xiàn</v>
      </c>
      <c r="N5" s="15" t="str">
        <f>VLOOKUP(I5,CHOOSE({1,2},Table17[Native],Table17[Name]),2,0)</f>
        <v>Jìnán Shì</v>
      </c>
      <c r="O5" s="15" t="str">
        <f t="shared" si="0"/>
        <v>Ancheng Zhen (Jìnán Shì)</v>
      </c>
      <c r="P5" s="15" t="str">
        <f t="shared" si="1"/>
        <v>Ancheng Zhen (Jìnán Shì)</v>
      </c>
    </row>
    <row r="6" spans="1:16" hidden="1" x14ac:dyDescent="0.25">
      <c r="A6" t="s">
        <v>199</v>
      </c>
      <c r="B6" t="str">
        <f>IF(COUNTIF(A:A,A6)&gt;1,_xlfn.CONCAT(A6," (",N6,")"),A6)</f>
        <v>Āndé Jiēdào</v>
      </c>
      <c r="C6" t="str">
        <f>IF(COUNTIF(B:B,B6)&gt;1,_xlfn.CONCAT(A6," (",M6,")"),B6)</f>
        <v>Āndé Jiēdào</v>
      </c>
      <c r="D6" t="s">
        <v>200</v>
      </c>
      <c r="E6" t="s">
        <v>7</v>
      </c>
      <c r="F6" t="str">
        <f>_xlfn.CONCAT(D6,", ",H6,", ",I6,", ","山东省")</f>
        <v>安德街道, 陵城区, 德州市, 山东省</v>
      </c>
      <c r="G6">
        <v>45171</v>
      </c>
      <c r="H6" t="s">
        <v>3645</v>
      </c>
      <c r="I6" t="s">
        <v>3642</v>
      </c>
      <c r="J6">
        <f>VLOOKUP(F6,[1]!china_towns_second__2[[Column1]:[Y]],3,FALSE)</f>
        <v>37.359753823569598</v>
      </c>
      <c r="K6">
        <f>VLOOKUP(F6,[1]!china_towns_second__2[[Column1]:[Y]],2,FALSE)</f>
        <v>116.50427139999999</v>
      </c>
      <c r="L6" t="s">
        <v>4845</v>
      </c>
      <c r="M6" t="str">
        <f>VLOOKUP(H6,CHOOSE({1,2},Table17[Native],Table17[Name]),2,0)</f>
        <v>Língchéng Qū</v>
      </c>
      <c r="N6" s="15" t="str">
        <f>VLOOKUP(I6,CHOOSE({1,2},Table17[Native],Table17[Name]),2,0)</f>
        <v>Dézhōu Shì</v>
      </c>
      <c r="O6" s="15" t="str">
        <f t="shared" si="0"/>
        <v>Ande Jiedao (Dézhōu Shì)</v>
      </c>
      <c r="P6" s="15" t="str">
        <f t="shared" si="1"/>
        <v>Ande Jiedao (Dézhōu Shì)</v>
      </c>
    </row>
    <row r="7" spans="1:16" hidden="1" x14ac:dyDescent="0.25">
      <c r="A7" t="s">
        <v>1792</v>
      </c>
      <c r="B7" t="str">
        <f>IF(COUNTIF(A:A,A7)&gt;1,_xlfn.CONCAT(A7," (",N7,")"),A7)</f>
        <v>Àndī Zhèn</v>
      </c>
      <c r="C7" t="str">
        <f>IF(COUNTIF(B:B,B7)&gt;1,_xlfn.CONCAT(A7," (",M7,")"),B7)</f>
        <v>Àndī Zhèn</v>
      </c>
      <c r="D7" t="s">
        <v>1793</v>
      </c>
      <c r="E7" t="s">
        <v>13</v>
      </c>
      <c r="F7" t="str">
        <f>_xlfn.CONCAT(D7,", ",H7,", ",I7,", ","山东省")</f>
        <v>岸堤镇, 沂南县, 临沂市, 山东省</v>
      </c>
      <c r="G7">
        <v>35078</v>
      </c>
      <c r="H7" t="s">
        <v>3721</v>
      </c>
      <c r="I7" t="s">
        <v>3710</v>
      </c>
      <c r="J7">
        <f>VLOOKUP(F7,[1]!china_towns_second__2[[Column1]:[Y]],3,FALSE)</f>
        <v>35.676985350998699</v>
      </c>
      <c r="K7">
        <f>VLOOKUP(F7,[1]!china_towns_second__2[[Column1]:[Y]],2,FALSE)</f>
        <v>118.1920961</v>
      </c>
      <c r="L7" t="s">
        <v>4846</v>
      </c>
      <c r="M7" t="str">
        <f>VLOOKUP(H7,CHOOSE({1,2},Table17[Native],Table17[Name]),2,0)</f>
        <v>Yínán Xiàn</v>
      </c>
      <c r="N7" s="15" t="str">
        <f>VLOOKUP(I7,CHOOSE({1,2},Table17[Native],Table17[Name]),2,0)</f>
        <v>Línyí Shì</v>
      </c>
      <c r="O7" s="15" t="str">
        <f t="shared" si="0"/>
        <v>Andi Zhen (Línyí Shì)</v>
      </c>
      <c r="P7" s="15" t="str">
        <f t="shared" si="1"/>
        <v>Andi Zhen (Línyí Shì)</v>
      </c>
    </row>
    <row r="8" spans="1:16" hidden="1" x14ac:dyDescent="0.25">
      <c r="A8" t="s">
        <v>2389</v>
      </c>
      <c r="B8" t="str">
        <f>IF(COUNTIF(A:A,A8)&gt;1,_xlfn.CONCAT(A8," (",N8,")"),A8)</f>
        <v>Āndōngwèi Jiēdào</v>
      </c>
      <c r="C8" t="str">
        <f>IF(COUNTIF(B:B,B8)&gt;1,_xlfn.CONCAT(A8," (",M8,")"),B8)</f>
        <v>Āndōngwèi Jiēdào</v>
      </c>
      <c r="D8" t="s">
        <v>2390</v>
      </c>
      <c r="E8" t="s">
        <v>7</v>
      </c>
      <c r="F8" t="str">
        <f>_xlfn.CONCAT(D8,", ",H8,", ",I8,", ","山东省")</f>
        <v>安东卫街道, 兰山区, 临沂市, 山东省</v>
      </c>
      <c r="G8">
        <v>47896</v>
      </c>
      <c r="H8" t="s">
        <v>3715</v>
      </c>
      <c r="I8" t="s">
        <v>3710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4847</v>
      </c>
      <c r="M8" t="str">
        <f>VLOOKUP(H8,CHOOSE({1,2},Table17[Native],Table17[Name]),2,0)</f>
        <v>Lánshān Qū</v>
      </c>
      <c r="N8" s="15" t="str">
        <f>VLOOKUP(I8,CHOOSE({1,2},Table17[Native],Table17[Name]),2,0)</f>
        <v>Línyí Shì</v>
      </c>
      <c r="O8" s="15" t="str">
        <f t="shared" si="0"/>
        <v>Andongwei Jiedao (Línyí Shì)</v>
      </c>
      <c r="P8" s="15" t="str">
        <f t="shared" si="1"/>
        <v>Andongwei Jiedao (Línyí Shì)</v>
      </c>
    </row>
    <row r="9" spans="1:16" hidden="1" x14ac:dyDescent="0.25">
      <c r="A9" t="s">
        <v>2495</v>
      </c>
      <c r="B9" t="str">
        <f>IF(COUNTIF(A:A,A9)&gt;1,_xlfn.CONCAT(A9," (",N9,")"),A9)</f>
        <v>Ānjiàzhuāng Zhèn</v>
      </c>
      <c r="C9" t="str">
        <f>IF(COUNTIF(B:B,B9)&gt;1,_xlfn.CONCAT(A9," (",M9,")"),B9)</f>
        <v>Ānjiàzhuāng Zhèn</v>
      </c>
      <c r="D9" t="s">
        <v>2496</v>
      </c>
      <c r="E9" t="s">
        <v>13</v>
      </c>
      <c r="F9" t="str">
        <f>_xlfn.CONCAT(D9,", ",H9,", ",I9,", ","山东省")</f>
        <v>安驾庄镇, 肥城市, 泰安市, 山东省</v>
      </c>
      <c r="G9">
        <v>76235</v>
      </c>
      <c r="H9" t="s">
        <v>3746</v>
      </c>
      <c r="I9" t="s">
        <v>3743</v>
      </c>
      <c r="J9">
        <f>VLOOKUP(F9,[1]!china_towns_second__2[[Column1]:[Y]],3,FALSE)</f>
        <v>35.963946421877203</v>
      </c>
      <c r="K9">
        <f>VLOOKUP(F9,[1]!china_towns_second__2[[Column1]:[Y]],2,FALSE)</f>
        <v>116.7767784</v>
      </c>
      <c r="L9" t="s">
        <v>4848</v>
      </c>
      <c r="M9" t="str">
        <f>VLOOKUP(H9,CHOOSE({1,2},Table17[Native],Table17[Name]),2,0)</f>
        <v>Féichéng Shì</v>
      </c>
      <c r="N9" s="15" t="str">
        <f>VLOOKUP(I9,CHOOSE({1,2},Table17[Native],Table17[Name]),2,0)</f>
        <v>Tài'ān Shì</v>
      </c>
      <c r="O9" s="15" t="str">
        <f t="shared" si="0"/>
        <v>Anjiazhuang Zhen (Tài'ān Shì)</v>
      </c>
      <c r="P9" s="15" t="str">
        <f t="shared" si="1"/>
        <v>Anjiazhuang Zhen (Tài'ān Shì)</v>
      </c>
    </row>
    <row r="10" spans="1:16" hidden="1" x14ac:dyDescent="0.25">
      <c r="A10" t="s">
        <v>1228</v>
      </c>
      <c r="B10" t="str">
        <f>IF(COUNTIF(A:A,A10)&gt;1,_xlfn.CONCAT(A10," (",N10,")"),A10)</f>
        <v>Ānjū Jiēdào</v>
      </c>
      <c r="C10" t="str">
        <f>IF(COUNTIF(B:B,B10)&gt;1,_xlfn.CONCAT(A10," (",M10,")"),B10)</f>
        <v>Ānjū Jiēdào</v>
      </c>
      <c r="D10" t="s">
        <v>1229</v>
      </c>
      <c r="E10" t="s">
        <v>7</v>
      </c>
      <c r="F10" t="str">
        <f>_xlfn.CONCAT(D10,", ",H10,", ",I10,", ","山东省")</f>
        <v>安居街道, 任城区, 济宁市, 山东省</v>
      </c>
      <c r="G10">
        <v>70296</v>
      </c>
      <c r="H10" t="s">
        <v>3692</v>
      </c>
      <c r="I10" t="s">
        <v>3687</v>
      </c>
      <c r="J10">
        <f>VLOOKUP(F10,[1]!china_towns_second__2[[Column1]:[Y]],3,FALSE)</f>
        <v>35.382500727301696</v>
      </c>
      <c r="K10">
        <f>VLOOKUP(F10,[1]!china_towns_second__2[[Column1]:[Y]],2,FALSE)</f>
        <v>116.4962038</v>
      </c>
      <c r="L10" t="s">
        <v>4849</v>
      </c>
      <c r="M10" t="str">
        <f>VLOOKUP(H10,CHOOSE({1,2},Table17[Native],Table17[Name]),2,0)</f>
        <v>Rènchéng Qū</v>
      </c>
      <c r="N10" s="15" t="str">
        <f>VLOOKUP(I10,CHOOSE({1,2},Table17[Native],Table17[Name]),2,0)</f>
        <v>Jìníng Shì</v>
      </c>
      <c r="O10" s="15" t="str">
        <f t="shared" si="0"/>
        <v>Anju Jiedao (Jìníng Shì)</v>
      </c>
      <c r="P10" s="15" t="str">
        <f t="shared" si="1"/>
        <v>Anju Jiedao (Jìníng Shì)</v>
      </c>
    </row>
    <row r="11" spans="1:16" hidden="1" x14ac:dyDescent="0.25">
      <c r="A11" t="s">
        <v>1536</v>
      </c>
      <c r="B11" t="str">
        <f>IF(COUNTIF(A:A,A11)&gt;1,_xlfn.CONCAT(A11," (",N11,")"),A11)</f>
        <v>Ānlè Zhèn</v>
      </c>
      <c r="C11" t="str">
        <f>IF(COUNTIF(B:B,B11)&gt;1,_xlfn.CONCAT(A11," (",M11,")"),B11)</f>
        <v>Ānlè Zhèn</v>
      </c>
      <c r="D11" t="s">
        <v>1537</v>
      </c>
      <c r="E11" t="s">
        <v>13</v>
      </c>
      <c r="F11" t="str">
        <f>_xlfn.CONCAT(D11,", ",H11,", ",I11,", ","山东省")</f>
        <v>安乐镇, 阳谷县, 聊城市, 山东省</v>
      </c>
      <c r="G11">
        <v>35264</v>
      </c>
      <c r="H11" t="s">
        <v>3708</v>
      </c>
      <c r="I11" t="s">
        <v>3700</v>
      </c>
      <c r="J11">
        <f>VLOOKUP(F11,[1]!china_towns_second__2[[Column1]:[Y]],3,FALSE)</f>
        <v>36.208143796359401</v>
      </c>
      <c r="K11">
        <f>VLOOKUP(F11,[1]!china_towns_second__2[[Column1]:[Y]],2,FALSE)</f>
        <v>115.9295073</v>
      </c>
      <c r="L11" t="s">
        <v>4850</v>
      </c>
      <c r="M11" t="str">
        <f>VLOOKUP(H11,CHOOSE({1,2},Table17[Native],Table17[Name]),2,0)</f>
        <v>Yánggŭ Xiàn</v>
      </c>
      <c r="N11" s="15" t="str">
        <f>VLOOKUP(I11,CHOOSE({1,2},Table17[Native],Table17[Name]),2,0)</f>
        <v>Liáochéng Shì</v>
      </c>
      <c r="O11" s="15" t="str">
        <f t="shared" si="0"/>
        <v>Anle Zhen (Liáochéng Shì)</v>
      </c>
      <c r="P11" s="15" t="str">
        <f t="shared" si="1"/>
        <v>Anle Zhen (Liáochéng Shì)</v>
      </c>
    </row>
    <row r="12" spans="1:16" hidden="1" x14ac:dyDescent="0.25">
      <c r="A12" t="s">
        <v>2498</v>
      </c>
      <c r="B12" t="str">
        <f>IF(COUNTIF(A:A,A12)&gt;1,_xlfn.CONCAT(A12," (",N12,")"),A12)</f>
        <v>Ānlínzhàn Zhèn</v>
      </c>
      <c r="C12" t="str">
        <f>IF(COUNTIF(B:B,B12)&gt;1,_xlfn.CONCAT(A12," (",M12,")"),B12)</f>
        <v>Ānlínzhàn Zhèn</v>
      </c>
      <c r="D12" t="s">
        <v>2499</v>
      </c>
      <c r="E12" t="s">
        <v>13</v>
      </c>
      <c r="F12" t="str">
        <f>_xlfn.CONCAT(D12,", ",H12,", ",I12,", ","山东省")</f>
        <v>安临站镇, 肥城市, 泰安市, 山东省</v>
      </c>
      <c r="G12">
        <v>50966</v>
      </c>
      <c r="H12" t="s">
        <v>3746</v>
      </c>
      <c r="I12" t="s">
        <v>3743</v>
      </c>
      <c r="J12">
        <f>VLOOKUP(F12,[1]!china_towns_second__2[[Column1]:[Y]],3,FALSE)</f>
        <v>36.0621080815868</v>
      </c>
      <c r="K12">
        <f>VLOOKUP(F12,[1]!china_towns_second__2[[Column1]:[Y]],2,FALSE)</f>
        <v>116.74843730000001</v>
      </c>
      <c r="L12" t="s">
        <v>4851</v>
      </c>
      <c r="M12" t="str">
        <f>VLOOKUP(H12,CHOOSE({1,2},Table17[Native],Table17[Name]),2,0)</f>
        <v>Féichéng Shì</v>
      </c>
      <c r="N12" s="15" t="str">
        <f>VLOOKUP(I12,CHOOSE({1,2},Table17[Native],Table17[Name]),2,0)</f>
        <v>Tài'ān Shì</v>
      </c>
      <c r="O12" s="15" t="str">
        <f t="shared" si="0"/>
        <v>Anlinzhan Zhen (Tài'ān Shì)</v>
      </c>
      <c r="P12" s="15" t="str">
        <f t="shared" si="1"/>
        <v>Anlinzhan Zhen (Tài'ān Shì)</v>
      </c>
    </row>
    <row r="13" spans="1:16" hidden="1" x14ac:dyDescent="0.25">
      <c r="A13" t="s">
        <v>202</v>
      </c>
      <c r="B13" t="str">
        <f>IF(COUNTIF(A:A,A13)&gt;1,_xlfn.CONCAT(A13," (",N13,")"),A13)</f>
        <v>Ānrén Zhèn</v>
      </c>
      <c r="C13" t="str">
        <f>IF(COUNTIF(B:B,B13)&gt;1,_xlfn.CONCAT(A13," (",M13,")"),B13)</f>
        <v>Ānrén Zhèn</v>
      </c>
      <c r="D13" t="s">
        <v>203</v>
      </c>
      <c r="E13" t="s">
        <v>13</v>
      </c>
      <c r="F13" t="str">
        <f>_xlfn.CONCAT(D13,", ",H13,", ",I13,", ","山东省")</f>
        <v>安仁镇, 禹城市, 德州市, 山东省</v>
      </c>
      <c r="G13">
        <v>28669</v>
      </c>
      <c r="H13" t="s">
        <v>3653</v>
      </c>
      <c r="I13" t="s">
        <v>3642</v>
      </c>
      <c r="J13">
        <f>VLOOKUP(F13,[1]!china_towns_second__2[[Column1]:[Y]],3,FALSE)</f>
        <v>36.854837966535001</v>
      </c>
      <c r="K13">
        <f>VLOOKUP(F13,[1]!china_towns_second__2[[Column1]:[Y]],2,FALSE)</f>
        <v>116.5301364</v>
      </c>
      <c r="L13" t="s">
        <v>4852</v>
      </c>
      <c r="M13" t="str">
        <f>VLOOKUP(H13,CHOOSE({1,2},Table17[Native],Table17[Name]),2,0)</f>
        <v>Yŭchéng Shì</v>
      </c>
      <c r="N13" s="15" t="str">
        <f>VLOOKUP(I13,CHOOSE({1,2},Table17[Native],Table17[Name]),2,0)</f>
        <v>Dézhōu Shì</v>
      </c>
      <c r="O13" s="15" t="str">
        <f t="shared" si="0"/>
        <v>Anren Zhen (Dézhōu Shì)</v>
      </c>
      <c r="P13" s="15" t="str">
        <f t="shared" si="1"/>
        <v>Anren Zhen (Dézhōu Shì)</v>
      </c>
    </row>
    <row r="14" spans="1:16" hidden="1" x14ac:dyDescent="0.25">
      <c r="A14" t="s">
        <v>205</v>
      </c>
      <c r="B14" t="str">
        <f>IF(COUNTIF(A:A,A14)&gt;1,_xlfn.CONCAT(A14," (",N14,")"),A14)</f>
        <v>Āntóu Xiāng</v>
      </c>
      <c r="C14" t="str">
        <f>IF(COUNTIF(B:B,B14)&gt;1,_xlfn.CONCAT(A14," (",M14,")"),B14)</f>
        <v>Āntóu Xiāng</v>
      </c>
      <c r="D14" t="s">
        <v>206</v>
      </c>
      <c r="E14" t="s">
        <v>61</v>
      </c>
      <c r="F14" t="str">
        <f>_xlfn.CONCAT(D14,", ",H14,", ",I14,", ","山东省")</f>
        <v>安头乡, 齐河县, 德州市, 山东省</v>
      </c>
      <c r="G14">
        <v>21609</v>
      </c>
      <c r="H14" t="s">
        <v>3649</v>
      </c>
      <c r="I14" t="s">
        <v>3642</v>
      </c>
      <c r="J14" t="e">
        <f>VLOOKUP(F14,[1]!china_towns_second__2[[Column1]:[Y]],3,FALSE)</f>
        <v>#N/A</v>
      </c>
      <c r="K14" t="e">
        <f>VLOOKUP(F14,[1]!china_towns_second__2[[Column1]:[Y]],2,FALSE)</f>
        <v>#N/A</v>
      </c>
      <c r="L14" t="s">
        <v>4853</v>
      </c>
      <c r="M14" t="str">
        <f>VLOOKUP(H14,CHOOSE({1,2},Table17[Native],Table17[Name]),2,0)</f>
        <v>Qíhé Xiàn</v>
      </c>
      <c r="N14" s="15" t="str">
        <f>VLOOKUP(I14,CHOOSE({1,2},Table17[Native],Table17[Name]),2,0)</f>
        <v>Dézhōu Shì</v>
      </c>
      <c r="O14" s="15" t="str">
        <f t="shared" si="0"/>
        <v>Antou Xiang (Dézhōu Shì)</v>
      </c>
      <c r="P14" s="15" t="str">
        <f t="shared" si="1"/>
        <v>Antou Xiang (Dézhōu Shì)</v>
      </c>
    </row>
    <row r="15" spans="1:16" hidden="1" x14ac:dyDescent="0.25">
      <c r="A15" t="s">
        <v>576</v>
      </c>
      <c r="B15" t="str">
        <f>IF(COUNTIF(A:A,A15)&gt;1,_xlfn.CONCAT(A15," (",N15,")"),A15)</f>
        <v>Ānxīng Zhèn</v>
      </c>
      <c r="C15" t="str">
        <f>IF(COUNTIF(B:B,B15)&gt;1,_xlfn.CONCAT(A15," (",M15,")"),B15)</f>
        <v>Ānxīng Zhèn</v>
      </c>
      <c r="D15" t="s">
        <v>577</v>
      </c>
      <c r="E15" t="s">
        <v>13</v>
      </c>
      <c r="F15" t="str">
        <f>_xlfn.CONCAT(D15,", ",H15,", ",I15,", ","山东省")</f>
        <v>安兴镇, 牡丹区, 菏泽市, 山东省</v>
      </c>
      <c r="G15">
        <v>40894</v>
      </c>
      <c r="H15" t="s">
        <v>3669</v>
      </c>
      <c r="I15" t="s">
        <v>3662</v>
      </c>
      <c r="J15">
        <f>VLOOKUP(F15,[1]!china_towns_second__2[[Column1]:[Y]],3,FALSE)</f>
        <v>35.3348114964841</v>
      </c>
      <c r="K15">
        <f>VLOOKUP(F15,[1]!china_towns_second__2[[Column1]:[Y]],2,FALSE)</f>
        <v>115.68178949999999</v>
      </c>
      <c r="L15" t="s">
        <v>4854</v>
      </c>
      <c r="M15" t="str">
        <f>VLOOKUP(H15,CHOOSE({1,2},Table17[Native],Table17[Name]),2,0)</f>
        <v>Mŭdān Qū</v>
      </c>
      <c r="N15" s="15" t="str">
        <f>VLOOKUP(I15,CHOOSE({1,2},Table17[Native],Table17[Name]),2,0)</f>
        <v>Hézé Shì</v>
      </c>
      <c r="O15" s="15" t="str">
        <f t="shared" si="0"/>
        <v>Anxing Zhen (Hézé Shì)</v>
      </c>
      <c r="P15" s="15" t="str">
        <f t="shared" si="1"/>
        <v>Anxing Zhen (Hézé Shì)</v>
      </c>
    </row>
    <row r="16" spans="1:16" hidden="1" x14ac:dyDescent="0.25">
      <c r="A16" t="s">
        <v>2391</v>
      </c>
      <c r="B16" t="str">
        <f>IF(COUNTIF(A:A,A16)&gt;1,_xlfn.CONCAT(A16," (",N16,")"),A16)</f>
        <v>Ānzhuāng Zhèn</v>
      </c>
      <c r="C16" t="str">
        <f>IF(COUNTIF(B:B,B16)&gt;1,_xlfn.CONCAT(A16," (",M16,")"),B16)</f>
        <v>Ānzhuāng Zhèn</v>
      </c>
      <c r="D16" t="s">
        <v>2392</v>
      </c>
      <c r="E16" t="s">
        <v>13</v>
      </c>
      <c r="F16" t="str">
        <f>_xlfn.CONCAT(D16,", ",H16,", ",I16,", ","山东省")</f>
        <v>安庄镇, 莒县, 日照市, 山东省</v>
      </c>
      <c r="G16">
        <v>26130</v>
      </c>
      <c r="H16" t="s">
        <v>3739</v>
      </c>
      <c r="I16" t="s">
        <v>3736</v>
      </c>
      <c r="J16">
        <f>VLOOKUP(F16,[1]!china_towns_second__2[[Column1]:[Y]],3,FALSE)</f>
        <v>35.834411657108703</v>
      </c>
      <c r="K16">
        <f>VLOOKUP(F16,[1]!china_towns_second__2[[Column1]:[Y]],2,FALSE)</f>
        <v>118.7893993</v>
      </c>
      <c r="L16" t="s">
        <v>4855</v>
      </c>
      <c r="M16" t="str">
        <f>VLOOKUP(H16,CHOOSE({1,2},Table17[Native],Table17[Name]),2,0)</f>
        <v>Jŭ Xiàn</v>
      </c>
      <c r="N16" s="15" t="str">
        <f>VLOOKUP(I16,CHOOSE({1,2},Table17[Native],Table17[Name]),2,0)</f>
        <v>Rìzhào Shì</v>
      </c>
      <c r="O16" s="15" t="str">
        <f t="shared" si="0"/>
        <v>Anzhuang Zhen (Rìzhào Shì)</v>
      </c>
      <c r="P16" s="15" t="str">
        <f t="shared" si="1"/>
        <v>Anzhuang Zhen (Rìzhào Shì)</v>
      </c>
    </row>
    <row r="17" spans="1:16" hidden="1" x14ac:dyDescent="0.25">
      <c r="A17" t="s">
        <v>2102</v>
      </c>
      <c r="B17" t="str">
        <f>IF(COUNTIF(A:A,A17)&gt;1,_xlfn.CONCAT(A17," (",N17,")"),A17)</f>
        <v>Áoshānwèi Jiēdào</v>
      </c>
      <c r="C17" t="str">
        <f>IF(COUNTIF(B:B,B17)&gt;1,_xlfn.CONCAT(A17," (",M17,")"),B17)</f>
        <v>Áoshānwèi Jiēdào</v>
      </c>
      <c r="D17" t="s">
        <v>2103</v>
      </c>
      <c r="E17" t="s">
        <v>7</v>
      </c>
      <c r="F17" t="str">
        <f>_xlfn.CONCAT(D17,", ",H17,", ",I17,", ","山东省")</f>
        <v>鳌山卫街道, 即墨区, 青岛市, 山东省</v>
      </c>
      <c r="G17">
        <v>47810</v>
      </c>
      <c r="H17" t="s">
        <v>3728</v>
      </c>
      <c r="I17" t="s">
        <v>3724</v>
      </c>
      <c r="J17">
        <f>VLOOKUP(F17,[1]!china_towns_second__2[[Column1]:[Y]],3,FALSE)</f>
        <v>36.364346489168597</v>
      </c>
      <c r="K17">
        <f>VLOOKUP(F17,[1]!china_towns_second__2[[Column1]:[Y]],2,FALSE)</f>
        <v>120.6467507</v>
      </c>
      <c r="L17" t="s">
        <v>4856</v>
      </c>
      <c r="M17" t="str">
        <f>VLOOKUP(H17,CHOOSE({1,2},Table17[Native],Table17[Name]),2,0)</f>
        <v>Jímò Qū</v>
      </c>
      <c r="N17" s="15" t="str">
        <f>VLOOKUP(I17,CHOOSE({1,2},Table17[Native],Table17[Name]),2,0)</f>
        <v>Qīngdăo Shì</v>
      </c>
      <c r="O17" s="15" t="str">
        <f t="shared" si="0"/>
        <v>Aoshanwei Jiedao (Qīngdăo Shì)</v>
      </c>
      <c r="P17" s="15" t="str">
        <f t="shared" si="1"/>
        <v>Aoshanwei Jiedao (Qīngdăo Shì)</v>
      </c>
    </row>
    <row r="18" spans="1:16" hidden="1" x14ac:dyDescent="0.25">
      <c r="A18" t="s">
        <v>1538</v>
      </c>
      <c r="B18" t="str">
        <f>IF(COUNTIF(A:A,A18)&gt;1,_xlfn.CONCAT(A18," (",N18,")"),A18)</f>
        <v>Bāchàlù Zhèn</v>
      </c>
      <c r="C18" t="str">
        <f>IF(COUNTIF(B:B,B18)&gt;1,_xlfn.CONCAT(A18," (",M18,")"),B18)</f>
        <v>Bāchàlù Zhèn</v>
      </c>
      <c r="D18" t="s">
        <v>1539</v>
      </c>
      <c r="E18" t="s">
        <v>13</v>
      </c>
      <c r="F18" t="str">
        <f>_xlfn.CONCAT(D18,", ",H18,", ",I18,", ","山东省")</f>
        <v>八岔路镇, 临清市, 聊城市, 山东省</v>
      </c>
      <c r="G18">
        <v>31839</v>
      </c>
      <c r="H18" t="s">
        <v>3706</v>
      </c>
      <c r="I18" t="s">
        <v>3700</v>
      </c>
      <c r="J18">
        <f>VLOOKUP(F18,[1]!china_towns_second__2[[Column1]:[Y]],3,FALSE)</f>
        <v>36.6946476350982</v>
      </c>
      <c r="K18">
        <f>VLOOKUP(F18,[1]!china_towns_second__2[[Column1]:[Y]],2,FALSE)</f>
        <v>115.59989229999999</v>
      </c>
      <c r="L18" t="s">
        <v>4857</v>
      </c>
      <c r="M18" t="str">
        <f>VLOOKUP(H18,CHOOSE({1,2},Table17[Native],Table17[Name]),2,0)</f>
        <v>Línqīng Shì</v>
      </c>
      <c r="N18" s="15" t="str">
        <f>VLOOKUP(I18,CHOOSE({1,2},Table17[Native],Table17[Name]),2,0)</f>
        <v>Liáochéng Shì</v>
      </c>
      <c r="O18" s="15" t="str">
        <f t="shared" si="0"/>
        <v>Bachalu Zhen (Liáochéng Shì)</v>
      </c>
      <c r="P18" s="15" t="str">
        <f t="shared" si="1"/>
        <v>Bachalu Zhen (Liáochéng Shì)</v>
      </c>
    </row>
    <row r="19" spans="1:16" hidden="1" x14ac:dyDescent="0.25">
      <c r="A19" t="s">
        <v>2105</v>
      </c>
      <c r="B19" t="str">
        <f>IF(COUNTIF(A:A,A19)&gt;1,_xlfn.CONCAT(A19," (",N19,")"),A19)</f>
        <v>Bādàguān Jiēdào</v>
      </c>
      <c r="C19" t="str">
        <f>IF(COUNTIF(B:B,B19)&gt;1,_xlfn.CONCAT(A19," (",M19,")"),B19)</f>
        <v>Bādàguān Jiēdào</v>
      </c>
      <c r="D19" t="s">
        <v>2106</v>
      </c>
      <c r="E19" t="s">
        <v>7</v>
      </c>
      <c r="F19" t="str">
        <f>_xlfn.CONCAT(D19,", ",H19,", ",I19,", ","山东省")</f>
        <v>八大关街道, 市南区, 青岛市, 山东省</v>
      </c>
      <c r="G19">
        <v>23866</v>
      </c>
      <c r="H19" t="s">
        <v>3734</v>
      </c>
      <c r="I19" t="s">
        <v>3724</v>
      </c>
      <c r="J19">
        <f>VLOOKUP(F19,[1]!china_towns_second__2[[Column1]:[Y]],3,FALSE)</f>
        <v>36.056720250275198</v>
      </c>
      <c r="K19">
        <f>VLOOKUP(F19,[1]!china_towns_second__2[[Column1]:[Y]],2,FALSE)</f>
        <v>120.34447489999999</v>
      </c>
      <c r="L19" t="s">
        <v>4858</v>
      </c>
      <c r="M19" t="str">
        <f>VLOOKUP(H19,CHOOSE({1,2},Table17[Native],Table17[Name]),2,0)</f>
        <v>Shìnán Qū</v>
      </c>
      <c r="N19" s="15" t="str">
        <f>VLOOKUP(I19,CHOOSE({1,2},Table17[Native],Table17[Name]),2,0)</f>
        <v>Qīngdăo Shì</v>
      </c>
      <c r="O19" s="15" t="str">
        <f t="shared" si="0"/>
        <v>Badaguan Jiedao (Qīngdăo Shì)</v>
      </c>
      <c r="P19" s="15" t="str">
        <f t="shared" si="1"/>
        <v>Badaguan Jiedao (Qīngdăo Shì)</v>
      </c>
    </row>
    <row r="20" spans="1:16" hidden="1" x14ac:dyDescent="0.25">
      <c r="A20" t="s">
        <v>2108</v>
      </c>
      <c r="B20" t="str">
        <f>IF(COUNTIF(A:A,A20)&gt;1,_xlfn.CONCAT(A20," (",N20,")"),A20)</f>
        <v>Bādàhú Jiēdào</v>
      </c>
      <c r="C20" t="str">
        <f>IF(COUNTIF(B:B,B20)&gt;1,_xlfn.CONCAT(A20," (",M20,")"),B20)</f>
        <v>Bādàhú Jiēdào</v>
      </c>
      <c r="D20" t="s">
        <v>2109</v>
      </c>
      <c r="E20" t="s">
        <v>7</v>
      </c>
      <c r="F20" t="str">
        <f>_xlfn.CONCAT(D20,", ",H20,", ",I20,", ","山东省")</f>
        <v>八大湖街道, 市南区, 青岛市, 山东省</v>
      </c>
      <c r="G20">
        <v>56133</v>
      </c>
      <c r="H20" t="s">
        <v>3734</v>
      </c>
      <c r="I20" t="s">
        <v>3724</v>
      </c>
      <c r="J20">
        <f>VLOOKUP(F20,[1]!china_towns_second__2[[Column1]:[Y]],3,FALSE)</f>
        <v>36.080904820278299</v>
      </c>
      <c r="K20">
        <f>VLOOKUP(F20,[1]!china_towns_second__2[[Column1]:[Y]],2,FALSE)</f>
        <v>120.38138120000001</v>
      </c>
      <c r="L20" t="s">
        <v>4859</v>
      </c>
      <c r="M20" t="str">
        <f>VLOOKUP(H20,CHOOSE({1,2},Table17[Native],Table17[Name]),2,0)</f>
        <v>Shìnán Qū</v>
      </c>
      <c r="N20" s="15" t="str">
        <f>VLOOKUP(I20,CHOOSE({1,2},Table17[Native],Table17[Name]),2,0)</f>
        <v>Qīngdăo Shì</v>
      </c>
      <c r="O20" s="15" t="str">
        <f t="shared" si="0"/>
        <v>Badahu Jiedao (Qīngdăo Shì)</v>
      </c>
      <c r="P20" s="15" t="str">
        <f t="shared" si="1"/>
        <v>Badahu Jiedao (Qīngdăo Shì)</v>
      </c>
    </row>
    <row r="21" spans="1:16" hidden="1" x14ac:dyDescent="0.25">
      <c r="A21" t="s">
        <v>2110</v>
      </c>
      <c r="B21" t="str">
        <f>IF(COUNTIF(A:A,A21)&gt;1,_xlfn.CONCAT(A21," (",N21,")"),A21)</f>
        <v>Bādàxiá Jiēdào</v>
      </c>
      <c r="C21" t="str">
        <f>IF(COUNTIF(B:B,B21)&gt;1,_xlfn.CONCAT(A21," (",M21,")"),B21)</f>
        <v>Bādàxiá Jiēdào</v>
      </c>
      <c r="D21" t="s">
        <v>2111</v>
      </c>
      <c r="E21" t="s">
        <v>7</v>
      </c>
      <c r="F21" t="str">
        <f>_xlfn.CONCAT(D21,", ",H21,", ",I21,", ","山东省")</f>
        <v>八大峡街道, 市南区, 青岛市, 山东省</v>
      </c>
      <c r="G21">
        <v>21039</v>
      </c>
      <c r="H21" t="s">
        <v>3734</v>
      </c>
      <c r="I21" t="s">
        <v>3724</v>
      </c>
      <c r="J21">
        <f>VLOOKUP(F21,[1]!china_towns_second__2[[Column1]:[Y]],3,FALSE)</f>
        <v>36.055000346333102</v>
      </c>
      <c r="K21">
        <f>VLOOKUP(F21,[1]!china_towns_second__2[[Column1]:[Y]],2,FALSE)</f>
        <v>120.2942286</v>
      </c>
      <c r="L21" t="s">
        <v>4860</v>
      </c>
      <c r="M21" t="str">
        <f>VLOOKUP(H21,CHOOSE({1,2},Table17[Native],Table17[Name]),2,0)</f>
        <v>Shìnán Qū</v>
      </c>
      <c r="N21" s="15" t="str">
        <f>VLOOKUP(I21,CHOOSE({1,2},Table17[Native],Table17[Name]),2,0)</f>
        <v>Qīngdăo Shì</v>
      </c>
      <c r="O21" s="15" t="str">
        <f t="shared" si="0"/>
        <v>Badaxia Jiedao (Qīngdăo Shì)</v>
      </c>
      <c r="P21" s="15" t="str">
        <f t="shared" si="1"/>
        <v>Badaxia Jiedao (Qīngdăo Shì)</v>
      </c>
    </row>
    <row r="22" spans="1:16" hidden="1" x14ac:dyDescent="0.25">
      <c r="A22" t="s">
        <v>3460</v>
      </c>
      <c r="B22" t="str">
        <f>IF(COUNTIF(A:A,A22)&gt;1,_xlfn.CONCAT(A22," (",N22,")"),A22)</f>
        <v>Bādŏu Zhèn</v>
      </c>
      <c r="C22" t="str">
        <f>IF(COUNTIF(B:B,B22)&gt;1,_xlfn.CONCAT(A22," (",M22,")"),B22)</f>
        <v>Bādŏu Zhèn</v>
      </c>
      <c r="D22" t="s">
        <v>3461</v>
      </c>
      <c r="E22" t="s">
        <v>13</v>
      </c>
      <c r="F22" t="str">
        <f>_xlfn.CONCAT(D22,", ",H22,", ",I22,", ","山东省")</f>
        <v>八陡镇, 博山区, 淄博市, 山东省</v>
      </c>
      <c r="G22">
        <v>36357</v>
      </c>
      <c r="H22" t="s">
        <v>3792</v>
      </c>
      <c r="I22" t="s">
        <v>3791</v>
      </c>
      <c r="J22">
        <f>VLOOKUP(F22,[1]!china_towns_second__2[[Column1]:[Y]],3,FALSE)</f>
        <v>36.454934614249296</v>
      </c>
      <c r="K22">
        <f>VLOOKUP(F22,[1]!china_towns_second__2[[Column1]:[Y]],2,FALSE)</f>
        <v>117.9057895</v>
      </c>
      <c r="L22" t="s">
        <v>4861</v>
      </c>
      <c r="M22" t="str">
        <f>VLOOKUP(H22,CHOOSE({1,2},Table17[Native],Table17[Name]),2,0)</f>
        <v>Bóshān Qū</v>
      </c>
      <c r="N22" s="15" t="str">
        <f>VLOOKUP(I22,CHOOSE({1,2},Table17[Native],Table17[Name]),2,0)</f>
        <v>Zībó Shì</v>
      </c>
      <c r="O22" s="15" t="str">
        <f t="shared" si="0"/>
        <v>Badou Zhen (Zībó Shì)</v>
      </c>
      <c r="P22" s="15" t="str">
        <f t="shared" si="1"/>
        <v>Badou Zhen (Zībó Shì)</v>
      </c>
    </row>
    <row r="23" spans="1:16" hidden="1" x14ac:dyDescent="0.25">
      <c r="A23" t="s">
        <v>1795</v>
      </c>
      <c r="B23" t="str">
        <f>IF(COUNTIF(A:A,A23)&gt;1,_xlfn.CONCAT(A23," (",N23,")"),A23)</f>
        <v>Bāhú Zhèn [incl. Liúdiànzi Xiāng]</v>
      </c>
      <c r="C23" t="str">
        <f>IF(COUNTIF(B:B,B23)&gt;1,_xlfn.CONCAT(A23," (",M23,")"),B23)</f>
        <v>Bāhú Zhèn [incl. Liúdiànzi Xiāng]</v>
      </c>
      <c r="D23" t="s">
        <v>1796</v>
      </c>
      <c r="E23" t="s">
        <v>13</v>
      </c>
      <c r="F23" t="str">
        <f>_xlfn.CONCAT(D23,", ",H23,", ",I23,", ","山东省")</f>
        <v>八湖镇, 河东区, 临沂市, 山东省</v>
      </c>
      <c r="G23">
        <v>63693</v>
      </c>
      <c r="H23" t="s">
        <v>3712</v>
      </c>
      <c r="I23" t="s">
        <v>3710</v>
      </c>
      <c r="J23">
        <f>VLOOKUP(F23,[1]!china_towns_second__2[[Column1]:[Y]],3,FALSE)</f>
        <v>35.214979585697101</v>
      </c>
      <c r="K23">
        <f>VLOOKUP(F23,[1]!china_towns_second__2[[Column1]:[Y]],2,FALSE)</f>
        <v>118.56373000000001</v>
      </c>
      <c r="L23" t="s">
        <v>4862</v>
      </c>
      <c r="M23" t="str">
        <f>VLOOKUP(H23,CHOOSE({1,2},Table17[Native],Table17[Name]),2,0)</f>
        <v>Hédōng Qū</v>
      </c>
      <c r="N23" s="15" t="str">
        <f>VLOOKUP(I23,CHOOSE({1,2},Table17[Native],Table17[Name]),2,0)</f>
        <v>Línyí Shì</v>
      </c>
      <c r="O23" s="15" t="str">
        <f t="shared" si="0"/>
        <v>Bahu Zhen [incl. Liudianzi Xiang] (Línyí Shì)</v>
      </c>
      <c r="P23" s="15" t="str">
        <f t="shared" si="1"/>
        <v>Bahu Zhen [incl. Liudianzi Xiang] (Línyí Shì)</v>
      </c>
    </row>
    <row r="24" spans="1:16" hidden="1" x14ac:dyDescent="0.25">
      <c r="A24" t="s">
        <v>2669</v>
      </c>
      <c r="B24" t="str">
        <f>IF(COUNTIF(A:A,A24)&gt;1,_xlfn.CONCAT(A24," (",N24,")"),A24)</f>
        <v>Bǎichéng Zhèn</v>
      </c>
      <c r="C24" t="str">
        <f>IF(COUNTIF(B:B,B24)&gt;1,_xlfn.CONCAT(A24," (",M24,")"),B24)</f>
        <v>Bǎichéng Zhèn</v>
      </c>
      <c r="D24" t="s">
        <v>2670</v>
      </c>
      <c r="E24" t="s">
        <v>13</v>
      </c>
      <c r="F24" t="str">
        <f>_xlfn.CONCAT(D24,", ",H24,", ",I24,", ","山东省")</f>
        <v>柏城镇, 高密市, 潍坊市, 山东省</v>
      </c>
      <c r="G24">
        <v>77235</v>
      </c>
      <c r="H24" t="s">
        <v>3756</v>
      </c>
      <c r="I24" t="s">
        <v>3751</v>
      </c>
      <c r="J24">
        <f>VLOOKUP(F24,[1]!china_towns_second__2[[Column1]:[Y]],3,FALSE)</f>
        <v>36.242318073060403</v>
      </c>
      <c r="K24">
        <f>VLOOKUP(F24,[1]!china_towns_second__2[[Column1]:[Y]],2,FALSE)</f>
        <v>119.773132</v>
      </c>
      <c r="L24" t="s">
        <v>4863</v>
      </c>
      <c r="M24" t="str">
        <f>VLOOKUP(H24,CHOOSE({1,2},Table17[Native],Table17[Name]),2,0)</f>
        <v>Gāomì Shì</v>
      </c>
      <c r="N24" s="15" t="str">
        <f>VLOOKUP(I24,CHOOSE({1,2},Table17[Native],Table17[Name]),2,0)</f>
        <v>Wéifāng Shì</v>
      </c>
      <c r="O24" s="15" t="str">
        <f t="shared" si="0"/>
        <v>Baicheng Zhen (Wéifāng Shì)</v>
      </c>
      <c r="P24" s="15" t="str">
        <f t="shared" si="1"/>
        <v>Baicheng Zhen (Wéifāng Shì)</v>
      </c>
    </row>
    <row r="25" spans="1:16" hidden="1" x14ac:dyDescent="0.25">
      <c r="A25" t="s">
        <v>2672</v>
      </c>
      <c r="B25" t="str">
        <f>IF(COUNTIF(A:A,A25)&gt;1,_xlfn.CONCAT(A25," (",N25,")"),A25)</f>
        <v>Băichĭhé Zhèn</v>
      </c>
      <c r="C25" t="str">
        <f>IF(COUNTIF(B:B,B25)&gt;1,_xlfn.CONCAT(A25," (",M25,")"),B25)</f>
        <v>Băichĭhé Zhèn</v>
      </c>
      <c r="D25" t="s">
        <v>2673</v>
      </c>
      <c r="E25" t="s">
        <v>13</v>
      </c>
      <c r="F25" t="str">
        <f>_xlfn.CONCAT(D25,", ",H25,", ",I25,", ","山东省")</f>
        <v>百尺河镇, 诸城市, 潍坊市, 山东省</v>
      </c>
      <c r="G25">
        <v>42913</v>
      </c>
      <c r="H25" t="s">
        <v>3763</v>
      </c>
      <c r="I25" t="s">
        <v>3751</v>
      </c>
      <c r="J25">
        <f>VLOOKUP(F25,[1]!china_towns_second__2[[Column1]:[Y]],3,FALSE)</f>
        <v>36.128807188200902</v>
      </c>
      <c r="K25">
        <f>VLOOKUP(F25,[1]!china_towns_second__2[[Column1]:[Y]],2,FALSE)</f>
        <v>119.5681658</v>
      </c>
      <c r="L25" t="s">
        <v>4864</v>
      </c>
      <c r="M25" t="str">
        <f>VLOOKUP(H25,CHOOSE({1,2},Table17[Native],Table17[Name]),2,0)</f>
        <v>Zhūchéng Shì</v>
      </c>
      <c r="N25" s="15" t="str">
        <f>VLOOKUP(I25,CHOOSE({1,2},Table17[Native],Table17[Name]),2,0)</f>
        <v>Wéifāng Shì</v>
      </c>
      <c r="O25" s="15" t="str">
        <f t="shared" si="0"/>
        <v>Baichihe Zhen (Wéifāng Shì)</v>
      </c>
      <c r="P25" s="15" t="str">
        <f t="shared" si="1"/>
        <v>Baichihe Zhen (Wéifāng Shì)</v>
      </c>
    </row>
    <row r="26" spans="1:16" hidden="1" x14ac:dyDescent="0.25">
      <c r="A26" t="s">
        <v>1798</v>
      </c>
      <c r="B26" t="str">
        <f>IF(COUNTIF(A:A,A26)&gt;1,_xlfn.CONCAT(A26," (",N26,")"),A26)</f>
        <v>Bǎilín Zhèn</v>
      </c>
      <c r="C26" t="str">
        <f>IF(COUNTIF(B:B,B26)&gt;1,_xlfn.CONCAT(A26," (",M26,")"),B26)</f>
        <v>Bǎilín Zhèn</v>
      </c>
      <c r="D26" t="s">
        <v>1799</v>
      </c>
      <c r="E26" t="s">
        <v>13</v>
      </c>
      <c r="F26" t="str">
        <f>_xlfn.CONCAT(D26,", ",H26,", ",I26,", ","山东省")</f>
        <v>柏林镇, 平邑县, 临沂市, 山东省</v>
      </c>
      <c r="G26">
        <v>42275</v>
      </c>
      <c r="H26" t="s">
        <v>3719</v>
      </c>
      <c r="I26" t="s">
        <v>3710</v>
      </c>
      <c r="J26">
        <f>VLOOKUP(F26,[1]!china_towns_second__2[[Column1]:[Y]],3,FALSE)</f>
        <v>35.539802208697601</v>
      </c>
      <c r="K26">
        <f>VLOOKUP(F26,[1]!china_towns_second__2[[Column1]:[Y]],2,FALSE)</f>
        <v>117.83433770000001</v>
      </c>
      <c r="L26" t="s">
        <v>4865</v>
      </c>
      <c r="M26" t="str">
        <f>VLOOKUP(H26,CHOOSE({1,2},Table17[Native],Table17[Name]),2,0)</f>
        <v>Píngyì Xiàn</v>
      </c>
      <c r="N26" s="15" t="str">
        <f>VLOOKUP(I26,CHOOSE({1,2},Table17[Native],Table17[Name]),2,0)</f>
        <v>Línyí Shì</v>
      </c>
      <c r="O26" s="15" t="str">
        <f t="shared" si="0"/>
        <v>Bailin Zhen (Línyí Shì)</v>
      </c>
      <c r="P26" s="15" t="str">
        <f t="shared" si="1"/>
        <v>Bailin Zhen (Línyí Shì)</v>
      </c>
    </row>
    <row r="27" spans="1:16" hidden="1" x14ac:dyDescent="0.25">
      <c r="A27" t="s">
        <v>3036</v>
      </c>
      <c r="B27" t="str">
        <f>IF(COUNTIF(A:A,A27)&gt;1,_xlfn.CONCAT(A27," (",N27,")"),A27)</f>
        <v>Bǎilínzhuāng Jiēdào</v>
      </c>
      <c r="C27" t="str">
        <f>IF(COUNTIF(B:B,B27)&gt;1,_xlfn.CONCAT(A27," (",M27,")"),B27)</f>
        <v>Bǎilínzhuāng Jiēdào</v>
      </c>
      <c r="D27" t="s">
        <v>3037</v>
      </c>
      <c r="E27" t="s">
        <v>7</v>
      </c>
      <c r="F27" t="str">
        <f>_xlfn.CONCAT(D27,", ",H27,", ",I27,", ","山东省")</f>
        <v>柏林庄街道, 莱阳市, 烟台市, 山东省</v>
      </c>
      <c r="G27">
        <v>32734</v>
      </c>
      <c r="H27" t="s">
        <v>3775</v>
      </c>
      <c r="I27" t="s">
        <v>3771</v>
      </c>
      <c r="J27">
        <f>VLOOKUP(F27,[1]!china_towns_second__2[[Column1]:[Y]],3,FALSE)</f>
        <v>37.009522214202903</v>
      </c>
      <c r="K27">
        <f>VLOOKUP(F27,[1]!china_towns_second__2[[Column1]:[Y]],2,FALSE)</f>
        <v>120.6389223</v>
      </c>
      <c r="L27" t="s">
        <v>4866</v>
      </c>
      <c r="M27" t="str">
        <f>VLOOKUP(H27,CHOOSE({1,2},Table17[Native],Table17[Name]),2,0)</f>
        <v>Láiyáng Shì</v>
      </c>
      <c r="N27" s="15" t="str">
        <f>VLOOKUP(I27,CHOOSE({1,2},Table17[Native],Table17[Name]),2,0)</f>
        <v>Yāntái Shì</v>
      </c>
      <c r="O27" s="15" t="str">
        <f t="shared" si="0"/>
        <v>Bailinzhuang Jiedao (Yāntái Shì)</v>
      </c>
      <c r="P27" s="15" t="str">
        <f t="shared" si="1"/>
        <v>Bailinzhuang Jiedao (Yāntái Shì)</v>
      </c>
    </row>
    <row r="28" spans="1:16" hidden="1" x14ac:dyDescent="0.25">
      <c r="A28" t="s">
        <v>208</v>
      </c>
      <c r="B28" t="str">
        <f>IF(COUNTIF(A:A,A28)&gt;1,_xlfn.CONCAT(A28," (",N28,")"),A28)</f>
        <v>Báimăhú Zhèn</v>
      </c>
      <c r="C28" t="str">
        <f>IF(COUNTIF(B:B,B28)&gt;1,_xlfn.CONCAT(A28," (",M28,")"),B28)</f>
        <v>Báimăhú Zhèn</v>
      </c>
      <c r="D28" t="s">
        <v>209</v>
      </c>
      <c r="E28" t="s">
        <v>13</v>
      </c>
      <c r="F28" t="str">
        <f>_xlfn.CONCAT(D28,", ",H28,", ",I28,", ","山东省")</f>
        <v>白马湖镇, 夏津县, 德州市, 山东省</v>
      </c>
      <c r="G28">
        <v>31009</v>
      </c>
      <c r="H28" t="s">
        <v>3652</v>
      </c>
      <c r="I28" t="s">
        <v>3642</v>
      </c>
      <c r="J28">
        <f>VLOOKUP(F28,[1]!china_towns_second__2[[Column1]:[Y]],3,FALSE)</f>
        <v>36.9418538411539</v>
      </c>
      <c r="K28">
        <f>VLOOKUP(F28,[1]!china_towns_second__2[[Column1]:[Y]],2,FALSE)</f>
        <v>115.8308316</v>
      </c>
      <c r="L28" t="s">
        <v>4867</v>
      </c>
      <c r="M28" t="str">
        <f>VLOOKUP(H28,CHOOSE({1,2},Table17[Native],Table17[Name]),2,0)</f>
        <v>Xiàjīn Xiàn</v>
      </c>
      <c r="N28" s="15" t="str">
        <f>VLOOKUP(I28,CHOOSE({1,2},Table17[Native],Table17[Name]),2,0)</f>
        <v>Dézhōu Shì</v>
      </c>
      <c r="O28" s="15" t="str">
        <f t="shared" si="0"/>
        <v>Baimahu Zhen (Dézhōu Shì)</v>
      </c>
      <c r="P28" s="15" t="str">
        <f t="shared" si="1"/>
        <v>Baimahu Zhen (Dézhōu Shì)</v>
      </c>
    </row>
    <row r="29" spans="1:16" hidden="1" x14ac:dyDescent="0.25">
      <c r="A29" t="s">
        <v>1801</v>
      </c>
      <c r="B29" t="str">
        <f>IF(COUNTIF(A:A,A29)&gt;1,_xlfn.CONCAT(A29," (",N29,")"),A29)</f>
        <v>Báimáo Zhèn</v>
      </c>
      <c r="C29" t="str">
        <f>IF(COUNTIF(B:B,B29)&gt;1,_xlfn.CONCAT(A29," (",M29,")"),B29)</f>
        <v>Báimáo Zhèn</v>
      </c>
      <c r="D29" t="s">
        <v>1802</v>
      </c>
      <c r="E29" t="s">
        <v>13</v>
      </c>
      <c r="F29" t="str">
        <f>_xlfn.CONCAT(D29,", ",H29,", ",I29,", ","山东省")</f>
        <v>白旄镇, 临沭县, 临沂市, 山东省</v>
      </c>
      <c r="G29">
        <v>38083</v>
      </c>
      <c r="H29" t="s">
        <v>3716</v>
      </c>
      <c r="I29" t="s">
        <v>3710</v>
      </c>
      <c r="J29">
        <f>VLOOKUP(F29,[1]!china_towns_second__2[[Column1]:[Y]],3,FALSE)</f>
        <v>35.015176050382102</v>
      </c>
      <c r="K29">
        <f>VLOOKUP(F29,[1]!china_towns_second__2[[Column1]:[Y]],2,FALSE)</f>
        <v>118.576859</v>
      </c>
      <c r="L29" t="s">
        <v>4868</v>
      </c>
      <c r="M29" t="str">
        <f>VLOOKUP(H29,CHOOSE({1,2},Table17[Native],Table17[Name]),2,0)</f>
        <v>Línshù Xiàn</v>
      </c>
      <c r="N29" s="15" t="str">
        <f>VLOOKUP(I29,CHOOSE({1,2},Table17[Native],Table17[Name]),2,0)</f>
        <v>Línyí Shì</v>
      </c>
      <c r="O29" s="15" t="str">
        <f t="shared" si="0"/>
        <v>Baimao Zhen (Línyí Shì)</v>
      </c>
      <c r="P29" s="15" t="str">
        <f t="shared" si="1"/>
        <v>Baimao Zhen (Línyí Shì)</v>
      </c>
    </row>
    <row r="30" spans="1:16" hidden="1" x14ac:dyDescent="0.25">
      <c r="A30" t="s">
        <v>906</v>
      </c>
      <c r="B30" t="str">
        <f>IF(COUNTIF(A:A,A30)&gt;1,_xlfn.CONCAT(A30," (",N30,")"),A30)</f>
        <v>Báimăshān Jiēdào</v>
      </c>
      <c r="C30" t="str">
        <f>IF(COUNTIF(B:B,B30)&gt;1,_xlfn.CONCAT(A30," (",M30,")"),B30)</f>
        <v>Báimăshān Jiēdào</v>
      </c>
      <c r="D30" t="s">
        <v>907</v>
      </c>
      <c r="E30" t="s">
        <v>7</v>
      </c>
      <c r="F30" t="str">
        <f>_xlfn.CONCAT(D30,", ",H30,", ",I30,", ","山东省")</f>
        <v>白马山街道, 市中区, 济南市, 山东省</v>
      </c>
      <c r="G30">
        <v>55977</v>
      </c>
      <c r="H30" t="s">
        <v>3683</v>
      </c>
      <c r="I30" t="s">
        <v>3673</v>
      </c>
      <c r="J30">
        <f>VLOOKUP(F30,[1]!china_towns_second__2[[Column1]:[Y]],3,FALSE)</f>
        <v>36.633397115714999</v>
      </c>
      <c r="K30">
        <f>VLOOKUP(F30,[1]!china_towns_second__2[[Column1]:[Y]],2,FALSE)</f>
        <v>116.9264982</v>
      </c>
      <c r="L30" t="s">
        <v>4869</v>
      </c>
      <c r="M30" t="str">
        <f>VLOOKUP(H30,CHOOSE({1,2},Table17[Native],Table17[Name]),2,0)</f>
        <v>Shìzhōng Qū</v>
      </c>
      <c r="N30" s="15" t="str">
        <f>VLOOKUP(I30,CHOOSE({1,2},Table17[Native],Table17[Name]),2,0)</f>
        <v>Jìnán Shì</v>
      </c>
      <c r="O30" s="15" t="str">
        <f t="shared" si="0"/>
        <v>Baimashan Jiedao (Jìnán Shì)</v>
      </c>
      <c r="P30" s="15" t="str">
        <f t="shared" si="1"/>
        <v>Baimashan Jiedao (Jìnán Shì)</v>
      </c>
    </row>
    <row r="31" spans="1:16" hidden="1" x14ac:dyDescent="0.25">
      <c r="A31" t="s">
        <v>909</v>
      </c>
      <c r="B31" t="str">
        <f>IF(COUNTIF(A:A,A31)&gt;1,_xlfn.CONCAT(A31," (",N31,")"),A31)</f>
        <v>Báiqiáo Zhèn</v>
      </c>
      <c r="C31" t="str">
        <f>IF(COUNTIF(B:B,B31)&gt;1,_xlfn.CONCAT(A31," (",M31,")"),B31)</f>
        <v>Báiqiáo Zhèn</v>
      </c>
      <c r="D31" t="s">
        <v>910</v>
      </c>
      <c r="E31" t="s">
        <v>13</v>
      </c>
      <c r="F31" t="str">
        <f>_xlfn.CONCAT(D31,", ",H31,", ",I31,", ","山东省")</f>
        <v>白桥镇, 商河县, 济南市, 山东省</v>
      </c>
      <c r="G31">
        <v>44996</v>
      </c>
      <c r="H31" t="s">
        <v>3682</v>
      </c>
      <c r="I31" t="s">
        <v>3673</v>
      </c>
      <c r="J31">
        <f>VLOOKUP(F31,[1]!china_towns_second__2[[Column1]:[Y]],3,FALSE)</f>
        <v>37.212839354229601</v>
      </c>
      <c r="K31">
        <f>VLOOKUP(F31,[1]!china_towns_second__2[[Column1]:[Y]],2,FALSE)</f>
        <v>117.2633369</v>
      </c>
      <c r="L31" t="s">
        <v>4870</v>
      </c>
      <c r="M31" t="str">
        <f>VLOOKUP(H31,CHOOSE({1,2},Table17[Native],Table17[Name]),2,0)</f>
        <v>Shānghé Xiàn</v>
      </c>
      <c r="N31" s="15" t="str">
        <f>VLOOKUP(I31,CHOOSE({1,2},Table17[Native],Table17[Name]),2,0)</f>
        <v>Jìnán Shì</v>
      </c>
      <c r="O31" s="15" t="str">
        <f t="shared" si="0"/>
        <v>Baiqiao Zhen (Jìnán Shì)</v>
      </c>
      <c r="P31" s="15" t="str">
        <f t="shared" si="1"/>
        <v>Baiqiao Zhen (Jìnán Shì)</v>
      </c>
    </row>
    <row r="32" spans="1:16" hidden="1" x14ac:dyDescent="0.25">
      <c r="A32" t="s">
        <v>1804</v>
      </c>
      <c r="B32" t="str">
        <f>IF(COUNTIF(A:A,A32)&gt;1,_xlfn.CONCAT(A32," (",N32,")"),A32)</f>
        <v>Báishābù Zhèn</v>
      </c>
      <c r="C32" t="str">
        <f>IF(COUNTIF(B:B,B32)&gt;1,_xlfn.CONCAT(A32," (",M32,")"),B32)</f>
        <v>Báishābù Zhèn</v>
      </c>
      <c r="D32" t="s">
        <v>1805</v>
      </c>
      <c r="E32" t="s">
        <v>13</v>
      </c>
      <c r="F32" t="str">
        <f>_xlfn.CONCAT(D32,", ",H32,", ",I32,", ","山东省")</f>
        <v>白沙埠镇, 兰山区, 临沂市, 山东省</v>
      </c>
      <c r="G32">
        <v>62380</v>
      </c>
      <c r="H32" t="s">
        <v>3715</v>
      </c>
      <c r="I32" t="s">
        <v>3710</v>
      </c>
      <c r="J32">
        <f>VLOOKUP(F32,[1]!china_towns_second__2[[Column1]:[Y]],3,FALSE)</f>
        <v>35.205260310296197</v>
      </c>
      <c r="K32">
        <f>VLOOKUP(F32,[1]!china_towns_second__2[[Column1]:[Y]],2,FALSE)</f>
        <v>118.4046441</v>
      </c>
      <c r="L32" t="s">
        <v>4871</v>
      </c>
      <c r="M32" t="str">
        <f>VLOOKUP(H32,CHOOSE({1,2},Table17[Native],Table17[Name]),2,0)</f>
        <v>Lánshān Qū</v>
      </c>
      <c r="N32" s="15" t="str">
        <f>VLOOKUP(I32,CHOOSE({1,2},Table17[Native],Table17[Name]),2,0)</f>
        <v>Línyí Shì</v>
      </c>
      <c r="O32" s="15" t="str">
        <f t="shared" si="0"/>
        <v>Baishabu Zhen (Línyí Shì)</v>
      </c>
      <c r="P32" s="15" t="str">
        <f t="shared" si="1"/>
        <v>Baishabu Zhen (Línyí Shì)</v>
      </c>
    </row>
    <row r="33" spans="1:16" hidden="1" x14ac:dyDescent="0.25">
      <c r="A33" t="s">
        <v>2112</v>
      </c>
      <c r="B33" t="str">
        <f>IF(COUNTIF(A:A,A33)&gt;1,_xlfn.CONCAT(A33," (",N33,")"),A33)</f>
        <v>Báishāhé Jiēdào [incl. Málán Zhèn, Zhānggēzhuāng Zhèn]</v>
      </c>
      <c r="C33" t="str">
        <f>IF(COUNTIF(B:B,B33)&gt;1,_xlfn.CONCAT(A33," (",M33,")"),B33)</f>
        <v>Báishāhé Jiēdào [incl. Málán Zhèn, Zhānggēzhuāng Zhèn]</v>
      </c>
      <c r="D33" t="s">
        <v>2113</v>
      </c>
      <c r="E33" t="s">
        <v>7</v>
      </c>
      <c r="F33" t="str">
        <f>_xlfn.CONCAT(D33,", ",H33,", ",I33,", ","山东省")</f>
        <v>白沙河街道, 平度市, 青岛市, 山东省</v>
      </c>
      <c r="G33">
        <v>85922</v>
      </c>
      <c r="H33" t="s">
        <v>3732</v>
      </c>
      <c r="I33" t="s">
        <v>3724</v>
      </c>
      <c r="J33">
        <f>VLOOKUP(F33,[1]!china_towns_second__2[[Column1]:[Y]],3,FALSE)</f>
        <v>36.710806207457502</v>
      </c>
      <c r="K33">
        <f>VLOOKUP(F33,[1]!china_towns_second__2[[Column1]:[Y]],2,FALSE)</f>
        <v>120.0690738</v>
      </c>
      <c r="L33" t="s">
        <v>4872</v>
      </c>
      <c r="M33" t="str">
        <f>VLOOKUP(H33,CHOOSE({1,2},Table17[Native],Table17[Name]),2,0)</f>
        <v>Píngdù Shì</v>
      </c>
      <c r="N33" s="15" t="str">
        <f>VLOOKUP(I33,CHOOSE({1,2},Table17[Native],Table17[Name]),2,0)</f>
        <v>Qīngdăo Shì</v>
      </c>
      <c r="O33" s="15" t="str">
        <f t="shared" si="0"/>
        <v>Baishahe Jiedao [incl. Malan Zhen, Zhanggezhuang Zhen] (Qīngdăo Shì)</v>
      </c>
      <c r="P33" s="15" t="str">
        <f t="shared" si="1"/>
        <v>Baishahe Jiedao [incl. Malan Zhen, Zhanggezhuang Zhen] (Qīngdăo Shì)</v>
      </c>
    </row>
    <row r="34" spans="1:16" hidden="1" x14ac:dyDescent="0.25">
      <c r="A34" t="s">
        <v>2894</v>
      </c>
      <c r="B34" t="str">
        <f>IF(COUNTIF(A:A,A34)&gt;1,_xlfn.CONCAT(A34," (",N34,")"),A34)</f>
        <v>Báishātān Zhèn</v>
      </c>
      <c r="C34" t="str">
        <f>IF(COUNTIF(B:B,B34)&gt;1,_xlfn.CONCAT(A34," (",M34,")"),B34)</f>
        <v>Báishātān Zhèn</v>
      </c>
      <c r="D34" t="s">
        <v>2895</v>
      </c>
      <c r="E34" t="s">
        <v>13</v>
      </c>
      <c r="F34" t="str">
        <f>_xlfn.CONCAT(D34,", ",H34,", ",I34,", ","山东省")</f>
        <v>白沙滩镇, 乳山市, 威海市, 山东省</v>
      </c>
      <c r="G34">
        <v>46865</v>
      </c>
      <c r="H34" t="s">
        <v>3768</v>
      </c>
      <c r="I34" t="s">
        <v>3765</v>
      </c>
      <c r="J34">
        <f>VLOOKUP(F34,[1]!china_towns_second__2[[Column1]:[Y]],3,FALSE)</f>
        <v>36.859503977796798</v>
      </c>
      <c r="K34">
        <f>VLOOKUP(F34,[1]!china_towns_second__2[[Column1]:[Y]],2,FALSE)</f>
        <v>121.6676092</v>
      </c>
      <c r="L34" t="s">
        <v>4873</v>
      </c>
      <c r="M34" t="str">
        <f>VLOOKUP(H34,CHOOSE({1,2},Table17[Native],Table17[Name]),2,0)</f>
        <v>Rŭshān Shì</v>
      </c>
      <c r="N34" s="15" t="str">
        <f>VLOOKUP(I34,CHOOSE({1,2},Table17[Native],Table17[Name]),2,0)</f>
        <v>Wēihăi Shì</v>
      </c>
      <c r="O34" s="15" t="str">
        <f t="shared" si="0"/>
        <v>Baishatan Zhen (Wēihăi Shì)</v>
      </c>
      <c r="P34" s="15" t="str">
        <f t="shared" si="1"/>
        <v>Baishatan Zhen (Wēihăi Shì)</v>
      </c>
    </row>
    <row r="35" spans="1:16" hidden="1" x14ac:dyDescent="0.25">
      <c r="A35" t="s">
        <v>3039</v>
      </c>
      <c r="B35" t="str">
        <f>IF(COUNTIF(A:A,A35)&gt;1,_xlfn.CONCAT(A35," (",N35,")"),A35)</f>
        <v>Báishí Jiēdào</v>
      </c>
      <c r="C35" t="str">
        <f>IF(COUNTIF(B:B,B35)&gt;1,_xlfn.CONCAT(A35," (",M35,")"),B35)</f>
        <v>Báishí Jiēdào</v>
      </c>
      <c r="D35" t="s">
        <v>3040</v>
      </c>
      <c r="E35" t="s">
        <v>7</v>
      </c>
      <c r="F35" t="str">
        <f>_xlfn.CONCAT(D35,", ",H35,", ",I35,", ","山东省")</f>
        <v>白石街道, 芝罘区, 烟台市, 山东省</v>
      </c>
      <c r="G35">
        <v>54824</v>
      </c>
      <c r="H35" t="s">
        <v>3782</v>
      </c>
      <c r="I35" t="s">
        <v>3771</v>
      </c>
      <c r="J35">
        <f>VLOOKUP(F35,[1]!china_towns_second__2[[Column1]:[Y]],3,FALSE)</f>
        <v>37.536147982734498</v>
      </c>
      <c r="K35">
        <f>VLOOKUP(F35,[1]!china_towns_second__2[[Column1]:[Y]],2,FALSE)</f>
        <v>121.35970949999999</v>
      </c>
      <c r="L35" t="s">
        <v>4874</v>
      </c>
      <c r="M35" t="str">
        <f>VLOOKUP(H35,CHOOSE({1,2},Table17[Native],Table17[Name]),2,0)</f>
        <v>Zhīfú Qū</v>
      </c>
      <c r="N35" s="15" t="str">
        <f>VLOOKUP(I35,CHOOSE({1,2},Table17[Native],Table17[Name]),2,0)</f>
        <v>Yāntái Shì</v>
      </c>
      <c r="O35" s="15" t="str">
        <f t="shared" si="0"/>
        <v>Baishi Jiedao (Yāntái Shì)</v>
      </c>
      <c r="P35" s="15" t="str">
        <f t="shared" si="1"/>
        <v>Baishi Jiedao (Yāntái Shì)</v>
      </c>
    </row>
    <row r="36" spans="1:16" hidden="1" x14ac:dyDescent="0.25">
      <c r="A36" t="s">
        <v>1231</v>
      </c>
      <c r="B36" t="str">
        <f>IF(COUNTIF(A:A,A36)&gt;1,_xlfn.CONCAT(A36," (",N36,")"),A36)</f>
        <v>Báishí Zhèn</v>
      </c>
      <c r="C36" t="str">
        <f>IF(COUNTIF(B:B,B36)&gt;1,_xlfn.CONCAT(A36," (",M36,")"),B36)</f>
        <v>Báishí Zhèn</v>
      </c>
      <c r="D36" t="s">
        <v>1232</v>
      </c>
      <c r="E36" t="s">
        <v>13</v>
      </c>
      <c r="F36" t="str">
        <f>_xlfn.CONCAT(D36,", ",H36,", ",I36,", ","山东省")</f>
        <v>白石镇, 汶上县, 济宁市, 山东省</v>
      </c>
      <c r="G36">
        <v>33688</v>
      </c>
      <c r="H36" t="s">
        <v>3695</v>
      </c>
      <c r="I36" t="s">
        <v>3687</v>
      </c>
      <c r="J36">
        <f>VLOOKUP(F36,[1]!china_towns_second__2[[Column1]:[Y]],3,FALSE)</f>
        <v>35.798923991958297</v>
      </c>
      <c r="K36">
        <f>VLOOKUP(F36,[1]!china_towns_second__2[[Column1]:[Y]],2,FALSE)</f>
        <v>116.62104720000001</v>
      </c>
      <c r="L36" t="s">
        <v>4875</v>
      </c>
      <c r="M36" t="str">
        <f>VLOOKUP(H36,CHOOSE({1,2},Table17[Native],Table17[Name]),2,0)</f>
        <v>Wènshàng Xiàn</v>
      </c>
      <c r="N36" s="15" t="str">
        <f>VLOOKUP(I36,CHOOSE({1,2},Table17[Native],Table17[Name]),2,0)</f>
        <v>Jìníng Shì</v>
      </c>
      <c r="O36" s="15" t="str">
        <f t="shared" si="0"/>
        <v>Baishi Zhen (Jìníng Shì)</v>
      </c>
      <c r="P36" s="15" t="str">
        <f t="shared" si="1"/>
        <v>Baishi Zhen (Jìníng Shì)</v>
      </c>
    </row>
    <row r="37" spans="1:16" hidden="1" x14ac:dyDescent="0.25">
      <c r="A37" t="s">
        <v>3463</v>
      </c>
      <c r="B37" t="str">
        <f>IF(COUNTIF(A:A,A37)&gt;1,_xlfn.CONCAT(A37," (",N37,")"),A37)</f>
        <v>Báită Zhèn</v>
      </c>
      <c r="C37" t="str">
        <f>IF(COUNTIF(B:B,B37)&gt;1,_xlfn.CONCAT(A37," (",M37,")"),B37)</f>
        <v>Báită Zhèn</v>
      </c>
      <c r="D37" t="s">
        <v>3464</v>
      </c>
      <c r="E37" t="s">
        <v>13</v>
      </c>
      <c r="F37" t="str">
        <f>_xlfn.CONCAT(D37,", ",H37,", ",I37,", ","山东省")</f>
        <v>白塔镇, 博山区, 淄博市, 山东省</v>
      </c>
      <c r="G37">
        <v>36761</v>
      </c>
      <c r="H37" t="s">
        <v>3792</v>
      </c>
      <c r="I37" t="s">
        <v>3791</v>
      </c>
      <c r="J37">
        <f>VLOOKUP(F37,[1]!china_towns_second__2[[Column1]:[Y]],3,FALSE)</f>
        <v>36.543390633441803</v>
      </c>
      <c r="K37">
        <f>VLOOKUP(F37,[1]!china_towns_second__2[[Column1]:[Y]],2,FALSE)</f>
        <v>117.8953374</v>
      </c>
      <c r="L37" t="s">
        <v>4876</v>
      </c>
      <c r="M37" t="str">
        <f>VLOOKUP(H37,CHOOSE({1,2},Table17[Native],Table17[Name]),2,0)</f>
        <v>Bóshān Qū</v>
      </c>
      <c r="N37" s="15" t="str">
        <f>VLOOKUP(I37,CHOOSE({1,2},Table17[Native],Table17[Name]),2,0)</f>
        <v>Zībó Shì</v>
      </c>
      <c r="O37" s="15" t="str">
        <f t="shared" si="0"/>
        <v>Baita Zhen (Zībó Shì)</v>
      </c>
      <c r="P37" s="15" t="str">
        <f t="shared" si="1"/>
        <v>Baita Zhen (Zībó Shì)</v>
      </c>
    </row>
    <row r="38" spans="1:16" hidden="1" x14ac:dyDescent="0.25">
      <c r="A38" t="s">
        <v>1807</v>
      </c>
      <c r="B38" t="str">
        <f>IF(COUNTIF(A:A,A38)&gt;1,_xlfn.CONCAT(A38," (",N38,")"),A38)</f>
        <v>Báiyàn Zhèn</v>
      </c>
      <c r="C38" t="str">
        <f>IF(COUNTIF(B:B,B38)&gt;1,_xlfn.CONCAT(A38," (",M38,")"),B38)</f>
        <v>Báiyàn Zhèn</v>
      </c>
      <c r="D38" t="s">
        <v>1808</v>
      </c>
      <c r="E38" t="s">
        <v>13</v>
      </c>
      <c r="F38" t="str">
        <f>_xlfn.CONCAT(D38,", ",H38,", ",I38,", ","山东省")</f>
        <v>白彦镇, 平邑县, 临沂市, 山东省</v>
      </c>
      <c r="G38">
        <v>69130</v>
      </c>
      <c r="H38" t="s">
        <v>3719</v>
      </c>
      <c r="I38" t="s">
        <v>3710</v>
      </c>
      <c r="J38">
        <f>VLOOKUP(F38,[1]!china_towns_second__2[[Column1]:[Y]],3,FALSE)</f>
        <v>35.255714315335702</v>
      </c>
      <c r="K38">
        <f>VLOOKUP(F38,[1]!china_towns_second__2[[Column1]:[Y]],2,FALSE)</f>
        <v>117.5324057</v>
      </c>
      <c r="L38" t="s">
        <v>4877</v>
      </c>
      <c r="M38" t="str">
        <f>VLOOKUP(H38,CHOOSE({1,2},Table17[Native],Table17[Name]),2,0)</f>
        <v>Píngyì Xiàn</v>
      </c>
      <c r="N38" s="15" t="str">
        <f>VLOOKUP(I38,CHOOSE({1,2},Table17[Native],Table17[Name]),2,0)</f>
        <v>Línyí Shì</v>
      </c>
      <c r="O38" s="15" t="str">
        <f t="shared" si="0"/>
        <v>Baiyan Zhen (Línyí Shì)</v>
      </c>
      <c r="P38" s="15" t="str">
        <f t="shared" si="1"/>
        <v>Baiyan Zhen (Línyí Shì)</v>
      </c>
    </row>
    <row r="39" spans="1:16" hidden="1" x14ac:dyDescent="0.25">
      <c r="A39" t="s">
        <v>912</v>
      </c>
      <c r="B39" t="str">
        <f>IF(COUNTIF(A:A,A39)&gt;1,_xlfn.CONCAT(A39," (",N39,")"),A39)</f>
        <v>Báiyúnhú Jiēdào</v>
      </c>
      <c r="C39" t="str">
        <f>IF(COUNTIF(B:B,B39)&gt;1,_xlfn.CONCAT(A39," (",M39,")"),B39)</f>
        <v>Báiyúnhú Jiēdào</v>
      </c>
      <c r="D39" t="s">
        <v>913</v>
      </c>
      <c r="E39" t="s">
        <v>7</v>
      </c>
      <c r="F39" t="str">
        <f>_xlfn.CONCAT(D39,", ",H39,", ",I39,", ","山东省")</f>
        <v>白云湖街道, 章丘区, 济南市, 山东省</v>
      </c>
      <c r="G39">
        <v>33315</v>
      </c>
      <c r="H39" t="s">
        <v>3685</v>
      </c>
      <c r="I39" t="s">
        <v>3673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4878</v>
      </c>
      <c r="M39" t="str">
        <f>VLOOKUP(H39,CHOOSE({1,2},Table17[Native],Table17[Name]),2,0)</f>
        <v>Zhāngqiū Qū</v>
      </c>
      <c r="N39" s="15" t="str">
        <f>VLOOKUP(I39,CHOOSE({1,2},Table17[Native],Table17[Name]),2,0)</f>
        <v>Jìnán Shì</v>
      </c>
      <c r="O39" s="15" t="str">
        <f t="shared" si="0"/>
        <v>Baiyunhu Jiedao (Jìnán Shì)</v>
      </c>
      <c r="P39" s="15" t="str">
        <f t="shared" si="1"/>
        <v>Baiyunhu Jiedao (Jìnán Shì)</v>
      </c>
    </row>
    <row r="40" spans="1:16" hidden="1" x14ac:dyDescent="0.25">
      <c r="A40" t="s">
        <v>3042</v>
      </c>
      <c r="B40" t="str">
        <f>IF(COUNTIF(A:A,A40)&gt;1,_xlfn.CONCAT(A40," (",N40,")"),A40)</f>
        <v>Bājiăo Jiēdào</v>
      </c>
      <c r="C40" t="str">
        <f>IF(COUNTIF(B:B,B40)&gt;1,_xlfn.CONCAT(A40," (",M40,")"),B40)</f>
        <v>Bājiăo Jiēdào</v>
      </c>
      <c r="D40" t="s">
        <v>3043</v>
      </c>
      <c r="E40" t="s">
        <v>7</v>
      </c>
      <c r="F40" t="str">
        <f>_xlfn.CONCAT(D40,", ",H40,", ",I40,", ","山东省")</f>
        <v>八角街道, 福山区, 烟台市, 山东省</v>
      </c>
      <c r="G40">
        <v>24001</v>
      </c>
      <c r="H40" t="s">
        <v>3772</v>
      </c>
      <c r="I40" t="s">
        <v>3771</v>
      </c>
      <c r="J40">
        <f>VLOOKUP(F40,[1]!china_towns_second__2[[Column1]:[Y]],3,FALSE)</f>
        <v>37.624327505557602</v>
      </c>
      <c r="K40">
        <f>VLOOKUP(F40,[1]!china_towns_second__2[[Column1]:[Y]],2,FALSE)</f>
        <v>121.1225312</v>
      </c>
      <c r="L40" t="s">
        <v>4879</v>
      </c>
      <c r="M40" t="str">
        <f>VLOOKUP(H40,CHOOSE({1,2},Table17[Native],Table17[Name]),2,0)</f>
        <v>Fúshān Qū</v>
      </c>
      <c r="N40" s="15" t="str">
        <f>VLOOKUP(I40,CHOOSE({1,2},Table17[Native],Table17[Name]),2,0)</f>
        <v>Yāntái Shì</v>
      </c>
      <c r="O40" s="15" t="str">
        <f t="shared" si="0"/>
        <v>Bajiao Jiedao (Yāntái Shì)</v>
      </c>
      <c r="P40" s="15" t="str">
        <f t="shared" si="1"/>
        <v>Bajiao Jiedao (Yāntái Shì)</v>
      </c>
    </row>
    <row r="41" spans="1:16" hidden="1" x14ac:dyDescent="0.25">
      <c r="A41" t="s">
        <v>1809</v>
      </c>
      <c r="B41" t="str">
        <f>IF(COUNTIF(A:A,A41)&gt;1,_xlfn.CONCAT(A41," (",N41,")"),A41)</f>
        <v>Bànchéng Zhèn</v>
      </c>
      <c r="C41" t="str">
        <f>IF(COUNTIF(B:B,B41)&gt;1,_xlfn.CONCAT(A41," (",M41,")"),B41)</f>
        <v>Bànchéng Zhèn</v>
      </c>
      <c r="D41" t="s">
        <v>1810</v>
      </c>
      <c r="E41" t="s">
        <v>13</v>
      </c>
      <c r="F41" t="str">
        <f>_xlfn.CONCAT(D41,", ",H41,", ",I41,", ","山东省")</f>
        <v>半程镇, 兰山区, 临沂市, 山东省</v>
      </c>
      <c r="G41">
        <v>66286</v>
      </c>
      <c r="H41" t="s">
        <v>3715</v>
      </c>
      <c r="I41" t="s">
        <v>3710</v>
      </c>
      <c r="J41">
        <f>VLOOKUP(F41,[1]!china_towns_second__2[[Column1]:[Y]],3,FALSE)</f>
        <v>35.259493832883798</v>
      </c>
      <c r="K41">
        <f>VLOOKUP(F41,[1]!china_towns_second__2[[Column1]:[Y]],2,FALSE)</f>
        <v>118.3320192</v>
      </c>
      <c r="L41" t="s">
        <v>4880</v>
      </c>
      <c r="M41" t="str">
        <f>VLOOKUP(H41,CHOOSE({1,2},Table17[Native],Table17[Name]),2,0)</f>
        <v>Lánshān Qū</v>
      </c>
      <c r="N41" s="15" t="str">
        <f>VLOOKUP(I41,CHOOSE({1,2},Table17[Native],Table17[Name]),2,0)</f>
        <v>Línyí Shì</v>
      </c>
      <c r="O41" s="15" t="str">
        <f t="shared" si="0"/>
        <v>Bancheng Zhen (Línyí Shì)</v>
      </c>
      <c r="P41" s="15" t="str">
        <f t="shared" si="1"/>
        <v>Bancheng Zhen (Línyí Shì)</v>
      </c>
    </row>
    <row r="42" spans="1:16" hidden="1" x14ac:dyDescent="0.25">
      <c r="A42" t="s">
        <v>579</v>
      </c>
      <c r="B42" t="str">
        <f>IF(COUNTIF(A:A,A42)&gt;1,_xlfn.CONCAT(A42," (",N42,")"),A42)</f>
        <v>Bàndī Zhèn</v>
      </c>
      <c r="C42" t="str">
        <f>IF(COUNTIF(B:B,B42)&gt;1,_xlfn.CONCAT(A42," (",M42,")"),B42)</f>
        <v>Bàndī Zhèn</v>
      </c>
      <c r="D42" t="s">
        <v>580</v>
      </c>
      <c r="E42" t="s">
        <v>13</v>
      </c>
      <c r="F42" t="str">
        <f>_xlfn.CONCAT(D42,", ",H42,", ",I42,", ","山东省")</f>
        <v>半堤镇, 定陶区, 菏泽市, 山东省</v>
      </c>
      <c r="G42">
        <v>34373</v>
      </c>
      <c r="H42" t="s">
        <v>3665</v>
      </c>
      <c r="I42" t="s">
        <v>3662</v>
      </c>
      <c r="J42">
        <f>VLOOKUP(F42,[1]!china_towns_second__2[[Column1]:[Y]],3,FALSE)</f>
        <v>35.195158130289201</v>
      </c>
      <c r="K42">
        <f>VLOOKUP(F42,[1]!china_towns_second__2[[Column1]:[Y]],2,FALSE)</f>
        <v>115.7004203</v>
      </c>
      <c r="L42" t="s">
        <v>4881</v>
      </c>
      <c r="M42" t="str">
        <f>VLOOKUP(H42,CHOOSE({1,2},Table17[Native],Table17[Name]),2,0)</f>
        <v>Dìngtáo Qū</v>
      </c>
      <c r="N42" s="15" t="str">
        <f>VLOOKUP(I42,CHOOSE({1,2},Table17[Native],Table17[Name]),2,0)</f>
        <v>Hézé Shì</v>
      </c>
      <c r="O42" s="15" t="str">
        <f t="shared" si="0"/>
        <v>Bandi Zhen (Hézé Shì)</v>
      </c>
      <c r="P42" s="15" t="str">
        <f t="shared" si="1"/>
        <v>Bandi Zhen (Hézé Shì)</v>
      </c>
    </row>
    <row r="43" spans="1:16" hidden="1" x14ac:dyDescent="0.25">
      <c r="A43" t="s">
        <v>2500</v>
      </c>
      <c r="B43" t="str">
        <f>IF(COUNTIF(A:A,A43)&gt;1,_xlfn.CONCAT(A43," (",N43,")"),A43)</f>
        <v>Bānjiūdiàn Zhèn</v>
      </c>
      <c r="C43" t="str">
        <f>IF(COUNTIF(B:B,B43)&gt;1,_xlfn.CONCAT(A43," (",M43,")"),B43)</f>
        <v>Bānjiūdiàn Zhèn</v>
      </c>
      <c r="D43" t="s">
        <v>2501</v>
      </c>
      <c r="E43" t="s">
        <v>13</v>
      </c>
      <c r="F43" t="str">
        <f>_xlfn.CONCAT(D43,", ",H43,", ",I43,", ","山东省")</f>
        <v>斑鸠店镇, 东平县, 泰安市, 山东省</v>
      </c>
      <c r="G43">
        <v>44229</v>
      </c>
      <c r="H43" t="s">
        <v>3745</v>
      </c>
      <c r="I43" t="s">
        <v>3743</v>
      </c>
      <c r="J43">
        <f>VLOOKUP(F43,[1]!china_towns_second__2[[Column1]:[Y]],3,FALSE)</f>
        <v>36.112700685637598</v>
      </c>
      <c r="K43">
        <f>VLOOKUP(F43,[1]!china_towns_second__2[[Column1]:[Y]],2,FALSE)</f>
        <v>116.16410019999999</v>
      </c>
      <c r="L43" t="s">
        <v>4882</v>
      </c>
      <c r="M43" t="str">
        <f>VLOOKUP(H43,CHOOSE({1,2},Table17[Native],Table17[Name]),2,0)</f>
        <v>Dōngpíng Xiàn</v>
      </c>
      <c r="N43" s="15" t="str">
        <f>VLOOKUP(I43,CHOOSE({1,2},Table17[Native],Table17[Name]),2,0)</f>
        <v>Tài'ān Shì</v>
      </c>
      <c r="O43" s="15" t="str">
        <f t="shared" si="0"/>
        <v>Banjiudian Zhen (Tài'ān Shì)</v>
      </c>
      <c r="P43" s="15" t="str">
        <f t="shared" si="1"/>
        <v>Banjiudian Zhen (Tài'ān Shì)</v>
      </c>
    </row>
    <row r="44" spans="1:16" hidden="1" x14ac:dyDescent="0.25">
      <c r="A44" t="s">
        <v>1811</v>
      </c>
      <c r="B44" t="str">
        <f>IF(COUNTIF(A:A,A44)&gt;1,_xlfn.CONCAT(A44," (",N44,")"),A44)</f>
        <v>Bănquán Zhèn</v>
      </c>
      <c r="C44" t="str">
        <f>IF(COUNTIF(B:B,B44)&gt;1,_xlfn.CONCAT(A44," (",M44,")"),B44)</f>
        <v>Bănquán Zhèn</v>
      </c>
      <c r="D44" t="s">
        <v>1812</v>
      </c>
      <c r="E44" t="s">
        <v>13</v>
      </c>
      <c r="F44" t="str">
        <f>_xlfn.CONCAT(D44,", ",H44,", ",I44,", ","山东省")</f>
        <v>板泉镇, 莒南县, 临沂市, 山东省</v>
      </c>
      <c r="G44">
        <v>68308</v>
      </c>
      <c r="H44" t="s">
        <v>3713</v>
      </c>
      <c r="I44" t="s">
        <v>3710</v>
      </c>
      <c r="J44">
        <f>VLOOKUP(F44,[1]!china_towns_second__2[[Column1]:[Y]],3,FALSE)</f>
        <v>35.130345659599499</v>
      </c>
      <c r="K44">
        <f>VLOOKUP(F44,[1]!china_towns_second__2[[Column1]:[Y]],2,FALSE)</f>
        <v>118.67953489999999</v>
      </c>
      <c r="L44" t="s">
        <v>4883</v>
      </c>
      <c r="M44" t="str">
        <f>VLOOKUP(H44,CHOOSE({1,2},Table17[Native],Table17[Name]),2,0)</f>
        <v>Jŭnán Xiàn</v>
      </c>
      <c r="N44" s="15" t="str">
        <f>VLOOKUP(I44,CHOOSE({1,2},Table17[Native],Table17[Name]),2,0)</f>
        <v>Línyí Shì</v>
      </c>
      <c r="O44" s="15" t="str">
        <f t="shared" si="0"/>
        <v>Banquan Zhen (Línyí Shì)</v>
      </c>
      <c r="P44" s="15" t="str">
        <f t="shared" si="1"/>
        <v>Banquan Zhen (Línyí Shì)</v>
      </c>
    </row>
    <row r="45" spans="1:16" hidden="1" x14ac:dyDescent="0.25">
      <c r="A45" t="s">
        <v>3465</v>
      </c>
      <c r="B45" t="str">
        <f>IF(COUNTIF(A:A,A45)&gt;1,_xlfn.CONCAT(A45," (",N45,")"),A45)</f>
        <v>Bānyánglù Jiēdào</v>
      </c>
      <c r="C45" t="str">
        <f>IF(COUNTIF(B:B,B45)&gt;1,_xlfn.CONCAT(A45," (",M45,")"),B45)</f>
        <v>Bānyánglù Jiēdào</v>
      </c>
      <c r="D45" t="s">
        <v>3466</v>
      </c>
      <c r="E45" t="s">
        <v>7</v>
      </c>
      <c r="F45" t="str">
        <f>_xlfn.CONCAT(D45,", ",H45,", ",I45,", ","山东省")</f>
        <v>般阳路街道, 淄川区, 淄博市, 山东省</v>
      </c>
      <c r="G45">
        <v>60348</v>
      </c>
      <c r="H45" t="s">
        <v>3799</v>
      </c>
      <c r="I45" t="s">
        <v>3791</v>
      </c>
      <c r="J45">
        <f>VLOOKUP(F45,[1]!china_towns_second__2[[Column1]:[Y]],3,FALSE)</f>
        <v>36.639193366504998</v>
      </c>
      <c r="K45">
        <f>VLOOKUP(F45,[1]!china_towns_second__2[[Column1]:[Y]],2,FALSE)</f>
        <v>117.96763300000001</v>
      </c>
      <c r="L45" t="s">
        <v>4884</v>
      </c>
      <c r="M45" t="str">
        <f>VLOOKUP(H45,CHOOSE({1,2},Table17[Native],Table17[Name]),2,0)</f>
        <v>Zīchuān Qū</v>
      </c>
      <c r="N45" s="15" t="str">
        <f>VLOOKUP(I45,CHOOSE({1,2},Table17[Native],Table17[Name]),2,0)</f>
        <v>Zībó Shì</v>
      </c>
      <c r="O45" s="15" t="str">
        <f t="shared" si="0"/>
        <v>Banyanglu Jiedao (Zībó Shì)</v>
      </c>
      <c r="P45" s="15" t="str">
        <f t="shared" si="1"/>
        <v>Banyanglu Jiedao (Zībó Shì)</v>
      </c>
    </row>
    <row r="46" spans="1:16" hidden="1" x14ac:dyDescent="0.25">
      <c r="A46" t="s">
        <v>2675</v>
      </c>
      <c r="B46" t="str">
        <f>IF(COUNTIF(A:A,A46)&gt;1,_xlfn.CONCAT(A46," (",N46,")"),A46)</f>
        <v>Băochéng Jiēdào</v>
      </c>
      <c r="C46" t="str">
        <f>IF(COUNTIF(B:B,B46)&gt;1,_xlfn.CONCAT(A46," (",M46,")"),B46)</f>
        <v>Băochéng Jiēdào</v>
      </c>
      <c r="D46" t="s">
        <v>2676</v>
      </c>
      <c r="E46" t="s">
        <v>7</v>
      </c>
      <c r="F46" t="str">
        <f>_xlfn.CONCAT(D46,", ",H46,", ",I46,", ","山东省")</f>
        <v>宝城街道, 昌乐县, 潍坊市, 山东省</v>
      </c>
      <c r="G46">
        <v>63474</v>
      </c>
      <c r="H46" t="s">
        <v>3753</v>
      </c>
      <c r="I46" t="s">
        <v>3751</v>
      </c>
      <c r="J46">
        <f>VLOOKUP(F46,[1]!china_towns_second__2[[Column1]:[Y]],3,FALSE)</f>
        <v>36.7115968337976</v>
      </c>
      <c r="K46">
        <f>VLOOKUP(F46,[1]!china_towns_second__2[[Column1]:[Y]],2,FALSE)</f>
        <v>118.76951769999999</v>
      </c>
      <c r="L46" t="s">
        <v>4885</v>
      </c>
      <c r="M46" t="str">
        <f>VLOOKUP(H46,CHOOSE({1,2},Table17[Native],Table17[Name]),2,0)</f>
        <v>Chānglè Xiàn</v>
      </c>
      <c r="N46" s="15" t="str">
        <f>VLOOKUP(I46,CHOOSE({1,2},Table17[Native],Table17[Name]),2,0)</f>
        <v>Wéifāng Shì</v>
      </c>
      <c r="O46" s="15" t="str">
        <f t="shared" si="0"/>
        <v>Baocheng Jiedao (Wéifāng Shì)</v>
      </c>
      <c r="P46" s="15" t="str">
        <f t="shared" si="1"/>
        <v>Baocheng Jiedao (Wéifāng Shì)</v>
      </c>
    </row>
    <row r="47" spans="1:16" hidden="1" x14ac:dyDescent="0.25">
      <c r="A47" t="s">
        <v>211</v>
      </c>
      <c r="B47" t="str">
        <f>IF(COUNTIF(A:A,A47)&gt;1,_xlfn.CONCAT(A47," (",N47,")"),A47)</f>
        <v>Băodiàn Zhèn</v>
      </c>
      <c r="C47" t="str">
        <f>IF(COUNTIF(B:B,B47)&gt;1,_xlfn.CONCAT(A47," (",M47,")"),B47)</f>
        <v>Băodiàn Zhèn</v>
      </c>
      <c r="D47" t="s">
        <v>212</v>
      </c>
      <c r="E47" t="s">
        <v>13</v>
      </c>
      <c r="F47" t="str">
        <f>_xlfn.CONCAT(D47,", ",H47,", ",I47,", ","山东省")</f>
        <v>保店镇, 宁津县, 德州市, 山东省</v>
      </c>
      <c r="G47">
        <v>34470</v>
      </c>
      <c r="H47" t="s">
        <v>3647</v>
      </c>
      <c r="I47" t="s">
        <v>3642</v>
      </c>
      <c r="J47">
        <f>VLOOKUP(F47,[1]!china_towns_second__2[[Column1]:[Y]],3,FALSE)</f>
        <v>37.620192225287497</v>
      </c>
      <c r="K47">
        <f>VLOOKUP(F47,[1]!china_towns_second__2[[Column1]:[Y]],2,FALSE)</f>
        <v>116.6868262</v>
      </c>
      <c r="L47" t="s">
        <v>4886</v>
      </c>
      <c r="M47" t="str">
        <f>VLOOKUP(H47,CHOOSE({1,2},Table17[Native],Table17[Name]),2,0)</f>
        <v>Níngjīn Xiàn</v>
      </c>
      <c r="N47" s="15" t="str">
        <f>VLOOKUP(I47,CHOOSE({1,2},Table17[Native],Table17[Name]),2,0)</f>
        <v>Dézhōu Shì</v>
      </c>
      <c r="O47" s="15" t="str">
        <f t="shared" si="0"/>
        <v>Baodian Zhen (Dézhōu Shì)</v>
      </c>
      <c r="P47" s="15" t="str">
        <f t="shared" si="1"/>
        <v>Baodian Zhen (Dézhōu Shì)</v>
      </c>
    </row>
    <row r="48" spans="1:16" hidden="1" x14ac:dyDescent="0.25">
      <c r="A48" t="s">
        <v>2678</v>
      </c>
      <c r="B48" t="str">
        <f>IF(COUNTIF(A:A,A48)&gt;1,_xlfn.CONCAT(A48," (",N48,")"),A48)</f>
        <v>Bǎodōu Jiēdào [Chéngguān Jiēdào]</v>
      </c>
      <c r="C48" t="str">
        <f>IF(COUNTIF(B:B,B48)&gt;1,_xlfn.CONCAT(A48," (",M48,")"),B48)</f>
        <v>Bǎodōu Jiēdào [Chéngguān Jiēdào]</v>
      </c>
      <c r="D48" t="s">
        <v>2679</v>
      </c>
      <c r="E48" t="s">
        <v>7</v>
      </c>
      <c r="F48" t="str">
        <f>_xlfn.CONCAT(D48,", ",H48,", ",I48,", ","山东省")</f>
        <v>宝都街道, 昌乐县, 潍坊市, 山东省</v>
      </c>
      <c r="G48">
        <v>105924</v>
      </c>
      <c r="H48" t="s">
        <v>3753</v>
      </c>
      <c r="I48" t="s">
        <v>3751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4887</v>
      </c>
      <c r="M48" t="str">
        <f>VLOOKUP(H48,CHOOSE({1,2},Table17[Native],Table17[Name]),2,0)</f>
        <v>Chānglè Xiàn</v>
      </c>
      <c r="N48" s="15" t="str">
        <f>VLOOKUP(I48,CHOOSE({1,2},Table17[Native],Table17[Name]),2,0)</f>
        <v>Wéifāng Shì</v>
      </c>
      <c r="O48" s="15" t="str">
        <f t="shared" si="0"/>
        <v>Baodou Jiedao [Chengguan Jiedao] (Wéifāng Shì)</v>
      </c>
      <c r="P48" s="15" t="str">
        <f t="shared" si="1"/>
        <v>Baodou Jiedao [Chengguan Jiedao] (Wéifāng Shì)</v>
      </c>
    </row>
    <row r="49" spans="1:16" hidden="1" x14ac:dyDescent="0.25">
      <c r="A49" t="s">
        <v>3344</v>
      </c>
      <c r="B49" t="str">
        <f>IF(COUNTIF(A:A,A49)&gt;1,_xlfn.CONCAT(A49," (",N49,")"),A49)</f>
        <v>Bàogōu Zhèn</v>
      </c>
      <c r="C49" t="str">
        <f>IF(COUNTIF(B:B,B49)&gt;1,_xlfn.CONCAT(A49," (",M49,")"),B49)</f>
        <v>Bàogōu Zhèn</v>
      </c>
      <c r="D49" t="s">
        <v>3345</v>
      </c>
      <c r="E49" t="s">
        <v>13</v>
      </c>
      <c r="F49" t="str">
        <f>_xlfn.CONCAT(D49,", ",H49,", ",I49,", ","山东省")</f>
        <v>鲍沟镇, 滕州市, 枣庄市, 山东省</v>
      </c>
      <c r="G49">
        <v>81019</v>
      </c>
      <c r="H49" t="s">
        <v>3787</v>
      </c>
      <c r="I49" t="s">
        <v>3784</v>
      </c>
      <c r="J49">
        <f>VLOOKUP(F49,[1]!china_towns_second__2[[Column1]:[Y]],3,FALSE)</f>
        <v>34.976869671255002</v>
      </c>
      <c r="K49">
        <f>VLOOKUP(F49,[1]!china_towns_second__2[[Column1]:[Y]],2,FALSE)</f>
        <v>117.1364444</v>
      </c>
      <c r="L49" t="s">
        <v>4888</v>
      </c>
      <c r="M49" t="str">
        <f>VLOOKUP(H49,CHOOSE({1,2},Table17[Native],Table17[Name]),2,0)</f>
        <v>Téngzhōu Shì</v>
      </c>
      <c r="N49" s="15" t="str">
        <f>VLOOKUP(I49,CHOOSE({1,2},Table17[Native],Table17[Name]),2,0)</f>
        <v>Zăozhuāng Shì</v>
      </c>
      <c r="O49" s="15" t="str">
        <f t="shared" si="0"/>
        <v>Baogou Zhen (Zăozhuāng Shì)</v>
      </c>
      <c r="P49" s="15" t="str">
        <f t="shared" si="1"/>
        <v>Baogou Zhen (Zăozhuāng Shì)</v>
      </c>
    </row>
    <row r="50" spans="1:16" hidden="1" x14ac:dyDescent="0.25">
      <c r="A50" t="s">
        <v>915</v>
      </c>
      <c r="B50" t="str">
        <f>IF(COUNTIF(A:A,A50)&gt;1,_xlfn.CONCAT(A50," (",N50,")"),A50)</f>
        <v>Băohuá Jiēdào</v>
      </c>
      <c r="C50" t="str">
        <f>IF(COUNTIF(B:B,B50)&gt;1,_xlfn.CONCAT(A50," (",M50,")"),B50)</f>
        <v>Băohuá Jiēdào</v>
      </c>
      <c r="D50" t="s">
        <v>916</v>
      </c>
      <c r="E50" t="s">
        <v>7</v>
      </c>
      <c r="F50" t="str">
        <f>_xlfn.CONCAT(D50,", ",H50,", ",I50,", ","山东省")</f>
        <v>宝华街道, 天桥区, 济南市, 山东省</v>
      </c>
      <c r="G50">
        <v>6580</v>
      </c>
      <c r="H50" t="s">
        <v>3684</v>
      </c>
      <c r="I50" t="s">
        <v>3673</v>
      </c>
      <c r="J50">
        <f>VLOOKUP(F50,[1]!china_towns_second__2[[Column1]:[Y]],3,FALSE)</f>
        <v>36.670761317913303</v>
      </c>
      <c r="K50">
        <f>VLOOKUP(F50,[1]!china_towns_second__2[[Column1]:[Y]],2,FALSE)</f>
        <v>116.9728432</v>
      </c>
      <c r="L50" t="s">
        <v>4889</v>
      </c>
      <c r="M50" t="str">
        <f>VLOOKUP(H50,CHOOSE({1,2},Table17[Native],Table17[Name]),2,0)</f>
        <v>Tiānqiáo Qū</v>
      </c>
      <c r="N50" s="15" t="str">
        <f>VLOOKUP(I50,CHOOSE({1,2},Table17[Native],Table17[Name]),2,0)</f>
        <v>Jìnán Shì</v>
      </c>
      <c r="O50" s="15" t="str">
        <f t="shared" si="0"/>
        <v>Baohua Jiedao (Jìnán Shì)</v>
      </c>
      <c r="P50" s="15" t="str">
        <f t="shared" si="1"/>
        <v>Baohua Jiedao (Jìnán Shì)</v>
      </c>
    </row>
    <row r="51" spans="1:16" hidden="1" x14ac:dyDescent="0.25">
      <c r="A51" t="s">
        <v>918</v>
      </c>
      <c r="B51" t="str">
        <f>IF(COUNTIF(A:A,A51)&gt;1,_xlfn.CONCAT(A51," (",N51,")"),A51)</f>
        <v>Bàoshān Jiēdào</v>
      </c>
      <c r="C51" t="str">
        <f>IF(COUNTIF(B:B,B51)&gt;1,_xlfn.CONCAT(A51," (",M51,")"),B51)</f>
        <v>Bàoshān Jiēdào</v>
      </c>
      <c r="D51" t="s">
        <v>919</v>
      </c>
      <c r="E51" t="s">
        <v>7</v>
      </c>
      <c r="F51" t="str">
        <f>_xlfn.CONCAT(D51,", ",H51,", ",I51,", ","山东省")</f>
        <v>鲍山街道, 历城区, 济南市, 山东省</v>
      </c>
      <c r="G51">
        <v>80175</v>
      </c>
      <c r="H51" t="s">
        <v>3679</v>
      </c>
      <c r="I51" t="s">
        <v>3673</v>
      </c>
      <c r="J51">
        <f>VLOOKUP(F51,[1]!china_towns_second__2[[Column1]:[Y]],3,FALSE)</f>
        <v>36.739348821567603</v>
      </c>
      <c r="K51">
        <f>VLOOKUP(F51,[1]!china_towns_second__2[[Column1]:[Y]],2,FALSE)</f>
        <v>117.1737114</v>
      </c>
      <c r="L51" t="s">
        <v>4890</v>
      </c>
      <c r="M51" t="str">
        <f>VLOOKUP(H51,CHOOSE({1,2},Table17[Native],Table17[Name]),2,0)</f>
        <v>Lìchéng Qū</v>
      </c>
      <c r="N51" s="15" t="str">
        <f>VLOOKUP(I51,CHOOSE({1,2},Table17[Native],Table17[Name]),2,0)</f>
        <v>Jìnán Shì</v>
      </c>
      <c r="O51" s="15" t="str">
        <f t="shared" si="0"/>
        <v>Baoshan Jiedao (Jìnán Shì)</v>
      </c>
      <c r="P51" s="15" t="str">
        <f t="shared" si="1"/>
        <v>Baoshan Jiedao (Jìnán Shì)</v>
      </c>
    </row>
    <row r="52" spans="1:16" hidden="1" x14ac:dyDescent="0.25">
      <c r="A52" t="s">
        <v>2115</v>
      </c>
      <c r="B52" t="str">
        <f>IF(COUNTIF(A:A,A52)&gt;1,_xlfn.CONCAT(A52," (",N52,")"),A52)</f>
        <v>Băoshān Zhèn</v>
      </c>
      <c r="C52" t="str">
        <f>IF(COUNTIF(B:B,B52)&gt;1,_xlfn.CONCAT(A52," (",M52,")"),B52)</f>
        <v>Băoshān Zhèn</v>
      </c>
      <c r="D52" t="s">
        <v>2116</v>
      </c>
      <c r="E52" t="s">
        <v>13</v>
      </c>
      <c r="F52" t="str">
        <f>_xlfn.CONCAT(D52,", ",H52,", ",I52,", ","山东省")</f>
        <v>宝山镇, 黄岛区, 青岛市, 山东省</v>
      </c>
      <c r="G52">
        <v>25828</v>
      </c>
      <c r="H52" t="s">
        <v>3726</v>
      </c>
      <c r="I52" t="s">
        <v>3724</v>
      </c>
      <c r="J52">
        <f>VLOOKUP(F52,[1]!china_towns_second__2[[Column1]:[Y]],3,FALSE)</f>
        <v>36.011185951537001</v>
      </c>
      <c r="K52">
        <f>VLOOKUP(F52,[1]!china_towns_second__2[[Column1]:[Y]],2,FALSE)</f>
        <v>119.8763809</v>
      </c>
      <c r="L52" t="s">
        <v>4891</v>
      </c>
      <c r="M52" t="str">
        <f>VLOOKUP(H52,CHOOSE({1,2},Table17[Native],Table17[Name]),2,0)</f>
        <v>Huángdăo Qū</v>
      </c>
      <c r="N52" s="15" t="str">
        <f>VLOOKUP(I52,CHOOSE({1,2},Table17[Native],Table17[Name]),2,0)</f>
        <v>Qīngdăo Shì</v>
      </c>
      <c r="O52" s="15" t="str">
        <f t="shared" si="0"/>
        <v>Baoshan Zhen (Qīngdăo Shì)</v>
      </c>
      <c r="P52" s="15" t="str">
        <f t="shared" si="1"/>
        <v>Baoshan Zhen (Qīngdăo Shì)</v>
      </c>
    </row>
    <row r="53" spans="1:16" hidden="1" x14ac:dyDescent="0.25">
      <c r="A53" t="s">
        <v>1814</v>
      </c>
      <c r="B53" t="str">
        <f>IF(COUNTIF(A:A,A53)&gt;1,_xlfn.CONCAT(A53," (",N53,")"),A53)</f>
        <v>Băotài Zhèn</v>
      </c>
      <c r="C53" t="str">
        <f>IF(COUNTIF(B:B,B53)&gt;1,_xlfn.CONCAT(A53," (",M53,")"),B53)</f>
        <v>Băotài Zhèn</v>
      </c>
      <c r="D53" t="s">
        <v>1815</v>
      </c>
      <c r="E53" t="s">
        <v>13</v>
      </c>
      <c r="F53" t="str">
        <f>_xlfn.CONCAT(D53,", ",H53,", ",I53,", ","山东省")</f>
        <v>保太镇, 平邑县, 临沂市, 山东省</v>
      </c>
      <c r="G53">
        <v>66787</v>
      </c>
      <c r="H53" t="s">
        <v>3719</v>
      </c>
      <c r="I53" t="s">
        <v>3710</v>
      </c>
      <c r="J53">
        <f>VLOOKUP(F53,[1]!china_towns_second__2[[Column1]:[Y]],3,FALSE)</f>
        <v>35.581466602490302</v>
      </c>
      <c r="K53">
        <f>VLOOKUP(F53,[1]!china_towns_second__2[[Column1]:[Y]],2,FALSE)</f>
        <v>117.71883</v>
      </c>
      <c r="L53" t="s">
        <v>4892</v>
      </c>
      <c r="M53" t="str">
        <f>VLOOKUP(H53,CHOOSE({1,2},Table17[Native],Table17[Name]),2,0)</f>
        <v>Píngyì Xiàn</v>
      </c>
      <c r="N53" s="15" t="str">
        <f>VLOOKUP(I53,CHOOSE({1,2},Table17[Native],Table17[Name]),2,0)</f>
        <v>Línyí Shì</v>
      </c>
      <c r="O53" s="15" t="str">
        <f t="shared" si="0"/>
        <v>Baotai Zhen (Línyí Shì)</v>
      </c>
      <c r="P53" s="15" t="str">
        <f t="shared" si="1"/>
        <v>Baotai Zhen (Línyí Shì)</v>
      </c>
    </row>
    <row r="54" spans="1:16" hidden="1" x14ac:dyDescent="0.25">
      <c r="A54" t="s">
        <v>921</v>
      </c>
      <c r="B54" t="str">
        <f>IF(COUNTIF(A:A,A54)&gt;1,_xlfn.CONCAT(A54," (",N54,")"),A54)</f>
        <v>Bàotūquán Jiēdào</v>
      </c>
      <c r="C54" t="str">
        <f>IF(COUNTIF(B:B,B54)&gt;1,_xlfn.CONCAT(A54," (",M54,")"),B54)</f>
        <v>Bàotūquán Jiēdào</v>
      </c>
      <c r="D54" t="s">
        <v>922</v>
      </c>
      <c r="E54" t="s">
        <v>7</v>
      </c>
      <c r="F54" t="str">
        <f>_xlfn.CONCAT(D54,", ",H54,", ",I54,", ","山东省")</f>
        <v>趵突泉街道, 历下区, 济南市, 山东省</v>
      </c>
      <c r="G54">
        <v>53874</v>
      </c>
      <c r="H54" t="s">
        <v>3680</v>
      </c>
      <c r="I54" t="s">
        <v>3673</v>
      </c>
      <c r="J54">
        <f>VLOOKUP(F54,[1]!china_towns_second__2[[Column1]:[Y]],3,FALSE)</f>
        <v>36.648272203243003</v>
      </c>
      <c r="K54">
        <f>VLOOKUP(F54,[1]!china_towns_second__2[[Column1]:[Y]],2,FALSE)</f>
        <v>117.0141965</v>
      </c>
      <c r="L54" t="s">
        <v>4893</v>
      </c>
      <c r="M54" t="str">
        <f>VLOOKUP(H54,CHOOSE({1,2},Table17[Native],Table17[Name]),2,0)</f>
        <v>Lìxià Qū</v>
      </c>
      <c r="N54" s="15" t="str">
        <f>VLOOKUP(I54,CHOOSE({1,2},Table17[Native],Table17[Name]),2,0)</f>
        <v>Jìnán Shì</v>
      </c>
      <c r="O54" s="15" t="str">
        <f t="shared" si="0"/>
        <v>Baotuquan Jiedao (Jìnán Shì)</v>
      </c>
      <c r="P54" s="15" t="str">
        <f t="shared" si="1"/>
        <v>Baotuquan Jiedao (Jìnán Shì)</v>
      </c>
    </row>
    <row r="55" spans="1:16" hidden="1" x14ac:dyDescent="0.25">
      <c r="A55" t="s">
        <v>2503</v>
      </c>
      <c r="B55" t="str">
        <f>IF(COUNTIF(A:A,A55)&gt;1,_xlfn.CONCAT(A55," (",N55,")"),A55)</f>
        <v>Bāxiānqiáo Jiēdào</v>
      </c>
      <c r="C55" t="str">
        <f>IF(COUNTIF(B:B,B55)&gt;1,_xlfn.CONCAT(A55," (",M55,")"),B55)</f>
        <v>Bāxiānqiáo Jiēdào</v>
      </c>
      <c r="D55" t="s">
        <v>2504</v>
      </c>
      <c r="E55" t="s">
        <v>7</v>
      </c>
      <c r="F55" t="str">
        <f>_xlfn.CONCAT(D55,", ",H55,", ",I55,", ","山东省")</f>
        <v>八仙桥街道, 宁阳县, 泰安市, 山东省</v>
      </c>
      <c r="G55">
        <v>41577</v>
      </c>
      <c r="H55" t="s">
        <v>3747</v>
      </c>
      <c r="I55" t="s">
        <v>3743</v>
      </c>
      <c r="J55">
        <f>VLOOKUP(F55,[1]!china_towns_second__2[[Column1]:[Y]],3,FALSE)</f>
        <v>35.766313055254102</v>
      </c>
      <c r="K55">
        <f>VLOOKUP(F55,[1]!china_towns_second__2[[Column1]:[Y]],2,FALSE)</f>
        <v>116.75507589999999</v>
      </c>
      <c r="L55" t="s">
        <v>4894</v>
      </c>
      <c r="M55" t="str">
        <f>VLOOKUP(H55,CHOOSE({1,2},Table17[Native],Table17[Name]),2,0)</f>
        <v>Níngyáng Xiàn</v>
      </c>
      <c r="N55" s="15" t="str">
        <f>VLOOKUP(I55,CHOOSE({1,2},Table17[Native],Table17[Name]),2,0)</f>
        <v>Tài'ān Shì</v>
      </c>
      <c r="O55" s="15" t="str">
        <f t="shared" si="0"/>
        <v>Baxianqiao Jiedao (Tài'ān Shì)</v>
      </c>
      <c r="P55" s="15" t="str">
        <f t="shared" si="1"/>
        <v>Baxianqiao Jiedao (Tài'ān Shì)</v>
      </c>
    </row>
    <row r="56" spans="1:16" hidden="1" x14ac:dyDescent="0.25">
      <c r="A56" t="s">
        <v>2118</v>
      </c>
      <c r="B56" t="str">
        <f>IF(COUNTIF(A:A,A56)&gt;1,_xlfn.CONCAT(A56," (",N56,")"),A56)</f>
        <v>Bĕi'ān Jiēdào</v>
      </c>
      <c r="C56" t="str">
        <f>IF(COUNTIF(B:B,B56)&gt;1,_xlfn.CONCAT(A56," (",M56,")"),B56)</f>
        <v>Bĕi'ān Jiēdào</v>
      </c>
      <c r="D56" t="s">
        <v>2119</v>
      </c>
      <c r="E56" t="s">
        <v>7</v>
      </c>
      <c r="F56" t="str">
        <f>_xlfn.CONCAT(D56,", ",H56,", ",I56,", ","山东省")</f>
        <v>北安街道, 即墨区, 青岛市, 山东省</v>
      </c>
      <c r="G56">
        <v>51163</v>
      </c>
      <c r="H56" t="s">
        <v>3728</v>
      </c>
      <c r="I56" t="s">
        <v>3724</v>
      </c>
      <c r="J56">
        <f>VLOOKUP(F56,[1]!china_towns_second__2[[Column1]:[Y]],3,FALSE)</f>
        <v>36.467191469310499</v>
      </c>
      <c r="K56">
        <f>VLOOKUP(F56,[1]!china_towns_second__2[[Column1]:[Y]],2,FALSE)</f>
        <v>120.4377518</v>
      </c>
      <c r="L56" t="s">
        <v>4895</v>
      </c>
      <c r="M56" t="str">
        <f>VLOOKUP(H56,CHOOSE({1,2},Table17[Native],Table17[Name]),2,0)</f>
        <v>Jímò Qū</v>
      </c>
      <c r="N56" s="15" t="str">
        <f>VLOOKUP(I56,CHOOSE({1,2},Table17[Native],Table17[Name]),2,0)</f>
        <v>Qīngdăo Shì</v>
      </c>
      <c r="O56" s="15" t="str">
        <f t="shared" si="0"/>
        <v>Bei'an Jiedao (Qīngdăo Shì)</v>
      </c>
      <c r="P56" s="15" t="str">
        <f t="shared" si="1"/>
        <v>Bei'an Jiedao (Qīngdăo Shì)</v>
      </c>
    </row>
    <row r="57" spans="1:16" hidden="1" x14ac:dyDescent="0.25">
      <c r="A57" t="s">
        <v>3045</v>
      </c>
      <c r="B57" t="str">
        <f>IF(COUNTIF(A:A,A57)&gt;1,_xlfn.CONCAT(A57," (",N57,")"),A57)</f>
        <v>Bĕichángshān Xiāng</v>
      </c>
      <c r="C57" t="str">
        <f>IF(COUNTIF(B:B,B57)&gt;1,_xlfn.CONCAT(A57," (",M57,")"),B57)</f>
        <v>Bĕichángshān Xiāng</v>
      </c>
      <c r="D57" t="s">
        <v>3046</v>
      </c>
      <c r="E57" t="s">
        <v>61</v>
      </c>
      <c r="F57" t="str">
        <f>_xlfn.CONCAT(D57,", ",H57,", ",I57,", ","山东省")</f>
        <v>北长山乡, 蓬莱区, 烟台市, 山东省</v>
      </c>
      <c r="G57">
        <v>3774</v>
      </c>
      <c r="H57" t="s">
        <v>3779</v>
      </c>
      <c r="I57" t="s">
        <v>3771</v>
      </c>
      <c r="J57" t="e">
        <f>VLOOKUP(F57,[1]!china_towns_second__2[[Column1]:[Y]],3,FALSE)</f>
        <v>#N/A</v>
      </c>
      <c r="K57" t="e">
        <f>VLOOKUP(F57,[1]!china_towns_second__2[[Column1]:[Y]],2,FALSE)</f>
        <v>#N/A</v>
      </c>
      <c r="L57" t="s">
        <v>4896</v>
      </c>
      <c r="M57" t="str">
        <f>VLOOKUP(H57,CHOOSE({1,2},Table17[Native],Table17[Name]),2,0)</f>
        <v>Pénglái Qū</v>
      </c>
      <c r="N57" s="15" t="str">
        <f>VLOOKUP(I57,CHOOSE({1,2},Table17[Native],Table17[Name]),2,0)</f>
        <v>Yāntái Shì</v>
      </c>
      <c r="O57" s="15" t="str">
        <f t="shared" si="0"/>
        <v>Beichangshan Xiang (Yāntái Shì)</v>
      </c>
      <c r="P57" s="15" t="str">
        <f t="shared" si="1"/>
        <v>Beichangshan Xiang (Yāntái Shì)</v>
      </c>
    </row>
    <row r="58" spans="1:16" hidden="1" x14ac:dyDescent="0.25">
      <c r="A58" t="s">
        <v>214</v>
      </c>
      <c r="B58" t="str">
        <f>IF(COUNTIF(A:A,A58)&gt;1,_xlfn.CONCAT(A58," (",N58,")"),A58)</f>
        <v>Bĕichéng Jiēdào (Dézhōu Shì)</v>
      </c>
      <c r="C58" t="str">
        <f>IF(COUNTIF(B:B,B58)&gt;1,_xlfn.CONCAT(A58," (",M58,")"),B58)</f>
        <v>Bĕichéng Jiēdào (Dézhōu Shì)</v>
      </c>
      <c r="D58" t="s">
        <v>215</v>
      </c>
      <c r="E58" t="s">
        <v>7</v>
      </c>
      <c r="F58" t="str">
        <f>_xlfn.CONCAT(D58,", ",H58,", ",I58,", ","山东省")</f>
        <v>北城街道, 夏津县, 德州市, 山东省</v>
      </c>
      <c r="G58">
        <v>45241</v>
      </c>
      <c r="H58" t="s">
        <v>3652</v>
      </c>
      <c r="I58" t="s">
        <v>3642</v>
      </c>
      <c r="J58">
        <f>VLOOKUP(F58,[1]!china_towns_second__2[[Column1]:[Y]],3,FALSE)</f>
        <v>36.997406414088701</v>
      </c>
      <c r="K58">
        <f>VLOOKUP(F58,[1]!china_towns_second__2[[Column1]:[Y]],2,FALSE)</f>
        <v>116.01283669999999</v>
      </c>
      <c r="L58" t="s">
        <v>4897</v>
      </c>
      <c r="M58" t="str">
        <f>VLOOKUP(H58,CHOOSE({1,2},Table17[Native],Table17[Name]),2,0)</f>
        <v>Xiàjīn Xiàn</v>
      </c>
      <c r="N58" s="15" t="str">
        <f>VLOOKUP(I58,CHOOSE({1,2},Table17[Native],Table17[Name]),2,0)</f>
        <v>Dézhōu Shì</v>
      </c>
      <c r="O58" s="15" t="str">
        <f t="shared" si="0"/>
        <v>Beicheng Jiedao (Dezhou Shi) (Dézhōu Shì)</v>
      </c>
      <c r="P58" s="15" t="str">
        <f t="shared" si="1"/>
        <v>Beicheng Jiedao (Dezhou Shi) (Dézhōu Shì)</v>
      </c>
    </row>
    <row r="59" spans="1:16" hidden="1" x14ac:dyDescent="0.25">
      <c r="A59" t="s">
        <v>214</v>
      </c>
      <c r="B59" t="str">
        <f>IF(COUNTIF(A:A,A59)&gt;1,_xlfn.CONCAT(A59," (",N59,")"),A59)</f>
        <v>Bĕichéng Jiēdào (Hézé Shì)</v>
      </c>
      <c r="C59" t="str">
        <f>IF(COUNTIF(B:B,B59)&gt;1,_xlfn.CONCAT(A59," (",M59,")"),B59)</f>
        <v>Bĕichéng Jiēdào (Mŭdān Qū)</v>
      </c>
      <c r="D59" t="s">
        <v>215</v>
      </c>
      <c r="E59" t="s">
        <v>7</v>
      </c>
      <c r="F59" t="str">
        <f>_xlfn.CONCAT(D59,", ",H59,", ",I59,", ","山东省")</f>
        <v>北城街道, 牡丹区, 菏泽市, 山东省</v>
      </c>
      <c r="G59">
        <v>49283</v>
      </c>
      <c r="H59" t="s">
        <v>3669</v>
      </c>
      <c r="I59" t="s">
        <v>3662</v>
      </c>
      <c r="J59">
        <f>VLOOKUP(F59,[1]!china_towns_second__2[[Column1]:[Y]],3,FALSE)</f>
        <v>35.268982076539999</v>
      </c>
      <c r="K59">
        <f>VLOOKUP(F59,[1]!china_towns_second__2[[Column1]:[Y]],2,FALSE)</f>
        <v>115.4420788</v>
      </c>
      <c r="L59" t="s">
        <v>4898</v>
      </c>
      <c r="M59" t="str">
        <f>VLOOKUP(H59,CHOOSE({1,2},Table17[Native],Table17[Name]),2,0)</f>
        <v>Mŭdān Qū</v>
      </c>
      <c r="N59" s="15" t="str">
        <f>VLOOKUP(I59,CHOOSE({1,2},Table17[Native],Table17[Name]),2,0)</f>
        <v>Hézé Shì</v>
      </c>
      <c r="O59" s="15" t="str">
        <f t="shared" si="0"/>
        <v>Beicheng Jiedao (Mudan Qu) (Hézé Shì)</v>
      </c>
      <c r="P59" s="15" t="str">
        <f t="shared" si="1"/>
        <v>Beicheng Jiedao (Mudan Qu) (Hézé Shì)</v>
      </c>
    </row>
    <row r="60" spans="1:16" hidden="1" x14ac:dyDescent="0.25">
      <c r="A60" t="s">
        <v>214</v>
      </c>
      <c r="B60" t="str">
        <f>IF(COUNTIF(A:A,A60)&gt;1,_xlfn.CONCAT(A60," (",N60,")"),A60)</f>
        <v>Bĕichéng Jiēdào (Hézé Shì)</v>
      </c>
      <c r="C60" t="str">
        <f>IF(COUNTIF(B:B,B60)&gt;1,_xlfn.CONCAT(A60," (",M60,")"),B60)</f>
        <v>Bĕichéng Jiēdào (Shàn Xiàn)</v>
      </c>
      <c r="D60" t="s">
        <v>215</v>
      </c>
      <c r="E60" t="s">
        <v>7</v>
      </c>
      <c r="F60" t="str">
        <f>_xlfn.CONCAT(D60,", ",H60,", ",I60,", ","山东省")</f>
        <v>北城街道, 单县, 菏泽市, 山东省</v>
      </c>
      <c r="G60">
        <v>60124</v>
      </c>
      <c r="H60" t="s">
        <v>3670</v>
      </c>
      <c r="I60" t="s">
        <v>3662</v>
      </c>
      <c r="J60">
        <f>VLOOKUP(F60,[1]!china_towns_second__2[[Column1]:[Y]],3,FALSE)</f>
        <v>34.809660210739302</v>
      </c>
      <c r="K60">
        <f>VLOOKUP(F60,[1]!china_towns_second__2[[Column1]:[Y]],2,FALSE)</f>
        <v>116.0650943</v>
      </c>
      <c r="L60" t="s">
        <v>4899</v>
      </c>
      <c r="M60" t="str">
        <f>VLOOKUP(H60,CHOOSE({1,2},Table17[Native],Table17[Name]),2,0)</f>
        <v>Shàn Xiàn</v>
      </c>
      <c r="N60" s="15" t="str">
        <f>VLOOKUP(I60,CHOOSE({1,2},Table17[Native],Table17[Name]),2,0)</f>
        <v>Hézé Shì</v>
      </c>
      <c r="O60" s="15" t="str">
        <f t="shared" si="0"/>
        <v>Beicheng Jiedao (Shan Xian) (Hézé Shì)</v>
      </c>
      <c r="P60" s="15" t="str">
        <f t="shared" si="1"/>
        <v>Beicheng Jiedao (Shan Xian) (Hézé Shì)</v>
      </c>
    </row>
    <row r="61" spans="1:16" hidden="1" x14ac:dyDescent="0.25">
      <c r="A61" t="s">
        <v>214</v>
      </c>
      <c r="B61" t="str">
        <f>IF(COUNTIF(A:A,A61)&gt;1,_xlfn.CONCAT(A61," (",N61,")"),A61)</f>
        <v>Bĕichéng Jiēdào (Liáochéng Shì)</v>
      </c>
      <c r="C61" t="str">
        <f>IF(COUNTIF(B:B,B61)&gt;1,_xlfn.CONCAT(A61," (",M61,")"),B61)</f>
        <v>Bĕichéng Jiēdào (Liáochéng Shì)</v>
      </c>
      <c r="D61" t="s">
        <v>215</v>
      </c>
      <c r="E61" t="s">
        <v>7</v>
      </c>
      <c r="F61" t="str">
        <f>_xlfn.CONCAT(D61,", ",H61,", ",I61,", ","山东省")</f>
        <v>北城街道, 东昌府区, 聊城市, 山东省</v>
      </c>
      <c r="G61">
        <v>38301</v>
      </c>
      <c r="H61" t="s">
        <v>3702</v>
      </c>
      <c r="I61" t="s">
        <v>3700</v>
      </c>
      <c r="J61">
        <f>VLOOKUP(F61,[1]!china_towns_second__2[[Column1]:[Y]],3,FALSE)</f>
        <v>36.518532922432101</v>
      </c>
      <c r="K61">
        <f>VLOOKUP(F61,[1]!china_towns_second__2[[Column1]:[Y]],2,FALSE)</f>
        <v>116.019994</v>
      </c>
      <c r="L61" t="s">
        <v>4900</v>
      </c>
      <c r="M61" t="str">
        <f>VLOOKUP(H61,CHOOSE({1,2},Table17[Native],Table17[Name]),2,0)</f>
        <v>Dōngchāngfŭ Qū</v>
      </c>
      <c r="N61" s="15" t="str">
        <f>VLOOKUP(I61,CHOOSE({1,2},Table17[Native],Table17[Name]),2,0)</f>
        <v>Liáochéng Shì</v>
      </c>
      <c r="O61" s="15" t="str">
        <f t="shared" si="0"/>
        <v>Beicheng Jiedao (Liaocheng Shi) (Liáochéng Shì)</v>
      </c>
      <c r="P61" s="15" t="str">
        <f t="shared" si="1"/>
        <v>Beicheng Jiedao (Liaocheng Shi) (Liáochéng Shì)</v>
      </c>
    </row>
    <row r="62" spans="1:16" hidden="1" x14ac:dyDescent="0.25">
      <c r="A62" t="s">
        <v>924</v>
      </c>
      <c r="B62" t="str">
        <f>IF(COUNTIF(A:A,A62)&gt;1,_xlfn.CONCAT(A62," (",N62,")"),A62)</f>
        <v>Bĕicūn Jiēdào</v>
      </c>
      <c r="C62" t="str">
        <f>IF(COUNTIF(B:B,B62)&gt;1,_xlfn.CONCAT(A62," (",M62,")"),B62)</f>
        <v>Bĕicūn Jiēdào</v>
      </c>
      <c r="D62" t="s">
        <v>925</v>
      </c>
      <c r="E62" t="s">
        <v>7</v>
      </c>
      <c r="F62" t="str">
        <f>_xlfn.CONCAT(D62,", ",H62,", ",I62,", ","山东省")</f>
        <v>北村街道, 天桥区, 济南市, 山东省</v>
      </c>
      <c r="G62">
        <v>26622</v>
      </c>
      <c r="H62" t="s">
        <v>3684</v>
      </c>
      <c r="I62" t="s">
        <v>3673</v>
      </c>
      <c r="J62">
        <f>VLOOKUP(F62,[1]!china_towns_second__2[[Column1]:[Y]],3,FALSE)</f>
        <v>36.698283266480402</v>
      </c>
      <c r="K62">
        <f>VLOOKUP(F62,[1]!china_towns_second__2[[Column1]:[Y]],2,FALSE)</f>
        <v>116.98242089999999</v>
      </c>
      <c r="L62" t="s">
        <v>4901</v>
      </c>
      <c r="M62" t="str">
        <f>VLOOKUP(H62,CHOOSE({1,2},Table17[Native],Table17[Name]),2,0)</f>
        <v>Tiānqiáo Qū</v>
      </c>
      <c r="N62" s="15" t="str">
        <f>VLOOKUP(I62,CHOOSE({1,2},Table17[Native],Table17[Name]),2,0)</f>
        <v>Jìnán Shì</v>
      </c>
      <c r="O62" s="15" t="str">
        <f t="shared" si="0"/>
        <v>Beicun Jiedao (Jìnán Shì)</v>
      </c>
      <c r="P62" s="15" t="str">
        <f t="shared" si="1"/>
        <v>Beicun Jiedao (Jìnán Shì)</v>
      </c>
    </row>
    <row r="63" spans="1:16" hidden="1" x14ac:dyDescent="0.25">
      <c r="A63" t="s">
        <v>3048</v>
      </c>
      <c r="B63" t="str">
        <f>IF(COUNTIF(A:A,A63)&gt;1,_xlfn.CONCAT(A63," (",N63,")"),A63)</f>
        <v>Bĕigōu Zhèn</v>
      </c>
      <c r="C63" t="str">
        <f>IF(COUNTIF(B:B,B63)&gt;1,_xlfn.CONCAT(A63," (",M63,")"),B63)</f>
        <v>Bĕigōu Zhèn</v>
      </c>
      <c r="D63" t="s">
        <v>3049</v>
      </c>
      <c r="E63" t="s">
        <v>13</v>
      </c>
      <c r="F63" t="str">
        <f>_xlfn.CONCAT(D63,", ",H63,", ",I63,", ","山东省")</f>
        <v>北沟镇, 蓬莱区, 烟台市, 山东省</v>
      </c>
      <c r="G63">
        <v>55856</v>
      </c>
      <c r="H63" t="s">
        <v>3779</v>
      </c>
      <c r="I63" t="s">
        <v>3771</v>
      </c>
      <c r="J63">
        <f>VLOOKUP(F63,[1]!china_towns_second__2[[Column1]:[Y]],3,FALSE)</f>
        <v>37.7260343622115</v>
      </c>
      <c r="K63">
        <f>VLOOKUP(F63,[1]!china_towns_second__2[[Column1]:[Y]],2,FALSE)</f>
        <v>120.67032930000001</v>
      </c>
      <c r="L63" t="s">
        <v>4902</v>
      </c>
      <c r="M63" t="str">
        <f>VLOOKUP(H63,CHOOSE({1,2},Table17[Native],Table17[Name]),2,0)</f>
        <v>Pénglái Qū</v>
      </c>
      <c r="N63" s="15" t="str">
        <f>VLOOKUP(I63,CHOOSE({1,2},Table17[Native],Table17[Name]),2,0)</f>
        <v>Yāntái Shì</v>
      </c>
      <c r="O63" s="15" t="str">
        <f t="shared" si="0"/>
        <v>Beigou Zhen (Yāntái Shì)</v>
      </c>
      <c r="P63" s="15" t="str">
        <f t="shared" si="1"/>
        <v>Beigou Zhen (Yāntái Shì)</v>
      </c>
    </row>
    <row r="64" spans="1:16" hidden="1" x14ac:dyDescent="0.25">
      <c r="A64" t="s">
        <v>2120</v>
      </c>
      <c r="B64" t="str">
        <f>IF(COUNTIF(A:A,A64)&gt;1,_xlfn.CONCAT(A64," (",N64,")"),A64)</f>
        <v>Bĕiguān Jiēdào (Qīngdăo Shì)</v>
      </c>
      <c r="C64" t="str">
        <f>IF(COUNTIF(B:B,B64)&gt;1,_xlfn.CONCAT(A64," (",M64,")"),B64)</f>
        <v>Bĕiguān Jiēdào (Qīngdăo Shì)</v>
      </c>
      <c r="D64" t="s">
        <v>2121</v>
      </c>
      <c r="E64" t="s">
        <v>7</v>
      </c>
      <c r="F64" t="str">
        <f>_xlfn.CONCAT(D64,", ",H64,", ",I64,", ","山东省")</f>
        <v>北关街道, 胶州市, 青岛市, 山东省</v>
      </c>
      <c r="G64">
        <v>36447</v>
      </c>
      <c r="H64" t="s">
        <v>3727</v>
      </c>
      <c r="I64" t="s">
        <v>3724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4903</v>
      </c>
      <c r="M64" t="str">
        <f>VLOOKUP(H64,CHOOSE({1,2},Table17[Native],Table17[Name]),2,0)</f>
        <v>Jiāozhōu Shì</v>
      </c>
      <c r="N64" s="15" t="str">
        <f>VLOOKUP(I64,CHOOSE({1,2},Table17[Native],Table17[Name]),2,0)</f>
        <v>Qīngdăo Shì</v>
      </c>
      <c r="O64" s="15" t="str">
        <f t="shared" si="0"/>
        <v>Beiguan Jiedao (Qingdao Shi) (Qīngdăo Shì)</v>
      </c>
      <c r="P64" s="15" t="str">
        <f t="shared" si="1"/>
        <v>Beiguan Jiedao (Qingdao Shi) (Qīngdăo Shì)</v>
      </c>
    </row>
    <row r="65" spans="1:16" hidden="1" x14ac:dyDescent="0.25">
      <c r="A65" t="s">
        <v>2120</v>
      </c>
      <c r="B65" t="str">
        <f>IF(COUNTIF(A:A,A65)&gt;1,_xlfn.CONCAT(A65," (",N65,")"),A65)</f>
        <v>Bĕiguān Jiēdào (Wéifāng Shì)</v>
      </c>
      <c r="C65" t="str">
        <f>IF(COUNTIF(B:B,B65)&gt;1,_xlfn.CONCAT(A65," (",M65,")"),B65)</f>
        <v>Bĕiguān Jiēdào (Wéifāng Shì)</v>
      </c>
      <c r="D65" t="s">
        <v>2121</v>
      </c>
      <c r="E65" t="s">
        <v>7</v>
      </c>
      <c r="F65" t="str">
        <f>_xlfn.CONCAT(D65,", ",H65,", ",I65,", ","山东省")</f>
        <v>北关街道, 潍城区, 潍坊市, 山东省</v>
      </c>
      <c r="G65">
        <v>80164</v>
      </c>
      <c r="H65" t="s">
        <v>3762</v>
      </c>
      <c r="I65" t="s">
        <v>3751</v>
      </c>
      <c r="J65">
        <f>VLOOKUP(F65,[1]!china_towns_second__2[[Column1]:[Y]],3,FALSE)</f>
        <v>36.736320278348799</v>
      </c>
      <c r="K65">
        <f>VLOOKUP(F65,[1]!china_towns_second__2[[Column1]:[Y]],2,FALSE)</f>
        <v>119.073194</v>
      </c>
      <c r="L65" t="s">
        <v>4904</v>
      </c>
      <c r="M65" t="str">
        <f>VLOOKUP(H65,CHOOSE({1,2},Table17[Native],Table17[Name]),2,0)</f>
        <v>Wéichéng Qū</v>
      </c>
      <c r="N65" s="15" t="str">
        <f>VLOOKUP(I65,CHOOSE({1,2},Table17[Native],Table17[Name]),2,0)</f>
        <v>Wéifāng Shì</v>
      </c>
      <c r="O65" s="15" t="str">
        <f t="shared" si="0"/>
        <v>Beiguan Jiedao (Weifang Shi) (Wéifāng Shì)</v>
      </c>
      <c r="P65" s="15" t="str">
        <f t="shared" si="1"/>
        <v>Beiguan Jiedao (Weifang Shi) (Wéifāng Shì)</v>
      </c>
    </row>
    <row r="66" spans="1:16" hidden="1" x14ac:dyDescent="0.25">
      <c r="A66" t="s">
        <v>1542</v>
      </c>
      <c r="B66" t="str">
        <f>IF(COUNTIF(A:A,A66)&gt;1,_xlfn.CONCAT(A66," (",N66,")"),A66)</f>
        <v>Bĕiguăntáo Zhèn</v>
      </c>
      <c r="C66" t="str">
        <f>IF(COUNTIF(B:B,B66)&gt;1,_xlfn.CONCAT(A66," (",M66,")"),B66)</f>
        <v>Bĕiguăntáo Zhèn</v>
      </c>
      <c r="D66" t="s">
        <v>1543</v>
      </c>
      <c r="E66" t="s">
        <v>13</v>
      </c>
      <c r="F66" t="str">
        <f>_xlfn.CONCAT(D66,", ",H66,", ",I66,", ","山东省")</f>
        <v>北馆陶镇, 冠县, 聊城市, 山东省</v>
      </c>
      <c r="G66">
        <v>35870</v>
      </c>
      <c r="H66" t="s">
        <v>3705</v>
      </c>
      <c r="I66" t="s">
        <v>3700</v>
      </c>
      <c r="J66">
        <f>VLOOKUP(F66,[1]!china_towns_second__2[[Column1]:[Y]],3,FALSE)</f>
        <v>36.643522042136397</v>
      </c>
      <c r="K66">
        <f>VLOOKUP(F66,[1]!china_towns_second__2[[Column1]:[Y]],2,FALSE)</f>
        <v>115.4194803</v>
      </c>
      <c r="L66" t="s">
        <v>4905</v>
      </c>
      <c r="M66" t="str">
        <f>VLOOKUP(H66,CHOOSE({1,2},Table17[Native],Table17[Name]),2,0)</f>
        <v>Guān Xiàn</v>
      </c>
      <c r="N66" s="15" t="str">
        <f>VLOOKUP(I66,CHOOSE({1,2},Table17[Native],Table17[Name]),2,0)</f>
        <v>Liáochéng Shì</v>
      </c>
      <c r="O66" s="15" t="str">
        <f t="shared" ref="O66:O129" si="2">_xlfn.CONCAT(L66," (",N66,")")</f>
        <v>Beiguantao Zhen (Liáochéng Shì)</v>
      </c>
      <c r="P66" s="15" t="str">
        <f t="shared" ref="P66:P129" si="3">IF(COUNTIF(O:O,O66)&gt;1,_xlfn.CONCAT(L66," (",M66,")"),O66)</f>
        <v>Beiguantao Zhen (Liáochéng Shì)</v>
      </c>
    </row>
    <row r="67" spans="1:16" hidden="1" x14ac:dyDescent="0.25">
      <c r="A67" t="s">
        <v>3050</v>
      </c>
      <c r="B67" t="str">
        <f>IF(COUNTIF(A:A,A67)&gt;1,_xlfn.CONCAT(A67," (",N67,")"),A67)</f>
        <v>Bĕihuángchéng Xiāng</v>
      </c>
      <c r="C67" t="str">
        <f>IF(COUNTIF(B:B,B67)&gt;1,_xlfn.CONCAT(A67," (",M67,")"),B67)</f>
        <v>Bĕihuángchéng Xiāng</v>
      </c>
      <c r="D67" t="s">
        <v>3051</v>
      </c>
      <c r="E67" t="s">
        <v>61</v>
      </c>
      <c r="F67" t="str">
        <f>_xlfn.CONCAT(D67,", ",H67,", ",I67,", ","山东省")</f>
        <v>北隍城乡, 蓬莱区, 烟台市, 山东省</v>
      </c>
      <c r="G67">
        <v>1878</v>
      </c>
      <c r="H67" t="s">
        <v>3779</v>
      </c>
      <c r="I67" t="s">
        <v>3771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4906</v>
      </c>
      <c r="M67" t="str">
        <f>VLOOKUP(H67,CHOOSE({1,2},Table17[Native],Table17[Name]),2,0)</f>
        <v>Pénglái Qū</v>
      </c>
      <c r="N67" s="15" t="str">
        <f>VLOOKUP(I67,CHOOSE({1,2},Table17[Native],Table17[Name]),2,0)</f>
        <v>Yāntái Shì</v>
      </c>
      <c r="O67" s="15" t="str">
        <f t="shared" si="2"/>
        <v>Beihuangcheng Xiang (Yāntái Shì)</v>
      </c>
      <c r="P67" s="15" t="str">
        <f t="shared" si="3"/>
        <v>Beihuangcheng Xiang (Yāntái Shì)</v>
      </c>
    </row>
    <row r="68" spans="1:16" hidden="1" x14ac:dyDescent="0.25">
      <c r="A68" t="s">
        <v>3468</v>
      </c>
      <c r="B68" t="str">
        <f>IF(COUNTIF(A:A,A68)&gt;1,_xlfn.CONCAT(A68," (",N68,")"),A68)</f>
        <v>Bĕijiāo Zhèn</v>
      </c>
      <c r="C68" t="str">
        <f>IF(COUNTIF(B:B,B68)&gt;1,_xlfn.CONCAT(A68," (",M68,")"),B68)</f>
        <v>Bĕijiāo Zhèn</v>
      </c>
      <c r="D68" t="s">
        <v>3469</v>
      </c>
      <c r="E68" t="s">
        <v>13</v>
      </c>
      <c r="F68" t="str">
        <f>_xlfn.CONCAT(D68,", ",H68,", ",I68,", ","山东省")</f>
        <v>北郊镇, 周村区, 淄博市, 山东省</v>
      </c>
      <c r="G68">
        <v>59085</v>
      </c>
      <c r="H68" t="s">
        <v>3798</v>
      </c>
      <c r="I68" t="s">
        <v>3791</v>
      </c>
      <c r="J68">
        <f>VLOOKUP(F68,[1]!china_towns_second__2[[Column1]:[Y]],3,FALSE)</f>
        <v>36.835789744351501</v>
      </c>
      <c r="K68">
        <f>VLOOKUP(F68,[1]!china_towns_second__2[[Column1]:[Y]],2,FALSE)</f>
        <v>117.90747279999999</v>
      </c>
      <c r="L68" t="s">
        <v>4907</v>
      </c>
      <c r="M68" t="str">
        <f>VLOOKUP(H68,CHOOSE({1,2},Table17[Native],Table17[Name]),2,0)</f>
        <v>Zhōucūn Qū</v>
      </c>
      <c r="N68" s="15" t="str">
        <f>VLOOKUP(I68,CHOOSE({1,2},Table17[Native],Table17[Name]),2,0)</f>
        <v>Zībó Shì</v>
      </c>
      <c r="O68" s="15" t="str">
        <f t="shared" si="2"/>
        <v>Beijiao Zhen (Zībó Shì)</v>
      </c>
      <c r="P68" s="15" t="str">
        <f t="shared" si="3"/>
        <v>Beijiao Zhen (Zībó Shì)</v>
      </c>
    </row>
    <row r="69" spans="1:16" hidden="1" x14ac:dyDescent="0.25">
      <c r="A69" t="s">
        <v>2394</v>
      </c>
      <c r="B69" t="str">
        <f>IF(COUNTIF(A:A,A69)&gt;1,_xlfn.CONCAT(A69," (",N69,")"),A69)</f>
        <v>Bĕijīnglù Jiēdào</v>
      </c>
      <c r="C69" t="str">
        <f>IF(COUNTIF(B:B,B69)&gt;1,_xlfn.CONCAT(A69," (",M69,")"),B69)</f>
        <v>Bĕijīnglù Jiēdào</v>
      </c>
      <c r="D69" t="s">
        <v>2395</v>
      </c>
      <c r="E69" t="s">
        <v>7</v>
      </c>
      <c r="F69" t="str">
        <f>_xlfn.CONCAT(D69,", ",H69,", ",I69,", ","山东省")</f>
        <v>北京路街道, 东港区, 日照市, 山东省</v>
      </c>
      <c r="G69">
        <v>83340</v>
      </c>
      <c r="H69" t="s">
        <v>3737</v>
      </c>
      <c r="I69" t="s">
        <v>3736</v>
      </c>
      <c r="J69">
        <f>VLOOKUP(F69,[1]!china_towns_second__2[[Column1]:[Y]],3,FALSE)</f>
        <v>35.352636209863498</v>
      </c>
      <c r="K69">
        <f>VLOOKUP(F69,[1]!china_towns_second__2[[Column1]:[Y]],2,FALSE)</f>
        <v>119.4891678</v>
      </c>
      <c r="L69" t="s">
        <v>4908</v>
      </c>
      <c r="M69" t="str">
        <f>VLOOKUP(H69,CHOOSE({1,2},Table17[Native],Table17[Name]),2,0)</f>
        <v>Dōnggăng Qū</v>
      </c>
      <c r="N69" s="15" t="str">
        <f>VLOOKUP(I69,CHOOSE({1,2},Table17[Native],Table17[Name]),2,0)</f>
        <v>Rìzhào Shì</v>
      </c>
      <c r="O69" s="15" t="str">
        <f t="shared" si="2"/>
        <v>Beijinglu Jiedao (Rìzhào Shì)</v>
      </c>
      <c r="P69" s="15" t="str">
        <f t="shared" si="3"/>
        <v>Beijinglu Jiedao (Rìzhào Shì)</v>
      </c>
    </row>
    <row r="70" spans="1:16" hidden="1" x14ac:dyDescent="0.25">
      <c r="A70" t="s">
        <v>2506</v>
      </c>
      <c r="B70" t="str">
        <f>IF(COUNTIF(A:A,A70)&gt;1,_xlfn.CONCAT(A70," (",N70,")"),A70)</f>
        <v>Bĕijípō Jiēdào</v>
      </c>
      <c r="C70" t="str">
        <f>IF(COUNTIF(B:B,B70)&gt;1,_xlfn.CONCAT(A70," (",M70,")"),B70)</f>
        <v>Bĕijípō Jiēdào</v>
      </c>
      <c r="D70" t="s">
        <v>2507</v>
      </c>
      <c r="E70" t="s">
        <v>7</v>
      </c>
      <c r="F70" t="str">
        <f>_xlfn.CONCAT(D70,", ",H70,", ",I70,", ","山东省")</f>
        <v>北集坡街道, 岱岳区, 泰安市, 山东省</v>
      </c>
      <c r="G70">
        <v>83871</v>
      </c>
      <c r="H70" t="s">
        <v>3744</v>
      </c>
      <c r="I70" t="s">
        <v>3743</v>
      </c>
      <c r="J70">
        <f>VLOOKUP(F70,[1]!china_towns_second__2[[Column1]:[Y]],3,FALSE)</f>
        <v>36.086159689993899</v>
      </c>
      <c r="K70">
        <f>VLOOKUP(F70,[1]!china_towns_second__2[[Column1]:[Y]],2,FALSE)</f>
        <v>117.1338411</v>
      </c>
      <c r="L70" t="s">
        <v>4909</v>
      </c>
      <c r="M70" t="str">
        <f>VLOOKUP(H70,CHOOSE({1,2},Table17[Native],Table17[Name]),2,0)</f>
        <v>Dàiyuè Qū</v>
      </c>
      <c r="N70" s="15" t="str">
        <f>VLOOKUP(I70,CHOOSE({1,2},Table17[Native],Table17[Name]),2,0)</f>
        <v>Tài'ān Shì</v>
      </c>
      <c r="O70" s="15" t="str">
        <f t="shared" si="2"/>
        <v>Beijipo Jiedao (Tài'ān Shì)</v>
      </c>
      <c r="P70" s="15" t="str">
        <f t="shared" si="3"/>
        <v>Beijipo Jiedao (Tài'ān Shì)</v>
      </c>
    </row>
    <row r="71" spans="1:16" hidden="1" x14ac:dyDescent="0.25">
      <c r="A71" t="s">
        <v>2397</v>
      </c>
      <c r="B71" t="str">
        <f>IF(COUNTIF(A:A,A71)&gt;1,_xlfn.CONCAT(A71," (",N71,")"),A71)</f>
        <v>Bēikuò Zhèn</v>
      </c>
      <c r="C71" t="str">
        <f>IF(COUNTIF(B:B,B71)&gt;1,_xlfn.CONCAT(A71," (",M71,")"),B71)</f>
        <v>Bēikuò Zhèn</v>
      </c>
      <c r="D71" t="s">
        <v>2398</v>
      </c>
      <c r="E71" t="s">
        <v>13</v>
      </c>
      <c r="F71" t="str">
        <f>_xlfn.CONCAT(D71,", ",H71,", ",I71,", ","山东省")</f>
        <v>碑廓镇, 岚山区, 日照市, 山东省</v>
      </c>
      <c r="G71">
        <v>45539</v>
      </c>
      <c r="H71" t="s">
        <v>3740</v>
      </c>
      <c r="I71" t="s">
        <v>3736</v>
      </c>
      <c r="J71">
        <f>VLOOKUP(F71,[1]!china_towns_second__2[[Column1]:[Y]],3,FALSE)</f>
        <v>35.176058946973001</v>
      </c>
      <c r="K71">
        <f>VLOOKUP(F71,[1]!china_towns_second__2[[Column1]:[Y]],2,FALSE)</f>
        <v>119.1995474</v>
      </c>
      <c r="L71" t="s">
        <v>4910</v>
      </c>
      <c r="M71" t="str">
        <f>VLOOKUP(H71,CHOOSE({1,2},Table17[Native],Table17[Name]),2,0)</f>
        <v>Lánshān Qū</v>
      </c>
      <c r="N71" s="15" t="str">
        <f>VLOOKUP(I71,CHOOSE({1,2},Table17[Native],Table17[Name]),2,0)</f>
        <v>Rìzhào Shì</v>
      </c>
      <c r="O71" s="15" t="str">
        <f t="shared" si="2"/>
        <v>Beikuo Zhen (Rìzhào Shì)</v>
      </c>
      <c r="P71" s="15" t="str">
        <f t="shared" si="3"/>
        <v>Beikuo Zhen (Rìzhào Shì)</v>
      </c>
    </row>
    <row r="72" spans="1:16" hidden="1" x14ac:dyDescent="0.25">
      <c r="A72" t="s">
        <v>3052</v>
      </c>
      <c r="B72" t="str">
        <f>IF(COUNTIF(A:A,A72)&gt;1,_xlfn.CONCAT(A72," (",N72,")"),A72)</f>
        <v>Bĕimă Zhèn</v>
      </c>
      <c r="C72" t="str">
        <f>IF(COUNTIF(B:B,B72)&gt;1,_xlfn.CONCAT(A72," (",M72,")"),B72)</f>
        <v>Bĕimă Zhèn</v>
      </c>
      <c r="D72" t="s">
        <v>3053</v>
      </c>
      <c r="E72" t="s">
        <v>13</v>
      </c>
      <c r="F72" t="str">
        <f>_xlfn.CONCAT(D72,", ",H72,", ",I72,", ","山东省")</f>
        <v>北马镇, 龙口市, 烟台市, 山东省</v>
      </c>
      <c r="G72">
        <v>56086</v>
      </c>
      <c r="H72" t="s">
        <v>3777</v>
      </c>
      <c r="I72" t="s">
        <v>3771</v>
      </c>
      <c r="J72">
        <f>VLOOKUP(F72,[1]!china_towns_second__2[[Column1]:[Y]],3,FALSE)</f>
        <v>37.583812573038799</v>
      </c>
      <c r="K72">
        <f>VLOOKUP(F72,[1]!china_towns_second__2[[Column1]:[Y]],2,FALSE)</f>
        <v>120.3873933</v>
      </c>
      <c r="L72" t="s">
        <v>4911</v>
      </c>
      <c r="M72" t="str">
        <f>VLOOKUP(H72,CHOOSE({1,2},Table17[Native],Table17[Name]),2,0)</f>
        <v>Lóngkŏu Shì</v>
      </c>
      <c r="N72" s="15" t="str">
        <f>VLOOKUP(I72,CHOOSE({1,2},Table17[Native],Table17[Name]),2,0)</f>
        <v>Yāntái Shì</v>
      </c>
      <c r="O72" s="15" t="str">
        <f t="shared" si="2"/>
        <v>Beima Zhen (Yāntái Shì)</v>
      </c>
      <c r="P72" s="15" t="str">
        <f t="shared" si="3"/>
        <v>Beima Zhen (Yāntái Shì)</v>
      </c>
    </row>
    <row r="73" spans="1:16" hidden="1" x14ac:dyDescent="0.25">
      <c r="A73" t="s">
        <v>2681</v>
      </c>
      <c r="B73" t="str">
        <f>IF(COUNTIF(A:A,A73)&gt;1,_xlfn.CONCAT(A73," (",N73,")"),A73)</f>
        <v>Bĕimèng Zhèn</v>
      </c>
      <c r="C73" t="str">
        <f>IF(COUNTIF(B:B,B73)&gt;1,_xlfn.CONCAT(A73," (",M73,")"),B73)</f>
        <v>Bĕimèng Zhèn</v>
      </c>
      <c r="D73" t="s">
        <v>2682</v>
      </c>
      <c r="E73" t="s">
        <v>13</v>
      </c>
      <c r="F73" t="str">
        <f>_xlfn.CONCAT(D73,", ",H73,", ",I73,", ","山东省")</f>
        <v>北孟镇, 昌邑市, 潍坊市, 山东省</v>
      </c>
      <c r="G73">
        <v>66277</v>
      </c>
      <c r="H73" t="s">
        <v>3754</v>
      </c>
      <c r="I73" t="s">
        <v>3751</v>
      </c>
      <c r="J73">
        <f>VLOOKUP(F73,[1]!china_towns_second__2[[Column1]:[Y]],3,FALSE)</f>
        <v>36.558043884656499</v>
      </c>
      <c r="K73">
        <f>VLOOKUP(F73,[1]!china_towns_second__2[[Column1]:[Y]],2,FALSE)</f>
        <v>119.5458964</v>
      </c>
      <c r="L73" t="s">
        <v>4912</v>
      </c>
      <c r="M73" t="str">
        <f>VLOOKUP(H73,CHOOSE({1,2},Table17[Native],Table17[Name]),2,0)</f>
        <v>Chāngyì Shì</v>
      </c>
      <c r="N73" s="15" t="str">
        <f>VLOOKUP(I73,CHOOSE({1,2},Table17[Native],Table17[Name]),2,0)</f>
        <v>Wéifāng Shì</v>
      </c>
      <c r="O73" s="15" t="str">
        <f t="shared" si="2"/>
        <v>Beimeng Zhen (Wéifāng Shì)</v>
      </c>
      <c r="P73" s="15" t="str">
        <f t="shared" si="3"/>
        <v>Beimeng Zhen (Wéifāng Shì)</v>
      </c>
    </row>
    <row r="74" spans="1:16" hidden="1" x14ac:dyDescent="0.25">
      <c r="A74" t="s">
        <v>469</v>
      </c>
      <c r="B74" t="str">
        <f>IF(COUNTIF(A:A,A74)&gt;1,_xlfn.CONCAT(A74," (",N74,")"),A74)</f>
        <v>Bĕisòng Zhèn</v>
      </c>
      <c r="C74" t="str">
        <f>IF(COUNTIF(B:B,B74)&gt;1,_xlfn.CONCAT(A74," (",M74,")"),B74)</f>
        <v>Bĕisòng Zhèn</v>
      </c>
      <c r="D74" t="s">
        <v>470</v>
      </c>
      <c r="E74" t="s">
        <v>13</v>
      </c>
      <c r="F74" t="str">
        <f>_xlfn.CONCAT(D74,", ",H74,", ",I74,", ","山东省")</f>
        <v>北宋镇, 利津县, 东营市, 山东省</v>
      </c>
      <c r="G74">
        <v>34309</v>
      </c>
      <c r="H74" t="s">
        <v>3660</v>
      </c>
      <c r="I74" t="s">
        <v>3655</v>
      </c>
      <c r="J74">
        <f>VLOOKUP(F74,[1]!china_towns_second__2[[Column1]:[Y]],3,FALSE)</f>
        <v>37.437082900644299</v>
      </c>
      <c r="K74">
        <f>VLOOKUP(F74,[1]!china_towns_second__2[[Column1]:[Y]],2,FALSE)</f>
        <v>118.17205149999999</v>
      </c>
      <c r="L74" t="s">
        <v>4913</v>
      </c>
      <c r="M74" t="str">
        <f>VLOOKUP(H74,CHOOSE({1,2},Table17[Native],Table17[Name]),2,0)</f>
        <v>Lìjīn Xiàn</v>
      </c>
      <c r="N74" s="15" t="str">
        <f>VLOOKUP(I74,CHOOSE({1,2},Table17[Native],Table17[Name]),2,0)</f>
        <v>Dōngyíng Shì</v>
      </c>
      <c r="O74" s="15" t="str">
        <f t="shared" si="2"/>
        <v>Beisong Zhen (Dōngyíng Shì)</v>
      </c>
      <c r="P74" s="15" t="str">
        <f t="shared" si="3"/>
        <v>Beisong Zhen (Dōngyíng Shì)</v>
      </c>
    </row>
    <row r="75" spans="1:16" hidden="1" x14ac:dyDescent="0.25">
      <c r="A75" t="s">
        <v>1234</v>
      </c>
      <c r="B75" t="str">
        <f>IF(COUNTIF(A:A,A75)&gt;1,_xlfn.CONCAT(A75," (",N75,")"),A75)</f>
        <v>Bĕisù Zhèn</v>
      </c>
      <c r="C75" t="str">
        <f>IF(COUNTIF(B:B,B75)&gt;1,_xlfn.CONCAT(A75," (",M75,")"),B75)</f>
        <v>Bĕisù Zhèn</v>
      </c>
      <c r="D75" t="s">
        <v>1235</v>
      </c>
      <c r="E75" t="s">
        <v>13</v>
      </c>
      <c r="F75" t="str">
        <f>_xlfn.CONCAT(D75,", ",H75,", ",I75,", ","山东省")</f>
        <v>北宿镇, 邹城市, 济宁市, 山东省</v>
      </c>
      <c r="G75">
        <v>106962</v>
      </c>
      <c r="H75" t="s">
        <v>3698</v>
      </c>
      <c r="I75" t="s">
        <v>3687</v>
      </c>
      <c r="J75">
        <f>VLOOKUP(F75,[1]!china_towns_second__2[[Column1]:[Y]],3,FALSE)</f>
        <v>35.359574487582798</v>
      </c>
      <c r="K75">
        <f>VLOOKUP(F75,[1]!china_towns_second__2[[Column1]:[Y]],2,FALSE)</f>
        <v>116.8915368</v>
      </c>
      <c r="L75" t="s">
        <v>4914</v>
      </c>
      <c r="M75" t="str">
        <f>VLOOKUP(H75,CHOOSE({1,2},Table17[Native],Table17[Name]),2,0)</f>
        <v>Zōuchéng Shì</v>
      </c>
      <c r="N75" s="15" t="str">
        <f>VLOOKUP(I75,CHOOSE({1,2},Table17[Native],Table17[Name]),2,0)</f>
        <v>Jìníng Shì</v>
      </c>
      <c r="O75" s="15" t="str">
        <f t="shared" si="2"/>
        <v>Beisu Zhen (Jìníng Shì)</v>
      </c>
      <c r="P75" s="15" t="str">
        <f t="shared" si="3"/>
        <v>Beisu Zhen (Jìníng Shì)</v>
      </c>
    </row>
    <row r="76" spans="1:16" hidden="1" x14ac:dyDescent="0.25">
      <c r="A76" t="s">
        <v>926</v>
      </c>
      <c r="B76" t="str">
        <f>IF(COUNTIF(A:A,A76)&gt;1,_xlfn.CONCAT(A76," (",N76,")"),A76)</f>
        <v>Bĕităn Jiēdào</v>
      </c>
      <c r="C76" t="str">
        <f>IF(COUNTIF(B:B,B76)&gt;1,_xlfn.CONCAT(A76," (",M76,")"),B76)</f>
        <v>Bĕităn Jiēdào</v>
      </c>
      <c r="D76" t="s">
        <v>927</v>
      </c>
      <c r="E76" t="s">
        <v>7</v>
      </c>
      <c r="F76" t="str">
        <f>_xlfn.CONCAT(D76,", ",H76,", ",I76,", ","山东省")</f>
        <v>北坦街道, 天桥区, 济南市, 山东省</v>
      </c>
      <c r="G76">
        <v>15209</v>
      </c>
      <c r="H76" t="s">
        <v>3684</v>
      </c>
      <c r="I76" t="s">
        <v>3673</v>
      </c>
      <c r="J76">
        <f>VLOOKUP(F76,[1]!china_towns_second__2[[Column1]:[Y]],3,FALSE)</f>
        <v>36.677545623212801</v>
      </c>
      <c r="K76">
        <f>VLOOKUP(F76,[1]!china_towns_second__2[[Column1]:[Y]],2,FALSE)</f>
        <v>117.00838160000001</v>
      </c>
      <c r="L76" t="s">
        <v>4915</v>
      </c>
      <c r="M76" t="str">
        <f>VLOOKUP(H76,CHOOSE({1,2},Table17[Native],Table17[Name]),2,0)</f>
        <v>Tiānqiáo Qū</v>
      </c>
      <c r="N76" s="15" t="str">
        <f>VLOOKUP(I76,CHOOSE({1,2},Table17[Native],Table17[Name]),2,0)</f>
        <v>Jìnán Shì</v>
      </c>
      <c r="O76" s="15" t="str">
        <f t="shared" si="2"/>
        <v>Beitan Jiedao (Jìnán Shì)</v>
      </c>
      <c r="P76" s="15" t="str">
        <f t="shared" si="3"/>
        <v>Beitan Jiedao (Jìnán Shì)</v>
      </c>
    </row>
    <row r="77" spans="1:16" hidden="1" x14ac:dyDescent="0.25">
      <c r="A77" t="s">
        <v>3347</v>
      </c>
      <c r="B77" t="str">
        <f>IF(COUNTIF(A:A,A77)&gt;1,_xlfn.CONCAT(A77," (",N77,")"),A77)</f>
        <v>Bĕixīn Jiēdào</v>
      </c>
      <c r="C77" t="str">
        <f>IF(COUNTIF(B:B,B77)&gt;1,_xlfn.CONCAT(A77," (",M77,")"),B77)</f>
        <v>Bĕixīn Jiēdào</v>
      </c>
      <c r="D77" t="s">
        <v>3348</v>
      </c>
      <c r="E77" t="s">
        <v>7</v>
      </c>
      <c r="F77" t="str">
        <f>_xlfn.CONCAT(D77,", ",H77,", ",I77,", ","山东省")</f>
        <v>北辛街道, 滕州市, 枣庄市, 山东省</v>
      </c>
      <c r="G77">
        <v>116923</v>
      </c>
      <c r="H77" t="s">
        <v>3787</v>
      </c>
      <c r="I77" t="s">
        <v>3784</v>
      </c>
      <c r="J77">
        <f>VLOOKUP(F77,[1]!china_towns_second__2[[Column1]:[Y]],3,FALSE)</f>
        <v>35.122535962438498</v>
      </c>
      <c r="K77">
        <f>VLOOKUP(F77,[1]!china_towns_second__2[[Column1]:[Y]],2,FALSE)</f>
        <v>117.1657482</v>
      </c>
      <c r="L77" t="s">
        <v>4916</v>
      </c>
      <c r="M77" t="str">
        <f>VLOOKUP(H77,CHOOSE({1,2},Table17[Native],Table17[Name]),2,0)</f>
        <v>Téngzhōu Shì</v>
      </c>
      <c r="N77" s="15" t="str">
        <f>VLOOKUP(I77,CHOOSE({1,2},Table17[Native],Table17[Name]),2,0)</f>
        <v>Zăozhuāng Shì</v>
      </c>
      <c r="O77" s="15" t="str">
        <f t="shared" si="2"/>
        <v>Beixin Jiedao (Zăozhuāng Shì)</v>
      </c>
      <c r="P77" s="15" t="str">
        <f t="shared" si="3"/>
        <v>Beixin Jiedao (Zăozhuāng Shì)</v>
      </c>
    </row>
    <row r="78" spans="1:16" hidden="1" x14ac:dyDescent="0.25">
      <c r="A78" t="s">
        <v>928</v>
      </c>
      <c r="B78" t="str">
        <f>IF(COUNTIF(A:A,A78)&gt;1,_xlfn.CONCAT(A78," (",N78,")"),A78)</f>
        <v>Bĕiyuán Jiēdào</v>
      </c>
      <c r="C78" t="str">
        <f>IF(COUNTIF(B:B,B78)&gt;1,_xlfn.CONCAT(A78," (",M78,")"),B78)</f>
        <v>Bĕiyuán Jiēdào</v>
      </c>
      <c r="D78" t="s">
        <v>929</v>
      </c>
      <c r="E78" t="s">
        <v>7</v>
      </c>
      <c r="F78" t="str">
        <f>_xlfn.CONCAT(D78,", ",H78,", ",I78,", ","山东省")</f>
        <v>北园街道, 天桥区, 济南市, 山东省</v>
      </c>
      <c r="G78">
        <v>205191</v>
      </c>
      <c r="H78" t="s">
        <v>3684</v>
      </c>
      <c r="I78" t="s">
        <v>3673</v>
      </c>
      <c r="J78">
        <f>VLOOKUP(F78,[1]!china_towns_second__2[[Column1]:[Y]],3,FALSE)</f>
        <v>36.695966597742903</v>
      </c>
      <c r="K78">
        <f>VLOOKUP(F78,[1]!china_towns_second__2[[Column1]:[Y]],2,FALSE)</f>
        <v>117.0245858</v>
      </c>
      <c r="L78" t="s">
        <v>4917</v>
      </c>
      <c r="M78" t="str">
        <f>VLOOKUP(H78,CHOOSE({1,2},Table17[Native],Table17[Name]),2,0)</f>
        <v>Tiānqiáo Qū</v>
      </c>
      <c r="N78" s="15" t="str">
        <f>VLOOKUP(I78,CHOOSE({1,2},Table17[Native],Table17[Name]),2,0)</f>
        <v>Jìnán Shì</v>
      </c>
      <c r="O78" s="15" t="str">
        <f t="shared" si="2"/>
        <v>Beiyuan Jiedao (Jìnán Shì)</v>
      </c>
      <c r="P78" s="15" t="str">
        <f t="shared" si="3"/>
        <v>Beiyuan Jiedao (Jìnán Shì)</v>
      </c>
    </row>
    <row r="79" spans="1:16" hidden="1" x14ac:dyDescent="0.25">
      <c r="A79" t="s">
        <v>2684</v>
      </c>
      <c r="B79" t="str">
        <f>IF(COUNTIF(A:A,A79)&gt;1,_xlfn.CONCAT(A79," (",N79,")"),A79)</f>
        <v>Bĕiyuàn Jiēdào</v>
      </c>
      <c r="C79" t="str">
        <f>IF(COUNTIF(B:B,B79)&gt;1,_xlfn.CONCAT(A79," (",M79,")"),B79)</f>
        <v>Bĕiyuàn Jiēdào</v>
      </c>
      <c r="D79" t="s">
        <v>2685</v>
      </c>
      <c r="E79" t="s">
        <v>7</v>
      </c>
      <c r="F79" t="str">
        <f>_xlfn.CONCAT(D79,", ",H79,", ",I79,", ","山东省")</f>
        <v>北苑街道, 奎文区, 潍坊市, 山东省</v>
      </c>
      <c r="G79">
        <v>33207</v>
      </c>
      <c r="H79" t="s">
        <v>3758</v>
      </c>
      <c r="I79" t="s">
        <v>3751</v>
      </c>
      <c r="J79">
        <f>VLOOKUP(F79,[1]!china_towns_second__2[[Column1]:[Y]],3,FALSE)</f>
        <v>36.740455229521501</v>
      </c>
      <c r="K79">
        <f>VLOOKUP(F79,[1]!china_towns_second__2[[Column1]:[Y]],2,FALSE)</f>
        <v>119.1146413</v>
      </c>
      <c r="L79" t="s">
        <v>4917</v>
      </c>
      <c r="M79" t="str">
        <f>VLOOKUP(H79,CHOOSE({1,2},Table17[Native],Table17[Name]),2,0)</f>
        <v>Kuíwén Qū</v>
      </c>
      <c r="N79" s="15" t="str">
        <f>VLOOKUP(I79,CHOOSE({1,2},Table17[Native],Table17[Name]),2,0)</f>
        <v>Wéifāng Shì</v>
      </c>
      <c r="O79" s="15" t="str">
        <f t="shared" si="2"/>
        <v>Beiyuan Jiedao (Wéifāng Shì)</v>
      </c>
      <c r="P79" s="15" t="str">
        <f t="shared" si="3"/>
        <v>Beiyuan Jiedao (Wéifāng Shì)</v>
      </c>
    </row>
    <row r="80" spans="1:16" hidden="1" x14ac:dyDescent="0.25">
      <c r="A80" t="s">
        <v>2123</v>
      </c>
      <c r="B80" t="str">
        <f>IF(COUNTIF(A:A,A80)&gt;1,_xlfn.CONCAT(A80," (",N80,")"),A80)</f>
        <v>Bĕizhái Jiēdào</v>
      </c>
      <c r="C80" t="str">
        <f>IF(COUNTIF(B:B,B80)&gt;1,_xlfn.CONCAT(A80," (",M80,")"),B80)</f>
        <v>Bĕizhái Jiēdào</v>
      </c>
      <c r="D80" t="s">
        <v>2124</v>
      </c>
      <c r="E80" t="s">
        <v>7</v>
      </c>
      <c r="F80" t="str">
        <f>_xlfn.CONCAT(D80,", ",H80,", ",I80,", ","山东省")</f>
        <v>北宅街道, 崂山区, 青岛市, 山东省</v>
      </c>
      <c r="G80">
        <v>27109</v>
      </c>
      <c r="H80" t="s">
        <v>3730</v>
      </c>
      <c r="I80" t="s">
        <v>3724</v>
      </c>
      <c r="J80">
        <f>VLOOKUP(F80,[1]!china_towns_second__2[[Column1]:[Y]],3,FALSE)</f>
        <v>36.219250945123598</v>
      </c>
      <c r="K80">
        <f>VLOOKUP(F80,[1]!china_towns_second__2[[Column1]:[Y]],2,FALSE)</f>
        <v>120.5538789</v>
      </c>
      <c r="L80" t="s">
        <v>4918</v>
      </c>
      <c r="M80" t="str">
        <f>VLOOKUP(H80,CHOOSE({1,2},Table17[Native],Table17[Name]),2,0)</f>
        <v>Láoshān Qū</v>
      </c>
      <c r="N80" s="15" t="str">
        <f>VLOOKUP(I80,CHOOSE({1,2},Table17[Native],Table17[Name]),2,0)</f>
        <v>Qīngdăo Shì</v>
      </c>
      <c r="O80" s="15" t="str">
        <f t="shared" si="2"/>
        <v>Beizhai Jiedao (Qīngdăo Shì)</v>
      </c>
      <c r="P80" s="15" t="str">
        <f t="shared" si="3"/>
        <v>Beizhai Jiedao (Qīngdăo Shì)</v>
      </c>
    </row>
    <row r="81" spans="1:16" hidden="1" x14ac:dyDescent="0.25">
      <c r="A81" t="s">
        <v>5</v>
      </c>
      <c r="B81" t="str">
        <f>IF(COUNTIF(A:A,A81)&gt;1,_xlfn.CONCAT(A81," (",N81,")"),A81)</f>
        <v>Bĕizhèn Jiēdào</v>
      </c>
      <c r="C81" t="str">
        <f>IF(COUNTIF(B:B,B81)&gt;1,_xlfn.CONCAT(A81," (",M81,")"),B81)</f>
        <v>Bĕizhèn Jiēdào</v>
      </c>
      <c r="D81" t="s">
        <v>6</v>
      </c>
      <c r="E81" t="s">
        <v>7</v>
      </c>
      <c r="F81" t="str">
        <f>_xlfn.CONCAT(D81,", ",H81,", ",I81,", ","山东省")</f>
        <v>北镇街道, 滨城区, 滨州市, 山东省</v>
      </c>
      <c r="G81">
        <v>44276</v>
      </c>
      <c r="H81" t="s">
        <v>3632</v>
      </c>
      <c r="I81" t="s">
        <v>3630</v>
      </c>
      <c r="J81">
        <f>VLOOKUP(F81,[1]!china_towns_second__2[[Column1]:[Y]],3,FALSE)</f>
        <v>37.375054751974702</v>
      </c>
      <c r="K81">
        <f>VLOOKUP(F81,[1]!china_towns_second__2[[Column1]:[Y]],2,FALSE)</f>
        <v>118.0425352</v>
      </c>
      <c r="L81" t="s">
        <v>4919</v>
      </c>
      <c r="M81" t="str">
        <f>VLOOKUP(H81,CHOOSE({1,2},Table17[Native],Table17[Name]),2,0)</f>
        <v>Bīnchéng Qū</v>
      </c>
      <c r="N81" s="15" t="str">
        <f>VLOOKUP(I81,CHOOSE({1,2},Table17[Native],Table17[Name]),2,0)</f>
        <v>Bīnzhōu Shì</v>
      </c>
      <c r="O81" s="15" t="str">
        <f t="shared" si="2"/>
        <v>Beizhen Jiedao (Bīnzhōu Shì)</v>
      </c>
      <c r="P81" s="15" t="str">
        <f t="shared" si="3"/>
        <v>Beizhen Jiedao (Bīnzhōu Shì)</v>
      </c>
    </row>
    <row r="82" spans="1:16" hidden="1" x14ac:dyDescent="0.25">
      <c r="A82" t="s">
        <v>3349</v>
      </c>
      <c r="B82" t="str">
        <f>IF(COUNTIF(A:A,A82)&gt;1,_xlfn.CONCAT(A82," (",N82,")"),A82)</f>
        <v>Bĕizhuāng Zhèn</v>
      </c>
      <c r="C82" t="str">
        <f>IF(COUNTIF(B:B,B82)&gt;1,_xlfn.CONCAT(A82," (",M82,")"),B82)</f>
        <v>Bĕizhuāng Zhèn</v>
      </c>
      <c r="D82" t="s">
        <v>3350</v>
      </c>
      <c r="E82" t="s">
        <v>13</v>
      </c>
      <c r="F82" t="str">
        <f>_xlfn.CONCAT(D82,", ",H82,", ",I82,", ","山东省")</f>
        <v>北庄镇, 山亭区, 枣庄市, 山东省</v>
      </c>
      <c r="G82">
        <v>38827</v>
      </c>
      <c r="H82" t="s">
        <v>3785</v>
      </c>
      <c r="I82" t="s">
        <v>3784</v>
      </c>
      <c r="J82">
        <f>VLOOKUP(F82,[1]!china_towns_second__2[[Column1]:[Y]],3,FALSE)</f>
        <v>34.993472301964097</v>
      </c>
      <c r="K82">
        <f>VLOOKUP(F82,[1]!china_towns_second__2[[Column1]:[Y]],2,FALSE)</f>
        <v>117.6523504</v>
      </c>
      <c r="L82" t="s">
        <v>4920</v>
      </c>
      <c r="M82" t="str">
        <f>VLOOKUP(H82,CHOOSE({1,2},Table17[Native],Table17[Name]),2,0)</f>
        <v>Shāntíng Qū</v>
      </c>
      <c r="N82" s="15" t="str">
        <f>VLOOKUP(I82,CHOOSE({1,2},Table17[Native],Table17[Name]),2,0)</f>
        <v>Zăozhuāng Shì</v>
      </c>
      <c r="O82" s="15" t="str">
        <f t="shared" si="2"/>
        <v>Beizhuang Zhen (Zăozhuāng Shì)</v>
      </c>
      <c r="P82" s="15" t="str">
        <f t="shared" si="3"/>
        <v>Beizhuang Zhen (Zăozhuāng Shì)</v>
      </c>
    </row>
    <row r="83" spans="1:16" hidden="1" x14ac:dyDescent="0.25">
      <c r="A83" t="s">
        <v>216</v>
      </c>
      <c r="B83" t="str">
        <f>IF(COUNTIF(A:A,A83)&gt;1,_xlfn.CONCAT(A83," (",N83,")"),A83)</f>
        <v>Biānlín Zhèn</v>
      </c>
      <c r="C83" t="str">
        <f>IF(COUNTIF(B:B,B83)&gt;1,_xlfn.CONCAT(A83," (",M83,")"),B83)</f>
        <v>Biānlín Zhèn</v>
      </c>
      <c r="D83" t="s">
        <v>217</v>
      </c>
      <c r="E83" t="s">
        <v>13</v>
      </c>
      <c r="F83" t="str">
        <f>_xlfn.CONCAT(D83,", ",H83,", ",I83,", ","山东省")</f>
        <v>边临镇, 陵城区, 德州市, 山东省</v>
      </c>
      <c r="G83">
        <v>26475</v>
      </c>
      <c r="H83" t="s">
        <v>3645</v>
      </c>
      <c r="I83" t="s">
        <v>3642</v>
      </c>
      <c r="J83">
        <f>VLOOKUP(F83,[1]!china_towns_second__2[[Column1]:[Y]],3,FALSE)</f>
        <v>37.434152589977103</v>
      </c>
      <c r="K83">
        <f>VLOOKUP(F83,[1]!china_towns_second__2[[Column1]:[Y]],2,FALSE)</f>
        <v>116.54168540000001</v>
      </c>
      <c r="L83" t="s">
        <v>4921</v>
      </c>
      <c r="M83" t="str">
        <f>VLOOKUP(H83,CHOOSE({1,2},Table17[Native],Table17[Name]),2,0)</f>
        <v>Língchéng Qū</v>
      </c>
      <c r="N83" s="15" t="str">
        <f>VLOOKUP(I83,CHOOSE({1,2},Table17[Native],Table17[Name]),2,0)</f>
        <v>Dézhōu Shì</v>
      </c>
      <c r="O83" s="15" t="str">
        <f t="shared" si="2"/>
        <v>Bianlin Zhen (Dézhōu Shì)</v>
      </c>
      <c r="P83" s="15" t="str">
        <f t="shared" si="3"/>
        <v>Bianlin Zhen (Dézhōu Shì)</v>
      </c>
    </row>
    <row r="84" spans="1:16" hidden="1" x14ac:dyDescent="0.25">
      <c r="A84" t="s">
        <v>1816</v>
      </c>
      <c r="B84" t="str">
        <f>IF(COUNTIF(A:A,A84)&gt;1,_xlfn.CONCAT(A84," (",N84,")"),A84)</f>
        <v>Biànqiáo Zhèn [incl. Zīqiū Zhèn]</v>
      </c>
      <c r="C84" t="str">
        <f>IF(COUNTIF(B:B,B84)&gt;1,_xlfn.CONCAT(A84," (",M84,")"),B84)</f>
        <v>Biànqiáo Zhèn [incl. Zīqiū Zhèn]</v>
      </c>
      <c r="D84" t="s">
        <v>1817</v>
      </c>
      <c r="E84" t="s">
        <v>13</v>
      </c>
      <c r="F84" t="str">
        <f>_xlfn.CONCAT(D84,", ",H84,", ",I84,", ","山东省")</f>
        <v>卞桥镇, 平邑县, 临沂市, 山东省</v>
      </c>
      <c r="G84">
        <v>69175</v>
      </c>
      <c r="H84" t="s">
        <v>3719</v>
      </c>
      <c r="I84" t="s">
        <v>3710</v>
      </c>
      <c r="J84">
        <f>VLOOKUP(F84,[1]!china_towns_second__2[[Column1]:[Y]],3,FALSE)</f>
        <v>35.449292317464497</v>
      </c>
      <c r="K84">
        <f>VLOOKUP(F84,[1]!china_towns_second__2[[Column1]:[Y]],2,FALSE)</f>
        <v>117.8612461</v>
      </c>
      <c r="L84" t="s">
        <v>4922</v>
      </c>
      <c r="M84" t="str">
        <f>VLOOKUP(H84,CHOOSE({1,2},Table17[Native],Table17[Name]),2,0)</f>
        <v>Píngyì Xiàn</v>
      </c>
      <c r="N84" s="15" t="str">
        <f>VLOOKUP(I84,CHOOSE({1,2},Table17[Native],Table17[Name]),2,0)</f>
        <v>Línyí Shì</v>
      </c>
      <c r="O84" s="15" t="str">
        <f t="shared" si="2"/>
        <v>Bianqiao Zhen [incl. Ziqiu Zhen] (Línyí Shì)</v>
      </c>
      <c r="P84" s="15" t="str">
        <f t="shared" si="3"/>
        <v>Bianqiao Zhen [incl. Ziqiu Zhen] (Línyí Shì)</v>
      </c>
    </row>
    <row r="85" spans="1:16" hidden="1" x14ac:dyDescent="0.25">
      <c r="A85" t="s">
        <v>2509</v>
      </c>
      <c r="B85" t="str">
        <f>IF(COUNTIF(A:A,A85)&gt;1,_xlfn.CONCAT(A85," (",N85,")"),A85)</f>
        <v>Biānyuàn Zhèn</v>
      </c>
      <c r="C85" t="str">
        <f>IF(COUNTIF(B:B,B85)&gt;1,_xlfn.CONCAT(A85," (",M85,")"),B85)</f>
        <v>Biānyuàn Zhèn</v>
      </c>
      <c r="D85" t="s">
        <v>2510</v>
      </c>
      <c r="E85" t="s">
        <v>13</v>
      </c>
      <c r="F85" t="str">
        <f>_xlfn.CONCAT(D85,", ",H85,", ",I85,", ","山东省")</f>
        <v>边院镇, 肥城市, 泰安市, 山东省</v>
      </c>
      <c r="G85">
        <v>73473</v>
      </c>
      <c r="H85" t="s">
        <v>3746</v>
      </c>
      <c r="I85" t="s">
        <v>3743</v>
      </c>
      <c r="J85">
        <f>VLOOKUP(F85,[1]!china_towns_second__2[[Column1]:[Y]],3,FALSE)</f>
        <v>36.028693730785797</v>
      </c>
      <c r="K85">
        <f>VLOOKUP(F85,[1]!china_towns_second__2[[Column1]:[Y]],2,FALSE)</f>
        <v>116.8942965</v>
      </c>
      <c r="L85" t="s">
        <v>4923</v>
      </c>
      <c r="M85" t="str">
        <f>VLOOKUP(H85,CHOOSE({1,2},Table17[Native],Table17[Name]),2,0)</f>
        <v>Féichéng Shì</v>
      </c>
      <c r="N85" s="15" t="str">
        <f>VLOOKUP(I85,CHOOSE({1,2},Table17[Native],Table17[Name]),2,0)</f>
        <v>Tài'ān Shì</v>
      </c>
      <c r="O85" s="15" t="str">
        <f t="shared" si="2"/>
        <v>Bianyuan Zhen (Tài'ān Shì)</v>
      </c>
      <c r="P85" s="15" t="str">
        <f t="shared" si="3"/>
        <v>Bianyuan Zhen (Tài'ān Shì)</v>
      </c>
    </row>
    <row r="86" spans="1:16" hidden="1" x14ac:dyDescent="0.25">
      <c r="A86" t="s">
        <v>1818</v>
      </c>
      <c r="B86" t="str">
        <f>IF(COUNTIF(A:A,A86)&gt;1,_xlfn.CONCAT(A86," (",N86,")"),A86)</f>
        <v>Biànzhuāng Jiēdào</v>
      </c>
      <c r="C86" t="str">
        <f>IF(COUNTIF(B:B,B86)&gt;1,_xlfn.CONCAT(A86," (",M86,")"),B86)</f>
        <v>Biànzhuāng Jiēdào</v>
      </c>
      <c r="D86" t="s">
        <v>1819</v>
      </c>
      <c r="E86" t="s">
        <v>7</v>
      </c>
      <c r="F86" t="str">
        <f>_xlfn.CONCAT(D86,", ",H86,", ",I86,", ","山东省")</f>
        <v>卞庄街道, 兰陵县, 临沂市, 山东省</v>
      </c>
      <c r="G86">
        <v>223162</v>
      </c>
      <c r="H86" t="s">
        <v>3714</v>
      </c>
      <c r="I86" t="s">
        <v>3710</v>
      </c>
      <c r="J86">
        <f>VLOOKUP(F86,[1]!china_towns_second__2[[Column1]:[Y]],3,FALSE)</f>
        <v>34.841792477681302</v>
      </c>
      <c r="K86">
        <f>VLOOKUP(F86,[1]!china_towns_second__2[[Column1]:[Y]],2,FALSE)</f>
        <v>118.0465002</v>
      </c>
      <c r="L86" t="s">
        <v>4924</v>
      </c>
      <c r="M86" t="str">
        <f>VLOOKUP(H86,CHOOSE({1,2},Table17[Native],Table17[Name]),2,0)</f>
        <v>Lánlíng Xiàn</v>
      </c>
      <c r="N86" s="15" t="str">
        <f>VLOOKUP(I86,CHOOSE({1,2},Table17[Native],Table17[Name]),2,0)</f>
        <v>Línyí Shì</v>
      </c>
      <c r="O86" s="15" t="str">
        <f t="shared" si="2"/>
        <v>Bianzhuang Jiedao (Línyí Shì)</v>
      </c>
      <c r="P86" s="15" t="str">
        <f t="shared" si="3"/>
        <v>Bianzhuang Jiedao (Línyí Shì)</v>
      </c>
    </row>
    <row r="87" spans="1:16" hidden="1" x14ac:dyDescent="0.25">
      <c r="A87" t="s">
        <v>218</v>
      </c>
      <c r="B87" t="str">
        <f>IF(COUNTIF(A:A,A87)&gt;1,_xlfn.CONCAT(A87," (",N87,")"),A87)</f>
        <v>Biăobáisì Zhèn</v>
      </c>
      <c r="C87" t="str">
        <f>IF(COUNTIF(B:B,B87)&gt;1,_xlfn.CONCAT(A87," (",M87,")"),B87)</f>
        <v>Biăobáisì Zhèn</v>
      </c>
      <c r="D87" t="s">
        <v>219</v>
      </c>
      <c r="E87" t="s">
        <v>13</v>
      </c>
      <c r="F87" t="str">
        <f>_xlfn.CONCAT(D87,", ",H87,", ",I87,", ","山东省")</f>
        <v>表白寺镇, 齐河县, 德州市, 山东省</v>
      </c>
      <c r="G87">
        <v>26972</v>
      </c>
      <c r="H87" t="s">
        <v>3649</v>
      </c>
      <c r="I87" t="s">
        <v>3642</v>
      </c>
      <c r="J87">
        <f>VLOOKUP(F87,[1]!china_towns_second__2[[Column1]:[Y]],3,FALSE)</f>
        <v>36.868893307664798</v>
      </c>
      <c r="K87">
        <f>VLOOKUP(F87,[1]!china_towns_second__2[[Column1]:[Y]],2,FALSE)</f>
        <v>116.9095112</v>
      </c>
      <c r="L87" t="s">
        <v>4925</v>
      </c>
      <c r="M87" t="str">
        <f>VLOOKUP(H87,CHOOSE({1,2},Table17[Native],Table17[Name]),2,0)</f>
        <v>Qíhé Xiàn</v>
      </c>
      <c r="N87" s="15" t="str">
        <f>VLOOKUP(I87,CHOOSE({1,2},Table17[Native],Table17[Name]),2,0)</f>
        <v>Dézhōu Shì</v>
      </c>
      <c r="O87" s="15" t="str">
        <f t="shared" si="2"/>
        <v>Biaobaisi Zhen (Dézhōu Shì)</v>
      </c>
      <c r="P87" s="15" t="str">
        <f t="shared" si="3"/>
        <v>Biaobaisi Zhen (Dézhōu Shì)</v>
      </c>
    </row>
    <row r="88" spans="1:16" hidden="1" x14ac:dyDescent="0.25">
      <c r="A88" t="s">
        <v>3055</v>
      </c>
      <c r="B88" t="str">
        <f>IF(COUNTIF(A:A,A88)&gt;1,_xlfn.CONCAT(A88," (",N88,")"),A88)</f>
        <v>Bìguō Zhèn</v>
      </c>
      <c r="C88" t="str">
        <f>IF(COUNTIF(B:B,B88)&gt;1,_xlfn.CONCAT(A88," (",M88,")"),B88)</f>
        <v>Bìguō Zhèn</v>
      </c>
      <c r="D88" t="s">
        <v>3056</v>
      </c>
      <c r="E88" t="s">
        <v>13</v>
      </c>
      <c r="F88" t="str">
        <f>_xlfn.CONCAT(D88,", ",H88,", ",I88,", ","山东省")</f>
        <v>毕郭镇, 招远市, 烟台市, 山东省</v>
      </c>
      <c r="G88">
        <v>30845</v>
      </c>
      <c r="H88" t="s">
        <v>3781</v>
      </c>
      <c r="I88" t="s">
        <v>3771</v>
      </c>
      <c r="J88">
        <f>VLOOKUP(F88,[1]!china_towns_second__2[[Column1]:[Y]],3,FALSE)</f>
        <v>37.186195645344803</v>
      </c>
      <c r="K88">
        <f>VLOOKUP(F88,[1]!china_towns_second__2[[Column1]:[Y]],2,FALSE)</f>
        <v>120.50588949999999</v>
      </c>
      <c r="L88" t="s">
        <v>4926</v>
      </c>
      <c r="M88" t="str">
        <f>VLOOKUP(H88,CHOOSE({1,2},Table17[Native],Table17[Name]),2,0)</f>
        <v>Zhāoyuăn Shì</v>
      </c>
      <c r="N88" s="15" t="str">
        <f>VLOOKUP(I88,CHOOSE({1,2},Table17[Native],Table17[Name]),2,0)</f>
        <v>Yāntái Shì</v>
      </c>
      <c r="O88" s="15" t="str">
        <f t="shared" si="2"/>
        <v>Biguo Zhen (Yāntái Shì)</v>
      </c>
      <c r="P88" s="15" t="str">
        <f t="shared" si="3"/>
        <v>Biguo Zhen (Yāntái Shì)</v>
      </c>
    </row>
    <row r="89" spans="1:16" hidden="1" x14ac:dyDescent="0.25">
      <c r="A89" t="s">
        <v>9</v>
      </c>
      <c r="B89" t="str">
        <f>IF(COUNTIF(A:A,A89)&gt;1,_xlfn.CONCAT(A89," (",N89,")"),A89)</f>
        <v>Bīnbĕi Jiēdào</v>
      </c>
      <c r="C89" t="str">
        <f>IF(COUNTIF(B:B,B89)&gt;1,_xlfn.CONCAT(A89," (",M89,")"),B89)</f>
        <v>Bīnbĕi Jiēdào</v>
      </c>
      <c r="D89" t="s">
        <v>10</v>
      </c>
      <c r="E89" t="s">
        <v>7</v>
      </c>
      <c r="F89" t="str">
        <f>_xlfn.CONCAT(D89,", ",H89,", ",I89,", ","山东省")</f>
        <v>滨北街道, 滨城区, 滨州市, 山东省</v>
      </c>
      <c r="G89">
        <v>69105</v>
      </c>
      <c r="H89" t="s">
        <v>3632</v>
      </c>
      <c r="I89" t="s">
        <v>3630</v>
      </c>
      <c r="J89">
        <f>VLOOKUP(F89,[1]!china_towns_second__2[[Column1]:[Y]],3,FALSE)</f>
        <v>37.517381716562497</v>
      </c>
      <c r="K89">
        <f>VLOOKUP(F89,[1]!china_towns_second__2[[Column1]:[Y]],2,FALSE)</f>
        <v>117.96752189999999</v>
      </c>
      <c r="L89" t="s">
        <v>4927</v>
      </c>
      <c r="M89" t="str">
        <f>VLOOKUP(H89,CHOOSE({1,2},Table17[Native],Table17[Name]),2,0)</f>
        <v>Bīnchéng Qū</v>
      </c>
      <c r="N89" s="15" t="str">
        <f>VLOOKUP(I89,CHOOSE({1,2},Table17[Native],Table17[Name]),2,0)</f>
        <v>Bīnzhōu Shì</v>
      </c>
      <c r="O89" s="15" t="str">
        <f t="shared" si="2"/>
        <v>Binbei Jiedao (Bīnzhōu Shì)</v>
      </c>
      <c r="P89" s="15" t="str">
        <f t="shared" si="3"/>
        <v>Binbei Jiedao (Bīnzhōu Shì)</v>
      </c>
    </row>
    <row r="90" spans="1:16" hidden="1" x14ac:dyDescent="0.25">
      <c r="A90" t="s">
        <v>2126</v>
      </c>
      <c r="B90" t="str">
        <f>IF(COUNTIF(A:A,A90)&gt;1,_xlfn.CONCAT(A90," (",N90,")"),A90)</f>
        <v>Bīnhăi Jiēdào</v>
      </c>
      <c r="C90" t="str">
        <f>IF(COUNTIF(B:B,B90)&gt;1,_xlfn.CONCAT(A90," (",M90,")"),B90)</f>
        <v>Bīnhăi Jiēdào</v>
      </c>
      <c r="D90" t="s">
        <v>2127</v>
      </c>
      <c r="E90" t="s">
        <v>7</v>
      </c>
      <c r="F90" t="str">
        <f>_xlfn.CONCAT(D90,", ",H90,", ",I90,", ","山东省")</f>
        <v>滨海街道, 黄岛区, 青岛市, 山东省</v>
      </c>
      <c r="G90">
        <v>51494</v>
      </c>
      <c r="H90" t="s">
        <v>3726</v>
      </c>
      <c r="I90" t="s">
        <v>3724</v>
      </c>
      <c r="J90">
        <f>VLOOKUP(F90,[1]!china_towns_second__2[[Column1]:[Y]],3,FALSE)</f>
        <v>35.786077776859898</v>
      </c>
      <c r="K90">
        <f>VLOOKUP(F90,[1]!china_towns_second__2[[Column1]:[Y]],2,FALSE)</f>
        <v>119.9838488</v>
      </c>
      <c r="L90" t="s">
        <v>4928</v>
      </c>
      <c r="M90" t="str">
        <f>VLOOKUP(H90,CHOOSE({1,2},Table17[Native],Table17[Name]),2,0)</f>
        <v>Huángdăo Qū</v>
      </c>
      <c r="N90" s="15" t="str">
        <f>VLOOKUP(I90,CHOOSE({1,2},Table17[Native],Table17[Name]),2,0)</f>
        <v>Qīngdăo Shì</v>
      </c>
      <c r="O90" s="15" t="str">
        <f t="shared" si="2"/>
        <v>Binhai Jiedao (Qīngdăo Shì)</v>
      </c>
      <c r="P90" s="15" t="str">
        <f t="shared" si="3"/>
        <v>Binhai Jiedao (Qīngdăo Shì)</v>
      </c>
    </row>
    <row r="91" spans="1:16" hidden="1" x14ac:dyDescent="0.25">
      <c r="A91" t="s">
        <v>11</v>
      </c>
      <c r="B91" t="str">
        <f>IF(COUNTIF(A:A,A91)&gt;1,_xlfn.CONCAT(A91," (",N91,")"),A91)</f>
        <v>Bīnhăi Zhèn</v>
      </c>
      <c r="C91" t="str">
        <f>IF(COUNTIF(B:B,B91)&gt;1,_xlfn.CONCAT(A91," (",M91,")"),B91)</f>
        <v>Bīnhăi Zhèn</v>
      </c>
      <c r="D91" t="s">
        <v>12</v>
      </c>
      <c r="E91" t="s">
        <v>13</v>
      </c>
      <c r="F91" t="str">
        <f>_xlfn.CONCAT(D91,", ",H91,", ",I91,", ","山东省")</f>
        <v>滨海镇, 沾化区, 滨州市, 山东省</v>
      </c>
      <c r="G91">
        <v>8639</v>
      </c>
      <c r="H91" t="s">
        <v>3638</v>
      </c>
      <c r="I91" t="s">
        <v>3630</v>
      </c>
      <c r="J91">
        <f>VLOOKUP(F91,[1]!china_towns_second__2[[Column1]:[Y]],3,FALSE)</f>
        <v>38.003277770815203</v>
      </c>
      <c r="K91">
        <f>VLOOKUP(F91,[1]!china_towns_second__2[[Column1]:[Y]],2,FALSE)</f>
        <v>118.14169560000001</v>
      </c>
      <c r="L91" t="s">
        <v>4929</v>
      </c>
      <c r="M91" t="str">
        <f>VLOOKUP(H91,CHOOSE({1,2},Table17[Native],Table17[Name]),2,0)</f>
        <v>Zhānhuà Qū</v>
      </c>
      <c r="N91" s="15" t="str">
        <f>VLOOKUP(I91,CHOOSE({1,2},Table17[Native],Table17[Name]),2,0)</f>
        <v>Bīnzhōu Shì</v>
      </c>
      <c r="O91" s="15" t="str">
        <f t="shared" si="2"/>
        <v>Binhai Zhen (Bīnzhōu Shì)</v>
      </c>
      <c r="P91" s="15" t="str">
        <f t="shared" si="3"/>
        <v>Binhai Zhen (Bīnzhōu Shì)</v>
      </c>
    </row>
    <row r="92" spans="1:16" hidden="1" x14ac:dyDescent="0.25">
      <c r="A92" t="s">
        <v>3058</v>
      </c>
      <c r="B92" t="str">
        <f>IF(COUNTIF(A:A,A92)&gt;1,_xlfn.CONCAT(A92," (",N92,")"),A92)</f>
        <v>Bīnhăilù Jiēdào</v>
      </c>
      <c r="C92" t="str">
        <f>IF(COUNTIF(B:B,B92)&gt;1,_xlfn.CONCAT(A92," (",M92,")"),B92)</f>
        <v>Bīnhăilù Jiēdào</v>
      </c>
      <c r="D92" t="s">
        <v>3059</v>
      </c>
      <c r="E92" t="s">
        <v>7</v>
      </c>
      <c r="F92" t="str">
        <f>_xlfn.CONCAT(D92,", ",H92,", ",I92,", ","山东省")</f>
        <v>滨海路街道, 莱山区, 烟台市, 山东省</v>
      </c>
      <c r="G92">
        <v>55992</v>
      </c>
      <c r="H92" t="s">
        <v>3774</v>
      </c>
      <c r="I92" t="s">
        <v>3771</v>
      </c>
      <c r="J92">
        <f>VLOOKUP(F92,[1]!china_towns_second__2[[Column1]:[Y]],3,FALSE)</f>
        <v>37.441968231539697</v>
      </c>
      <c r="K92">
        <f>VLOOKUP(F92,[1]!china_towns_second__2[[Column1]:[Y]],2,FALSE)</f>
        <v>121.4574532</v>
      </c>
      <c r="L92" t="s">
        <v>4930</v>
      </c>
      <c r="M92" t="str">
        <f>VLOOKUP(H92,CHOOSE({1,2},Table17[Native],Table17[Name]),2,0)</f>
        <v>Láishān Qū</v>
      </c>
      <c r="N92" s="15" t="str">
        <f>VLOOKUP(I92,CHOOSE({1,2},Table17[Native],Table17[Name]),2,0)</f>
        <v>Yāntái Shì</v>
      </c>
      <c r="O92" s="15" t="str">
        <f t="shared" si="2"/>
        <v>Binhailu Jiedao (Yāntái Shì)</v>
      </c>
      <c r="P92" s="15" t="str">
        <f t="shared" si="3"/>
        <v>Binhailu Jiedao (Yāntái Shì)</v>
      </c>
    </row>
    <row r="93" spans="1:16" hidden="1" x14ac:dyDescent="0.25">
      <c r="A93" t="s">
        <v>583</v>
      </c>
      <c r="B93" t="str">
        <f>IF(COUNTIF(A:A,A93)&gt;1,_xlfn.CONCAT(A93," (",N93,")"),A93)</f>
        <v>Bīnhé Jiēdào</v>
      </c>
      <c r="C93" t="str">
        <f>IF(COUNTIF(B:B,B93)&gt;1,_xlfn.CONCAT(A93," (",M93,")"),B93)</f>
        <v>Bīnhé Jiēdào</v>
      </c>
      <c r="D93" t="s">
        <v>584</v>
      </c>
      <c r="E93" t="s">
        <v>7</v>
      </c>
      <c r="F93" t="str">
        <f>_xlfn.CONCAT(D93,", ",H93,", ",I93,", ","山东省")</f>
        <v>滨河街道, 定陶区, 菏泽市, 山东省</v>
      </c>
      <c r="G93">
        <v>57909</v>
      </c>
      <c r="H93" t="s">
        <v>3665</v>
      </c>
      <c r="I93" t="s">
        <v>3662</v>
      </c>
      <c r="J93">
        <f>VLOOKUP(F93,[1]!china_towns_second__2[[Column1]:[Y]],3,FALSE)</f>
        <v>35.096116330686598</v>
      </c>
      <c r="K93">
        <f>VLOOKUP(F93,[1]!china_towns_second__2[[Column1]:[Y]],2,FALSE)</f>
        <v>115.6040088</v>
      </c>
      <c r="L93" t="s">
        <v>4931</v>
      </c>
      <c r="M93" t="str">
        <f>VLOOKUP(H93,CHOOSE({1,2},Table17[Native],Table17[Name]),2,0)</f>
        <v>Dìngtáo Qū</v>
      </c>
      <c r="N93" s="15" t="str">
        <f>VLOOKUP(I93,CHOOSE({1,2},Table17[Native],Table17[Name]),2,0)</f>
        <v>Hézé Shì</v>
      </c>
      <c r="O93" s="15" t="str">
        <f t="shared" si="2"/>
        <v>Binhe Jiedao (Hézé Shì)</v>
      </c>
      <c r="P93" s="15" t="str">
        <f t="shared" si="3"/>
        <v>Binhe Jiedao (Hézé Shì)</v>
      </c>
    </row>
    <row r="94" spans="1:16" hidden="1" x14ac:dyDescent="0.25">
      <c r="A94" t="s">
        <v>2128</v>
      </c>
      <c r="B94" t="str">
        <f>IF(COUNTIF(A:A,A94)&gt;1,_xlfn.CONCAT(A94," (",N94,")"),A94)</f>
        <v>Bīnhélù Jiēdào</v>
      </c>
      <c r="C94" t="str">
        <f>IF(COUNTIF(B:B,B94)&gt;1,_xlfn.CONCAT(A94," (",M94,")"),B94)</f>
        <v>Bīnhélù Jiēdào</v>
      </c>
      <c r="D94" t="s">
        <v>2129</v>
      </c>
      <c r="E94" t="s">
        <v>7</v>
      </c>
      <c r="F94" t="str">
        <f>_xlfn.CONCAT(D94,", ",H94,", ",I94,", ","山东省")</f>
        <v>滨河路街道, 莱西市, 青岛市, 山东省</v>
      </c>
      <c r="G94">
        <v>40277</v>
      </c>
      <c r="H94" t="s">
        <v>3729</v>
      </c>
      <c r="I94" t="s">
        <v>3724</v>
      </c>
      <c r="J94" t="e">
        <f>VLOOKUP(F94,[1]!china_towns_second__2[[Column1]:[Y]],3,FALSE)</f>
        <v>#N/A</v>
      </c>
      <c r="K94" t="e">
        <f>VLOOKUP(F94,[1]!china_towns_second__2[[Column1]:[Y]],2,FALSE)</f>
        <v>#N/A</v>
      </c>
      <c r="L94" t="s">
        <v>4932</v>
      </c>
      <c r="M94" t="str">
        <f>VLOOKUP(H94,CHOOSE({1,2},Table17[Native],Table17[Name]),2,0)</f>
        <v>Láixī Shì</v>
      </c>
      <c r="N94" s="15" t="str">
        <f>VLOOKUP(I94,CHOOSE({1,2},Table17[Native],Table17[Name]),2,0)</f>
        <v>Qīngdăo Shì</v>
      </c>
      <c r="O94" s="15" t="str">
        <f t="shared" si="2"/>
        <v>Binhelu Jiedao (Qīngdăo Shì)</v>
      </c>
      <c r="P94" s="15" t="str">
        <f t="shared" si="3"/>
        <v>Binhelu Jiedao (Qīngdăo Shì)</v>
      </c>
    </row>
    <row r="95" spans="1:16" hidden="1" x14ac:dyDescent="0.25">
      <c r="A95" t="s">
        <v>1237</v>
      </c>
      <c r="B95" t="str">
        <f>IF(COUNTIF(A:A,A95)&gt;1,_xlfn.CONCAT(A95," (",N95,")"),A95)</f>
        <v>Bīnhú Jiēdào</v>
      </c>
      <c r="C95" t="str">
        <f>IF(COUNTIF(B:B,B95)&gt;1,_xlfn.CONCAT(A95," (",M95,")"),B95)</f>
        <v>Bīnhú Jiēdào</v>
      </c>
      <c r="D95" t="s">
        <v>1238</v>
      </c>
      <c r="E95" t="s">
        <v>7</v>
      </c>
      <c r="F95" t="str">
        <f>_xlfn.CONCAT(D95,", ",H95,", ",I95,", ","山东省")</f>
        <v>滨湖街道, 鱼台县, 济宁市, 山东省</v>
      </c>
      <c r="G95">
        <v>48710</v>
      </c>
      <c r="H95" t="s">
        <v>3697</v>
      </c>
      <c r="I95" t="s">
        <v>3687</v>
      </c>
      <c r="J95">
        <f>VLOOKUP(F95,[1]!china_towns_second__2[[Column1]:[Y]],3,FALSE)</f>
        <v>35.016873097739698</v>
      </c>
      <c r="K95">
        <f>VLOOKUP(F95,[1]!china_towns_second__2[[Column1]:[Y]],2,FALSE)</f>
        <v>116.66500379999999</v>
      </c>
      <c r="L95" t="s">
        <v>4933</v>
      </c>
      <c r="M95" t="str">
        <f>VLOOKUP(H95,CHOOSE({1,2},Table17[Native],Table17[Name]),2,0)</f>
        <v>Yútái Xiàn</v>
      </c>
      <c r="N95" s="15" t="str">
        <f>VLOOKUP(I95,CHOOSE({1,2},Table17[Native],Table17[Name]),2,0)</f>
        <v>Jìníng Shì</v>
      </c>
      <c r="O95" s="15" t="str">
        <f t="shared" si="2"/>
        <v>Binhu Jiedao (Jìníng Shì)</v>
      </c>
      <c r="P95" s="15" t="str">
        <f t="shared" si="3"/>
        <v>Binhu Jiedao (Jìníng Shì)</v>
      </c>
    </row>
    <row r="96" spans="1:16" hidden="1" x14ac:dyDescent="0.25">
      <c r="A96" t="s">
        <v>3352</v>
      </c>
      <c r="B96" t="str">
        <f>IF(COUNTIF(A:A,A96)&gt;1,_xlfn.CONCAT(A96," (",N96,")"),A96)</f>
        <v>Bīnhú Zhèn</v>
      </c>
      <c r="C96" t="str">
        <f>IF(COUNTIF(B:B,B96)&gt;1,_xlfn.CONCAT(A96," (",M96,")"),B96)</f>
        <v>Bīnhú Zhèn</v>
      </c>
      <c r="D96" t="s">
        <v>3353</v>
      </c>
      <c r="E96" t="s">
        <v>13</v>
      </c>
      <c r="F96" t="str">
        <f>_xlfn.CONCAT(D96,", ",H96,", ",I96,", ","山东省")</f>
        <v>滨湖镇, 滕州市, 枣庄市, 山东省</v>
      </c>
      <c r="G96">
        <v>95863</v>
      </c>
      <c r="H96" t="s">
        <v>3787</v>
      </c>
      <c r="I96" t="s">
        <v>3784</v>
      </c>
      <c r="J96">
        <f>VLOOKUP(F96,[1]!china_towns_second__2[[Column1]:[Y]],3,FALSE)</f>
        <v>35.119870349449897</v>
      </c>
      <c r="K96">
        <f>VLOOKUP(F96,[1]!china_towns_second__2[[Column1]:[Y]],2,FALSE)</f>
        <v>116.8956192</v>
      </c>
      <c r="L96" t="s">
        <v>4934</v>
      </c>
      <c r="M96" t="str">
        <f>VLOOKUP(H96,CHOOSE({1,2},Table17[Native],Table17[Name]),2,0)</f>
        <v>Téngzhōu Shì</v>
      </c>
      <c r="N96" s="15" t="str">
        <f>VLOOKUP(I96,CHOOSE({1,2},Table17[Native],Table17[Name]),2,0)</f>
        <v>Zăozhuāng Shì</v>
      </c>
      <c r="O96" s="15" t="str">
        <f t="shared" si="2"/>
        <v>Binhu Zhen (Zăozhuāng Shì)</v>
      </c>
      <c r="P96" s="15" t="str">
        <f t="shared" si="3"/>
        <v>Binhu Zhen (Zăozhuāng Shì)</v>
      </c>
    </row>
    <row r="97" spans="1:16" hidden="1" x14ac:dyDescent="0.25">
      <c r="A97" t="s">
        <v>15</v>
      </c>
      <c r="B97" t="str">
        <f>IF(COUNTIF(A:A,A97)&gt;1,_xlfn.CONCAT(A97," (",N97,")"),A97)</f>
        <v>Bóchāng Jiēdào</v>
      </c>
      <c r="C97" t="str">
        <f>IF(COUNTIF(B:B,B97)&gt;1,_xlfn.CONCAT(A97," (",M97,")"),B97)</f>
        <v>Bóchāng Jiēdào</v>
      </c>
      <c r="D97" t="s">
        <v>16</v>
      </c>
      <c r="E97" t="s">
        <v>7</v>
      </c>
      <c r="F97" t="str">
        <f>_xlfn.CONCAT(D97,", ",H97,", ",I97,", ","山东省")</f>
        <v>博昌街道, 博兴县, 滨州市, 山东省</v>
      </c>
      <c r="G97">
        <v>55458</v>
      </c>
      <c r="H97" t="s">
        <v>3634</v>
      </c>
      <c r="I97" t="s">
        <v>3630</v>
      </c>
      <c r="J97">
        <f>VLOOKUP(F97,[1]!china_towns_second__2[[Column1]:[Y]],3,FALSE)</f>
        <v>37.159711628557197</v>
      </c>
      <c r="K97">
        <f>VLOOKUP(F97,[1]!china_towns_second__2[[Column1]:[Y]],2,FALSE)</f>
        <v>118.0907935</v>
      </c>
      <c r="L97" t="s">
        <v>4935</v>
      </c>
      <c r="M97" t="str">
        <f>VLOOKUP(H97,CHOOSE({1,2},Table17[Native],Table17[Name]),2,0)</f>
        <v>Bóxīng Xiàn</v>
      </c>
      <c r="N97" s="15" t="str">
        <f>VLOOKUP(I97,CHOOSE({1,2},Table17[Native],Table17[Name]),2,0)</f>
        <v>Bīnzhōu Shì</v>
      </c>
      <c r="O97" s="15" t="str">
        <f t="shared" si="2"/>
        <v>Bochang Jiedao (Bīnzhōu Shì)</v>
      </c>
      <c r="P97" s="15" t="str">
        <f t="shared" si="3"/>
        <v>Bochang Jiedao (Bīnzhōu Shì)</v>
      </c>
    </row>
    <row r="98" spans="1:16" hidden="1" x14ac:dyDescent="0.25">
      <c r="A98" t="s">
        <v>220</v>
      </c>
      <c r="B98" t="str">
        <f>IF(COUNTIF(A:A,A98)&gt;1,_xlfn.CONCAT(A98," (",N98,")"),A98)</f>
        <v>Bóhăilù Jiēdào</v>
      </c>
      <c r="C98" t="str">
        <f>IF(COUNTIF(B:B,B98)&gt;1,_xlfn.CONCAT(A98," (",M98,")"),B98)</f>
        <v>Bóhăilù Jiēdào</v>
      </c>
      <c r="D98" t="s">
        <v>221</v>
      </c>
      <c r="E98" t="s">
        <v>7</v>
      </c>
      <c r="F98" t="str">
        <f>_xlfn.CONCAT(D98,", ",H98,", ",I98,", ","山东省")</f>
        <v>渤海路街道, 庆云县, 德州市, 山东省</v>
      </c>
      <c r="G98">
        <v>62560</v>
      </c>
      <c r="H98" t="s">
        <v>3650</v>
      </c>
      <c r="I98" t="s">
        <v>3642</v>
      </c>
      <c r="J98">
        <f>VLOOKUP(F98,[1]!china_towns_second__2[[Column1]:[Y]],3,FALSE)</f>
        <v>37.787780216759899</v>
      </c>
      <c r="K98">
        <f>VLOOKUP(F98,[1]!china_towns_second__2[[Column1]:[Y]],2,FALSE)</f>
        <v>117.38796019999999</v>
      </c>
      <c r="L98" t="s">
        <v>4936</v>
      </c>
      <c r="M98" t="str">
        <f>VLOOKUP(H98,CHOOSE({1,2},Table17[Native],Table17[Name]),2,0)</f>
        <v>Qìngyún Xiàn</v>
      </c>
      <c r="N98" s="15" t="str">
        <f>VLOOKUP(I98,CHOOSE({1,2},Table17[Native],Table17[Name]),2,0)</f>
        <v>Dézhōu Shì</v>
      </c>
      <c r="O98" s="15" t="str">
        <f t="shared" si="2"/>
        <v>Bohailu Jiedao (Dézhōu Shì)</v>
      </c>
      <c r="P98" s="15" t="str">
        <f t="shared" si="3"/>
        <v>Bohailu Jiedao (Dézhōu Shì)</v>
      </c>
    </row>
    <row r="99" spans="1:16" hidden="1" x14ac:dyDescent="0.25">
      <c r="A99" t="s">
        <v>1545</v>
      </c>
      <c r="B99" t="str">
        <f>IF(COUNTIF(A:A,A99)&gt;1,_xlfn.CONCAT(A99," (",N99,")"),A99)</f>
        <v>Bójìqiáo Jiēdào</v>
      </c>
      <c r="C99" t="str">
        <f>IF(COUNTIF(B:B,B99)&gt;1,_xlfn.CONCAT(A99," (",M99,")"),B99)</f>
        <v>Bójìqiáo Jiēdào</v>
      </c>
      <c r="D99" t="s">
        <v>1546</v>
      </c>
      <c r="E99" t="s">
        <v>7</v>
      </c>
      <c r="F99" t="str">
        <f>_xlfn.CONCAT(D99,", ",H99,", ",I99,", ","山东省")</f>
        <v>博济桥街道, 阳谷县, 聊城市, 山东省</v>
      </c>
      <c r="G99">
        <v>74194</v>
      </c>
      <c r="H99" t="s">
        <v>3708</v>
      </c>
      <c r="I99" t="s">
        <v>3700</v>
      </c>
      <c r="J99">
        <f>VLOOKUP(F99,[1]!china_towns_second__2[[Column1]:[Y]],3,FALSE)</f>
        <v>36.085071566861401</v>
      </c>
      <c r="K99">
        <f>VLOOKUP(F99,[1]!china_towns_second__2[[Column1]:[Y]],2,FALSE)</f>
        <v>115.8094072</v>
      </c>
      <c r="L99" t="s">
        <v>4937</v>
      </c>
      <c r="M99" t="str">
        <f>VLOOKUP(H99,CHOOSE({1,2},Table17[Native],Table17[Name]),2,0)</f>
        <v>Yánggŭ Xiàn</v>
      </c>
      <c r="N99" s="15" t="str">
        <f>VLOOKUP(I99,CHOOSE({1,2},Table17[Native],Table17[Name]),2,0)</f>
        <v>Liáochéng Shì</v>
      </c>
      <c r="O99" s="15" t="str">
        <f t="shared" si="2"/>
        <v>Bojiqiao Jiedao (Liáochéng Shì)</v>
      </c>
      <c r="P99" s="15" t="str">
        <f t="shared" si="3"/>
        <v>Bojiqiao Jiedao (Liáochéng Shì)</v>
      </c>
    </row>
    <row r="100" spans="1:16" hidden="1" x14ac:dyDescent="0.25">
      <c r="A100" t="s">
        <v>2131</v>
      </c>
      <c r="B100" t="str">
        <f>IF(COUNTIF(A:A,A100)&gt;1,_xlfn.CONCAT(A100," (",N100,")"),A100)</f>
        <v>Bólĭ Zhèn</v>
      </c>
      <c r="C100" t="str">
        <f>IF(COUNTIF(B:B,B100)&gt;1,_xlfn.CONCAT(A100," (",M100,")"),B100)</f>
        <v>Bólĭ Zhèn</v>
      </c>
      <c r="D100" t="s">
        <v>2132</v>
      </c>
      <c r="E100" t="s">
        <v>13</v>
      </c>
      <c r="F100" t="str">
        <f>_xlfn.CONCAT(D100,", ",H100,", ",I100,", ","山东省")</f>
        <v>泊里镇, 黄岛区, 青岛市, 山东省</v>
      </c>
      <c r="G100">
        <v>61853</v>
      </c>
      <c r="H100" t="s">
        <v>3726</v>
      </c>
      <c r="I100" t="s">
        <v>3724</v>
      </c>
      <c r="J100">
        <f>VLOOKUP(F100,[1]!china_towns_second__2[[Column1]:[Y]],3,FALSE)</f>
        <v>35.651621214930998</v>
      </c>
      <c r="K100">
        <f>VLOOKUP(F100,[1]!china_towns_second__2[[Column1]:[Y]],2,FALSE)</f>
        <v>119.745018</v>
      </c>
      <c r="L100" t="s">
        <v>4938</v>
      </c>
      <c r="M100" t="str">
        <f>VLOOKUP(H100,CHOOSE({1,2},Table17[Native],Table17[Name]),2,0)</f>
        <v>Huángdăo Qū</v>
      </c>
      <c r="N100" s="15" t="str">
        <f>VLOOKUP(I100,CHOOSE({1,2},Table17[Native],Table17[Name]),2,0)</f>
        <v>Qīngdăo Shì</v>
      </c>
      <c r="O100" s="15" t="str">
        <f t="shared" si="2"/>
        <v>Boli Zhen (Qīngdăo Shì)</v>
      </c>
      <c r="P100" s="15" t="str">
        <f t="shared" si="3"/>
        <v>Boli Zhen (Qīngdăo Shì)</v>
      </c>
    </row>
    <row r="101" spans="1:16" hidden="1" x14ac:dyDescent="0.25">
      <c r="A101" t="s">
        <v>1547</v>
      </c>
      <c r="B101" t="str">
        <f>IF(COUNTIF(A:A,A101)&gt;1,_xlfn.CONCAT(A101," (",N101,")"),A101)</f>
        <v>Bópíng Zhèn</v>
      </c>
      <c r="C101" t="str">
        <f>IF(COUNTIF(B:B,B101)&gt;1,_xlfn.CONCAT(A101," (",M101,")"),B101)</f>
        <v>Bópíng Zhèn</v>
      </c>
      <c r="D101" t="s">
        <v>1548</v>
      </c>
      <c r="E101" t="s">
        <v>13</v>
      </c>
      <c r="F101" t="str">
        <f>_xlfn.CONCAT(D101,", ",H101,", ",I101,", ","山东省")</f>
        <v>博平镇, 茌平区, 聊城市, 山东省</v>
      </c>
      <c r="G101">
        <v>49516</v>
      </c>
      <c r="H101" t="s">
        <v>3701</v>
      </c>
      <c r="I101" t="s">
        <v>3700</v>
      </c>
      <c r="J101">
        <f>VLOOKUP(F101,[1]!china_towns_second__2[[Column1]:[Y]],3,FALSE)</f>
        <v>36.5922285514634</v>
      </c>
      <c r="K101">
        <f>VLOOKUP(F101,[1]!china_towns_second__2[[Column1]:[Y]],2,FALSE)</f>
        <v>116.0821289</v>
      </c>
      <c r="L101" t="s">
        <v>4939</v>
      </c>
      <c r="M101" t="str">
        <f>VLOOKUP(H101,CHOOSE({1,2},Table17[Native],Table17[Name]),2,0)</f>
        <v>Chípíng Qū</v>
      </c>
      <c r="N101" s="15" t="str">
        <f>VLOOKUP(I101,CHOOSE({1,2},Table17[Native],Table17[Name]),2,0)</f>
        <v>Liáochéng Shì</v>
      </c>
      <c r="O101" s="15" t="str">
        <f t="shared" si="2"/>
        <v>Boping Zhen (Liáochéng Shì)</v>
      </c>
      <c r="P101" s="15" t="str">
        <f t="shared" si="3"/>
        <v>Boping Zhen (Liáochéng Shì)</v>
      </c>
    </row>
    <row r="102" spans="1:16" hidden="1" x14ac:dyDescent="0.25">
      <c r="A102" t="s">
        <v>3471</v>
      </c>
      <c r="B102" t="str">
        <f>IF(COUNTIF(A:A,A102)&gt;1,_xlfn.CONCAT(A102," (",N102,")"),A102)</f>
        <v>Bóshān Zhèn [incl. Bĕibóshān Zhèn, Nánbóshān Zhèn]</v>
      </c>
      <c r="C102" t="str">
        <f>IF(COUNTIF(B:B,B102)&gt;1,_xlfn.CONCAT(A102," (",M102,")"),B102)</f>
        <v>Bóshān Zhèn [incl. Bĕibóshān Zhèn, Nánbóshān Zhèn]</v>
      </c>
      <c r="D102" t="s">
        <v>3472</v>
      </c>
      <c r="E102" t="s">
        <v>13</v>
      </c>
      <c r="F102" t="str">
        <f>_xlfn.CONCAT(D102,", ",H102,", ",I102,", ","山东省")</f>
        <v>博山镇, 博山区, 淄博市, 山东省</v>
      </c>
      <c r="G102">
        <v>43515</v>
      </c>
      <c r="H102" t="s">
        <v>3792</v>
      </c>
      <c r="I102" t="s">
        <v>3791</v>
      </c>
      <c r="J102">
        <f>VLOOKUP(F102,[1]!china_towns_second__2[[Column1]:[Y]],3,FALSE)</f>
        <v>36.348645616686703</v>
      </c>
      <c r="K102">
        <f>VLOOKUP(F102,[1]!china_towns_second__2[[Column1]:[Y]],2,FALSE)</f>
        <v>117.96640720000001</v>
      </c>
      <c r="L102" t="s">
        <v>4940</v>
      </c>
      <c r="M102" t="str">
        <f>VLOOKUP(H102,CHOOSE({1,2},Table17[Native],Table17[Name]),2,0)</f>
        <v>Bóshān Qū</v>
      </c>
      <c r="N102" s="15" t="str">
        <f>VLOOKUP(I102,CHOOSE({1,2},Table17[Native],Table17[Name]),2,0)</f>
        <v>Zībó Shì</v>
      </c>
      <c r="O102" s="15" t="str">
        <f t="shared" si="2"/>
        <v>Boshan Zhen [incl. Beiboshan Zhen, Nanboshan Zhen] (Zībó Shì)</v>
      </c>
      <c r="P102" s="15" t="str">
        <f t="shared" si="3"/>
        <v>Boshan Zhen [incl. Beiboshan Zhen, Nanboshan Zhen] (Zībó Shì)</v>
      </c>
    </row>
    <row r="103" spans="1:16" hidden="1" x14ac:dyDescent="0.25">
      <c r="A103" t="s">
        <v>18</v>
      </c>
      <c r="B103" t="str">
        <f>IF(COUNTIF(A:A,A103)&gt;1,_xlfn.CONCAT(A103," (",N103,")"),A103)</f>
        <v>Bótóu Zhèn</v>
      </c>
      <c r="C103" t="str">
        <f>IF(COUNTIF(B:B,B103)&gt;1,_xlfn.CONCAT(A103," (",M103,")"),B103)</f>
        <v>Bótóu Zhèn</v>
      </c>
      <c r="D103" t="s">
        <v>19</v>
      </c>
      <c r="E103" t="s">
        <v>13</v>
      </c>
      <c r="F103" t="str">
        <f>_xlfn.CONCAT(D103,", ",H103,", ",I103,", ","山东省")</f>
        <v>泊头镇, 沾化区, 滨州市, 山东省</v>
      </c>
      <c r="G103">
        <v>28752</v>
      </c>
      <c r="H103" t="s">
        <v>3638</v>
      </c>
      <c r="I103" t="s">
        <v>3630</v>
      </c>
      <c r="J103">
        <f>VLOOKUP(F103,[1]!china_towns_second__2[[Column1]:[Y]],3,FALSE)</f>
        <v>37.617374772078001</v>
      </c>
      <c r="K103">
        <f>VLOOKUP(F103,[1]!china_towns_second__2[[Column1]:[Y]],2,FALSE)</f>
        <v>118.0791699</v>
      </c>
      <c r="L103" t="s">
        <v>4941</v>
      </c>
      <c r="M103" t="str">
        <f>VLOOKUP(H103,CHOOSE({1,2},Table17[Native],Table17[Name]),2,0)</f>
        <v>Zhānhuà Qū</v>
      </c>
      <c r="N103" s="15" t="str">
        <f>VLOOKUP(I103,CHOOSE({1,2},Table17[Native],Table17[Name]),2,0)</f>
        <v>Bīnzhōu Shì</v>
      </c>
      <c r="O103" s="15" t="str">
        <f t="shared" si="2"/>
        <v>Botou Zhen (Bīnzhōu Shì)</v>
      </c>
      <c r="P103" s="15" t="str">
        <f t="shared" si="3"/>
        <v>Botou Zhen (Bīnzhōu Shì)</v>
      </c>
    </row>
    <row r="104" spans="1:16" hidden="1" x14ac:dyDescent="0.25">
      <c r="A104" t="s">
        <v>2897</v>
      </c>
      <c r="B104" t="str">
        <f>IF(COUNTIF(A:A,A104)&gt;1,_xlfn.CONCAT(A104," (",N104,")"),A104)</f>
        <v>Bóyú Zhèn</v>
      </c>
      <c r="C104" t="str">
        <f>IF(COUNTIF(B:B,B104)&gt;1,_xlfn.CONCAT(A104," (",M104,")"),B104)</f>
        <v>Bóyú Zhèn</v>
      </c>
      <c r="D104" t="s">
        <v>2898</v>
      </c>
      <c r="E104" t="s">
        <v>13</v>
      </c>
      <c r="F104" t="str">
        <f>_xlfn.CONCAT(D104,", ",H104,", ",I104,", ","山东省")</f>
        <v>泊于镇, 环翠区, 威海市, 山东省</v>
      </c>
      <c r="G104">
        <v>22017</v>
      </c>
      <c r="H104" t="s">
        <v>3766</v>
      </c>
      <c r="I104" t="s">
        <v>3765</v>
      </c>
      <c r="J104">
        <f>VLOOKUP(F104,[1]!china_towns_second__2[[Column1]:[Y]],3,FALSE)</f>
        <v>37.383522220341803</v>
      </c>
      <c r="K104">
        <f>VLOOKUP(F104,[1]!china_towns_second__2[[Column1]:[Y]],2,FALSE)</f>
        <v>122.33267189999999</v>
      </c>
      <c r="L104" t="s">
        <v>4942</v>
      </c>
      <c r="M104" t="str">
        <f>VLOOKUP(H104,CHOOSE({1,2},Table17[Native],Table17[Name]),2,0)</f>
        <v>Huáncuì Qū</v>
      </c>
      <c r="N104" s="15" t="str">
        <f>VLOOKUP(I104,CHOOSE({1,2},Table17[Native],Table17[Name]),2,0)</f>
        <v>Wēihăi Shì</v>
      </c>
      <c r="O104" s="15" t="str">
        <f t="shared" si="2"/>
        <v>Boyu Zhen (Wēihăi Shì)</v>
      </c>
      <c r="P104" s="15" t="str">
        <f t="shared" si="3"/>
        <v>Boyu Zhen (Wēihăi Shì)</v>
      </c>
    </row>
    <row r="105" spans="1:16" hidden="1" x14ac:dyDescent="0.25">
      <c r="A105" t="s">
        <v>930</v>
      </c>
      <c r="B105" t="str">
        <f>IF(COUNTIF(A:A,A105)&gt;1,_xlfn.CONCAT(A105," (",N105,")"),A105)</f>
        <v>Bùcūn Jiēdào</v>
      </c>
      <c r="C105" t="str">
        <f>IF(COUNTIF(B:B,B105)&gt;1,_xlfn.CONCAT(A105," (",M105,")"),B105)</f>
        <v>Bùcūn Jiēdào</v>
      </c>
      <c r="D105" t="s">
        <v>931</v>
      </c>
      <c r="E105" t="s">
        <v>7</v>
      </c>
      <c r="F105" t="str">
        <f>_xlfn.CONCAT(D105,", ",H105,", ",I105,", ","山东省")</f>
        <v>埠村街道, 章丘区, 济南市, 山东省</v>
      </c>
      <c r="G105">
        <v>33376</v>
      </c>
      <c r="H105" t="s">
        <v>3685</v>
      </c>
      <c r="I105" t="s">
        <v>3673</v>
      </c>
      <c r="J105">
        <f>VLOOKUP(F105,[1]!china_towns_second__2[[Column1]:[Y]],3,FALSE)</f>
        <v>36.629642851253799</v>
      </c>
      <c r="K105">
        <f>VLOOKUP(F105,[1]!china_towns_second__2[[Column1]:[Y]],2,FALSE)</f>
        <v>117.45755509999999</v>
      </c>
      <c r="L105" t="s">
        <v>4943</v>
      </c>
      <c r="M105" t="str">
        <f>VLOOKUP(H105,CHOOSE({1,2},Table17[Native],Table17[Name]),2,0)</f>
        <v>Zhāngqiū Qū</v>
      </c>
      <c r="N105" s="15" t="str">
        <f>VLOOKUP(I105,CHOOSE({1,2},Table17[Native],Table17[Name]),2,0)</f>
        <v>Jìnán Shì</v>
      </c>
      <c r="O105" s="15" t="str">
        <f t="shared" si="2"/>
        <v>Bucun Jiedao (Jìnán Shì)</v>
      </c>
      <c r="P105" s="15" t="str">
        <f t="shared" si="3"/>
        <v>Bucun Jiedao (Jìnán Shì)</v>
      </c>
    </row>
    <row r="106" spans="1:16" hidden="1" x14ac:dyDescent="0.25">
      <c r="A106" t="s">
        <v>1240</v>
      </c>
      <c r="B106" t="str">
        <f>IF(COUNTIF(A:A,A106)&gt;1,_xlfn.CONCAT(A106," (",N106,")"),A106)</f>
        <v>Bŭjí Zhèn</v>
      </c>
      <c r="C106" t="str">
        <f>IF(COUNTIF(B:B,B106)&gt;1,_xlfn.CONCAT(A106," (",M106,")"),B106)</f>
        <v>Bŭjí Zhèn</v>
      </c>
      <c r="D106" t="s">
        <v>1241</v>
      </c>
      <c r="E106" t="s">
        <v>13</v>
      </c>
      <c r="F106" t="str">
        <f>_xlfn.CONCAT(D106,", ",H106,", ",I106,", ","山东省")</f>
        <v>卜集镇, 金乡县, 济宁市, 山东省</v>
      </c>
      <c r="G106">
        <v>41728</v>
      </c>
      <c r="H106" t="s">
        <v>3689</v>
      </c>
      <c r="I106" t="s">
        <v>3687</v>
      </c>
      <c r="J106">
        <f>VLOOKUP(F106,[1]!china_towns_second__2[[Column1]:[Y]],3,FALSE)</f>
        <v>35.148755809085102</v>
      </c>
      <c r="K106">
        <f>VLOOKUP(F106,[1]!china_towns_second__2[[Column1]:[Y]],2,FALSE)</f>
        <v>116.4210413</v>
      </c>
      <c r="L106" t="s">
        <v>4944</v>
      </c>
      <c r="M106" t="str">
        <f>VLOOKUP(H106,CHOOSE({1,2},Table17[Native],Table17[Name]),2,0)</f>
        <v>Jīnxiāng Xiàn</v>
      </c>
      <c r="N106" s="15" t="str">
        <f>VLOOKUP(I106,CHOOSE({1,2},Table17[Native],Table17[Name]),2,0)</f>
        <v>Jìníng Shì</v>
      </c>
      <c r="O106" s="15" t="str">
        <f t="shared" si="2"/>
        <v>Buji Zhen (Jìníng Shì)</v>
      </c>
      <c r="P106" s="15" t="str">
        <f t="shared" si="3"/>
        <v>Buji Zhen (Jìníng Shì)</v>
      </c>
    </row>
    <row r="107" spans="1:16" hidden="1" x14ac:dyDescent="0.25">
      <c r="A107" t="s">
        <v>2900</v>
      </c>
      <c r="B107" t="str">
        <f>IF(COUNTIF(A:A,A107)&gt;1,_xlfn.CONCAT(A107," (",N107,")"),A107)</f>
        <v>Bùkŏugăng Guănlĭ Wĕiyuánhuì</v>
      </c>
      <c r="C107" t="str">
        <f>IF(COUNTIF(B:B,B107)&gt;1,_xlfn.CONCAT(A107," (",M107,")"),B107)</f>
        <v>Bùkŏugăng Guănlĭ Wĕiyuánhuì</v>
      </c>
      <c r="D107" t="s">
        <v>2901</v>
      </c>
      <c r="E107" t="s">
        <v>495</v>
      </c>
      <c r="F107" t="str">
        <f>_xlfn.CONCAT(D107,", ",H107,", ",I107,", ","山东省")</f>
        <v>埠口港管理委员会, 文登区, 威海市, 山东省</v>
      </c>
      <c r="G107">
        <v>10772</v>
      </c>
      <c r="H107" t="s">
        <v>3769</v>
      </c>
      <c r="I107" t="s">
        <v>3765</v>
      </c>
      <c r="J107" t="e">
        <f>VLOOKUP(F107,[1]!china_towns_second__2[[Column1]:[Y]],3,FALSE)</f>
        <v>#N/A</v>
      </c>
      <c r="K107" t="e">
        <f>VLOOKUP(F107,[1]!china_towns_second__2[[Column1]:[Y]],2,FALSE)</f>
        <v>#N/A</v>
      </c>
      <c r="L107" t="s">
        <v>4945</v>
      </c>
      <c r="M107" t="str">
        <f>VLOOKUP(H107,CHOOSE({1,2},Table17[Native],Table17[Name]),2,0)</f>
        <v>Wéndēng Qū</v>
      </c>
      <c r="N107" s="15" t="str">
        <f>VLOOKUP(I107,CHOOSE({1,2},Table17[Native],Table17[Name]),2,0)</f>
        <v>Wēihăi Shì</v>
      </c>
      <c r="O107" s="15" t="str">
        <f t="shared" si="2"/>
        <v>Bukougang Guanli Weiyuanhui (Wēihăi Shì)</v>
      </c>
      <c r="P107" s="15" t="str">
        <f t="shared" si="3"/>
        <v>Bukougang Guanli Weiyuanhui (Wēihăi Shì)</v>
      </c>
    </row>
    <row r="108" spans="1:16" hidden="1" x14ac:dyDescent="0.25">
      <c r="A108" t="s">
        <v>2903</v>
      </c>
      <c r="B108" t="str">
        <f>IF(COUNTIF(A:A,A108)&gt;1,_xlfn.CONCAT(A108," (",N108,")"),A108)</f>
        <v>Bùliŭ Zhèn</v>
      </c>
      <c r="C108" t="str">
        <f>IF(COUNTIF(B:B,B108)&gt;1,_xlfn.CONCAT(A108," (",M108,")"),B108)</f>
        <v>Bùliŭ Zhèn</v>
      </c>
      <c r="D108" t="s">
        <v>2904</v>
      </c>
      <c r="E108" t="s">
        <v>13</v>
      </c>
      <c r="F108" t="str">
        <f>_xlfn.CONCAT(D108,", ",H108,", ",I108,", ","山东省")</f>
        <v>埠柳镇, 荣成市, 威海市, 山东省</v>
      </c>
      <c r="G108">
        <v>19946</v>
      </c>
      <c r="H108" t="s">
        <v>3767</v>
      </c>
      <c r="I108" t="s">
        <v>3765</v>
      </c>
      <c r="J108">
        <f>VLOOKUP(F108,[1]!china_towns_second__2[[Column1]:[Y]],3,FALSE)</f>
        <v>37.323441022719997</v>
      </c>
      <c r="K108">
        <f>VLOOKUP(F108,[1]!china_towns_second__2[[Column1]:[Y]],2,FALSE)</f>
        <v>122.4283394</v>
      </c>
      <c r="L108" t="s">
        <v>4946</v>
      </c>
      <c r="M108" t="str">
        <f>VLOOKUP(H108,CHOOSE({1,2},Table17[Native],Table17[Name]),2,0)</f>
        <v>Róngchéng Shì</v>
      </c>
      <c r="N108" s="15" t="str">
        <f>VLOOKUP(I108,CHOOSE({1,2},Table17[Native],Table17[Name]),2,0)</f>
        <v>Wēihăi Shì</v>
      </c>
      <c r="O108" s="15" t="str">
        <f t="shared" si="2"/>
        <v>Buliu Zhen (Wēihăi Shì)</v>
      </c>
      <c r="P108" s="15" t="str">
        <f t="shared" si="3"/>
        <v>Buliu Zhen (Wēihăi Shì)</v>
      </c>
    </row>
    <row r="109" spans="1:16" hidden="1" x14ac:dyDescent="0.25">
      <c r="A109" t="s">
        <v>2687</v>
      </c>
      <c r="B109" t="str">
        <f>IF(COUNTIF(A:A,A109)&gt;1,_xlfn.CONCAT(A109," (",N109,")"),A109)</f>
        <v>Bŭzhuāng Zhèn</v>
      </c>
      <c r="C109" t="str">
        <f>IF(COUNTIF(B:B,B109)&gt;1,_xlfn.CONCAT(A109," (",M109,")"),B109)</f>
        <v>Bŭzhuāng Zhèn</v>
      </c>
      <c r="D109" t="s">
        <v>2688</v>
      </c>
      <c r="E109" t="s">
        <v>13</v>
      </c>
      <c r="F109" t="str">
        <f>_xlfn.CONCAT(D109,", ",H109,", ",I109,", ","山东省")</f>
        <v>卜庄镇, 昌邑市, 潍坊市, 山东省</v>
      </c>
      <c r="G109">
        <v>53474</v>
      </c>
      <c r="H109" t="s">
        <v>3754</v>
      </c>
      <c r="I109" t="s">
        <v>3751</v>
      </c>
      <c r="J109">
        <f>VLOOKUP(F109,[1]!china_towns_second__2[[Column1]:[Y]],3,FALSE)</f>
        <v>36.920831888227703</v>
      </c>
      <c r="K109">
        <f>VLOOKUP(F109,[1]!china_towns_second__2[[Column1]:[Y]],2,FALSE)</f>
        <v>119.5102545</v>
      </c>
      <c r="L109" t="s">
        <v>4947</v>
      </c>
      <c r="M109" t="str">
        <f>VLOOKUP(H109,CHOOSE({1,2},Table17[Native],Table17[Name]),2,0)</f>
        <v>Chāngyì Shì</v>
      </c>
      <c r="N109" s="15" t="str">
        <f>VLOOKUP(I109,CHOOSE({1,2},Table17[Native],Table17[Name]),2,0)</f>
        <v>Wéifāng Shì</v>
      </c>
      <c r="O109" s="15" t="str">
        <f t="shared" si="2"/>
        <v>Buzhuang Zhen (Wéifāng Shì)</v>
      </c>
      <c r="P109" s="15" t="str">
        <f t="shared" si="3"/>
        <v>Buzhuang Zhen (Wéifāng Shì)</v>
      </c>
    </row>
    <row r="110" spans="1:16" hidden="1" x14ac:dyDescent="0.25">
      <c r="A110" t="s">
        <v>932</v>
      </c>
      <c r="B110" t="str">
        <f>IF(COUNTIF(A:A,A110)&gt;1,_xlfn.CONCAT(A110," (",N110,")"),A110)</f>
        <v>Căishí Jiēdào</v>
      </c>
      <c r="C110" t="str">
        <f>IF(COUNTIF(B:B,B110)&gt;1,_xlfn.CONCAT(A110," (",M110,")"),B110)</f>
        <v>Căishí Jiēdào</v>
      </c>
      <c r="D110" t="s">
        <v>933</v>
      </c>
      <c r="E110" t="s">
        <v>7</v>
      </c>
      <c r="F110" t="str">
        <f>_xlfn.CONCAT(D110,", ",H110,", ",I110,", ","山东省")</f>
        <v>彩石街道, 历城区, 济南市, 山东省</v>
      </c>
      <c r="G110">
        <v>52570</v>
      </c>
      <c r="H110" t="s">
        <v>3679</v>
      </c>
      <c r="I110" t="s">
        <v>3673</v>
      </c>
      <c r="J110" t="e">
        <f>VLOOKUP(F110,[1]!china_towns_second__2[[Column1]:[Y]],3,FALSE)</f>
        <v>#N/A</v>
      </c>
      <c r="K110" t="e">
        <f>VLOOKUP(F110,[1]!china_towns_second__2[[Column1]:[Y]],2,FALSE)</f>
        <v>#N/A</v>
      </c>
      <c r="L110" t="s">
        <v>4948</v>
      </c>
      <c r="M110" t="str">
        <f>VLOOKUP(H110,CHOOSE({1,2},Table17[Native],Table17[Name]),2,0)</f>
        <v>Lìchéng Qū</v>
      </c>
      <c r="N110" s="15" t="str">
        <f>VLOOKUP(I110,CHOOSE({1,2},Table17[Native],Table17[Name]),2,0)</f>
        <v>Jìnán Shì</v>
      </c>
      <c r="O110" s="15" t="str">
        <f t="shared" si="2"/>
        <v>Caishi Jiedao (Jìnán Shì)</v>
      </c>
      <c r="P110" s="15" t="str">
        <f t="shared" si="3"/>
        <v>Caishi Jiedao (Jìnán Shì)</v>
      </c>
    </row>
    <row r="111" spans="1:16" hidden="1" x14ac:dyDescent="0.25">
      <c r="A111" t="s">
        <v>585</v>
      </c>
      <c r="B111" t="str">
        <f>IF(COUNTIF(A:A,A111)&gt;1,_xlfn.CONCAT(A111," (",N111,")"),A111)</f>
        <v>Càitáng Zhèn</v>
      </c>
      <c r="C111" t="str">
        <f>IF(COUNTIF(B:B,B111)&gt;1,_xlfn.CONCAT(A111," (",M111,")"),B111)</f>
        <v>Càitáng Zhèn</v>
      </c>
      <c r="D111" t="s">
        <v>586</v>
      </c>
      <c r="E111" t="s">
        <v>13</v>
      </c>
      <c r="F111" t="str">
        <f>_xlfn.CONCAT(D111,", ",H111,", ",I111,", ","山东省")</f>
        <v>蔡堂镇, 单县, 菏泽市, 山东省</v>
      </c>
      <c r="G111">
        <v>42460</v>
      </c>
      <c r="H111" t="s">
        <v>3670</v>
      </c>
      <c r="I111" t="s">
        <v>3662</v>
      </c>
      <c r="J111">
        <f>VLOOKUP(F111,[1]!china_towns_second__2[[Column1]:[Y]],3,FALSE)</f>
        <v>34.627638685378699</v>
      </c>
      <c r="K111">
        <f>VLOOKUP(F111,[1]!china_towns_second__2[[Column1]:[Y]],2,FALSE)</f>
        <v>116.253957</v>
      </c>
      <c r="L111" t="s">
        <v>4949</v>
      </c>
      <c r="M111" t="str">
        <f>VLOOKUP(H111,CHOOSE({1,2},Table17[Native],Table17[Name]),2,0)</f>
        <v>Shàn Xiàn</v>
      </c>
      <c r="N111" s="15" t="str">
        <f>VLOOKUP(I111,CHOOSE({1,2},Table17[Native],Table17[Name]),2,0)</f>
        <v>Hézé Shì</v>
      </c>
      <c r="O111" s="15" t="str">
        <f t="shared" si="2"/>
        <v>Caitang Zhen (Hézé Shì)</v>
      </c>
      <c r="P111" s="15" t="str">
        <f t="shared" si="3"/>
        <v>Caitang Zhen (Hézé Shì)</v>
      </c>
    </row>
    <row r="112" spans="1:16" hidden="1" x14ac:dyDescent="0.25">
      <c r="A112" t="s">
        <v>1550</v>
      </c>
      <c r="B112" t="str">
        <f>IF(COUNTIF(A:A,A112)&gt;1,_xlfn.CONCAT(A112," (",N112,")"),A112)</f>
        <v>Càitún Zhèn</v>
      </c>
      <c r="C112" t="str">
        <f>IF(COUNTIF(B:B,B112)&gt;1,_xlfn.CONCAT(A112," (",M112,")"),B112)</f>
        <v>Càitún Zhèn</v>
      </c>
      <c r="D112" t="s">
        <v>1551</v>
      </c>
      <c r="E112" t="s">
        <v>13</v>
      </c>
      <c r="F112" t="str">
        <f>_xlfn.CONCAT(D112,", ",H112,", ",I112,", ","山东省")</f>
        <v>菜屯镇, 茌平区, 聊城市, 山东省</v>
      </c>
      <c r="G112">
        <v>25534</v>
      </c>
      <c r="H112" t="s">
        <v>3701</v>
      </c>
      <c r="I112" t="s">
        <v>3700</v>
      </c>
      <c r="J112">
        <f>VLOOKUP(F112,[1]!china_towns_second__2[[Column1]:[Y]],3,FALSE)</f>
        <v>36.720267026747401</v>
      </c>
      <c r="K112">
        <f>VLOOKUP(F112,[1]!china_towns_second__2[[Column1]:[Y]],2,FALSE)</f>
        <v>116.02551579999999</v>
      </c>
      <c r="L112" t="s">
        <v>4950</v>
      </c>
      <c r="M112" t="str">
        <f>VLOOKUP(H112,CHOOSE({1,2},Table17[Native],Table17[Name]),2,0)</f>
        <v>Chípíng Qū</v>
      </c>
      <c r="N112" s="15" t="str">
        <f>VLOOKUP(I112,CHOOSE({1,2},Table17[Native],Table17[Name]),2,0)</f>
        <v>Liáochéng Shì</v>
      </c>
      <c r="O112" s="15" t="str">
        <f t="shared" si="2"/>
        <v>Caitun Zhen (Liáochéng Shì)</v>
      </c>
      <c r="P112" s="15" t="str">
        <f t="shared" si="3"/>
        <v>Caitun Zhen (Liáochéng Shì)</v>
      </c>
    </row>
    <row r="113" spans="1:16" hidden="1" x14ac:dyDescent="0.25">
      <c r="A113" t="s">
        <v>2511</v>
      </c>
      <c r="B113" t="str">
        <f>IF(COUNTIF(A:A,A113)&gt;1,_xlfn.CONCAT(A113," (",N113,")"),A113)</f>
        <v>Cáiyuán Jiēdào</v>
      </c>
      <c r="C113" t="str">
        <f>IF(COUNTIF(B:B,B113)&gt;1,_xlfn.CONCAT(A113," (",M113,")"),B113)</f>
        <v>Cáiyuán Jiēdào</v>
      </c>
      <c r="D113" t="s">
        <v>2512</v>
      </c>
      <c r="E113" t="s">
        <v>7</v>
      </c>
      <c r="F113" t="str">
        <f>_xlfn.CONCAT(D113,", ",H113,", ",I113,", ","山东省")</f>
        <v>财源街道, 泰山区, 泰安市, 山东省</v>
      </c>
      <c r="G113">
        <v>164665</v>
      </c>
      <c r="H113" t="s">
        <v>3748</v>
      </c>
      <c r="I113" t="s">
        <v>3743</v>
      </c>
      <c r="J113">
        <f>VLOOKUP(F113,[1]!china_towns_second__2[[Column1]:[Y]],3,FALSE)</f>
        <v>36.183342111357398</v>
      </c>
      <c r="K113">
        <f>VLOOKUP(F113,[1]!china_towns_second__2[[Column1]:[Y]],2,FALSE)</f>
        <v>117.09871769999999</v>
      </c>
      <c r="L113" t="s">
        <v>4951</v>
      </c>
      <c r="M113" t="str">
        <f>VLOOKUP(H113,CHOOSE({1,2},Table17[Native],Table17[Name]),2,0)</f>
        <v>Tàishān Qū</v>
      </c>
      <c r="N113" s="15" t="str">
        <f>VLOOKUP(I113,CHOOSE({1,2},Table17[Native],Table17[Name]),2,0)</f>
        <v>Tài'ān Shì</v>
      </c>
      <c r="O113" s="15" t="str">
        <f t="shared" si="2"/>
        <v>Caiyuan Jiedao (Tài'ān Shì)</v>
      </c>
      <c r="P113" s="15" t="str">
        <f t="shared" si="3"/>
        <v>Caiyuan Jiedao (Tài'ān Shì)</v>
      </c>
    </row>
    <row r="114" spans="1:16" hidden="1" x14ac:dyDescent="0.25">
      <c r="A114" t="s">
        <v>587</v>
      </c>
      <c r="B114" t="str">
        <f>IF(COUNTIF(A:A,A114)&gt;1,_xlfn.CONCAT(A114," (",N114,")"),A114)</f>
        <v>Càiyuánjí Zhèn</v>
      </c>
      <c r="C114" t="str">
        <f>IF(COUNTIF(B:B,B114)&gt;1,_xlfn.CONCAT(A114," (",M114,")"),B114)</f>
        <v>Càiyuánjí Zhèn</v>
      </c>
      <c r="D114" t="s">
        <v>588</v>
      </c>
      <c r="E114" t="s">
        <v>13</v>
      </c>
      <c r="F114" t="str">
        <f>_xlfn.CONCAT(D114,", ",H114,", ",I114,", ","山东省")</f>
        <v>菜园集镇, 东明县, 菏泽市, 山东省</v>
      </c>
      <c r="G114">
        <v>41799</v>
      </c>
      <c r="H114" t="s">
        <v>3666</v>
      </c>
      <c r="I114" t="s">
        <v>3662</v>
      </c>
      <c r="J114">
        <f>VLOOKUP(F114,[1]!china_towns_second__2[[Column1]:[Y]],3,FALSE)</f>
        <v>35.376074466056998</v>
      </c>
      <c r="K114">
        <f>VLOOKUP(F114,[1]!china_towns_second__2[[Column1]:[Y]],2,FALSE)</f>
        <v>115.11008459999999</v>
      </c>
      <c r="L114" t="s">
        <v>4952</v>
      </c>
      <c r="M114" t="str">
        <f>VLOOKUP(H114,CHOOSE({1,2},Table17[Native],Table17[Name]),2,0)</f>
        <v>Dōngmíng Xiàn</v>
      </c>
      <c r="N114" s="15" t="str">
        <f>VLOOKUP(I114,CHOOSE({1,2},Table17[Native],Table17[Name]),2,0)</f>
        <v>Hézé Shì</v>
      </c>
      <c r="O114" s="15" t="str">
        <f t="shared" si="2"/>
        <v>Caiyuanji Zhen (Hézé Shì)</v>
      </c>
      <c r="P114" s="15" t="str">
        <f t="shared" si="3"/>
        <v>Caiyuanji Zhen (Hézé Shì)</v>
      </c>
    </row>
    <row r="115" spans="1:16" hidden="1" x14ac:dyDescent="0.25">
      <c r="A115" t="s">
        <v>2133</v>
      </c>
      <c r="B115" t="str">
        <f>IF(COUNTIF(A:A,A115)&gt;1,_xlfn.CONCAT(A115," (",N115,")"),A115)</f>
        <v>Cāngkǒu Jiēdào [Yŏng'ānlù Jiēdào]</v>
      </c>
      <c r="C115" t="str">
        <f>IF(COUNTIF(B:B,B115)&gt;1,_xlfn.CONCAT(A115," (",M115,")"),B115)</f>
        <v>Cāngkǒu Jiēdào [Yŏng'ānlù Jiēdào]</v>
      </c>
      <c r="D115" t="s">
        <v>2134</v>
      </c>
      <c r="E115" t="s">
        <v>7</v>
      </c>
      <c r="F115" t="str">
        <f>_xlfn.CONCAT(D115,", ",H115,", ",I115,", ","山东省")</f>
        <v>沧口街道, 李沧区, 青岛市, 山东省</v>
      </c>
      <c r="G115">
        <v>46073</v>
      </c>
      <c r="H115" t="s">
        <v>3731</v>
      </c>
      <c r="I115" t="s">
        <v>3724</v>
      </c>
      <c r="J115" t="e">
        <f>VLOOKUP(F115,[1]!china_towns_second__2[[Column1]:[Y]],3,FALSE)</f>
        <v>#N/A</v>
      </c>
      <c r="K115" t="e">
        <f>VLOOKUP(F115,[1]!china_towns_second__2[[Column1]:[Y]],2,FALSE)</f>
        <v>#N/A</v>
      </c>
      <c r="L115" t="s">
        <v>4953</v>
      </c>
      <c r="M115" t="str">
        <f>VLOOKUP(H115,CHOOSE({1,2},Table17[Native],Table17[Name]),2,0)</f>
        <v>Lĭcāng Qū</v>
      </c>
      <c r="N115" s="15" t="str">
        <f>VLOOKUP(I115,CHOOSE({1,2},Table17[Native],Table17[Name]),2,0)</f>
        <v>Qīngdăo Shì</v>
      </c>
      <c r="O115" s="15" t="str">
        <f t="shared" si="2"/>
        <v>Cangkou Jiedao [Yong'anlu Jiedao] (Qīngdăo Shì)</v>
      </c>
      <c r="P115" s="15" t="str">
        <f t="shared" si="3"/>
        <v>Cangkou Jiedao [Yong'anlu Jiedao] (Qīngdăo Shì)</v>
      </c>
    </row>
    <row r="116" spans="1:16" hidden="1" x14ac:dyDescent="0.25">
      <c r="A116" t="s">
        <v>1821</v>
      </c>
      <c r="B116" t="str">
        <f>IF(COUNTIF(A:A,A116)&gt;1,_xlfn.CONCAT(A116," (",N116,")"),A116)</f>
        <v>Cāngshān Jiēdào [Jiăzhuāng Xiāng]</v>
      </c>
      <c r="C116" t="str">
        <f>IF(COUNTIF(B:B,B116)&gt;1,_xlfn.CONCAT(A116," (",M116,")"),B116)</f>
        <v>Cāngshān Jiēdào [Jiăzhuāng Xiāng]</v>
      </c>
      <c r="D116" t="s">
        <v>1822</v>
      </c>
      <c r="E116" t="s">
        <v>61</v>
      </c>
      <c r="F116" t="str">
        <f>_xlfn.CONCAT(D116,", ",H116,", ",I116,", ","山东省")</f>
        <v>苍山街道, 兰陵县, 临沂市, 山东省</v>
      </c>
      <c r="G116">
        <v>46857</v>
      </c>
      <c r="H116" t="s">
        <v>3714</v>
      </c>
      <c r="I116" t="s">
        <v>3710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4954</v>
      </c>
      <c r="M116" t="str">
        <f>VLOOKUP(H116,CHOOSE({1,2},Table17[Native],Table17[Name]),2,0)</f>
        <v>Lánlíng Xiàn</v>
      </c>
      <c r="N116" s="15" t="str">
        <f>VLOOKUP(I116,CHOOSE({1,2},Table17[Native],Table17[Name]),2,0)</f>
        <v>Línyí Shì</v>
      </c>
      <c r="O116" s="15" t="str">
        <f t="shared" si="2"/>
        <v>Cangshan Jiedao [Jiazhuang Xiang] (Línyí Shì)</v>
      </c>
      <c r="P116" s="15" t="str">
        <f t="shared" si="3"/>
        <v>Cangshan Jiedao [Jiazhuang Xiang] (Línyí Shì)</v>
      </c>
    </row>
    <row r="117" spans="1:16" hidden="1" x14ac:dyDescent="0.25">
      <c r="A117" t="s">
        <v>3061</v>
      </c>
      <c r="B117" t="str">
        <f>IF(COUNTIF(A:A,A117)&gt;1,_xlfn.CONCAT(A117," (",N117,")"),A117)</f>
        <v>Cánzhuāng Zhèn</v>
      </c>
      <c r="C117" t="str">
        <f>IF(COUNTIF(B:B,B117)&gt;1,_xlfn.CONCAT(A117," (",M117,")"),B117)</f>
        <v>Cánzhuāng Zhèn</v>
      </c>
      <c r="D117" t="s">
        <v>3062</v>
      </c>
      <c r="E117" t="s">
        <v>13</v>
      </c>
      <c r="F117" t="str">
        <f>_xlfn.CONCAT(D117,", ",H117,", ",I117,", ","山东省")</f>
        <v>蚕庄镇, 招远市, 烟台市, 山东省</v>
      </c>
      <c r="G117">
        <v>29086</v>
      </c>
      <c r="H117" t="s">
        <v>3781</v>
      </c>
      <c r="I117" t="s">
        <v>3771</v>
      </c>
      <c r="J117">
        <f>VLOOKUP(F117,[1]!china_towns_second__2[[Column1]:[Y]],3,FALSE)</f>
        <v>37.377907074288103</v>
      </c>
      <c r="K117">
        <f>VLOOKUP(F117,[1]!china_towns_second__2[[Column1]:[Y]],2,FALSE)</f>
        <v>120.2117708</v>
      </c>
      <c r="L117" t="s">
        <v>4955</v>
      </c>
      <c r="M117" t="str">
        <f>VLOOKUP(H117,CHOOSE({1,2},Table17[Native],Table17[Name]),2,0)</f>
        <v>Zhāoyuăn Shì</v>
      </c>
      <c r="N117" s="15" t="str">
        <f>VLOOKUP(I117,CHOOSE({1,2},Table17[Native],Table17[Name]),2,0)</f>
        <v>Yāntái Shì</v>
      </c>
      <c r="O117" s="15" t="str">
        <f t="shared" si="2"/>
        <v>Canzhuang Zhen (Yāntái Shì)</v>
      </c>
      <c r="P117" s="15" t="str">
        <f t="shared" si="3"/>
        <v>Canzhuang Zhen (Yāntái Shì)</v>
      </c>
    </row>
    <row r="118" spans="1:16" hidden="1" x14ac:dyDescent="0.25">
      <c r="A118" t="s">
        <v>590</v>
      </c>
      <c r="B118" t="str">
        <f>IF(COUNTIF(A:A,A118)&gt;1,_xlfn.CONCAT(A118," (",N118,")"),A118)</f>
        <v>Cáochéng Jiēdào</v>
      </c>
      <c r="C118" t="str">
        <f>IF(COUNTIF(B:B,B118)&gt;1,_xlfn.CONCAT(A118," (",M118,")"),B118)</f>
        <v>Cáochéng Jiēdào</v>
      </c>
      <c r="D118" t="s">
        <v>591</v>
      </c>
      <c r="E118" t="s">
        <v>7</v>
      </c>
      <c r="F118" t="str">
        <f>_xlfn.CONCAT(D118,", ",H118,", ",I118,", ","山东省")</f>
        <v>曹城街道, 曹县, 菏泽市, 山东省</v>
      </c>
      <c r="G118">
        <v>88001</v>
      </c>
      <c r="H118" t="s">
        <v>3663</v>
      </c>
      <c r="I118" t="s">
        <v>3662</v>
      </c>
      <c r="J118">
        <f>VLOOKUP(F118,[1]!china_towns_second__2[[Column1]:[Y]],3,FALSE)</f>
        <v>34.831309575093997</v>
      </c>
      <c r="K118">
        <f>VLOOKUP(F118,[1]!china_towns_second__2[[Column1]:[Y]],2,FALSE)</f>
        <v>115.5170482</v>
      </c>
      <c r="L118" t="s">
        <v>4956</v>
      </c>
      <c r="M118" t="str">
        <f>VLOOKUP(H118,CHOOSE({1,2},Table17[Native],Table17[Name]),2,0)</f>
        <v>Cáo Xiàn</v>
      </c>
      <c r="N118" s="15" t="str">
        <f>VLOOKUP(I118,CHOOSE({1,2},Table17[Native],Table17[Name]),2,0)</f>
        <v>Hézé Shì</v>
      </c>
      <c r="O118" s="15" t="str">
        <f t="shared" si="2"/>
        <v>Caocheng Jiedao (Hézé Shì)</v>
      </c>
      <c r="P118" s="15" t="str">
        <f t="shared" si="3"/>
        <v>Caocheng Jiedao (Hézé Shì)</v>
      </c>
    </row>
    <row r="119" spans="1:16" hidden="1" x14ac:dyDescent="0.25">
      <c r="A119" t="s">
        <v>934</v>
      </c>
      <c r="B119" t="str">
        <f>IF(COUNTIF(A:A,A119)&gt;1,_xlfn.CONCAT(A119," (",N119,")"),A119)</f>
        <v>Cáofàn Jiēdào</v>
      </c>
      <c r="C119" t="str">
        <f>IF(COUNTIF(B:B,B119)&gt;1,_xlfn.CONCAT(A119," (",M119,")"),B119)</f>
        <v>Cáofàn Jiēdào</v>
      </c>
      <c r="D119" t="s">
        <v>935</v>
      </c>
      <c r="E119" t="s">
        <v>7</v>
      </c>
      <c r="F119" t="str">
        <f>_xlfn.CONCAT(D119,", ",H119,", ",I119,", ","山东省")</f>
        <v>曹范街道, 章丘区, 济南市, 山东省</v>
      </c>
      <c r="G119">
        <v>33225</v>
      </c>
      <c r="H119" t="s">
        <v>3685</v>
      </c>
      <c r="I119" t="s">
        <v>3673</v>
      </c>
      <c r="J119" t="e">
        <f>VLOOKUP(F119,[1]!china_towns_second__2[[Column1]:[Y]],3,FALSE)</f>
        <v>#N/A</v>
      </c>
      <c r="K119" t="e">
        <f>VLOOKUP(F119,[1]!china_towns_second__2[[Column1]:[Y]],2,FALSE)</f>
        <v>#N/A</v>
      </c>
      <c r="L119" t="s">
        <v>4957</v>
      </c>
      <c r="M119" t="str">
        <f>VLOOKUP(H119,CHOOSE({1,2},Table17[Native],Table17[Name]),2,0)</f>
        <v>Zhāngqiū Qū</v>
      </c>
      <c r="N119" s="15" t="str">
        <f>VLOOKUP(I119,CHOOSE({1,2},Table17[Native],Table17[Name]),2,0)</f>
        <v>Jìnán Shì</v>
      </c>
      <c r="O119" s="15" t="str">
        <f t="shared" si="2"/>
        <v>Caofan Jiedao (Jìnán Shì)</v>
      </c>
      <c r="P119" s="15" t="str">
        <f t="shared" si="3"/>
        <v>Caofan Jiedao (Jìnán Shì)</v>
      </c>
    </row>
    <row r="120" spans="1:16" hidden="1" x14ac:dyDescent="0.25">
      <c r="A120" t="s">
        <v>1243</v>
      </c>
      <c r="B120" t="str">
        <f>IF(COUNTIF(A:A,A120)&gt;1,_xlfn.CONCAT(A120," (",N120,")"),A120)</f>
        <v>Cáohé Zhèn</v>
      </c>
      <c r="C120" t="str">
        <f>IF(COUNTIF(B:B,B120)&gt;1,_xlfn.CONCAT(A120," (",M120,")"),B120)</f>
        <v>Cáohé Zhèn</v>
      </c>
      <c r="D120" t="s">
        <v>1244</v>
      </c>
      <c r="E120" t="s">
        <v>13</v>
      </c>
      <c r="F120" t="str">
        <f>_xlfn.CONCAT(D120,", ",H120,", ",I120,", ","山东省")</f>
        <v>漕河镇, 兖州区, 济宁市, 山东省</v>
      </c>
      <c r="G120">
        <v>28659</v>
      </c>
      <c r="H120" t="s">
        <v>3696</v>
      </c>
      <c r="I120" t="s">
        <v>3687</v>
      </c>
      <c r="J120">
        <f>VLOOKUP(F120,[1]!china_towns_second__2[[Column1]:[Y]],3,FALSE)</f>
        <v>35.670540451502703</v>
      </c>
      <c r="K120">
        <f>VLOOKUP(F120,[1]!china_towns_second__2[[Column1]:[Y]],2,FALSE)</f>
        <v>116.77364919999999</v>
      </c>
      <c r="L120" t="s">
        <v>4958</v>
      </c>
      <c r="M120" t="str">
        <f>VLOOKUP(H120,CHOOSE({1,2},Table17[Native],Table17[Name]),2,0)</f>
        <v>Yănzhōu Qū</v>
      </c>
      <c r="N120" s="15" t="str">
        <f>VLOOKUP(I120,CHOOSE({1,2},Table17[Native],Table17[Name]),2,0)</f>
        <v>Jìníng Shì</v>
      </c>
      <c r="O120" s="15" t="str">
        <f t="shared" si="2"/>
        <v>Caohe Zhen (Jìníng Shì)</v>
      </c>
      <c r="P120" s="15" t="str">
        <f t="shared" si="3"/>
        <v>Caohe Zhen (Jìníng Shì)</v>
      </c>
    </row>
    <row r="121" spans="1:16" hidden="1" x14ac:dyDescent="0.25">
      <c r="A121" t="s">
        <v>2906</v>
      </c>
      <c r="B121" t="str">
        <f>IF(COUNTIF(A:A,A121)&gt;1,_xlfn.CONCAT(A121," (",N121,")"),A121)</f>
        <v>Căomiàozi Zhèn</v>
      </c>
      <c r="C121" t="str">
        <f>IF(COUNTIF(B:B,B121)&gt;1,_xlfn.CONCAT(A121," (",M121,")"),B121)</f>
        <v>Căomiàozi Zhèn</v>
      </c>
      <c r="D121" t="s">
        <v>2907</v>
      </c>
      <c r="E121" t="s">
        <v>13</v>
      </c>
      <c r="F121" t="str">
        <f>_xlfn.CONCAT(D121,", ",H121,", ",I121,", ","山东省")</f>
        <v>草庙子镇, 环翠区, 威海市, 山东省</v>
      </c>
      <c r="G121">
        <v>21158</v>
      </c>
      <c r="H121" t="s">
        <v>3766</v>
      </c>
      <c r="I121" t="s">
        <v>3765</v>
      </c>
      <c r="J121">
        <f>VLOOKUP(F121,[1]!china_towns_second__2[[Column1]:[Y]],3,FALSE)</f>
        <v>37.307767043487402</v>
      </c>
      <c r="K121">
        <f>VLOOKUP(F121,[1]!china_towns_second__2[[Column1]:[Y]],2,FALSE)</f>
        <v>122.12973220000001</v>
      </c>
      <c r="L121" t="s">
        <v>4959</v>
      </c>
      <c r="M121" t="str">
        <f>VLOOKUP(H121,CHOOSE({1,2},Table17[Native],Table17[Name]),2,0)</f>
        <v>Huáncuì Qū</v>
      </c>
      <c r="N121" s="15" t="str">
        <f>VLOOKUP(I121,CHOOSE({1,2},Table17[Native],Table17[Name]),2,0)</f>
        <v>Wēihăi Shì</v>
      </c>
      <c r="O121" s="15" t="str">
        <f t="shared" si="2"/>
        <v>Caomiaozi Zhen (Wēihăi Shì)</v>
      </c>
      <c r="P121" s="15" t="str">
        <f t="shared" si="3"/>
        <v>Caomiaozi Zhen (Wēihăi Shì)</v>
      </c>
    </row>
    <row r="122" spans="1:16" hidden="1" x14ac:dyDescent="0.25">
      <c r="A122" t="s">
        <v>20</v>
      </c>
      <c r="B122" t="str">
        <f>IF(COUNTIF(A:A,A122)&gt;1,_xlfn.CONCAT(A122," (",N122,")"),A122)</f>
        <v>Cáowáng Zhèn</v>
      </c>
      <c r="C122" t="str">
        <f>IF(COUNTIF(B:B,B122)&gt;1,_xlfn.CONCAT(A122," (",M122,")"),B122)</f>
        <v>Cáowáng Zhèn</v>
      </c>
      <c r="D122" t="s">
        <v>21</v>
      </c>
      <c r="E122" t="s">
        <v>13</v>
      </c>
      <c r="F122" t="str">
        <f>_xlfn.CONCAT(D122,", ",H122,", ",I122,", ","山东省")</f>
        <v>曹王镇, 博兴县, 滨州市, 山东省</v>
      </c>
      <c r="G122">
        <v>38310</v>
      </c>
      <c r="H122" t="s">
        <v>3634</v>
      </c>
      <c r="I122" t="s">
        <v>3630</v>
      </c>
      <c r="J122">
        <f>VLOOKUP(F122,[1]!china_towns_second__2[[Column1]:[Y]],3,FALSE)</f>
        <v>37.016117042016702</v>
      </c>
      <c r="K122">
        <f>VLOOKUP(F122,[1]!china_towns_second__2[[Column1]:[Y]],2,FALSE)</f>
        <v>118.1785817</v>
      </c>
      <c r="L122" t="s">
        <v>4960</v>
      </c>
      <c r="M122" t="str">
        <f>VLOOKUP(H122,CHOOSE({1,2},Table17[Native],Table17[Name]),2,0)</f>
        <v>Bóxīng Xiàn</v>
      </c>
      <c r="N122" s="15" t="str">
        <f>VLOOKUP(I122,CHOOSE({1,2},Table17[Native],Table17[Name]),2,0)</f>
        <v>Bīnzhōu Shì</v>
      </c>
      <c r="O122" s="15" t="str">
        <f t="shared" si="2"/>
        <v>Caowang Zhen (Bīnzhōu Shì)</v>
      </c>
      <c r="P122" s="15" t="str">
        <f t="shared" si="3"/>
        <v>Caowang Zhen (Bīnzhōu Shì)</v>
      </c>
    </row>
    <row r="123" spans="1:16" hidden="1" x14ac:dyDescent="0.25">
      <c r="A123" t="s">
        <v>592</v>
      </c>
      <c r="B123" t="str">
        <f>IF(COUNTIF(A:A,A123)&gt;1,_xlfn.CONCAT(A123," (",N123,")"),A123)</f>
        <v>Cáoxiàn Dàjí Zhèn</v>
      </c>
      <c r="C123" t="str">
        <f>IF(COUNTIF(B:B,B123)&gt;1,_xlfn.CONCAT(A123," (",M123,")"),B123)</f>
        <v>Cáoxiàn Dàjí Zhèn</v>
      </c>
      <c r="D123" t="s">
        <v>593</v>
      </c>
      <c r="E123" t="s">
        <v>13</v>
      </c>
      <c r="F123" t="str">
        <f>_xlfn.CONCAT(D123,", ",H123,", ",I123,", ","山东省")</f>
        <v>曹县大集镇, 曹县, 菏泽市, 山东省</v>
      </c>
      <c r="G123">
        <v>35190</v>
      </c>
      <c r="H123" t="s">
        <v>3663</v>
      </c>
      <c r="I123" t="s">
        <v>3662</v>
      </c>
      <c r="J123">
        <f>VLOOKUP(F123,[1]!china_towns_second__2[[Column1]:[Y]],3,FALSE)</f>
        <v>34.727051033386601</v>
      </c>
      <c r="K123">
        <f>VLOOKUP(F123,[1]!china_towns_second__2[[Column1]:[Y]],2,FALSE)</f>
        <v>115.6287813</v>
      </c>
      <c r="L123" t="s">
        <v>4961</v>
      </c>
      <c r="M123" t="str">
        <f>VLOOKUP(H123,CHOOSE({1,2},Table17[Native],Table17[Name]),2,0)</f>
        <v>Cáo Xiàn</v>
      </c>
      <c r="N123" s="15" t="str">
        <f>VLOOKUP(I123,CHOOSE({1,2},Table17[Native],Table17[Name]),2,0)</f>
        <v>Hézé Shì</v>
      </c>
      <c r="O123" s="15" t="str">
        <f t="shared" si="2"/>
        <v>Caoxian Daji Zhen (Hézé Shì)</v>
      </c>
      <c r="P123" s="15" t="str">
        <f t="shared" si="3"/>
        <v>Caoxian Daji Zhen (Hézé Shì)</v>
      </c>
    </row>
    <row r="124" spans="1:16" hidden="1" x14ac:dyDescent="0.25">
      <c r="A124" t="s">
        <v>594</v>
      </c>
      <c r="B124" t="str">
        <f>IF(COUNTIF(A:A,A124)&gt;1,_xlfn.CONCAT(A124," (",N124,")"),A124)</f>
        <v>Cáoxiàn Lóuzhuāng Zhèn</v>
      </c>
      <c r="C124" t="str">
        <f>IF(COUNTIF(B:B,B124)&gt;1,_xlfn.CONCAT(A124," (",M124,")"),B124)</f>
        <v>Cáoxiàn Lóuzhuāng Zhèn</v>
      </c>
      <c r="D124" t="s">
        <v>595</v>
      </c>
      <c r="E124" t="s">
        <v>13</v>
      </c>
      <c r="F124" t="str">
        <f>_xlfn.CONCAT(D124,", ",H124,", ",I124,", ","山东省")</f>
        <v>曹县楼庄镇, 曹县, 菏泽市, 山东省</v>
      </c>
      <c r="G124">
        <v>33528</v>
      </c>
      <c r="H124" t="s">
        <v>3663</v>
      </c>
      <c r="I124" t="s">
        <v>3662</v>
      </c>
      <c r="J124">
        <f>VLOOKUP(F124,[1]!china_towns_second__2[[Column1]:[Y]],3,FALSE)</f>
        <v>34.8834326988597</v>
      </c>
      <c r="K124">
        <f>VLOOKUP(F124,[1]!china_towns_second__2[[Column1]:[Y]],2,FALSE)</f>
        <v>115.27056880000001</v>
      </c>
      <c r="L124" t="s">
        <v>4962</v>
      </c>
      <c r="M124" t="str">
        <f>VLOOKUP(H124,CHOOSE({1,2},Table17[Native],Table17[Name]),2,0)</f>
        <v>Cáo Xiàn</v>
      </c>
      <c r="N124" s="15" t="str">
        <f>VLOOKUP(I124,CHOOSE({1,2},Table17[Native],Table17[Name]),2,0)</f>
        <v>Hézé Shì</v>
      </c>
      <c r="O124" s="15" t="str">
        <f t="shared" si="2"/>
        <v>Caoxian Louzhuang Zhen (Hézé Shì)</v>
      </c>
      <c r="P124" s="15" t="str">
        <f t="shared" si="3"/>
        <v>Caoxian Louzhuang Zhen (Hézé Shì)</v>
      </c>
    </row>
    <row r="125" spans="1:16" hidden="1" x14ac:dyDescent="0.25">
      <c r="A125" t="s">
        <v>596</v>
      </c>
      <c r="B125" t="str">
        <f>IF(COUNTIF(A:A,A125)&gt;1,_xlfn.CONCAT(A125," (",N125,")"),A125)</f>
        <v>Cáoxiàn Shàozhuāng Zhèn</v>
      </c>
      <c r="C125" t="str">
        <f>IF(COUNTIF(B:B,B125)&gt;1,_xlfn.CONCAT(A125," (",M125,")"),B125)</f>
        <v>Cáoxiàn Shàozhuāng Zhèn</v>
      </c>
      <c r="D125" t="s">
        <v>597</v>
      </c>
      <c r="E125" t="s">
        <v>13</v>
      </c>
      <c r="F125" t="str">
        <f>_xlfn.CONCAT(D125,", ",H125,", ",I125,", ","山东省")</f>
        <v>曹县邵庄镇, 曹县, 菏泽市, 山东省</v>
      </c>
      <c r="G125">
        <v>47120</v>
      </c>
      <c r="H125" t="s">
        <v>3663</v>
      </c>
      <c r="I125" t="s">
        <v>3662</v>
      </c>
      <c r="J125">
        <f>VLOOKUP(F125,[1]!china_towns_second__2[[Column1]:[Y]],3,FALSE)</f>
        <v>34.694067527859403</v>
      </c>
      <c r="K125">
        <f>VLOOKUP(F125,[1]!china_towns_second__2[[Column1]:[Y]],2,FALSE)</f>
        <v>115.4797497</v>
      </c>
      <c r="L125" t="s">
        <v>4963</v>
      </c>
      <c r="M125" t="str">
        <f>VLOOKUP(H125,CHOOSE({1,2},Table17[Native],Table17[Name]),2,0)</f>
        <v>Cáo Xiàn</v>
      </c>
      <c r="N125" s="15" t="str">
        <f>VLOOKUP(I125,CHOOSE({1,2},Table17[Native],Table17[Name]),2,0)</f>
        <v>Hézé Shì</v>
      </c>
      <c r="O125" s="15" t="str">
        <f t="shared" si="2"/>
        <v>Caoxian Shaozhuang Zhen (Hézé Shì)</v>
      </c>
      <c r="P125" s="15" t="str">
        <f t="shared" si="3"/>
        <v>Caoxian Shaozhuang Zhen (Hézé Shì)</v>
      </c>
    </row>
    <row r="126" spans="1:16" hidden="1" x14ac:dyDescent="0.25">
      <c r="A126" t="s">
        <v>598</v>
      </c>
      <c r="B126" t="str">
        <f>IF(COUNTIF(A:A,A126)&gt;1,_xlfn.CONCAT(A126," (",N126,")"),A126)</f>
        <v>Cáoxiàn Wángjí Zhèn</v>
      </c>
      <c r="C126" t="str">
        <f>IF(COUNTIF(B:B,B126)&gt;1,_xlfn.CONCAT(A126," (",M126,")"),B126)</f>
        <v>Cáoxiàn Wángjí Zhèn</v>
      </c>
      <c r="D126" t="s">
        <v>599</v>
      </c>
      <c r="E126" t="s">
        <v>13</v>
      </c>
      <c r="F126" t="str">
        <f>_xlfn.CONCAT(D126,", ",H126,", ",I126,", ","山东省")</f>
        <v>曹县王集镇, 曹县, 菏泽市, 山东省</v>
      </c>
      <c r="G126">
        <v>28718</v>
      </c>
      <c r="H126" t="s">
        <v>3663</v>
      </c>
      <c r="I126" t="s">
        <v>3662</v>
      </c>
      <c r="J126">
        <f>VLOOKUP(F126,[1]!china_towns_second__2[[Column1]:[Y]],3,FALSE)</f>
        <v>34.845285871905901</v>
      </c>
      <c r="K126">
        <f>VLOOKUP(F126,[1]!china_towns_second__2[[Column1]:[Y]],2,FALSE)</f>
        <v>115.6365088</v>
      </c>
      <c r="L126" t="s">
        <v>4964</v>
      </c>
      <c r="M126" t="str">
        <f>VLOOKUP(H126,CHOOSE({1,2},Table17[Native],Table17[Name]),2,0)</f>
        <v>Cáo Xiàn</v>
      </c>
      <c r="N126" s="15" t="str">
        <f>VLOOKUP(I126,CHOOSE({1,2},Table17[Native],Table17[Name]),2,0)</f>
        <v>Hézé Shì</v>
      </c>
      <c r="O126" s="15" t="str">
        <f t="shared" si="2"/>
        <v>Caoxian Wangji Zhen (Hézé Shì)</v>
      </c>
      <c r="P126" s="15" t="str">
        <f t="shared" si="3"/>
        <v>Caoxian Wangji Zhen (Hézé Shì)</v>
      </c>
    </row>
    <row r="127" spans="1:16" hidden="1" x14ac:dyDescent="0.25">
      <c r="A127" t="s">
        <v>600</v>
      </c>
      <c r="B127" t="str">
        <f>IF(COUNTIF(A:A,A127)&gt;1,_xlfn.CONCAT(A127," (",N127,")"),A127)</f>
        <v>Cáoxiàn Wŭlóu Zhèn</v>
      </c>
      <c r="C127" t="str">
        <f>IF(COUNTIF(B:B,B127)&gt;1,_xlfn.CONCAT(A127," (",M127,")"),B127)</f>
        <v>Cáoxiàn Wŭlóu Zhèn</v>
      </c>
      <c r="D127" t="s">
        <v>601</v>
      </c>
      <c r="E127" t="s">
        <v>13</v>
      </c>
      <c r="F127" t="str">
        <f>_xlfn.CONCAT(D127,", ",H127,", ",I127,", ","山东省")</f>
        <v>曹县仵楼镇, 曹县, 菏泽市, 山东省</v>
      </c>
      <c r="G127">
        <v>29503</v>
      </c>
      <c r="H127" t="s">
        <v>3663</v>
      </c>
      <c r="I127" t="s">
        <v>3662</v>
      </c>
      <c r="J127">
        <f>VLOOKUP(F127,[1]!china_towns_second__2[[Column1]:[Y]],3,FALSE)</f>
        <v>34.600697674039502</v>
      </c>
      <c r="K127">
        <f>VLOOKUP(F127,[1]!china_towns_second__2[[Column1]:[Y]],2,FALSE)</f>
        <v>115.6552337</v>
      </c>
      <c r="L127" t="s">
        <v>4965</v>
      </c>
      <c r="M127" t="str">
        <f>VLOOKUP(H127,CHOOSE({1,2},Table17[Native],Table17[Name]),2,0)</f>
        <v>Cáo Xiàn</v>
      </c>
      <c r="N127" s="15" t="str">
        <f>VLOOKUP(I127,CHOOSE({1,2},Table17[Native],Table17[Name]),2,0)</f>
        <v>Hézé Shì</v>
      </c>
      <c r="O127" s="15" t="str">
        <f t="shared" si="2"/>
        <v>Caoxian Wulou Zhen (Hézé Shì)</v>
      </c>
      <c r="P127" s="15" t="str">
        <f t="shared" si="3"/>
        <v>Caoxian Wulou Zhen (Hézé Shì)</v>
      </c>
    </row>
    <row r="128" spans="1:16" hidden="1" x14ac:dyDescent="0.25">
      <c r="A128" t="s">
        <v>602</v>
      </c>
      <c r="B128" t="str">
        <f>IF(COUNTIF(A:A,A128)&gt;1,_xlfn.CONCAT(A128," (",N128,")"),A128)</f>
        <v>Cáoxiàn Zhūhóngmiào Zhèn</v>
      </c>
      <c r="C128" t="str">
        <f>IF(COUNTIF(B:B,B128)&gt;1,_xlfn.CONCAT(A128," (",M128,")"),B128)</f>
        <v>Cáoxiàn Zhūhóngmiào Zhèn</v>
      </c>
      <c r="D128" t="s">
        <v>603</v>
      </c>
      <c r="E128" t="s">
        <v>13</v>
      </c>
      <c r="F128" t="str">
        <f>_xlfn.CONCAT(D128,", ",H128,", ",I128,", ","山东省")</f>
        <v>曹县朱洪庙镇, 曹县, 菏泽市, 山东省</v>
      </c>
      <c r="G128">
        <v>25897</v>
      </c>
      <c r="H128" t="s">
        <v>3663</v>
      </c>
      <c r="I128" t="s">
        <v>3662</v>
      </c>
      <c r="J128">
        <f>VLOOKUP(F128,[1]!china_towns_second__2[[Column1]:[Y]],3,FALSE)</f>
        <v>34.638872691536299</v>
      </c>
      <c r="K128">
        <f>VLOOKUP(F128,[1]!china_towns_second__2[[Column1]:[Y]],2,FALSE)</f>
        <v>115.5261452</v>
      </c>
      <c r="L128" t="s">
        <v>4966</v>
      </c>
      <c r="M128" t="str">
        <f>VLOOKUP(H128,CHOOSE({1,2},Table17[Native],Table17[Name]),2,0)</f>
        <v>Cáo Xiàn</v>
      </c>
      <c r="N128" s="15" t="str">
        <f>VLOOKUP(I128,CHOOSE({1,2},Table17[Native],Table17[Name]),2,0)</f>
        <v>Hézé Shì</v>
      </c>
      <c r="O128" s="15" t="str">
        <f t="shared" si="2"/>
        <v>Caoxian Zhuhongmiao Zhen (Hézé Shì)</v>
      </c>
      <c r="P128" s="15" t="str">
        <f t="shared" si="3"/>
        <v>Caoxian Zhuhongmiao Zhen (Hézé Shì)</v>
      </c>
    </row>
    <row r="129" spans="1:16" hidden="1" x14ac:dyDescent="0.25">
      <c r="A129" t="s">
        <v>604</v>
      </c>
      <c r="B129" t="str">
        <f>IF(COUNTIF(A:A,A129)&gt;1,_xlfn.CONCAT(A129," (",N129,")"),A129)</f>
        <v>Cáozhuāng Xiāng</v>
      </c>
      <c r="C129" t="str">
        <f>IF(COUNTIF(B:B,B129)&gt;1,_xlfn.CONCAT(A129," (",M129,")"),B129)</f>
        <v>Cáozhuāng Xiāng</v>
      </c>
      <c r="D129" t="s">
        <v>605</v>
      </c>
      <c r="E129" t="s">
        <v>61</v>
      </c>
      <c r="F129" t="str">
        <f>_xlfn.CONCAT(D129,", ",H129,", ",I129,", ","山东省")</f>
        <v>曹庄乡, 单县, 菏泽市, 山东省</v>
      </c>
      <c r="G129">
        <v>24117</v>
      </c>
      <c r="H129" t="s">
        <v>3670</v>
      </c>
      <c r="I129" t="s">
        <v>3662</v>
      </c>
      <c r="J129" t="e">
        <f>VLOOKUP(F129,[1]!china_towns_second__2[[Column1]:[Y]],3,FALSE)</f>
        <v>#N/A</v>
      </c>
      <c r="K129" t="e">
        <f>VLOOKUP(F129,[1]!china_towns_second__2[[Column1]:[Y]],2,FALSE)</f>
        <v>#N/A</v>
      </c>
      <c r="L129" t="s">
        <v>4967</v>
      </c>
      <c r="M129" t="str">
        <f>VLOOKUP(H129,CHOOSE({1,2},Table17[Native],Table17[Name]),2,0)</f>
        <v>Shàn Xiàn</v>
      </c>
      <c r="N129" s="15" t="str">
        <f>VLOOKUP(I129,CHOOSE({1,2},Table17[Native],Table17[Name]),2,0)</f>
        <v>Hézé Shì</v>
      </c>
      <c r="O129" s="15" t="str">
        <f t="shared" si="2"/>
        <v>Caozhuang Xiang (Hézé Shì)</v>
      </c>
      <c r="P129" s="15" t="str">
        <f t="shared" si="3"/>
        <v>Caozhuang Xiang (Hézé Shì)</v>
      </c>
    </row>
    <row r="130" spans="1:16" hidden="1" x14ac:dyDescent="0.25">
      <c r="A130" t="s">
        <v>1823</v>
      </c>
      <c r="B130" t="str">
        <f>IF(COUNTIF(A:A,A130)&gt;1,_xlfn.CONCAT(A130," (",N130,")"),A130)</f>
        <v>Cáozhuāng Zhèn</v>
      </c>
      <c r="C130" t="str">
        <f>IF(COUNTIF(B:B,B130)&gt;1,_xlfn.CONCAT(A130," (",M130,")"),B130)</f>
        <v>Cáozhuāng Zhèn</v>
      </c>
      <c r="D130" t="s">
        <v>1824</v>
      </c>
      <c r="E130" t="s">
        <v>13</v>
      </c>
      <c r="F130" t="str">
        <f>_xlfn.CONCAT(D130,", ",H130,", ",I130,", ","山东省")</f>
        <v>曹庄镇, 临沭县, 临沂市, 山东省</v>
      </c>
      <c r="G130">
        <v>45214</v>
      </c>
      <c r="H130" t="s">
        <v>3716</v>
      </c>
      <c r="I130" t="s">
        <v>3710</v>
      </c>
      <c r="J130">
        <f>VLOOKUP(F130,[1]!china_towns_second__2[[Column1]:[Y]],3,FALSE)</f>
        <v>34.821361670083398</v>
      </c>
      <c r="K130">
        <f>VLOOKUP(F130,[1]!china_towns_second__2[[Column1]:[Y]],2,FALSE)</f>
        <v>118.492277</v>
      </c>
      <c r="L130" t="s">
        <v>4968</v>
      </c>
      <c r="M130" t="str">
        <f>VLOOKUP(H130,CHOOSE({1,2},Table17[Native],Table17[Name]),2,0)</f>
        <v>Línshù Xiàn</v>
      </c>
      <c r="N130" s="15" t="str">
        <f>VLOOKUP(I130,CHOOSE({1,2},Table17[Native],Table17[Name]),2,0)</f>
        <v>Línyí Shì</v>
      </c>
      <c r="O130" s="15" t="str">
        <f t="shared" ref="O130:O193" si="4">_xlfn.CONCAT(L130," (",N130,")")</f>
        <v>Caozhuang Zhen (Línyí Shì)</v>
      </c>
      <c r="P130" s="15" t="str">
        <f t="shared" ref="P130:P193" si="5">IF(COUNTIF(O:O,O130)&gt;1,_xlfn.CONCAT(L130," (",M130,")"),O130)</f>
        <v>Caozhuang Zhen (Línyí Shì)</v>
      </c>
    </row>
    <row r="131" spans="1:16" hidden="1" x14ac:dyDescent="0.25">
      <c r="A131" t="s">
        <v>1825</v>
      </c>
      <c r="B131" t="str">
        <f>IF(COUNTIF(A:A,A131)&gt;1,_xlfn.CONCAT(A131," (",N131,")"),A131)</f>
        <v>Cèshān Jiēdào</v>
      </c>
      <c r="C131" t="str">
        <f>IF(COUNTIF(B:B,B131)&gt;1,_xlfn.CONCAT(A131," (",M131,")"),B131)</f>
        <v>Cèshān Jiēdào</v>
      </c>
      <c r="D131" t="s">
        <v>1826</v>
      </c>
      <c r="E131" t="s">
        <v>7</v>
      </c>
      <c r="F131" t="str">
        <f>_xlfn.CONCAT(D131,", ",H131,", ",I131,", ","山东省")</f>
        <v>册山街道, 罗庄区, 临沂市, 山东省</v>
      </c>
      <c r="G131">
        <v>55938</v>
      </c>
      <c r="H131" t="s">
        <v>3717</v>
      </c>
      <c r="I131" t="s">
        <v>3710</v>
      </c>
      <c r="J131">
        <f>VLOOKUP(F131,[1]!china_towns_second__2[[Column1]:[Y]],3,FALSE)</f>
        <v>34.909459917466201</v>
      </c>
      <c r="K131">
        <f>VLOOKUP(F131,[1]!china_towns_second__2[[Column1]:[Y]],2,FALSE)</f>
        <v>118.344246</v>
      </c>
      <c r="L131" t="s">
        <v>4969</v>
      </c>
      <c r="M131" t="str">
        <f>VLOOKUP(H131,CHOOSE({1,2},Table17[Native],Table17[Name]),2,0)</f>
        <v>Luózhuāng Qū</v>
      </c>
      <c r="N131" s="15" t="str">
        <f>VLOOKUP(I131,CHOOSE({1,2},Table17[Native],Table17[Name]),2,0)</f>
        <v>Línyí Shì</v>
      </c>
      <c r="O131" s="15" t="str">
        <f t="shared" si="4"/>
        <v>Ceshan Jiedao (Línyí Shì)</v>
      </c>
      <c r="P131" s="15" t="str">
        <f t="shared" si="5"/>
        <v>Ceshan Jiedao (Línyí Shì)</v>
      </c>
    </row>
    <row r="132" spans="1:16" hidden="1" x14ac:dyDescent="0.25">
      <c r="A132" t="s">
        <v>2689</v>
      </c>
      <c r="B132" t="str">
        <f>IF(COUNTIF(A:A,A132)&gt;1,_xlfn.CONCAT(A132," (",N132,")"),A132)</f>
        <v>Cháigōu Zhèn</v>
      </c>
      <c r="C132" t="str">
        <f>IF(COUNTIF(B:B,B132)&gt;1,_xlfn.CONCAT(A132," (",M132,")"),B132)</f>
        <v>Cháigōu Zhèn</v>
      </c>
      <c r="D132" t="s">
        <v>2690</v>
      </c>
      <c r="E132" t="s">
        <v>13</v>
      </c>
      <c r="F132" t="str">
        <f>_xlfn.CONCAT(D132,", ",H132,", ",I132,", ","山东省")</f>
        <v>柴沟镇, 高密市, 潍坊市, 山东省</v>
      </c>
      <c r="G132">
        <v>79043</v>
      </c>
      <c r="H132" t="s">
        <v>3756</v>
      </c>
      <c r="I132" t="s">
        <v>3751</v>
      </c>
      <c r="J132">
        <f>VLOOKUP(F132,[1]!china_towns_second__2[[Column1]:[Y]],3,FALSE)</f>
        <v>36.220007591030097</v>
      </c>
      <c r="K132">
        <f>VLOOKUP(F132,[1]!china_towns_second__2[[Column1]:[Y]],2,FALSE)</f>
        <v>119.56994419999999</v>
      </c>
      <c r="L132" t="s">
        <v>4970</v>
      </c>
      <c r="M132" t="str">
        <f>VLOOKUP(H132,CHOOSE({1,2},Table17[Native],Table17[Name]),2,0)</f>
        <v>Gāomì Shì</v>
      </c>
      <c r="N132" s="15" t="str">
        <f>VLOOKUP(I132,CHOOSE({1,2},Table17[Native],Table17[Name]),2,0)</f>
        <v>Wéifāng Shì</v>
      </c>
      <c r="O132" s="15" t="str">
        <f t="shared" si="4"/>
        <v>Chaigou Zhen (Wéifāng Shì)</v>
      </c>
      <c r="P132" s="15" t="str">
        <f t="shared" si="5"/>
        <v>Chaigou Zhen (Wéifāng Shì)</v>
      </c>
    </row>
    <row r="133" spans="1:16" hidden="1" x14ac:dyDescent="0.25">
      <c r="A133" t="s">
        <v>223</v>
      </c>
      <c r="B133" t="str">
        <f>IF(COUNTIF(A:A,A133)&gt;1,_xlfn.CONCAT(A133," (",N133,")"),A133)</f>
        <v>Cháihúdiàn Zhèn (Dézhōu Shì)</v>
      </c>
      <c r="C133" t="str">
        <f>IF(COUNTIF(B:B,B133)&gt;1,_xlfn.CONCAT(A133," (",M133,")"),B133)</f>
        <v>Cháihúdiàn Zhèn (Dézhōu Shì)</v>
      </c>
      <c r="D133" t="s">
        <v>224</v>
      </c>
      <c r="E133" t="s">
        <v>13</v>
      </c>
      <c r="F133" t="str">
        <f>_xlfn.CONCAT(D133,", ",H133,", ",I133,", ","山东省")</f>
        <v>柴胡店镇, 宁津县, 德州市, 山东省</v>
      </c>
      <c r="G133">
        <v>52221</v>
      </c>
      <c r="H133" t="s">
        <v>3647</v>
      </c>
      <c r="I133" t="s">
        <v>3642</v>
      </c>
      <c r="J133">
        <f>VLOOKUP(F133,[1]!china_towns_second__2[[Column1]:[Y]],3,FALSE)</f>
        <v>37.631707605934999</v>
      </c>
      <c r="K133">
        <f>VLOOKUP(F133,[1]!china_towns_second__2[[Column1]:[Y]],2,FALSE)</f>
        <v>116.92756</v>
      </c>
      <c r="L133" t="s">
        <v>4971</v>
      </c>
      <c r="M133" t="str">
        <f>VLOOKUP(H133,CHOOSE({1,2},Table17[Native],Table17[Name]),2,0)</f>
        <v>Níngjīn Xiàn</v>
      </c>
      <c r="N133" s="15" t="str">
        <f>VLOOKUP(I133,CHOOSE({1,2},Table17[Native],Table17[Name]),2,0)</f>
        <v>Dézhōu Shì</v>
      </c>
      <c r="O133" s="15" t="str">
        <f t="shared" si="4"/>
        <v>Chaihudian Zhen (Dezhou Shi) (Dézhōu Shì)</v>
      </c>
      <c r="P133" s="15" t="str">
        <f t="shared" si="5"/>
        <v>Chaihudian Zhen (Dezhou Shi) (Dézhōu Shì)</v>
      </c>
    </row>
    <row r="134" spans="1:16" hidden="1" x14ac:dyDescent="0.25">
      <c r="A134" t="s">
        <v>223</v>
      </c>
      <c r="B134" t="str">
        <f>IF(COUNTIF(A:A,A134)&gt;1,_xlfn.CONCAT(A134," (",N134,")"),A134)</f>
        <v>Cháihúdiàn Zhèn (Zăozhuāng Shì)</v>
      </c>
      <c r="C134" t="str">
        <f>IF(COUNTIF(B:B,B134)&gt;1,_xlfn.CONCAT(A134," (",M134,")"),B134)</f>
        <v>Cháihúdiàn Zhèn (Zăozhuāng Shì)</v>
      </c>
      <c r="D134" t="s">
        <v>224</v>
      </c>
      <c r="E134" t="s">
        <v>13</v>
      </c>
      <c r="F134" t="str">
        <f>_xlfn.CONCAT(D134,", ",H134,", ",I134,", ","山东省")</f>
        <v>柴胡店镇, 滕州市, 枣庄市, 山东省</v>
      </c>
      <c r="G134">
        <v>34423</v>
      </c>
      <c r="H134" t="s">
        <v>3787</v>
      </c>
      <c r="I134" t="s">
        <v>3784</v>
      </c>
      <c r="J134">
        <f>VLOOKUP(F134,[1]!china_towns_second__2[[Column1]:[Y]],3,FALSE)</f>
        <v>34.886277119492497</v>
      </c>
      <c r="K134">
        <f>VLOOKUP(F134,[1]!china_towns_second__2[[Column1]:[Y]],2,FALSE)</f>
        <v>117.2540597</v>
      </c>
      <c r="L134" t="s">
        <v>4972</v>
      </c>
      <c r="M134" t="str">
        <f>VLOOKUP(H134,CHOOSE({1,2},Table17[Native],Table17[Name]),2,0)</f>
        <v>Téngzhōu Shì</v>
      </c>
      <c r="N134" s="15" t="str">
        <f>VLOOKUP(I134,CHOOSE({1,2},Table17[Native],Table17[Name]),2,0)</f>
        <v>Zăozhuāng Shì</v>
      </c>
      <c r="O134" s="15" t="str">
        <f t="shared" si="4"/>
        <v>Chaihudian Zhen (Zaozhuang Shi) (Zăozhuāng Shì)</v>
      </c>
      <c r="P134" s="15" t="str">
        <f t="shared" si="5"/>
        <v>Chaihudian Zhen (Zaozhuang Shi) (Zăozhuāng Shì)</v>
      </c>
    </row>
    <row r="135" spans="1:16" hidden="1" x14ac:dyDescent="0.25">
      <c r="A135" t="s">
        <v>2691</v>
      </c>
      <c r="B135" t="str">
        <f>IF(COUNTIF(A:A,A135)&gt;1,_xlfn.CONCAT(A135," (",N135,")"),A135)</f>
        <v>Chāngchéng Zhèn</v>
      </c>
      <c r="C135" t="str">
        <f>IF(COUNTIF(B:B,B135)&gt;1,_xlfn.CONCAT(A135," (",M135,")"),B135)</f>
        <v>Chāngchéng Zhèn</v>
      </c>
      <c r="D135" t="s">
        <v>2692</v>
      </c>
      <c r="E135" t="s">
        <v>13</v>
      </c>
      <c r="F135" t="str">
        <f>_xlfn.CONCAT(D135,", ",H135,", ",I135,", ","山东省")</f>
        <v>昌城镇, 诸城市, 潍坊市, 山东省</v>
      </c>
      <c r="G135">
        <v>63208</v>
      </c>
      <c r="H135" t="s">
        <v>3763</v>
      </c>
      <c r="I135" t="s">
        <v>3751</v>
      </c>
      <c r="J135">
        <f>VLOOKUP(F135,[1]!china_towns_second__2[[Column1]:[Y]],3,FALSE)</f>
        <v>36.116128583242798</v>
      </c>
      <c r="K135">
        <f>VLOOKUP(F135,[1]!china_towns_second__2[[Column1]:[Y]],2,FALSE)</f>
        <v>119.4666172</v>
      </c>
      <c r="L135" t="s">
        <v>4973</v>
      </c>
      <c r="M135" t="str">
        <f>VLOOKUP(H135,CHOOSE({1,2},Table17[Native],Table17[Name]),2,0)</f>
        <v>Zhūchéng Shì</v>
      </c>
      <c r="N135" s="15" t="str">
        <f>VLOOKUP(I135,CHOOSE({1,2},Table17[Native],Table17[Name]),2,0)</f>
        <v>Wéifāng Shì</v>
      </c>
      <c r="O135" s="15" t="str">
        <f t="shared" si="4"/>
        <v>Changcheng Zhen (Wéifāng Shì)</v>
      </c>
      <c r="P135" s="15" t="str">
        <f t="shared" si="5"/>
        <v>Changcheng Zhen (Wéifāng Shì)</v>
      </c>
    </row>
    <row r="136" spans="1:16" hidden="1" x14ac:dyDescent="0.25">
      <c r="A136" t="s">
        <v>1828</v>
      </c>
      <c r="B136" t="str">
        <f>IF(COUNTIF(A:A,A136)&gt;1,_xlfn.CONCAT(A136," (",N136,")"),A136)</f>
        <v>Chángchéng Zhèn [incl. Èrmiào Xiāng]</v>
      </c>
      <c r="C136" t="str">
        <f>IF(COUNTIF(B:B,B136)&gt;1,_xlfn.CONCAT(A136," (",M136,")"),B136)</f>
        <v>Chángchéng Zhèn [incl. Èrmiào Xiāng]</v>
      </c>
      <c r="D136" t="s">
        <v>1829</v>
      </c>
      <c r="E136" t="s">
        <v>13</v>
      </c>
      <c r="F136" t="str">
        <f>_xlfn.CONCAT(D136,", ",H136,", ",I136,", ","山东省")</f>
        <v>长城镇, 兰陵县, 临沂市, 山东省</v>
      </c>
      <c r="G136">
        <v>93827</v>
      </c>
      <c r="H136" t="s">
        <v>3714</v>
      </c>
      <c r="I136" t="s">
        <v>3710</v>
      </c>
      <c r="J136">
        <f>VLOOKUP(F136,[1]!china_towns_second__2[[Column1]:[Y]],3,FALSE)</f>
        <v>34.685590140979301</v>
      </c>
      <c r="K136">
        <f>VLOOKUP(F136,[1]!china_towns_second__2[[Column1]:[Y]],2,FALSE)</f>
        <v>118.0993675</v>
      </c>
      <c r="L136" t="s">
        <v>4974</v>
      </c>
      <c r="M136" t="str">
        <f>VLOOKUP(H136,CHOOSE({1,2},Table17[Native],Table17[Name]),2,0)</f>
        <v>Lánlíng Xiàn</v>
      </c>
      <c r="N136" s="15" t="str">
        <f>VLOOKUP(I136,CHOOSE({1,2},Table17[Native],Table17[Name]),2,0)</f>
        <v>Línyí Shì</v>
      </c>
      <c r="O136" s="15" t="str">
        <f t="shared" si="4"/>
        <v>Changcheng Zhen [incl. Ermiao Xiang] (Línyí Shì)</v>
      </c>
      <c r="P136" s="15" t="str">
        <f t="shared" si="5"/>
        <v>Changcheng Zhen [incl. Ermiao Xiang] (Línyí Shì)</v>
      </c>
    </row>
    <row r="137" spans="1:16" hidden="1" x14ac:dyDescent="0.25">
      <c r="A137" t="s">
        <v>1246</v>
      </c>
      <c r="B137" t="str">
        <f>IF(COUNTIF(A:A,A137)&gt;1,_xlfn.CONCAT(A137," (",N137,")"),A137)</f>
        <v>Chánggōu Zhèn</v>
      </c>
      <c r="C137" t="str">
        <f>IF(COUNTIF(B:B,B137)&gt;1,_xlfn.CONCAT(A137," (",M137,")"),B137)</f>
        <v>Chánggōu Zhèn</v>
      </c>
      <c r="D137" t="s">
        <v>1247</v>
      </c>
      <c r="E137" t="s">
        <v>13</v>
      </c>
      <c r="F137" t="str">
        <f>_xlfn.CONCAT(D137,", ",H137,", ",I137,", ","山东省")</f>
        <v>长沟镇, 任城区, 济宁市, 山东省</v>
      </c>
      <c r="G137">
        <v>57058</v>
      </c>
      <c r="H137" t="s">
        <v>3692</v>
      </c>
      <c r="I137" t="s">
        <v>3687</v>
      </c>
      <c r="J137">
        <f>VLOOKUP(F137,[1]!china_towns_second__2[[Column1]:[Y]],3,FALSE)</f>
        <v>35.503554243245198</v>
      </c>
      <c r="K137">
        <f>VLOOKUP(F137,[1]!china_towns_second__2[[Column1]:[Y]],2,FALSE)</f>
        <v>116.449496</v>
      </c>
      <c r="L137" t="s">
        <v>4975</v>
      </c>
      <c r="M137" t="str">
        <f>VLOOKUP(H137,CHOOSE({1,2},Table17[Native],Table17[Name]),2,0)</f>
        <v>Rènchéng Qū</v>
      </c>
      <c r="N137" s="15" t="str">
        <f>VLOOKUP(I137,CHOOSE({1,2},Table17[Native],Table17[Name]),2,0)</f>
        <v>Jìníng Shì</v>
      </c>
      <c r="O137" s="15" t="str">
        <f t="shared" si="4"/>
        <v>Changgou Zhen (Jìníng Shì)</v>
      </c>
      <c r="P137" s="15" t="str">
        <f t="shared" si="5"/>
        <v>Changgou Zhen (Jìníng Shì)</v>
      </c>
    </row>
    <row r="138" spans="1:16" hidden="1" x14ac:dyDescent="0.25">
      <c r="A138" t="s">
        <v>225</v>
      </c>
      <c r="B138" t="str">
        <f>IF(COUNTIF(A:A,A138)&gt;1,_xlfn.CONCAT(A138," (",N138,")"),A138)</f>
        <v>Chángguān Zhèn</v>
      </c>
      <c r="C138" t="str">
        <f>IF(COUNTIF(B:B,B138)&gt;1,_xlfn.CONCAT(A138," (",M138,")"),B138)</f>
        <v>Chángguān Zhèn</v>
      </c>
      <c r="D138" t="s">
        <v>226</v>
      </c>
      <c r="E138" t="s">
        <v>13</v>
      </c>
      <c r="F138" t="str">
        <f>_xlfn.CONCAT(D138,", ",H138,", ",I138,", ","山东省")</f>
        <v>长官镇, 宁津县, 德州市, 山东省</v>
      </c>
      <c r="G138">
        <v>38056</v>
      </c>
      <c r="H138" t="s">
        <v>3647</v>
      </c>
      <c r="I138" t="s">
        <v>3642</v>
      </c>
      <c r="J138">
        <f>VLOOKUP(F138,[1]!china_towns_second__2[[Column1]:[Y]],3,FALSE)</f>
        <v>37.811720612228399</v>
      </c>
      <c r="K138">
        <f>VLOOKUP(F138,[1]!china_towns_second__2[[Column1]:[Y]],2,FALSE)</f>
        <v>116.8925227</v>
      </c>
      <c r="L138" t="s">
        <v>4976</v>
      </c>
      <c r="M138" t="str">
        <f>VLOOKUP(H138,CHOOSE({1,2},Table17[Native],Table17[Name]),2,0)</f>
        <v>Níngjīn Xiàn</v>
      </c>
      <c r="N138" s="15" t="str">
        <f>VLOOKUP(I138,CHOOSE({1,2},Table17[Native],Table17[Name]),2,0)</f>
        <v>Dézhōu Shì</v>
      </c>
      <c r="O138" s="15" t="str">
        <f t="shared" si="4"/>
        <v>Changguan Zhen (Dézhōu Shì)</v>
      </c>
      <c r="P138" s="15" t="str">
        <f t="shared" si="5"/>
        <v>Changguan Zhen (Dézhōu Shì)</v>
      </c>
    </row>
    <row r="139" spans="1:16" hidden="1" x14ac:dyDescent="0.25">
      <c r="A139" t="s">
        <v>227</v>
      </c>
      <c r="B139" t="str">
        <f>IF(COUNTIF(A:A,A139)&gt;1,_xlfn.CONCAT(A139," (",N139,")"),A139)</f>
        <v>Chánghé Jiēdào</v>
      </c>
      <c r="C139" t="str">
        <f>IF(COUNTIF(B:B,B139)&gt;1,_xlfn.CONCAT(A139," (",M139,")"),B139)</f>
        <v>Chánghé Jiēdào</v>
      </c>
      <c r="D139" t="s">
        <v>228</v>
      </c>
      <c r="E139" t="s">
        <v>7</v>
      </c>
      <c r="F139" t="str">
        <f>_xlfn.CONCAT(D139,", ",H139,", ",I139,", ","山东省")</f>
        <v>长河街道, 德城区, 德州市, 山东省</v>
      </c>
      <c r="G139">
        <v>48297</v>
      </c>
      <c r="H139" t="s">
        <v>3643</v>
      </c>
      <c r="I139" t="s">
        <v>3642</v>
      </c>
      <c r="J139">
        <f>VLOOKUP(F139,[1]!china_towns_second__2[[Column1]:[Y]],3,FALSE)</f>
        <v>37.434567160395403</v>
      </c>
      <c r="K139">
        <f>VLOOKUP(F139,[1]!china_towns_second__2[[Column1]:[Y]],2,FALSE)</f>
        <v>116.3443108</v>
      </c>
      <c r="L139" t="s">
        <v>4977</v>
      </c>
      <c r="M139" t="str">
        <f>VLOOKUP(H139,CHOOSE({1,2},Table17[Native],Table17[Name]),2,0)</f>
        <v>Déchéng Qū</v>
      </c>
      <c r="N139" s="15" t="str">
        <f>VLOOKUP(I139,CHOOSE({1,2},Table17[Native],Table17[Name]),2,0)</f>
        <v>Dézhōu Shì</v>
      </c>
      <c r="O139" s="15" t="str">
        <f t="shared" si="4"/>
        <v>Changhe Jiedao (Dézhōu Shì)</v>
      </c>
      <c r="P139" s="15" t="str">
        <f t="shared" si="5"/>
        <v>Changhe Jiedao (Dézhōu Shì)</v>
      </c>
    </row>
    <row r="140" spans="1:16" hidden="1" x14ac:dyDescent="0.25">
      <c r="A140" t="s">
        <v>230</v>
      </c>
      <c r="B140" t="str">
        <f>IF(COUNTIF(A:A,A140)&gt;1,_xlfn.CONCAT(A140," (",N140,")"),A140)</f>
        <v>Chángjiā Zhèn (Dézhōu Shì)</v>
      </c>
      <c r="C140" t="str">
        <f>IF(COUNTIF(B:B,B140)&gt;1,_xlfn.CONCAT(A140," (",M140,")"),B140)</f>
        <v>Chángjiā Zhèn (Dézhōu Shì)</v>
      </c>
      <c r="D140" t="s">
        <v>231</v>
      </c>
      <c r="E140" t="s">
        <v>13</v>
      </c>
      <c r="F140" t="str">
        <f>_xlfn.CONCAT(D140,", ",H140,", ",I140,", ","山东省")</f>
        <v>常家镇, 庆云县, 德州市, 山东省</v>
      </c>
      <c r="G140">
        <v>46801</v>
      </c>
      <c r="H140" t="s">
        <v>3650</v>
      </c>
      <c r="I140" t="s">
        <v>3642</v>
      </c>
      <c r="J140">
        <f>VLOOKUP(F140,[1]!china_towns_second__2[[Column1]:[Y]],3,FALSE)</f>
        <v>37.799041425482002</v>
      </c>
      <c r="K140">
        <f>VLOOKUP(F140,[1]!china_towns_second__2[[Column1]:[Y]],2,FALSE)</f>
        <v>117.4888667</v>
      </c>
      <c r="L140" t="s">
        <v>4978</v>
      </c>
      <c r="M140" t="str">
        <f>VLOOKUP(H140,CHOOSE({1,2},Table17[Native],Table17[Name]),2,0)</f>
        <v>Qìngyún Xiàn</v>
      </c>
      <c r="N140" s="15" t="str">
        <f>VLOOKUP(I140,CHOOSE({1,2},Table17[Native],Table17[Name]),2,0)</f>
        <v>Dézhōu Shì</v>
      </c>
      <c r="O140" s="15" t="str">
        <f t="shared" si="4"/>
        <v>Changjia Zhen (Dezhou Shi) (Dézhōu Shì)</v>
      </c>
      <c r="P140" s="15" t="str">
        <f t="shared" si="5"/>
        <v>Changjia Zhen (Dezhou Shi) (Dézhōu Shì)</v>
      </c>
    </row>
    <row r="141" spans="1:16" hidden="1" x14ac:dyDescent="0.25">
      <c r="A141" t="s">
        <v>230</v>
      </c>
      <c r="B141" t="str">
        <f>IF(COUNTIF(A:A,A141)&gt;1,_xlfn.CONCAT(A141," (",N141,")"),A141)</f>
        <v>Chángjiā Zhèn (Zībó Shì)</v>
      </c>
      <c r="C141" t="str">
        <f>IF(COUNTIF(B:B,B141)&gt;1,_xlfn.CONCAT(A141," (",M141,")"),B141)</f>
        <v>Chángjiā Zhèn (Zībó Shì)</v>
      </c>
      <c r="D141" t="s">
        <v>231</v>
      </c>
      <c r="E141" t="s">
        <v>13</v>
      </c>
      <c r="F141" t="str">
        <f>_xlfn.CONCAT(D141,", ",H141,", ",I141,", ","山东省")</f>
        <v>常家镇, 高青县, 淄博市, 山东省</v>
      </c>
      <c r="G141">
        <v>28093</v>
      </c>
      <c r="H141" t="s">
        <v>3793</v>
      </c>
      <c r="I141" t="s">
        <v>3791</v>
      </c>
      <c r="J141">
        <f>VLOOKUP(F141,[1]!china_towns_second__2[[Column1]:[Y]],3,FALSE)</f>
        <v>37.229735298358797</v>
      </c>
      <c r="K141">
        <f>VLOOKUP(F141,[1]!china_towns_second__2[[Column1]:[Y]],2,FALSE)</f>
        <v>117.8437124</v>
      </c>
      <c r="L141" t="s">
        <v>4979</v>
      </c>
      <c r="M141" t="str">
        <f>VLOOKUP(H141,CHOOSE({1,2},Table17[Native],Table17[Name]),2,0)</f>
        <v>Gāoqīng Xiàn</v>
      </c>
      <c r="N141" s="15" t="str">
        <f>VLOOKUP(I141,CHOOSE({1,2},Table17[Native],Table17[Name]),2,0)</f>
        <v>Zībó Shì</v>
      </c>
      <c r="O141" s="15" t="str">
        <f t="shared" si="4"/>
        <v>Changjia Zhen (Zibo Shi) (Zībó Shì)</v>
      </c>
      <c r="P141" s="15" t="str">
        <f t="shared" si="5"/>
        <v>Changjia Zhen (Zibo Shi) (Zībó Shì)</v>
      </c>
    </row>
    <row r="142" spans="1:16" hidden="1" x14ac:dyDescent="0.25">
      <c r="A142" t="s">
        <v>2136</v>
      </c>
      <c r="B142" t="str">
        <f>IF(COUNTIF(A:A,A142)&gt;1,_xlfn.CONCAT(A142," (",N142,")"),A142)</f>
        <v>Chángjiānglù Jiēdào</v>
      </c>
      <c r="C142" t="str">
        <f>IF(COUNTIF(B:B,B142)&gt;1,_xlfn.CONCAT(A142," (",M142,")"),B142)</f>
        <v>Chángjiānglù Jiēdào</v>
      </c>
      <c r="D142" t="s">
        <v>2137</v>
      </c>
      <c r="E142" t="s">
        <v>7</v>
      </c>
      <c r="F142" t="str">
        <f>_xlfn.CONCAT(D142,", ",H142,", ",I142,", ","山东省")</f>
        <v>长江路街道, 黄岛区, 青岛市, 山东省</v>
      </c>
      <c r="G142">
        <v>198710</v>
      </c>
      <c r="H142" t="s">
        <v>3726</v>
      </c>
      <c r="I142" t="s">
        <v>3724</v>
      </c>
      <c r="J142">
        <f>VLOOKUP(F142,[1]!china_towns_second__2[[Column1]:[Y]],3,FALSE)</f>
        <v>35.967791342842403</v>
      </c>
      <c r="K142">
        <f>VLOOKUP(F142,[1]!china_towns_second__2[[Column1]:[Y]],2,FALSE)</f>
        <v>120.1654668</v>
      </c>
      <c r="L142" t="s">
        <v>4980</v>
      </c>
      <c r="M142" t="str">
        <f>VLOOKUP(H142,CHOOSE({1,2},Table17[Native],Table17[Name]),2,0)</f>
        <v>Huángdăo Qū</v>
      </c>
      <c r="N142" s="15" t="str">
        <f>VLOOKUP(I142,CHOOSE({1,2},Table17[Native],Table17[Name]),2,0)</f>
        <v>Qīngdăo Shì</v>
      </c>
      <c r="O142" s="15" t="str">
        <f t="shared" si="4"/>
        <v>Changjianglu Jiedao (Qīngdăo Shì)</v>
      </c>
      <c r="P142" s="15" t="str">
        <f t="shared" si="5"/>
        <v>Changjianglu Jiedao (Qīngdăo Shì)</v>
      </c>
    </row>
    <row r="143" spans="1:16" hidden="1" x14ac:dyDescent="0.25">
      <c r="A143" t="s">
        <v>606</v>
      </c>
      <c r="B143" t="str">
        <f>IF(COUNTIF(A:A,A143)&gt;1,_xlfn.CONCAT(A143," (",N143,")"),A143)</f>
        <v>Chánglèjí Zhèn</v>
      </c>
      <c r="C143" t="str">
        <f>IF(COUNTIF(B:B,B143)&gt;1,_xlfn.CONCAT(A143," (",M143,")"),B143)</f>
        <v>Chánglèjí Zhèn</v>
      </c>
      <c r="D143" t="s">
        <v>607</v>
      </c>
      <c r="E143" t="s">
        <v>13</v>
      </c>
      <c r="F143" t="str">
        <f>_xlfn.CONCAT(D143,", ",H143,", ",I143,", ","山东省")</f>
        <v>常乐集镇, 曹县, 菏泽市, 山东省</v>
      </c>
      <c r="G143">
        <v>37712</v>
      </c>
      <c r="H143" t="s">
        <v>3663</v>
      </c>
      <c r="I143" t="s">
        <v>3662</v>
      </c>
      <c r="J143">
        <f>VLOOKUP(F143,[1]!china_towns_second__2[[Column1]:[Y]],3,FALSE)</f>
        <v>34.950669751767897</v>
      </c>
      <c r="K143">
        <f>VLOOKUP(F143,[1]!china_towns_second__2[[Column1]:[Y]],2,FALSE)</f>
        <v>115.3009416</v>
      </c>
      <c r="L143" t="s">
        <v>4981</v>
      </c>
      <c r="M143" t="str">
        <f>VLOOKUP(H143,CHOOSE({1,2},Table17[Native],Table17[Name]),2,0)</f>
        <v>Cáo Xiàn</v>
      </c>
      <c r="N143" s="15" t="str">
        <f>VLOOKUP(I143,CHOOSE({1,2},Table17[Native],Table17[Name]),2,0)</f>
        <v>Hézé Shì</v>
      </c>
      <c r="O143" s="15" t="str">
        <f t="shared" si="4"/>
        <v>Changleji Zhen (Hézé Shì)</v>
      </c>
      <c r="P143" s="15" t="str">
        <f t="shared" si="5"/>
        <v>Changleji Zhen (Hézé Shì)</v>
      </c>
    </row>
    <row r="144" spans="1:16" hidden="1" x14ac:dyDescent="0.25">
      <c r="A144" t="s">
        <v>2399</v>
      </c>
      <c r="B144" t="str">
        <f>IF(COUNTIF(A:A,A144)&gt;1,_xlfn.CONCAT(A144," (",N144,")"),A144)</f>
        <v>Chánglĭng Zhèn</v>
      </c>
      <c r="C144" t="str">
        <f>IF(COUNTIF(B:B,B144)&gt;1,_xlfn.CONCAT(A144," (",M144,")"),B144)</f>
        <v>Chánglĭng Zhèn</v>
      </c>
      <c r="D144" t="s">
        <v>2400</v>
      </c>
      <c r="E144" t="s">
        <v>13</v>
      </c>
      <c r="F144" t="str">
        <f>_xlfn.CONCAT(D144,", ",H144,", ",I144,", ","山东省")</f>
        <v>长岭镇, 莒县, 日照市, 山东省</v>
      </c>
      <c r="G144">
        <v>33892</v>
      </c>
      <c r="H144" t="s">
        <v>3739</v>
      </c>
      <c r="I144" t="s">
        <v>3736</v>
      </c>
      <c r="J144">
        <f>VLOOKUP(F144,[1]!china_towns_second__2[[Column1]:[Y]],3,FALSE)</f>
        <v>35.4775829679566</v>
      </c>
      <c r="K144">
        <f>VLOOKUP(F144,[1]!china_towns_second__2[[Column1]:[Y]],2,FALSE)</f>
        <v>118.8338019</v>
      </c>
      <c r="L144" t="s">
        <v>4982</v>
      </c>
      <c r="M144" t="str">
        <f>VLOOKUP(H144,CHOOSE({1,2},Table17[Native],Table17[Name]),2,0)</f>
        <v>Jŭ Xiàn</v>
      </c>
      <c r="N144" s="15" t="str">
        <f>VLOOKUP(I144,CHOOSE({1,2},Table17[Native],Table17[Name]),2,0)</f>
        <v>Rìzhào Shì</v>
      </c>
      <c r="O144" s="15" t="str">
        <f t="shared" si="4"/>
        <v>Changling Zhen (Rìzhào Shì)</v>
      </c>
      <c r="P144" s="15" t="str">
        <f t="shared" si="5"/>
        <v>Changling Zhen (Rìzhào Shì)</v>
      </c>
    </row>
    <row r="145" spans="1:16" hidden="1" x14ac:dyDescent="0.25">
      <c r="A145" t="s">
        <v>1830</v>
      </c>
      <c r="B145" t="str">
        <f>IF(COUNTIF(A:A,A145)&gt;1,_xlfn.CONCAT(A145," (",N145,")"),A145)</f>
        <v>Chánglù Zhèn</v>
      </c>
      <c r="C145" t="str">
        <f>IF(COUNTIF(B:B,B145)&gt;1,_xlfn.CONCAT(A145," (",M145,")"),B145)</f>
        <v>Chánglù Zhèn</v>
      </c>
      <c r="D145" t="s">
        <v>1831</v>
      </c>
      <c r="E145" t="s">
        <v>13</v>
      </c>
      <c r="F145" t="str">
        <f>_xlfn.CONCAT(D145,", ",H145,", ",I145,", ","山东省")</f>
        <v>常路镇, 蒙阴县, 临沂市, 山东省</v>
      </c>
      <c r="G145">
        <v>30228</v>
      </c>
      <c r="H145" t="s">
        <v>3718</v>
      </c>
      <c r="I145" t="s">
        <v>3710</v>
      </c>
      <c r="J145">
        <f>VLOOKUP(F145,[1]!china_towns_second__2[[Column1]:[Y]],3,FALSE)</f>
        <v>35.815577720866997</v>
      </c>
      <c r="K145">
        <f>VLOOKUP(F145,[1]!china_towns_second__2[[Column1]:[Y]],2,FALSE)</f>
        <v>117.864943</v>
      </c>
      <c r="L145" t="s">
        <v>4983</v>
      </c>
      <c r="M145" t="str">
        <f>VLOOKUP(H145,CHOOSE({1,2},Table17[Native],Table17[Name]),2,0)</f>
        <v>Mĕngyīn Xiàn</v>
      </c>
      <c r="N145" s="15" t="str">
        <f>VLOOKUP(I145,CHOOSE({1,2},Table17[Native],Table17[Name]),2,0)</f>
        <v>Línyí Shì</v>
      </c>
      <c r="O145" s="15" t="str">
        <f t="shared" si="4"/>
        <v>Changlu Zhen (Línyí Shì)</v>
      </c>
      <c r="P145" s="15" t="str">
        <f t="shared" si="5"/>
        <v>Changlu Zhen (Línyí Shì)</v>
      </c>
    </row>
    <row r="146" spans="1:16" hidden="1" x14ac:dyDescent="0.25">
      <c r="A146" t="s">
        <v>22</v>
      </c>
      <c r="B146" t="str">
        <f>IF(COUNTIF(A:A,A146)&gt;1,_xlfn.CONCAT(A146," (",N146,")"),A146)</f>
        <v>Chángshān Zhèn</v>
      </c>
      <c r="C146" t="str">
        <f>IF(COUNTIF(B:B,B146)&gt;1,_xlfn.CONCAT(A146," (",M146,")"),B146)</f>
        <v>Chángshān Zhèn</v>
      </c>
      <c r="D146" t="s">
        <v>23</v>
      </c>
      <c r="E146" t="s">
        <v>13</v>
      </c>
      <c r="F146" t="str">
        <f>_xlfn.CONCAT(D146,", ",H146,", ",I146,", ","山东省")</f>
        <v>长山镇, 邹平市, 滨州市, 山东省</v>
      </c>
      <c r="G146">
        <v>67865</v>
      </c>
      <c r="H146" t="s">
        <v>3640</v>
      </c>
      <c r="I146" t="s">
        <v>3630</v>
      </c>
      <c r="J146">
        <f>VLOOKUP(F146,[1]!china_towns_second__2[[Column1]:[Y]],3,FALSE)</f>
        <v>36.926701100243697</v>
      </c>
      <c r="K146">
        <f>VLOOKUP(F146,[1]!china_towns_second__2[[Column1]:[Y]],2,FALSE)</f>
        <v>117.8792772</v>
      </c>
      <c r="L146" t="s">
        <v>4984</v>
      </c>
      <c r="M146" t="str">
        <f>VLOOKUP(H146,CHOOSE({1,2},Table17[Native],Table17[Name]),2,0)</f>
        <v>Zōupíng Shì</v>
      </c>
      <c r="N146" s="15" t="str">
        <f>VLOOKUP(I146,CHOOSE({1,2},Table17[Native],Table17[Name]),2,0)</f>
        <v>Bīnzhōu Shì</v>
      </c>
      <c r="O146" s="15" t="str">
        <f t="shared" si="4"/>
        <v>Changshan Zhen (Bīnzhōu Shì)</v>
      </c>
      <c r="P146" s="15" t="str">
        <f t="shared" si="5"/>
        <v>Changshan Zhen (Bīnzhōu Shì)</v>
      </c>
    </row>
    <row r="147" spans="1:16" hidden="1" x14ac:dyDescent="0.25">
      <c r="A147" t="s">
        <v>608</v>
      </c>
      <c r="B147" t="str">
        <f>IF(COUNTIF(A:A,A147)&gt;1,_xlfn.CONCAT(A147," (",N147,")"),A147)</f>
        <v>Chángxīngjí Xiāng</v>
      </c>
      <c r="C147" t="str">
        <f>IF(COUNTIF(B:B,B147)&gt;1,_xlfn.CONCAT(A147," (",M147,")"),B147)</f>
        <v>Chángxīngjí Xiāng</v>
      </c>
      <c r="D147" t="s">
        <v>609</v>
      </c>
      <c r="E147" t="s">
        <v>61</v>
      </c>
      <c r="F147" t="str">
        <f>_xlfn.CONCAT(D147,", ",H147,", ",I147,", ","山东省")</f>
        <v>长兴集乡, 东明县, 菏泽市, 山东省</v>
      </c>
      <c r="G147">
        <v>59852</v>
      </c>
      <c r="H147" t="s">
        <v>3666</v>
      </c>
      <c r="I147" t="s">
        <v>3662</v>
      </c>
      <c r="J147" t="e">
        <f>VLOOKUP(F147,[1]!china_towns_second__2[[Column1]:[Y]],3,FALSE)</f>
        <v>#N/A</v>
      </c>
      <c r="K147" t="e">
        <f>VLOOKUP(F147,[1]!china_towns_second__2[[Column1]:[Y]],2,FALSE)</f>
        <v>#N/A</v>
      </c>
      <c r="L147" t="s">
        <v>4985</v>
      </c>
      <c r="M147" t="str">
        <f>VLOOKUP(H147,CHOOSE({1,2},Table17[Native],Table17[Name]),2,0)</f>
        <v>Dōngmíng Xiàn</v>
      </c>
      <c r="N147" s="15" t="str">
        <f>VLOOKUP(I147,CHOOSE({1,2},Table17[Native],Table17[Name]),2,0)</f>
        <v>Hézé Shì</v>
      </c>
      <c r="O147" s="15" t="str">
        <f t="shared" si="4"/>
        <v>Changxingji Xiang (Hézé Shì)</v>
      </c>
      <c r="P147" s="15" t="str">
        <f t="shared" si="5"/>
        <v>Changxingji Xiang (Hézé Shì)</v>
      </c>
    </row>
    <row r="148" spans="1:16" hidden="1" x14ac:dyDescent="0.25">
      <c r="A148" t="s">
        <v>3354</v>
      </c>
      <c r="B148" t="str">
        <f>IF(COUNTIF(A:A,A148)&gt;1,_xlfn.CONCAT(A148," (",N148,")"),A148)</f>
        <v>Chángzhuāng Jiēdào</v>
      </c>
      <c r="C148" t="str">
        <f>IF(COUNTIF(B:B,B148)&gt;1,_xlfn.CONCAT(A148," (",M148,")"),B148)</f>
        <v>Chángzhuāng Jiēdào</v>
      </c>
      <c r="D148" t="s">
        <v>3355</v>
      </c>
      <c r="E148" t="s">
        <v>7</v>
      </c>
      <c r="F148" t="str">
        <f>_xlfn.CONCAT(D148,", ",H148,", ",I148,", ","山东省")</f>
        <v>常庄街道, 薛城区, 枣庄市, 山东省</v>
      </c>
      <c r="G148">
        <v>69153</v>
      </c>
      <c r="H148" t="s">
        <v>3788</v>
      </c>
      <c r="I148" t="s">
        <v>3784</v>
      </c>
      <c r="J148" t="e">
        <f>VLOOKUP(F148,[1]!china_towns_second__2[[Column1]:[Y]],3,FALSE)</f>
        <v>#N/A</v>
      </c>
      <c r="K148" t="e">
        <f>VLOOKUP(F148,[1]!china_towns_second__2[[Column1]:[Y]],2,FALSE)</f>
        <v>#N/A</v>
      </c>
      <c r="L148" t="s">
        <v>4986</v>
      </c>
      <c r="M148" t="str">
        <f>VLOOKUP(H148,CHOOSE({1,2},Table17[Native],Table17[Name]),2,0)</f>
        <v>Xuēchéng Qū</v>
      </c>
      <c r="N148" s="15" t="str">
        <f>VLOOKUP(I148,CHOOSE({1,2},Table17[Native],Table17[Name]),2,0)</f>
        <v>Zăozhuāng Shì</v>
      </c>
      <c r="O148" s="15" t="str">
        <f t="shared" si="4"/>
        <v>Changzhuang Jiedao (Zăozhuāng Shì)</v>
      </c>
      <c r="P148" s="15" t="str">
        <f t="shared" si="5"/>
        <v>Changzhuang Jiedao (Zăozhuāng Shì)</v>
      </c>
    </row>
    <row r="149" spans="1:16" hidden="1" x14ac:dyDescent="0.25">
      <c r="A149" t="s">
        <v>1552</v>
      </c>
      <c r="B149" t="str">
        <f>IF(COUNTIF(A:A,A149)&gt;1,_xlfn.CONCAT(A149," (",N149,")"),A149)</f>
        <v>Cháochéng Zhèn</v>
      </c>
      <c r="C149" t="str">
        <f>IF(COUNTIF(B:B,B149)&gt;1,_xlfn.CONCAT(A149," (",M149,")"),B149)</f>
        <v>Cháochéng Zhèn</v>
      </c>
      <c r="D149" t="s">
        <v>1553</v>
      </c>
      <c r="E149" t="s">
        <v>13</v>
      </c>
      <c r="F149" t="str">
        <f>_xlfn.CONCAT(D149,", ",H149,", ",I149,", ","山东省")</f>
        <v>朝城镇, 莘县, 聊城市, 山东省</v>
      </c>
      <c r="G149">
        <v>49297</v>
      </c>
      <c r="H149" t="s">
        <v>3707</v>
      </c>
      <c r="I149" t="s">
        <v>3700</v>
      </c>
      <c r="J149">
        <f>VLOOKUP(F149,[1]!china_towns_second__2[[Column1]:[Y]],3,FALSE)</f>
        <v>36.034490929822802</v>
      </c>
      <c r="K149">
        <f>VLOOKUP(F149,[1]!china_towns_second__2[[Column1]:[Y]],2,FALSE)</f>
        <v>115.5773188</v>
      </c>
      <c r="L149" t="s">
        <v>4987</v>
      </c>
      <c r="M149" t="str">
        <f>VLOOKUP(H149,CHOOSE({1,2},Table17[Native],Table17[Name]),2,0)</f>
        <v>Shēn Xiàn</v>
      </c>
      <c r="N149" s="15" t="str">
        <f>VLOOKUP(I149,CHOOSE({1,2},Table17[Native],Table17[Name]),2,0)</f>
        <v>Liáochéng Shì</v>
      </c>
      <c r="O149" s="15" t="str">
        <f t="shared" si="4"/>
        <v>Chaocheng Zhen (Liáochéng Shì)</v>
      </c>
      <c r="P149" s="15" t="str">
        <f t="shared" si="5"/>
        <v>Chaocheng Zhen (Liáochéng Shì)</v>
      </c>
    </row>
    <row r="150" spans="1:16" hidden="1" x14ac:dyDescent="0.25">
      <c r="A150" t="s">
        <v>2138</v>
      </c>
      <c r="B150" t="str">
        <f>IF(COUNTIF(A:A,A150)&gt;1,_xlfn.CONCAT(A150," (",N150,")"),A150)</f>
        <v>Cháohăi Jiēdào</v>
      </c>
      <c r="C150" t="str">
        <f>IF(COUNTIF(B:B,B150)&gt;1,_xlfn.CONCAT(A150," (",M150,")"),B150)</f>
        <v>Cháohăi Jiēdào</v>
      </c>
      <c r="D150" t="s">
        <v>2139</v>
      </c>
      <c r="E150" t="s">
        <v>7</v>
      </c>
      <c r="F150" t="str">
        <f>_xlfn.CONCAT(D150,", ",H150,", ",I150,", ","山东省")</f>
        <v>潮海街道, 即墨区, 青岛市, 山东省</v>
      </c>
      <c r="G150">
        <v>81287</v>
      </c>
      <c r="H150" t="s">
        <v>3728</v>
      </c>
      <c r="I150" t="s">
        <v>3724</v>
      </c>
      <c r="J150">
        <f>VLOOKUP(F150,[1]!china_towns_second__2[[Column1]:[Y]],3,FALSE)</f>
        <v>36.400721963572899</v>
      </c>
      <c r="K150">
        <f>VLOOKUP(F150,[1]!china_towns_second__2[[Column1]:[Y]],2,FALSE)</f>
        <v>120.4810572</v>
      </c>
      <c r="L150" t="s">
        <v>4988</v>
      </c>
      <c r="M150" t="str">
        <f>VLOOKUP(H150,CHOOSE({1,2},Table17[Native],Table17[Name]),2,0)</f>
        <v>Jímò Qū</v>
      </c>
      <c r="N150" s="15" t="str">
        <f>VLOOKUP(I150,CHOOSE({1,2},Table17[Native],Table17[Name]),2,0)</f>
        <v>Qīngdăo Shì</v>
      </c>
      <c r="O150" s="15" t="str">
        <f t="shared" si="4"/>
        <v>Chaohai Jiedao (Qīngdăo Shì)</v>
      </c>
      <c r="P150" s="15" t="str">
        <f t="shared" si="5"/>
        <v>Chaohai Jiedao (Qīngdăo Shì)</v>
      </c>
    </row>
    <row r="151" spans="1:16" hidden="1" x14ac:dyDescent="0.25">
      <c r="A151" t="s">
        <v>2401</v>
      </c>
      <c r="B151" t="str">
        <f>IF(COUNTIF(A:A,A151)&gt;1,_xlfn.CONCAT(A151," (",N151,")"),A151)</f>
        <v>Cháohé Zhèn</v>
      </c>
      <c r="C151" t="str">
        <f>IF(COUNTIF(B:B,B151)&gt;1,_xlfn.CONCAT(A151," (",M151,")"),B151)</f>
        <v>Cháohé Zhèn</v>
      </c>
      <c r="D151" t="s">
        <v>2402</v>
      </c>
      <c r="E151" t="s">
        <v>13</v>
      </c>
      <c r="F151" t="str">
        <f>_xlfn.CONCAT(D151,", ",H151,", ",I151,", ","山东省")</f>
        <v>潮河镇, 五莲县, 日照市, 山东省</v>
      </c>
      <c r="G151">
        <v>31176</v>
      </c>
      <c r="H151" t="s">
        <v>3741</v>
      </c>
      <c r="I151" t="s">
        <v>3736</v>
      </c>
      <c r="J151">
        <f>VLOOKUP(F151,[1]!china_towns_second__2[[Column1]:[Y]],3,FALSE)</f>
        <v>35.623169381851802</v>
      </c>
      <c r="K151">
        <f>VLOOKUP(F151,[1]!china_towns_second__2[[Column1]:[Y]],2,FALSE)</f>
        <v>119.4535456</v>
      </c>
      <c r="L151" t="s">
        <v>4989</v>
      </c>
      <c r="M151" t="str">
        <f>VLOOKUP(H151,CHOOSE({1,2},Table17[Native],Table17[Name]),2,0)</f>
        <v>Wŭlián Xiàn</v>
      </c>
      <c r="N151" s="15" t="str">
        <f>VLOOKUP(I151,CHOOSE({1,2},Table17[Native],Table17[Name]),2,0)</f>
        <v>Rìzhào Shì</v>
      </c>
      <c r="O151" s="15" t="str">
        <f t="shared" si="4"/>
        <v>Chaohe Zhen (Rìzhào Shì)</v>
      </c>
      <c r="P151" s="15" t="str">
        <f t="shared" si="5"/>
        <v>Chaohe Zhen (Rìzhào Shì)</v>
      </c>
    </row>
    <row r="152" spans="1:16" hidden="1" x14ac:dyDescent="0.25">
      <c r="A152" t="s">
        <v>2514</v>
      </c>
      <c r="B152" t="str">
        <f>IF(COUNTIF(A:A,A152)&gt;1,_xlfn.CONCAT(A152," (",N152,")"),A152)</f>
        <v>Cháoquán Zhèn</v>
      </c>
      <c r="C152" t="str">
        <f>IF(COUNTIF(B:B,B152)&gt;1,_xlfn.CONCAT(A152," (",M152,")"),B152)</f>
        <v>Cháoquán Zhèn</v>
      </c>
      <c r="D152" t="s">
        <v>2515</v>
      </c>
      <c r="E152" t="s">
        <v>13</v>
      </c>
      <c r="F152" t="str">
        <f>_xlfn.CONCAT(D152,", ",H152,", ",I152,", ","山东省")</f>
        <v>潮泉镇, 肥城市, 泰安市, 山东省</v>
      </c>
      <c r="G152">
        <v>21954</v>
      </c>
      <c r="H152" t="s">
        <v>3746</v>
      </c>
      <c r="I152" t="s">
        <v>3743</v>
      </c>
      <c r="J152">
        <f>VLOOKUP(F152,[1]!china_towns_second__2[[Column1]:[Y]],3,FALSE)</f>
        <v>36.237970111760099</v>
      </c>
      <c r="K152">
        <f>VLOOKUP(F152,[1]!china_towns_second__2[[Column1]:[Y]],2,FALSE)</f>
        <v>116.8421507</v>
      </c>
      <c r="L152" t="s">
        <v>4990</v>
      </c>
      <c r="M152" t="str">
        <f>VLOOKUP(H152,CHOOSE({1,2},Table17[Native],Table17[Name]),2,0)</f>
        <v>Féichéng Shì</v>
      </c>
      <c r="N152" s="15" t="str">
        <f>VLOOKUP(I152,CHOOSE({1,2},Table17[Native],Table17[Name]),2,0)</f>
        <v>Tài'ān Shì</v>
      </c>
      <c r="O152" s="15" t="str">
        <f t="shared" si="4"/>
        <v>Chaoquan Zhen (Tài'ān Shì)</v>
      </c>
      <c r="P152" s="15" t="str">
        <f t="shared" si="5"/>
        <v>Chaoquan Zhen (Tài'ān Shì)</v>
      </c>
    </row>
    <row r="153" spans="1:16" hidden="1" x14ac:dyDescent="0.25">
      <c r="A153" t="s">
        <v>3063</v>
      </c>
      <c r="B153" t="str">
        <f>IF(COUNTIF(A:A,A153)&gt;1,_xlfn.CONCAT(A153," (",N153,")"),A153)</f>
        <v>Cháoshuĭ Zhèn</v>
      </c>
      <c r="C153" t="str">
        <f>IF(COUNTIF(B:B,B153)&gt;1,_xlfn.CONCAT(A153," (",M153,")"),B153)</f>
        <v>Cháoshuĭ Zhèn</v>
      </c>
      <c r="D153" t="s">
        <v>3064</v>
      </c>
      <c r="E153" t="s">
        <v>13</v>
      </c>
      <c r="F153" t="str">
        <f>_xlfn.CONCAT(D153,", ",H153,", ",I153,", ","山东省")</f>
        <v>潮水镇, 蓬莱区, 烟台市, 山东省</v>
      </c>
      <c r="G153">
        <v>27014</v>
      </c>
      <c r="H153" t="s">
        <v>3779</v>
      </c>
      <c r="I153" t="s">
        <v>3771</v>
      </c>
      <c r="J153">
        <f>VLOOKUP(F153,[1]!china_towns_second__2[[Column1]:[Y]],3,FALSE)</f>
        <v>37.673104153051199</v>
      </c>
      <c r="K153">
        <f>VLOOKUP(F153,[1]!china_towns_second__2[[Column1]:[Y]],2,FALSE)</f>
        <v>120.9595235</v>
      </c>
      <c r="L153" t="s">
        <v>4991</v>
      </c>
      <c r="M153" t="str">
        <f>VLOOKUP(H153,CHOOSE({1,2},Table17[Native],Table17[Name]),2,0)</f>
        <v>Pénglái Qū</v>
      </c>
      <c r="N153" s="15" t="str">
        <f>VLOOKUP(I153,CHOOSE({1,2},Table17[Native],Table17[Name]),2,0)</f>
        <v>Yāntái Shì</v>
      </c>
      <c r="O153" s="15" t="str">
        <f t="shared" si="4"/>
        <v>Chaoshui Zhen (Yāntái Shì)</v>
      </c>
      <c r="P153" s="15" t="str">
        <f t="shared" si="5"/>
        <v>Chaoshui Zhen (Yāntái Shì)</v>
      </c>
    </row>
    <row r="154" spans="1:16" hidden="1" x14ac:dyDescent="0.25">
      <c r="A154" t="s">
        <v>936</v>
      </c>
      <c r="B154" t="str">
        <f>IF(COUNTIF(A:A,A154)&gt;1,_xlfn.CONCAT(A154," (",N154,")"),A154)</f>
        <v>Cháyèkŏu Zhèn</v>
      </c>
      <c r="C154" t="str">
        <f>IF(COUNTIF(B:B,B154)&gt;1,_xlfn.CONCAT(A154," (",M154,")"),B154)</f>
        <v>Cháyèkŏu Zhèn</v>
      </c>
      <c r="D154" t="s">
        <v>937</v>
      </c>
      <c r="E154" t="s">
        <v>13</v>
      </c>
      <c r="F154" t="str">
        <f>_xlfn.CONCAT(D154,", ",H154,", ",I154,", ","山东省")</f>
        <v>茶业口镇, 莱芜区, 济南市, 山东省</v>
      </c>
      <c r="G154">
        <v>33585</v>
      </c>
      <c r="H154" t="s">
        <v>3678</v>
      </c>
      <c r="I154" t="s">
        <v>3673</v>
      </c>
      <c r="J154">
        <f>VLOOKUP(F154,[1]!china_towns_second__2[[Column1]:[Y]],3,FALSE)</f>
        <v>36.48959</v>
      </c>
      <c r="K154">
        <f>VLOOKUP(F154,[1]!china_towns_second__2[[Column1]:[Y]],2,FALSE)</f>
        <v>117.68662</v>
      </c>
      <c r="L154" t="s">
        <v>4992</v>
      </c>
      <c r="M154" t="str">
        <f>VLOOKUP(H154,CHOOSE({1,2},Table17[Native],Table17[Name]),2,0)</f>
        <v>Láiwú Qū</v>
      </c>
      <c r="N154" s="15" t="str">
        <f>VLOOKUP(I154,CHOOSE({1,2},Table17[Native],Table17[Name]),2,0)</f>
        <v>Jìnán Shì</v>
      </c>
      <c r="O154" s="15" t="str">
        <f t="shared" si="4"/>
        <v>Chayekou Zhen (Jìnán Shì)</v>
      </c>
      <c r="P154" s="15" t="str">
        <f t="shared" si="5"/>
        <v>Chayekou Zhen (Jìnán Shì)</v>
      </c>
    </row>
    <row r="155" spans="1:16" hidden="1" x14ac:dyDescent="0.25">
      <c r="A155" t="s">
        <v>3474</v>
      </c>
      <c r="B155" t="str">
        <f>IF(COUNTIF(A:A,A155)&gt;1,_xlfn.CONCAT(A155," (",N155,")"),A155)</f>
        <v>Chéngbĕilù Jiēdào</v>
      </c>
      <c r="C155" t="str">
        <f>IF(COUNTIF(B:B,B155)&gt;1,_xlfn.CONCAT(A155," (",M155,")"),B155)</f>
        <v>Chéngbĕilù Jiēdào</v>
      </c>
      <c r="D155" t="s">
        <v>3475</v>
      </c>
      <c r="E155" t="s">
        <v>7</v>
      </c>
      <c r="F155" t="str">
        <f>_xlfn.CONCAT(D155,", ",H155,", ",I155,", ","山东省")</f>
        <v>城北路街道, 周村区, 淄博市, 山东省</v>
      </c>
      <c r="G155">
        <v>15212</v>
      </c>
      <c r="H155" t="s">
        <v>3798</v>
      </c>
      <c r="I155" t="s">
        <v>3791</v>
      </c>
      <c r="J155">
        <f>VLOOKUP(F155,[1]!china_towns_second__2[[Column1]:[Y]],3,FALSE)</f>
        <v>36.841052359419599</v>
      </c>
      <c r="K155">
        <f>VLOOKUP(F155,[1]!china_towns_second__2[[Column1]:[Y]],2,FALSE)</f>
        <v>117.84535</v>
      </c>
      <c r="L155" t="s">
        <v>4993</v>
      </c>
      <c r="M155" t="str">
        <f>VLOOKUP(H155,CHOOSE({1,2},Table17[Native],Table17[Name]),2,0)</f>
        <v>Zhōucūn Qū</v>
      </c>
      <c r="N155" s="15" t="str">
        <f>VLOOKUP(I155,CHOOSE({1,2},Table17[Native],Table17[Name]),2,0)</f>
        <v>Zībó Shì</v>
      </c>
      <c r="O155" s="15" t="str">
        <f t="shared" si="4"/>
        <v>Chengbeilu Jiedao (Zībó Shì)</v>
      </c>
      <c r="P155" s="15" t="str">
        <f t="shared" si="5"/>
        <v>Chengbeilu Jiedao (Zībó Shì)</v>
      </c>
    </row>
    <row r="156" spans="1:16" hidden="1" x14ac:dyDescent="0.25">
      <c r="A156" t="s">
        <v>25</v>
      </c>
      <c r="B156" t="str">
        <f>IF(COUNTIF(A:A,A156)&gt;1,_xlfn.CONCAT(A156," (",N156,")"),A156)</f>
        <v>Chéngdōng Jiēdào (Bīnzhōu Shì)</v>
      </c>
      <c r="C156" t="str">
        <f>IF(COUNTIF(B:B,B156)&gt;1,_xlfn.CONCAT(A156," (",M156,")"),B156)</f>
        <v>Chéngdōng Jiēdào (Bīnzhōu Shì)</v>
      </c>
      <c r="D156" t="s">
        <v>26</v>
      </c>
      <c r="E156" t="s">
        <v>7</v>
      </c>
      <c r="F156" t="str">
        <f>_xlfn.CONCAT(D156,", ",H156,", ",I156,", ","山东省")</f>
        <v>城东街道, 博兴县, 滨州市, 山东省</v>
      </c>
      <c r="G156">
        <v>43775</v>
      </c>
      <c r="H156" t="s">
        <v>3634</v>
      </c>
      <c r="I156" t="s">
        <v>3630</v>
      </c>
      <c r="J156">
        <f>VLOOKUP(F156,[1]!china_towns_second__2[[Column1]:[Y]],3,FALSE)</f>
        <v>37.166688279125999</v>
      </c>
      <c r="K156">
        <f>VLOOKUP(F156,[1]!china_towns_second__2[[Column1]:[Y]],2,FALSE)</f>
        <v>118.1842139</v>
      </c>
      <c r="L156" t="s">
        <v>4994</v>
      </c>
      <c r="M156" t="str">
        <f>VLOOKUP(H156,CHOOSE({1,2},Table17[Native],Table17[Name]),2,0)</f>
        <v>Bóxīng Xiàn</v>
      </c>
      <c r="N156" s="15" t="str">
        <f>VLOOKUP(I156,CHOOSE({1,2},Table17[Native],Table17[Name]),2,0)</f>
        <v>Bīnzhōu Shì</v>
      </c>
      <c r="O156" s="15" t="str">
        <f t="shared" si="4"/>
        <v>Chengdong Jiedao (Binzhou Shi) (Bīnzhōu Shì)</v>
      </c>
      <c r="P156" s="15" t="str">
        <f t="shared" si="5"/>
        <v>Chengdong Jiedao (Binzhou Shi) (Bīnzhōu Shì)</v>
      </c>
    </row>
    <row r="157" spans="1:16" hidden="1" x14ac:dyDescent="0.25">
      <c r="A157" t="s">
        <v>25</v>
      </c>
      <c r="B157" t="str">
        <f>IF(COUNTIF(A:A,A157)&gt;1,_xlfn.CONCAT(A157," (",N157,")"),A157)</f>
        <v>Chéngdōng Jiēdào (Zībó Shì)</v>
      </c>
      <c r="C157" t="str">
        <f>IF(COUNTIF(B:B,B157)&gt;1,_xlfn.CONCAT(A157," (",M157,")"),B157)</f>
        <v>Chéngdōng Jiēdào (Zībó Shì)</v>
      </c>
      <c r="D157" t="s">
        <v>26</v>
      </c>
      <c r="E157" t="s">
        <v>7</v>
      </c>
      <c r="F157" t="str">
        <f>_xlfn.CONCAT(D157,", ",H157,", ",I157,", ","山东省")</f>
        <v>城东街道, 博山区, 淄博市, 山东省</v>
      </c>
      <c r="G157">
        <v>49097</v>
      </c>
      <c r="H157" t="s">
        <v>3792</v>
      </c>
      <c r="I157" t="s">
        <v>3791</v>
      </c>
      <c r="J157">
        <f>VLOOKUP(F157,[1]!china_towns_second__2[[Column1]:[Y]],3,FALSE)</f>
        <v>36.509728251266999</v>
      </c>
      <c r="K157">
        <f>VLOOKUP(F157,[1]!china_towns_second__2[[Column1]:[Y]],2,FALSE)</f>
        <v>117.88027580000001</v>
      </c>
      <c r="L157" t="s">
        <v>4995</v>
      </c>
      <c r="M157" t="str">
        <f>VLOOKUP(H157,CHOOSE({1,2},Table17[Native],Table17[Name]),2,0)</f>
        <v>Bóshān Qū</v>
      </c>
      <c r="N157" s="15" t="str">
        <f>VLOOKUP(I157,CHOOSE({1,2},Table17[Native],Table17[Name]),2,0)</f>
        <v>Zībó Shì</v>
      </c>
      <c r="O157" s="15" t="str">
        <f t="shared" si="4"/>
        <v>Chengdong Jiedao (Zibo Shi) (Zībó Shì)</v>
      </c>
      <c r="P157" s="15" t="str">
        <f t="shared" si="5"/>
        <v>Chengdong Jiedao (Zibo Shi) (Zībó Shì)</v>
      </c>
    </row>
    <row r="158" spans="1:16" hidden="1" x14ac:dyDescent="0.25">
      <c r="A158" t="s">
        <v>3065</v>
      </c>
      <c r="B158" t="str">
        <f>IF(COUNTIF(A:A,A158)&gt;1,_xlfn.CONCAT(A158," (",N158,")"),A158)</f>
        <v>Chénggănglù Jiēdào</v>
      </c>
      <c r="C158" t="str">
        <f>IF(COUNTIF(B:B,B158)&gt;1,_xlfn.CONCAT(A158," (",M158,")"),B158)</f>
        <v>Chénggănglù Jiēdào</v>
      </c>
      <c r="D158" t="s">
        <v>3066</v>
      </c>
      <c r="E158" t="s">
        <v>7</v>
      </c>
      <c r="F158" t="str">
        <f>_xlfn.CONCAT(D158,", ",H158,", ",I158,", ","山东省")</f>
        <v>城港路街道, 莱州市, 烟台市, 山东省</v>
      </c>
      <c r="G158">
        <v>69738</v>
      </c>
      <c r="H158" t="s">
        <v>3776</v>
      </c>
      <c r="I158" t="s">
        <v>3771</v>
      </c>
      <c r="J158">
        <f>VLOOKUP(F158,[1]!china_towns_second__2[[Column1]:[Y]],3,FALSE)</f>
        <v>37.252769276126699</v>
      </c>
      <c r="K158">
        <f>VLOOKUP(F158,[1]!china_towns_second__2[[Column1]:[Y]],2,FALSE)</f>
        <v>119.929147</v>
      </c>
      <c r="L158" t="s">
        <v>4996</v>
      </c>
      <c r="M158" t="str">
        <f>VLOOKUP(H158,CHOOSE({1,2},Table17[Native],Table17[Name]),2,0)</f>
        <v>Láizhōu Shì</v>
      </c>
      <c r="N158" s="15" t="str">
        <f>VLOOKUP(I158,CHOOSE({1,2},Table17[Native],Table17[Name]),2,0)</f>
        <v>Yāntái Shì</v>
      </c>
      <c r="O158" s="15" t="str">
        <f t="shared" si="4"/>
        <v>Chengganglu Jiedao (Yāntái Shì)</v>
      </c>
      <c r="P158" s="15" t="str">
        <f t="shared" si="5"/>
        <v>Chengganglu Jiedao (Yāntái Shì)</v>
      </c>
    </row>
    <row r="159" spans="1:16" hidden="1" x14ac:dyDescent="0.25">
      <c r="A159" t="s">
        <v>610</v>
      </c>
      <c r="B159" t="str">
        <f>IF(COUNTIF(A:A,A159)&gt;1,_xlfn.CONCAT(A159," (",N159,")"),A159)</f>
        <v>Chéngguān Jiēdào (Hézé Shì)</v>
      </c>
      <c r="C159" t="str">
        <f>IF(COUNTIF(B:B,B159)&gt;1,_xlfn.CONCAT(A159," (",M159,")"),B159)</f>
        <v>Chéngguān Jiēdào (Hézé Shì)</v>
      </c>
      <c r="D159" t="s">
        <v>611</v>
      </c>
      <c r="E159" t="s">
        <v>7</v>
      </c>
      <c r="F159" t="str">
        <f>_xlfn.CONCAT(D159,", ",H159,", ",I159,", ","山东省")</f>
        <v>城关街道, 东明县, 菏泽市, 山东省</v>
      </c>
      <c r="G159">
        <v>92605</v>
      </c>
      <c r="H159" t="s">
        <v>3666</v>
      </c>
      <c r="I159" t="s">
        <v>3662</v>
      </c>
      <c r="J159">
        <f>VLOOKUP(F159,[1]!china_towns_second__2[[Column1]:[Y]],3,FALSE)</f>
        <v>35.301173193081802</v>
      </c>
      <c r="K159">
        <f>VLOOKUP(F159,[1]!china_towns_second__2[[Column1]:[Y]],2,FALSE)</f>
        <v>115.1038145</v>
      </c>
      <c r="L159" t="s">
        <v>4997</v>
      </c>
      <c r="M159" t="str">
        <f>VLOOKUP(H159,CHOOSE({1,2},Table17[Native],Table17[Name]),2,0)</f>
        <v>Dōngmíng Xiàn</v>
      </c>
      <c r="N159" s="15" t="str">
        <f>VLOOKUP(I159,CHOOSE({1,2},Table17[Native],Table17[Name]),2,0)</f>
        <v>Hézé Shì</v>
      </c>
      <c r="O159" s="15" t="str">
        <f t="shared" si="4"/>
        <v>Chengguan Jiedao (Heze Shi) (Hézé Shì)</v>
      </c>
      <c r="P159" s="15" t="str">
        <f t="shared" si="5"/>
        <v>Chengguan Jiedao (Heze Shi) (Hézé Shì)</v>
      </c>
    </row>
    <row r="160" spans="1:16" hidden="1" x14ac:dyDescent="0.25">
      <c r="A160" t="s">
        <v>610</v>
      </c>
      <c r="B160" t="str">
        <f>IF(COUNTIF(A:A,A160)&gt;1,_xlfn.CONCAT(A160," (",N160,")"),A160)</f>
        <v>Chéngguān Jiēdào (Wéifāng Shì)</v>
      </c>
      <c r="C160" t="str">
        <f>IF(COUNTIF(B:B,B160)&gt;1,_xlfn.CONCAT(A160," (",M160,")"),B160)</f>
        <v>Chéngguān Jiēdào (Wéichéng Qū)</v>
      </c>
      <c r="D160" t="s">
        <v>611</v>
      </c>
      <c r="E160" t="s">
        <v>7</v>
      </c>
      <c r="F160" t="str">
        <f>_xlfn.CONCAT(D160,", ",H160,", ",I160,", ","山东省")</f>
        <v>城关街道, 潍城区, 潍坊市, 山东省</v>
      </c>
      <c r="G160">
        <v>42617</v>
      </c>
      <c r="H160" t="s">
        <v>3762</v>
      </c>
      <c r="I160" t="s">
        <v>3751</v>
      </c>
      <c r="J160">
        <f>VLOOKUP(F160,[1]!china_towns_second__2[[Column1]:[Y]],3,FALSE)</f>
        <v>36.7132842213678</v>
      </c>
      <c r="K160">
        <f>VLOOKUP(F160,[1]!china_towns_second__2[[Column1]:[Y]],2,FALSE)</f>
        <v>119.0976963</v>
      </c>
      <c r="L160" t="s">
        <v>4998</v>
      </c>
      <c r="M160" t="str">
        <f>VLOOKUP(H160,CHOOSE({1,2},Table17[Native],Table17[Name]),2,0)</f>
        <v>Wéichéng Qū</v>
      </c>
      <c r="N160" s="15" t="str">
        <f>VLOOKUP(I160,CHOOSE({1,2},Table17[Native],Table17[Name]),2,0)</f>
        <v>Wéifāng Shì</v>
      </c>
      <c r="O160" s="15" t="str">
        <f t="shared" si="4"/>
        <v>Chengguan Jiedao (Weicheng Qu) (Wéifāng Shì)</v>
      </c>
      <c r="P160" s="15" t="str">
        <f t="shared" si="5"/>
        <v>Chengguan Jiedao (Weicheng Qu) (Wéifāng Shì)</v>
      </c>
    </row>
    <row r="161" spans="1:16" hidden="1" x14ac:dyDescent="0.25">
      <c r="A161" t="s">
        <v>610</v>
      </c>
      <c r="B161" t="str">
        <f>IF(COUNTIF(A:A,A161)&gt;1,_xlfn.CONCAT(A161," (",N161,")"),A161)</f>
        <v>Chéngguān Jiēdào (Wéifāng Shì)</v>
      </c>
      <c r="C161" t="str">
        <f>IF(COUNTIF(B:B,B161)&gt;1,_xlfn.CONCAT(A161," (",M161,")"),B161)</f>
        <v>Chéngguān Jiēdào (Línqú Xiàn)</v>
      </c>
      <c r="D161" t="s">
        <v>611</v>
      </c>
      <c r="E161" t="s">
        <v>7</v>
      </c>
      <c r="F161" t="str">
        <f>_xlfn.CONCAT(D161,", ",H161,", ",I161,", ","山东省")</f>
        <v>城关街道, 临朐县, 潍坊市, 山东省</v>
      </c>
      <c r="G161">
        <v>190207</v>
      </c>
      <c r="H161" t="s">
        <v>3759</v>
      </c>
      <c r="I161" t="s">
        <v>3751</v>
      </c>
      <c r="J161">
        <f>VLOOKUP(F161,[1]!china_towns_second__2[[Column1]:[Y]],3,FALSE)</f>
        <v>36.510156446861302</v>
      </c>
      <c r="K161">
        <f>VLOOKUP(F161,[1]!china_towns_second__2[[Column1]:[Y]],2,FALSE)</f>
        <v>118.4879751</v>
      </c>
      <c r="L161" t="s">
        <v>4999</v>
      </c>
      <c r="M161" t="str">
        <f>VLOOKUP(H161,CHOOSE({1,2},Table17[Native],Table17[Name]),2,0)</f>
        <v>Línqú Xiàn</v>
      </c>
      <c r="N161" s="15" t="str">
        <f>VLOOKUP(I161,CHOOSE({1,2},Table17[Native],Table17[Name]),2,0)</f>
        <v>Wéifāng Shì</v>
      </c>
      <c r="O161" s="15" t="str">
        <f t="shared" si="4"/>
        <v>Chengguan Jiedao (Linqu Xian) (Wéifāng Shì)</v>
      </c>
      <c r="P161" s="15" t="str">
        <f t="shared" si="5"/>
        <v>Chengguan Jiedao (Linqu Xian) (Wéifāng Shì)</v>
      </c>
    </row>
    <row r="162" spans="1:16" hidden="1" x14ac:dyDescent="0.25">
      <c r="A162" t="s">
        <v>3068</v>
      </c>
      <c r="B162" t="str">
        <f>IF(COUNTIF(A:A,A162)&gt;1,_xlfn.CONCAT(A162," (",N162,")"),A162)</f>
        <v>Chéngguō Zhèn</v>
      </c>
      <c r="C162" t="str">
        <f>IF(COUNTIF(B:B,B162)&gt;1,_xlfn.CONCAT(A162," (",M162,")"),B162)</f>
        <v>Chéngguō Zhèn</v>
      </c>
      <c r="D162" t="s">
        <v>3069</v>
      </c>
      <c r="E162" t="s">
        <v>13</v>
      </c>
      <c r="F162" t="str">
        <f>_xlfn.CONCAT(D162,", ",H162,", ",I162,", ","山东省")</f>
        <v>程郭镇, 莱州市, 烟台市, 山东省</v>
      </c>
      <c r="G162">
        <v>48639</v>
      </c>
      <c r="H162" t="s">
        <v>3776</v>
      </c>
      <c r="I162" t="s">
        <v>3771</v>
      </c>
      <c r="J162">
        <f>VLOOKUP(F162,[1]!china_towns_second__2[[Column1]:[Y]],3,FALSE)</f>
        <v>37.197946180686898</v>
      </c>
      <c r="K162">
        <f>VLOOKUP(F162,[1]!china_towns_second__2[[Column1]:[Y]],2,FALSE)</f>
        <v>120.0554101</v>
      </c>
      <c r="L162" t="s">
        <v>5000</v>
      </c>
      <c r="M162" t="str">
        <f>VLOOKUP(H162,CHOOSE({1,2},Table17[Native],Table17[Name]),2,0)</f>
        <v>Láizhōu Shì</v>
      </c>
      <c r="N162" s="15" t="str">
        <f>VLOOKUP(I162,CHOOSE({1,2},Table17[Native],Table17[Name]),2,0)</f>
        <v>Yāntái Shì</v>
      </c>
      <c r="O162" s="15" t="str">
        <f t="shared" si="4"/>
        <v>Chengguo Zhen (Yāntái Shì)</v>
      </c>
      <c r="P162" s="15" t="str">
        <f t="shared" si="5"/>
        <v>Chengguo Zhen (Yāntái Shì)</v>
      </c>
    </row>
    <row r="163" spans="1:16" hidden="1" x14ac:dyDescent="0.25">
      <c r="A163" t="s">
        <v>27</v>
      </c>
      <c r="B163" t="str">
        <f>IF(COUNTIF(A:A,A163)&gt;1,_xlfn.CONCAT(A163," (",N163,")"),A163)</f>
        <v>Chéngkŏu Zhèn</v>
      </c>
      <c r="C163" t="str">
        <f>IF(COUNTIF(B:B,B163)&gt;1,_xlfn.CONCAT(A163," (",M163,")"),B163)</f>
        <v>Chéngkŏu Zhèn</v>
      </c>
      <c r="D163" t="s">
        <v>28</v>
      </c>
      <c r="E163" t="s">
        <v>13</v>
      </c>
      <c r="F163" t="str">
        <f>_xlfn.CONCAT(D163,", ",H163,", ",I163,", ","山东省")</f>
        <v>埕口镇, 无棣县, 滨州市, 山东省</v>
      </c>
      <c r="G163">
        <v>23950</v>
      </c>
      <c r="H163" t="s">
        <v>3636</v>
      </c>
      <c r="I163" t="s">
        <v>3630</v>
      </c>
      <c r="J163">
        <f>VLOOKUP(F163,[1]!china_towns_second__2[[Column1]:[Y]],3,FALSE)</f>
        <v>38.167181499087398</v>
      </c>
      <c r="K163">
        <f>VLOOKUP(F163,[1]!china_towns_second__2[[Column1]:[Y]],2,FALSE)</f>
        <v>117.83503229999999</v>
      </c>
      <c r="L163" t="s">
        <v>5001</v>
      </c>
      <c r="M163" t="str">
        <f>VLOOKUP(H163,CHOOSE({1,2},Table17[Native],Table17[Name]),2,0)</f>
        <v>Wúdì Xiàn</v>
      </c>
      <c r="N163" s="15" t="str">
        <f>VLOOKUP(I163,CHOOSE({1,2},Table17[Native],Table17[Name]),2,0)</f>
        <v>Bīnzhōu Shì</v>
      </c>
      <c r="O163" s="15" t="str">
        <f t="shared" si="4"/>
        <v>Chengkou Zhen (Bīnzhōu Shì)</v>
      </c>
      <c r="P163" s="15" t="str">
        <f t="shared" si="5"/>
        <v>Chengkou Zhen (Bīnzhōu Shì)</v>
      </c>
    </row>
    <row r="164" spans="1:16" hidden="1" x14ac:dyDescent="0.25">
      <c r="A164" t="s">
        <v>2694</v>
      </c>
      <c r="B164" t="str">
        <f>IF(COUNTIF(A:A,A164)&gt;1,_xlfn.CONCAT(A164," (",N164,")"),A164)</f>
        <v>Chéngnán Jiēdào</v>
      </c>
      <c r="C164" t="str">
        <f>IF(COUNTIF(B:B,B164)&gt;1,_xlfn.CONCAT(A164," (",M164,")"),B164)</f>
        <v>Chéngnán Jiēdào</v>
      </c>
      <c r="D164" t="s">
        <v>2695</v>
      </c>
      <c r="E164" t="s">
        <v>7</v>
      </c>
      <c r="F164" t="str">
        <f>_xlfn.CONCAT(D164,", ",H164,", ",I164,", ","山东省")</f>
        <v>城南街道, 昌乐县, 潍坊市, 山东省</v>
      </c>
      <c r="G164">
        <v>26547</v>
      </c>
      <c r="H164" t="s">
        <v>3753</v>
      </c>
      <c r="I164" t="s">
        <v>3751</v>
      </c>
      <c r="J164">
        <f>VLOOKUP(F164,[1]!china_towns_second__2[[Column1]:[Y]],3,FALSE)</f>
        <v>36.643307116453698</v>
      </c>
      <c r="K164">
        <f>VLOOKUP(F164,[1]!china_towns_second__2[[Column1]:[Y]],2,FALSE)</f>
        <v>118.8125601</v>
      </c>
      <c r="L164" t="s">
        <v>5002</v>
      </c>
      <c r="M164" t="str">
        <f>VLOOKUP(H164,CHOOSE({1,2},Table17[Native],Table17[Name]),2,0)</f>
        <v>Chānglè Xiàn</v>
      </c>
      <c r="N164" s="15" t="str">
        <f>VLOOKUP(I164,CHOOSE({1,2},Table17[Native],Table17[Name]),2,0)</f>
        <v>Wéifāng Shì</v>
      </c>
      <c r="O164" s="15" t="str">
        <f t="shared" si="4"/>
        <v>Chengnan Jiedao (Wéifāng Shì)</v>
      </c>
      <c r="P164" s="15" t="str">
        <f t="shared" si="5"/>
        <v>Chengnan Jiedao (Wéifāng Shì)</v>
      </c>
    </row>
    <row r="165" spans="1:16" hidden="1" x14ac:dyDescent="0.25">
      <c r="A165" t="s">
        <v>1248</v>
      </c>
      <c r="B165" t="str">
        <f>IF(COUNTIF(A:A,A165)&gt;1,_xlfn.CONCAT(A165," (",N165,")"),A165)</f>
        <v>Chéngqián Zhèn</v>
      </c>
      <c r="C165" t="str">
        <f>IF(COUNTIF(B:B,B165)&gt;1,_xlfn.CONCAT(A165," (",M165,")"),B165)</f>
        <v>Chéngqián Zhèn</v>
      </c>
      <c r="D165" t="s">
        <v>1249</v>
      </c>
      <c r="E165" t="s">
        <v>13</v>
      </c>
      <c r="F165" t="str">
        <f>_xlfn.CONCAT(D165,", ",H165,", ",I165,", ","山东省")</f>
        <v>城前镇, 邹城市, 济宁市, 山东省</v>
      </c>
      <c r="G165">
        <v>71465</v>
      </c>
      <c r="H165" t="s">
        <v>3698</v>
      </c>
      <c r="I165" t="s">
        <v>3687</v>
      </c>
      <c r="J165">
        <f>VLOOKUP(F165,[1]!china_towns_second__2[[Column1]:[Y]],3,FALSE)</f>
        <v>35.381245577350697</v>
      </c>
      <c r="K165">
        <f>VLOOKUP(F165,[1]!china_towns_second__2[[Column1]:[Y]],2,FALSE)</f>
        <v>117.39798279999999</v>
      </c>
      <c r="L165" t="s">
        <v>5003</v>
      </c>
      <c r="M165" t="str">
        <f>VLOOKUP(H165,CHOOSE({1,2},Table17[Native],Table17[Name]),2,0)</f>
        <v>Zōuchéng Shì</v>
      </c>
      <c r="N165" s="15" t="str">
        <f>VLOOKUP(I165,CHOOSE({1,2},Table17[Native],Table17[Name]),2,0)</f>
        <v>Jìníng Shì</v>
      </c>
      <c r="O165" s="15" t="str">
        <f t="shared" si="4"/>
        <v>Chengqian Zhen (Jìníng Shì)</v>
      </c>
      <c r="P165" s="15" t="str">
        <f t="shared" si="5"/>
        <v>Chengqian Zhen (Jìníng Shì)</v>
      </c>
    </row>
    <row r="166" spans="1:16" hidden="1" x14ac:dyDescent="0.25">
      <c r="A166" t="s">
        <v>2908</v>
      </c>
      <c r="B166" t="str">
        <f>IF(COUNTIF(A:A,A166)&gt;1,_xlfn.CONCAT(A166," (",N166,")"),A166)</f>
        <v>Chéngqū Jiēdào</v>
      </c>
      <c r="C166" t="str">
        <f>IF(COUNTIF(B:B,B166)&gt;1,_xlfn.CONCAT(A166," (",M166,")"),B166)</f>
        <v>Chéngqū Jiēdào</v>
      </c>
      <c r="D166" t="s">
        <v>2909</v>
      </c>
      <c r="E166" t="s">
        <v>7</v>
      </c>
      <c r="F166" t="str">
        <f>_xlfn.CONCAT(D166,", ",H166,", ",I166,", ","山东省")</f>
        <v>城区街道, 乳山市, 威海市, 山东省</v>
      </c>
      <c r="G166">
        <v>146554</v>
      </c>
      <c r="H166" t="s">
        <v>3768</v>
      </c>
      <c r="I166" t="s">
        <v>3765</v>
      </c>
      <c r="J166">
        <f>VLOOKUP(F166,[1]!china_towns_second__2[[Column1]:[Y]],3,FALSE)</f>
        <v>36.916008675334602</v>
      </c>
      <c r="K166">
        <f>VLOOKUP(F166,[1]!china_towns_second__2[[Column1]:[Y]],2,FALSE)</f>
        <v>121.5295842</v>
      </c>
      <c r="L166" t="s">
        <v>5004</v>
      </c>
      <c r="M166" t="str">
        <f>VLOOKUP(H166,CHOOSE({1,2},Table17[Native],Table17[Name]),2,0)</f>
        <v>Rŭshān Shì</v>
      </c>
      <c r="N166" s="15" t="str">
        <f>VLOOKUP(I166,CHOOSE({1,2},Table17[Native],Table17[Name]),2,0)</f>
        <v>Wēihăi Shì</v>
      </c>
      <c r="O166" s="15" t="str">
        <f t="shared" si="4"/>
        <v>Chengqu Jiedao (Wēihăi Shì)</v>
      </c>
      <c r="P166" s="15" t="str">
        <f t="shared" si="5"/>
        <v>Chengqu Jiedao (Wēihăi Shì)</v>
      </c>
    </row>
    <row r="167" spans="1:16" hidden="1" x14ac:dyDescent="0.25">
      <c r="A167" t="s">
        <v>2910</v>
      </c>
      <c r="B167" t="str">
        <f>IF(COUNTIF(A:A,A167)&gt;1,_xlfn.CONCAT(A167," (",N167,")"),A167)</f>
        <v>Chéngshān Zhèn</v>
      </c>
      <c r="C167" t="str">
        <f>IF(COUNTIF(B:B,B167)&gt;1,_xlfn.CONCAT(A167," (",M167,")"),B167)</f>
        <v>Chéngshān Zhèn</v>
      </c>
      <c r="D167" t="s">
        <v>2911</v>
      </c>
      <c r="E167" t="s">
        <v>13</v>
      </c>
      <c r="F167" t="str">
        <f>_xlfn.CONCAT(D167,", ",H167,", ",I167,", ","山东省")</f>
        <v>成山镇, 荣成市, 威海市, 山东省</v>
      </c>
      <c r="G167">
        <v>43267</v>
      </c>
      <c r="H167" t="s">
        <v>3767</v>
      </c>
      <c r="I167" t="s">
        <v>3765</v>
      </c>
      <c r="J167">
        <f>VLOOKUP(F167,[1]!china_towns_second__2[[Column1]:[Y]],3,FALSE)</f>
        <v>37.374970647515703</v>
      </c>
      <c r="K167">
        <f>VLOOKUP(F167,[1]!china_towns_second__2[[Column1]:[Y]],2,FALSE)</f>
        <v>122.57738670000001</v>
      </c>
      <c r="L167" t="s">
        <v>5005</v>
      </c>
      <c r="M167" t="str">
        <f>VLOOKUP(H167,CHOOSE({1,2},Table17[Native],Table17[Name]),2,0)</f>
        <v>Róngchéng Shì</v>
      </c>
      <c r="N167" s="15" t="str">
        <f>VLOOKUP(I167,CHOOSE({1,2},Table17[Native],Table17[Name]),2,0)</f>
        <v>Wēihăi Shì</v>
      </c>
      <c r="O167" s="15" t="str">
        <f t="shared" si="4"/>
        <v>Chengshan Zhen (Wēihăi Shì)</v>
      </c>
      <c r="P167" s="15" t="str">
        <f t="shared" si="5"/>
        <v>Chengshan Zhen (Wēihăi Shì)</v>
      </c>
    </row>
    <row r="168" spans="1:16" hidden="1" x14ac:dyDescent="0.25">
      <c r="A168" t="s">
        <v>3357</v>
      </c>
      <c r="B168" t="str">
        <f>IF(COUNTIF(A:A,A168)&gt;1,_xlfn.CONCAT(A168," (",N168,")"),A168)</f>
        <v>Chéngtóu Zhèn</v>
      </c>
      <c r="C168" t="str">
        <f>IF(COUNTIF(B:B,B168)&gt;1,_xlfn.CONCAT(A168," (",M168,")"),B168)</f>
        <v>Chéngtóu Zhèn</v>
      </c>
      <c r="D168" t="s">
        <v>3358</v>
      </c>
      <c r="E168" t="s">
        <v>13</v>
      </c>
      <c r="F168" t="str">
        <f>_xlfn.CONCAT(D168,", ",H168,", ",I168,", ","山东省")</f>
        <v>城头镇, 山亭区, 枣庄市, 山东省</v>
      </c>
      <c r="G168">
        <v>41343</v>
      </c>
      <c r="H168" t="s">
        <v>3785</v>
      </c>
      <c r="I168" t="s">
        <v>3784</v>
      </c>
      <c r="J168">
        <f>VLOOKUP(F168,[1]!china_towns_second__2[[Column1]:[Y]],3,FALSE)</f>
        <v>35.134667080983199</v>
      </c>
      <c r="K168">
        <f>VLOOKUP(F168,[1]!china_towns_second__2[[Column1]:[Y]],2,FALSE)</f>
        <v>117.3103818</v>
      </c>
      <c r="L168" t="s">
        <v>5006</v>
      </c>
      <c r="M168" t="str">
        <f>VLOOKUP(H168,CHOOSE({1,2},Table17[Native],Table17[Name]),2,0)</f>
        <v>Shāntíng Qū</v>
      </c>
      <c r="N168" s="15" t="str">
        <f>VLOOKUP(I168,CHOOSE({1,2},Table17[Native],Table17[Name]),2,0)</f>
        <v>Zăozhuāng Shì</v>
      </c>
      <c r="O168" s="15" t="str">
        <f t="shared" si="4"/>
        <v>Chengtou Zhen (Zăozhuāng Shì)</v>
      </c>
      <c r="P168" s="15" t="str">
        <f t="shared" si="5"/>
        <v>Chengtou Zhen (Zăozhuāng Shì)</v>
      </c>
    </row>
    <row r="169" spans="1:16" hidden="1" x14ac:dyDescent="0.25">
      <c r="A169" t="s">
        <v>612</v>
      </c>
      <c r="B169" t="str">
        <f>IF(COUNTIF(A:A,A169)&gt;1,_xlfn.CONCAT(A169," (",N169,")"),A169)</f>
        <v>Chéngtún Zhèn</v>
      </c>
      <c r="C169" t="str">
        <f>IF(COUNTIF(B:B,B169)&gt;1,_xlfn.CONCAT(A169," (",M169,")"),B169)</f>
        <v>Chéngtún Zhèn</v>
      </c>
      <c r="D169" t="s">
        <v>613</v>
      </c>
      <c r="E169" t="s">
        <v>13</v>
      </c>
      <c r="F169" t="str">
        <f>_xlfn.CONCAT(D169,", ",H169,", ",I169,", ","山东省")</f>
        <v>程屯镇, 郓城县, 菏泽市, 山东省</v>
      </c>
      <c r="G169">
        <v>44252</v>
      </c>
      <c r="H169" t="s">
        <v>3671</v>
      </c>
      <c r="I169" t="s">
        <v>3662</v>
      </c>
      <c r="J169">
        <f>VLOOKUP(F169,[1]!china_towns_second__2[[Column1]:[Y]],3,FALSE)</f>
        <v>35.745292586474498</v>
      </c>
      <c r="K169">
        <f>VLOOKUP(F169,[1]!china_towns_second__2[[Column1]:[Y]],2,FALSE)</f>
        <v>115.95404430000001</v>
      </c>
      <c r="L169" t="s">
        <v>5007</v>
      </c>
      <c r="M169" t="str">
        <f>VLOOKUP(H169,CHOOSE({1,2},Table17[Native],Table17[Name]),2,0)</f>
        <v>Yùnchéng Xiàn</v>
      </c>
      <c r="N169" s="15" t="str">
        <f>VLOOKUP(I169,CHOOSE({1,2},Table17[Native],Table17[Name]),2,0)</f>
        <v>Hézé Shì</v>
      </c>
      <c r="O169" s="15" t="str">
        <f t="shared" si="4"/>
        <v>Chengtun Zhen (Hézé Shì)</v>
      </c>
      <c r="P169" s="15" t="str">
        <f t="shared" si="5"/>
        <v>Chengtun Zhen (Hézé Shì)</v>
      </c>
    </row>
    <row r="170" spans="1:16" hidden="1" x14ac:dyDescent="0.25">
      <c r="A170" t="s">
        <v>472</v>
      </c>
      <c r="B170" t="str">
        <f>IF(COUNTIF(A:A,A170)&gt;1,_xlfn.CONCAT(A170," (",N170,")"),A170)</f>
        <v>Chénguān Zhèn</v>
      </c>
      <c r="C170" t="str">
        <f>IF(COUNTIF(B:B,B170)&gt;1,_xlfn.CONCAT(A170," (",M170,")"),B170)</f>
        <v>Chénguān Zhèn</v>
      </c>
      <c r="D170" t="s">
        <v>473</v>
      </c>
      <c r="E170" t="s">
        <v>13</v>
      </c>
      <c r="F170" t="str">
        <f>_xlfn.CONCAT(D170,", ",H170,", ",I170,", ","山东省")</f>
        <v>陈官镇, 广饶县, 东营市, 山东省</v>
      </c>
      <c r="G170">
        <v>20256</v>
      </c>
      <c r="H170" t="s">
        <v>3657</v>
      </c>
      <c r="I170" t="s">
        <v>3655</v>
      </c>
      <c r="J170">
        <f>VLOOKUP(F170,[1]!china_towns_second__2[[Column1]:[Y]],3,FALSE)</f>
        <v>37.255952967994297</v>
      </c>
      <c r="K170">
        <f>VLOOKUP(F170,[1]!china_towns_second__2[[Column1]:[Y]],2,FALSE)</f>
        <v>118.4644547</v>
      </c>
      <c r="L170" t="s">
        <v>5008</v>
      </c>
      <c r="M170" t="str">
        <f>VLOOKUP(H170,CHOOSE({1,2},Table17[Native],Table17[Name]),2,0)</f>
        <v>Guăngráo Xiàn</v>
      </c>
      <c r="N170" s="15" t="str">
        <f>VLOOKUP(I170,CHOOSE({1,2},Table17[Native],Table17[Name]),2,0)</f>
        <v>Dōngyíng Shì</v>
      </c>
      <c r="O170" s="15" t="str">
        <f t="shared" si="4"/>
        <v>Chenguan Zhen (Dōngyíng Shì)</v>
      </c>
      <c r="P170" s="15" t="str">
        <f t="shared" si="5"/>
        <v>Chenguan Zhen (Dōngyíng Shì)</v>
      </c>
    </row>
    <row r="171" spans="1:16" hidden="1" x14ac:dyDescent="0.25">
      <c r="A171" t="s">
        <v>615</v>
      </c>
      <c r="B171" t="str">
        <f>IF(COUNTIF(A:A,A171)&gt;1,_xlfn.CONCAT(A171," (",N171,")"),A171)</f>
        <v>Chéngwŭ Xiàn Báifútú Zhèn</v>
      </c>
      <c r="C171" t="str">
        <f>IF(COUNTIF(B:B,B171)&gt;1,_xlfn.CONCAT(A171," (",M171,")"),B171)</f>
        <v>Chéngwŭ Xiàn Báifútú Zhèn</v>
      </c>
      <c r="D171" t="s">
        <v>616</v>
      </c>
      <c r="E171" t="s">
        <v>13</v>
      </c>
      <c r="F171" t="str">
        <f>_xlfn.CONCAT(D171,", ",H171,", ",I171,", ","山东省")</f>
        <v>成武县白浮图镇, 成武县, 菏泽市, 山东省</v>
      </c>
      <c r="G171">
        <v>42111</v>
      </c>
      <c r="H171" t="s">
        <v>3664</v>
      </c>
      <c r="I171" t="s">
        <v>3662</v>
      </c>
      <c r="J171">
        <f>VLOOKUP(F171,[1]!china_towns_second__2[[Column1]:[Y]],3,FALSE)</f>
        <v>34.956702123790201</v>
      </c>
      <c r="K171">
        <f>VLOOKUP(F171,[1]!china_towns_second__2[[Column1]:[Y]],2,FALSE)</f>
        <v>116.1097759</v>
      </c>
      <c r="L171" t="s">
        <v>5009</v>
      </c>
      <c r="M171" t="str">
        <f>VLOOKUP(H171,CHOOSE({1,2},Table17[Native],Table17[Name]),2,0)</f>
        <v>Chéngwŭ Xiàn</v>
      </c>
      <c r="N171" s="15" t="str">
        <f>VLOOKUP(I171,CHOOSE({1,2},Table17[Native],Table17[Name]),2,0)</f>
        <v>Hézé Shì</v>
      </c>
      <c r="O171" s="15" t="str">
        <f t="shared" si="4"/>
        <v>Chengwu Xian Baifutu Zhen (Hézé Shì)</v>
      </c>
      <c r="P171" s="15" t="str">
        <f t="shared" si="5"/>
        <v>Chengwu Xian Baifutu Zhen (Hézé Shì)</v>
      </c>
    </row>
    <row r="172" spans="1:16" hidden="1" x14ac:dyDescent="0.25">
      <c r="A172" t="s">
        <v>618</v>
      </c>
      <c r="B172" t="str">
        <f>IF(COUNTIF(A:A,A172)&gt;1,_xlfn.CONCAT(A172," (",N172,")"),A172)</f>
        <v>Chéngwŭ Xiàn Bólèjí Zhèn</v>
      </c>
      <c r="C172" t="str">
        <f>IF(COUNTIF(B:B,B172)&gt;1,_xlfn.CONCAT(A172," (",M172,")"),B172)</f>
        <v>Chéngwŭ Xiàn Bólèjí Zhèn</v>
      </c>
      <c r="D172" t="s">
        <v>619</v>
      </c>
      <c r="E172" t="s">
        <v>13</v>
      </c>
      <c r="F172" t="str">
        <f>_xlfn.CONCAT(D172,", ",H172,", ",I172,", ","山东省")</f>
        <v>成武县伯乐集镇, 成武县, 菏泽市, 山东省</v>
      </c>
      <c r="G172">
        <v>49517</v>
      </c>
      <c r="H172" t="s">
        <v>3664</v>
      </c>
      <c r="I172" t="s">
        <v>3662</v>
      </c>
      <c r="J172">
        <f>VLOOKUP(F172,[1]!china_towns_second__2[[Column1]:[Y]],3,FALSE)</f>
        <v>35.020803184447303</v>
      </c>
      <c r="K172">
        <f>VLOOKUP(F172,[1]!china_towns_second__2[[Column1]:[Y]],2,FALSE)</f>
        <v>115.82527330000001</v>
      </c>
      <c r="L172" t="s">
        <v>5010</v>
      </c>
      <c r="M172" t="str">
        <f>VLOOKUP(H172,CHOOSE({1,2},Table17[Native],Table17[Name]),2,0)</f>
        <v>Chéngwŭ Xiàn</v>
      </c>
      <c r="N172" s="15" t="str">
        <f>VLOOKUP(I172,CHOOSE({1,2},Table17[Native],Table17[Name]),2,0)</f>
        <v>Hézé Shì</v>
      </c>
      <c r="O172" s="15" t="str">
        <f t="shared" si="4"/>
        <v>Chengwu Xian Boleji Zhen (Hézé Shì)</v>
      </c>
      <c r="P172" s="15" t="str">
        <f t="shared" si="5"/>
        <v>Chengwu Xian Boleji Zhen (Hézé Shì)</v>
      </c>
    </row>
    <row r="173" spans="1:16" hidden="1" x14ac:dyDescent="0.25">
      <c r="A173" t="s">
        <v>620</v>
      </c>
      <c r="B173" t="str">
        <f>IF(COUNTIF(A:A,A173)&gt;1,_xlfn.CONCAT(A173," (",N173,")"),A173)</f>
        <v>Chéngwŭ Xiàn Dăngjí Zhèn</v>
      </c>
      <c r="C173" t="str">
        <f>IF(COUNTIF(B:B,B173)&gt;1,_xlfn.CONCAT(A173," (",M173,")"),B173)</f>
        <v>Chéngwŭ Xiàn Dăngjí Zhèn</v>
      </c>
      <c r="D173" t="s">
        <v>621</v>
      </c>
      <c r="E173" t="s">
        <v>13</v>
      </c>
      <c r="F173" t="str">
        <f>_xlfn.CONCAT(D173,", ",H173,", ",I173,", ","山东省")</f>
        <v>成武县党集镇, 成武县, 菏泽市, 山东省</v>
      </c>
      <c r="G173">
        <v>32557</v>
      </c>
      <c r="H173" t="s">
        <v>3664</v>
      </c>
      <c r="I173" t="s">
        <v>3662</v>
      </c>
      <c r="J173">
        <f>VLOOKUP(F173,[1]!china_towns_second__2[[Column1]:[Y]],3,FALSE)</f>
        <v>35.017620125644903</v>
      </c>
      <c r="K173">
        <f>VLOOKUP(F173,[1]!china_towns_second__2[[Column1]:[Y]],2,FALSE)</f>
        <v>115.95153980000001</v>
      </c>
      <c r="L173" t="s">
        <v>5011</v>
      </c>
      <c r="M173" t="str">
        <f>VLOOKUP(H173,CHOOSE({1,2},Table17[Native],Table17[Name]),2,0)</f>
        <v>Chéngwŭ Xiàn</v>
      </c>
      <c r="N173" s="15" t="str">
        <f>VLOOKUP(I173,CHOOSE({1,2},Table17[Native],Table17[Name]),2,0)</f>
        <v>Hézé Shì</v>
      </c>
      <c r="O173" s="15" t="str">
        <f t="shared" si="4"/>
        <v>Chengwu Xian Dangji Zhen (Hézé Shì)</v>
      </c>
      <c r="P173" s="15" t="str">
        <f t="shared" si="5"/>
        <v>Chengwu Xian Dangji Zhen (Hézé Shì)</v>
      </c>
    </row>
    <row r="174" spans="1:16" hidden="1" x14ac:dyDescent="0.25">
      <c r="A174" t="s">
        <v>622</v>
      </c>
      <c r="B174" t="str">
        <f>IF(COUNTIF(A:A,A174)&gt;1,_xlfn.CONCAT(A174," (",N174,")"),A174)</f>
        <v>Chéngwŭ Xiàn Dàtiánjí Zhèn</v>
      </c>
      <c r="C174" t="str">
        <f>IF(COUNTIF(B:B,B174)&gt;1,_xlfn.CONCAT(A174," (",M174,")"),B174)</f>
        <v>Chéngwŭ Xiàn Dàtiánjí Zhèn</v>
      </c>
      <c r="D174" t="s">
        <v>623</v>
      </c>
      <c r="E174" t="s">
        <v>13</v>
      </c>
      <c r="F174" t="str">
        <f>_xlfn.CONCAT(D174,", ",H174,", ",I174,", ","山东省")</f>
        <v>成武县大田集镇, 成武县, 菏泽市, 山东省</v>
      </c>
      <c r="G174">
        <v>71943</v>
      </c>
      <c r="H174" t="s">
        <v>3664</v>
      </c>
      <c r="I174" t="s">
        <v>3662</v>
      </c>
      <c r="J174">
        <f>VLOOKUP(F174,[1]!china_towns_second__2[[Column1]:[Y]],3,FALSE)</f>
        <v>35.0756658882012</v>
      </c>
      <c r="K174">
        <f>VLOOKUP(F174,[1]!china_towns_second__2[[Column1]:[Y]],2,FALSE)</f>
        <v>116.0566299</v>
      </c>
      <c r="L174" t="s">
        <v>5012</v>
      </c>
      <c r="M174" t="str">
        <f>VLOOKUP(H174,CHOOSE({1,2},Table17[Native],Table17[Name]),2,0)</f>
        <v>Chéngwŭ Xiàn</v>
      </c>
      <c r="N174" s="15" t="str">
        <f>VLOOKUP(I174,CHOOSE({1,2},Table17[Native],Table17[Name]),2,0)</f>
        <v>Hézé Shì</v>
      </c>
      <c r="O174" s="15" t="str">
        <f t="shared" si="4"/>
        <v>Chengwu Xian Datianji Zhen (Hézé Shì)</v>
      </c>
      <c r="P174" s="15" t="str">
        <f t="shared" si="5"/>
        <v>Chengwu Xian Datianji Zhen (Hézé Shì)</v>
      </c>
    </row>
    <row r="175" spans="1:16" hidden="1" x14ac:dyDescent="0.25">
      <c r="A175" t="s">
        <v>624</v>
      </c>
      <c r="B175" t="str">
        <f>IF(COUNTIF(A:A,A175)&gt;1,_xlfn.CONCAT(A175," (",N175,")"),A175)</f>
        <v>Chéngwŭ Xiàn Gŏucūnjí Zhèn</v>
      </c>
      <c r="C175" t="str">
        <f>IF(COUNTIF(B:B,B175)&gt;1,_xlfn.CONCAT(A175," (",M175,")"),B175)</f>
        <v>Chéngwŭ Xiàn Gŏucūnjí Zhèn</v>
      </c>
      <c r="D175" t="s">
        <v>625</v>
      </c>
      <c r="E175" t="s">
        <v>13</v>
      </c>
      <c r="F175" t="str">
        <f>_xlfn.CONCAT(D175,", ",H175,", ",I175,", ","山东省")</f>
        <v>成武县苟村集镇, 成武县, 菏泽市, 山东省</v>
      </c>
      <c r="G175">
        <v>35188</v>
      </c>
      <c r="H175" t="s">
        <v>3664</v>
      </c>
      <c r="I175" t="s">
        <v>3662</v>
      </c>
      <c r="J175">
        <f>VLOOKUP(F175,[1]!china_towns_second__2[[Column1]:[Y]],3,FALSE)</f>
        <v>34.9568667778871</v>
      </c>
      <c r="K175">
        <f>VLOOKUP(F175,[1]!china_towns_second__2[[Column1]:[Y]],2,FALSE)</f>
        <v>115.9838824</v>
      </c>
      <c r="L175" t="s">
        <v>5013</v>
      </c>
      <c r="M175" t="str">
        <f>VLOOKUP(H175,CHOOSE({1,2},Table17[Native],Table17[Name]),2,0)</f>
        <v>Chéngwŭ Xiàn</v>
      </c>
      <c r="N175" s="15" t="str">
        <f>VLOOKUP(I175,CHOOSE({1,2},Table17[Native],Table17[Name]),2,0)</f>
        <v>Hézé Shì</v>
      </c>
      <c r="O175" s="15" t="str">
        <f t="shared" si="4"/>
        <v>Chengwu Xian Goucunji Zhen (Hézé Shì)</v>
      </c>
      <c r="P175" s="15" t="str">
        <f t="shared" si="5"/>
        <v>Chengwu Xian Goucunji Zhen (Hézé Shì)</v>
      </c>
    </row>
    <row r="176" spans="1:16" hidden="1" x14ac:dyDescent="0.25">
      <c r="A176" t="s">
        <v>626</v>
      </c>
      <c r="B176" t="str">
        <f>IF(COUNTIF(A:A,A176)&gt;1,_xlfn.CONCAT(A176," (",N176,")"),A176)</f>
        <v>Chéngwŭ Xiàn Jiŭnǚjí Zhèn</v>
      </c>
      <c r="C176" t="str">
        <f>IF(COUNTIF(B:B,B176)&gt;1,_xlfn.CONCAT(A176," (",M176,")"),B176)</f>
        <v>Chéngwŭ Xiàn Jiŭnǚjí Zhèn</v>
      </c>
      <c r="D176" t="s">
        <v>627</v>
      </c>
      <c r="E176" t="s">
        <v>13</v>
      </c>
      <c r="F176" t="str">
        <f>_xlfn.CONCAT(D176,", ",H176,", ",I176,", ","山东省")</f>
        <v>成武县九女集镇, 成武县, 菏泽市, 山东省</v>
      </c>
      <c r="G176">
        <v>56041</v>
      </c>
      <c r="H176" t="s">
        <v>3664</v>
      </c>
      <c r="I176" t="s">
        <v>3662</v>
      </c>
      <c r="J176">
        <f>VLOOKUP(F176,[1]!china_towns_second__2[[Column1]:[Y]],3,FALSE)</f>
        <v>34.921011049771202</v>
      </c>
      <c r="K176">
        <f>VLOOKUP(F176,[1]!china_towns_second__2[[Column1]:[Y]],2,FALSE)</f>
        <v>115.7876134</v>
      </c>
      <c r="L176" t="s">
        <v>5014</v>
      </c>
      <c r="M176" t="str">
        <f>VLOOKUP(H176,CHOOSE({1,2},Table17[Native],Table17[Name]),2,0)</f>
        <v>Chéngwŭ Xiàn</v>
      </c>
      <c r="N176" s="15" t="str">
        <f>VLOOKUP(I176,CHOOSE({1,2},Table17[Native],Table17[Name]),2,0)</f>
        <v>Hézé Shì</v>
      </c>
      <c r="O176" s="15" t="str">
        <f t="shared" si="4"/>
        <v>Chengwu Xian Jiunuji Zhen (Hézé Shì)</v>
      </c>
      <c r="P176" s="15" t="str">
        <f t="shared" si="5"/>
        <v>Chengwu Xian Jiunuji Zhen (Hézé Shì)</v>
      </c>
    </row>
    <row r="177" spans="1:16" hidden="1" x14ac:dyDescent="0.25">
      <c r="A177" t="s">
        <v>628</v>
      </c>
      <c r="B177" t="str">
        <f>IF(COUNTIF(A:A,A177)&gt;1,_xlfn.CONCAT(A177," (",N177,")"),A177)</f>
        <v>Chéngwŭ Xiàn Nánlŭjí Zhèn</v>
      </c>
      <c r="C177" t="str">
        <f>IF(COUNTIF(B:B,B177)&gt;1,_xlfn.CONCAT(A177," (",M177,")"),B177)</f>
        <v>Chéngwŭ Xiàn Nánlŭjí Zhèn</v>
      </c>
      <c r="D177" t="s">
        <v>629</v>
      </c>
      <c r="E177" t="s">
        <v>13</v>
      </c>
      <c r="F177" t="str">
        <f>_xlfn.CONCAT(D177,", ",H177,", ",I177,", ","山东省")</f>
        <v>成武县南鲁集镇, 成武县, 菏泽市, 山东省</v>
      </c>
      <c r="G177">
        <v>41068</v>
      </c>
      <c r="H177" t="s">
        <v>3664</v>
      </c>
      <c r="I177" t="s">
        <v>3662</v>
      </c>
      <c r="J177">
        <f>VLOOKUP(F177,[1]!china_towns_second__2[[Column1]:[Y]],3,FALSE)</f>
        <v>35.090615728810398</v>
      </c>
      <c r="K177">
        <f>VLOOKUP(F177,[1]!china_towns_second__2[[Column1]:[Y]],2,FALSE)</f>
        <v>115.9354008</v>
      </c>
      <c r="L177" t="s">
        <v>5015</v>
      </c>
      <c r="M177" t="str">
        <f>VLOOKUP(H177,CHOOSE({1,2},Table17[Native],Table17[Name]),2,0)</f>
        <v>Chéngwŭ Xiàn</v>
      </c>
      <c r="N177" s="15" t="str">
        <f>VLOOKUP(I177,CHOOSE({1,2},Table17[Native],Table17[Name]),2,0)</f>
        <v>Hézé Shì</v>
      </c>
      <c r="O177" s="15" t="str">
        <f t="shared" si="4"/>
        <v>Chengwu Xian Nanluji Zhen (Hézé Shì)</v>
      </c>
      <c r="P177" s="15" t="str">
        <f t="shared" si="5"/>
        <v>Chengwu Xian Nanluji Zhen (Hézé Shì)</v>
      </c>
    </row>
    <row r="178" spans="1:16" hidden="1" x14ac:dyDescent="0.25">
      <c r="A178" t="s">
        <v>630</v>
      </c>
      <c r="B178" t="str">
        <f>IF(COUNTIF(A:A,A178)&gt;1,_xlfn.CONCAT(A178," (",N178,")"),A178)</f>
        <v>Chéngwŭ Xiàn Sūnsì Zhèn</v>
      </c>
      <c r="C178" t="str">
        <f>IF(COUNTIF(B:B,B178)&gt;1,_xlfn.CONCAT(A178," (",M178,")"),B178)</f>
        <v>Chéngwŭ Xiàn Sūnsì Zhèn</v>
      </c>
      <c r="D178" t="s">
        <v>631</v>
      </c>
      <c r="E178" t="s">
        <v>13</v>
      </c>
      <c r="F178" t="str">
        <f>_xlfn.CONCAT(D178,", ",H178,", ",I178,", ","山东省")</f>
        <v>成武县孙寺镇, 成武县, 菏泽市, 山东省</v>
      </c>
      <c r="G178">
        <v>48803</v>
      </c>
      <c r="H178" t="s">
        <v>3664</v>
      </c>
      <c r="I178" t="s">
        <v>3662</v>
      </c>
      <c r="J178">
        <f>VLOOKUP(F178,[1]!china_towns_second__2[[Column1]:[Y]],3,FALSE)</f>
        <v>34.862886002254299</v>
      </c>
      <c r="K178">
        <f>VLOOKUP(F178,[1]!china_towns_second__2[[Column1]:[Y]],2,FALSE)</f>
        <v>115.95944540000001</v>
      </c>
      <c r="L178" t="s">
        <v>5016</v>
      </c>
      <c r="M178" t="str">
        <f>VLOOKUP(H178,CHOOSE({1,2},Table17[Native],Table17[Name]),2,0)</f>
        <v>Chéngwŭ Xiàn</v>
      </c>
      <c r="N178" s="15" t="str">
        <f>VLOOKUP(I178,CHOOSE({1,2},Table17[Native],Table17[Name]),2,0)</f>
        <v>Hézé Shì</v>
      </c>
      <c r="O178" s="15" t="str">
        <f t="shared" si="4"/>
        <v>Chengwu Xian Sunsi Zhen (Hézé Shì)</v>
      </c>
      <c r="P178" s="15" t="str">
        <f t="shared" si="5"/>
        <v>Chengwu Xian Sunsi Zhen (Hézé Shì)</v>
      </c>
    </row>
    <row r="179" spans="1:16" hidden="1" x14ac:dyDescent="0.25">
      <c r="A179" t="s">
        <v>632</v>
      </c>
      <c r="B179" t="str">
        <f>IF(COUNTIF(A:A,A179)&gt;1,_xlfn.CONCAT(A179," (",N179,")"),A179)</f>
        <v>Chéngwŭ Xiàn Tiāngōngmiào Zhèn</v>
      </c>
      <c r="C179" t="str">
        <f>IF(COUNTIF(B:B,B179)&gt;1,_xlfn.CONCAT(A179," (",M179,")"),B179)</f>
        <v>Chéngwŭ Xiàn Tiāngōngmiào Zhèn</v>
      </c>
      <c r="D179" t="s">
        <v>633</v>
      </c>
      <c r="E179" t="s">
        <v>13</v>
      </c>
      <c r="F179" t="str">
        <f>_xlfn.CONCAT(D179,", ",H179,", ",I179,", ","山东省")</f>
        <v>成武县天宫庙镇, 成武县, 菏泽市, 山东省</v>
      </c>
      <c r="G179">
        <v>38350</v>
      </c>
      <c r="H179" t="s">
        <v>3664</v>
      </c>
      <c r="I179" t="s">
        <v>3662</v>
      </c>
      <c r="J179">
        <f>VLOOKUP(F179,[1]!china_towns_second__2[[Column1]:[Y]],3,FALSE)</f>
        <v>34.869095333189101</v>
      </c>
      <c r="K179">
        <f>VLOOKUP(F179,[1]!china_towns_second__2[[Column1]:[Y]],2,FALSE)</f>
        <v>115.8575776</v>
      </c>
      <c r="L179" t="s">
        <v>5017</v>
      </c>
      <c r="M179" t="str">
        <f>VLOOKUP(H179,CHOOSE({1,2},Table17[Native],Table17[Name]),2,0)</f>
        <v>Chéngwŭ Xiàn</v>
      </c>
      <c r="N179" s="15" t="str">
        <f>VLOOKUP(I179,CHOOSE({1,2},Table17[Native],Table17[Name]),2,0)</f>
        <v>Hézé Shì</v>
      </c>
      <c r="O179" s="15" t="str">
        <f t="shared" si="4"/>
        <v>Chengwu Xian Tiangongmiao Zhen (Hézé Shì)</v>
      </c>
      <c r="P179" s="15" t="str">
        <f t="shared" si="5"/>
        <v>Chengwu Xian Tiangongmiao Zhen (Hézé Shì)</v>
      </c>
    </row>
    <row r="180" spans="1:16" hidden="1" x14ac:dyDescent="0.25">
      <c r="A180" t="s">
        <v>634</v>
      </c>
      <c r="B180" t="str">
        <f>IF(COUNTIF(A:A,A180)&gt;1,_xlfn.CONCAT(A180," (",N180,")"),A180)</f>
        <v>Chéngwŭ Xiàn Wènshàngjí Zhèn</v>
      </c>
      <c r="C180" t="str">
        <f>IF(COUNTIF(B:B,B180)&gt;1,_xlfn.CONCAT(A180," (",M180,")"),B180)</f>
        <v>Chéngwŭ Xiàn Wènshàngjí Zhèn</v>
      </c>
      <c r="D180" t="s">
        <v>635</v>
      </c>
      <c r="E180" t="s">
        <v>13</v>
      </c>
      <c r="F180" t="str">
        <f>_xlfn.CONCAT(D180,", ",H180,", ",I180,", ","山东省")</f>
        <v>成武县汶上集镇, 成武县, 菏泽市, 山东省</v>
      </c>
      <c r="G180">
        <v>61592</v>
      </c>
      <c r="H180" t="s">
        <v>3664</v>
      </c>
      <c r="I180" t="s">
        <v>3662</v>
      </c>
      <c r="J180">
        <f>VLOOKUP(F180,[1]!china_towns_second__2[[Column1]:[Y]],3,FALSE)</f>
        <v>35.089551301230998</v>
      </c>
      <c r="K180">
        <f>VLOOKUP(F180,[1]!china_towns_second__2[[Column1]:[Y]],2,FALSE)</f>
        <v>115.84633599999999</v>
      </c>
      <c r="L180" t="s">
        <v>5018</v>
      </c>
      <c r="M180" t="str">
        <f>VLOOKUP(H180,CHOOSE({1,2},Table17[Native],Table17[Name]),2,0)</f>
        <v>Chéngwŭ Xiàn</v>
      </c>
      <c r="N180" s="15" t="str">
        <f>VLOOKUP(I180,CHOOSE({1,2},Table17[Native],Table17[Name]),2,0)</f>
        <v>Hézé Shì</v>
      </c>
      <c r="O180" s="15" t="str">
        <f t="shared" si="4"/>
        <v>Chengwu Xian Wenshangji Zhen (Hézé Shì)</v>
      </c>
      <c r="P180" s="15" t="str">
        <f t="shared" si="5"/>
        <v>Chengwu Xian Wenshangji Zhen (Hézé Shì)</v>
      </c>
    </row>
    <row r="181" spans="1:16" hidden="1" x14ac:dyDescent="0.25">
      <c r="A181" t="s">
        <v>636</v>
      </c>
      <c r="B181" t="str">
        <f>IF(COUNTIF(A:A,A181)&gt;1,_xlfn.CONCAT(A181," (",N181,")"),A181)</f>
        <v>Chéngwŭ Xiàn Zhānglóu Zhèn</v>
      </c>
      <c r="C181" t="str">
        <f>IF(COUNTIF(B:B,B181)&gt;1,_xlfn.CONCAT(A181," (",M181,")"),B181)</f>
        <v>Chéngwŭ Xiàn Zhānglóu Zhèn</v>
      </c>
      <c r="D181" t="s">
        <v>637</v>
      </c>
      <c r="E181" t="s">
        <v>13</v>
      </c>
      <c r="F181" t="str">
        <f>_xlfn.CONCAT(D181,", ",H181,", ",I181,", ","山东省")</f>
        <v>成武县张楼镇, 成武县, 菏泽市, 山东省</v>
      </c>
      <c r="G181">
        <v>30838</v>
      </c>
      <c r="H181" t="s">
        <v>3664</v>
      </c>
      <c r="I181" t="s">
        <v>3662</v>
      </c>
      <c r="J181">
        <f>VLOOKUP(F181,[1]!china_towns_second__2[[Column1]:[Y]],3,FALSE)</f>
        <v>35.0146284005571</v>
      </c>
      <c r="K181">
        <f>VLOOKUP(F181,[1]!china_towns_second__2[[Column1]:[Y]],2,FALSE)</f>
        <v>116.0601114</v>
      </c>
      <c r="L181" t="s">
        <v>5019</v>
      </c>
      <c r="M181" t="str">
        <f>VLOOKUP(H181,CHOOSE({1,2},Table17[Native],Table17[Name]),2,0)</f>
        <v>Chéngwŭ Xiàn</v>
      </c>
      <c r="N181" s="15" t="str">
        <f>VLOOKUP(I181,CHOOSE({1,2},Table17[Native],Table17[Name]),2,0)</f>
        <v>Hézé Shì</v>
      </c>
      <c r="O181" s="15" t="str">
        <f t="shared" si="4"/>
        <v>Chengwu Xian Zhanglou Zhen (Hézé Shì)</v>
      </c>
      <c r="P181" s="15" t="str">
        <f t="shared" si="5"/>
        <v>Chengwu Xian Zhanglou Zhen (Hézé Shì)</v>
      </c>
    </row>
    <row r="182" spans="1:16" hidden="1" x14ac:dyDescent="0.25">
      <c r="A182" t="s">
        <v>2912</v>
      </c>
      <c r="B182" t="str">
        <f>IF(COUNTIF(A:A,A182)&gt;1,_xlfn.CONCAT(A182," (",N182,")"),A182)</f>
        <v>Chéngxī Jiēdào (Wēihăi Shì)</v>
      </c>
      <c r="C182" t="str">
        <f>IF(COUNTIF(B:B,B182)&gt;1,_xlfn.CONCAT(A182," (",M182,")"),B182)</f>
        <v>Chéngxī Jiēdào (Wēihăi Shì)</v>
      </c>
      <c r="D182" t="s">
        <v>2913</v>
      </c>
      <c r="E182" t="s">
        <v>7</v>
      </c>
      <c r="F182" t="str">
        <f>_xlfn.CONCAT(D182,", ",H182,", ",I182,", ","山东省")</f>
        <v>城西街道, 荣成市, 威海市, 山东省</v>
      </c>
      <c r="G182">
        <v>19124</v>
      </c>
      <c r="H182" t="s">
        <v>3767</v>
      </c>
      <c r="I182" t="s">
        <v>3765</v>
      </c>
      <c r="J182">
        <f>VLOOKUP(F182,[1]!china_towns_second__2[[Column1]:[Y]],3,FALSE)</f>
        <v>37.165880586002302</v>
      </c>
      <c r="K182">
        <f>VLOOKUP(F182,[1]!china_towns_second__2[[Column1]:[Y]],2,FALSE)</f>
        <v>122.3658389</v>
      </c>
      <c r="L182" t="s">
        <v>5020</v>
      </c>
      <c r="M182" t="str">
        <f>VLOOKUP(H182,CHOOSE({1,2},Table17[Native],Table17[Name]),2,0)</f>
        <v>Róngchéng Shì</v>
      </c>
      <c r="N182" s="15" t="str">
        <f>VLOOKUP(I182,CHOOSE({1,2},Table17[Native],Table17[Name]),2,0)</f>
        <v>Wēihăi Shì</v>
      </c>
      <c r="O182" s="15" t="str">
        <f t="shared" si="4"/>
        <v>Chengxi Jiedao (Weihai Shi) (Wēihăi Shì)</v>
      </c>
      <c r="P182" s="15" t="str">
        <f t="shared" si="5"/>
        <v>Chengxi Jiedao (Weihai Shi) (Wēihăi Shì)</v>
      </c>
    </row>
    <row r="183" spans="1:16" hidden="1" x14ac:dyDescent="0.25">
      <c r="A183" t="s">
        <v>2912</v>
      </c>
      <c r="B183" t="str">
        <f>IF(COUNTIF(A:A,A183)&gt;1,_xlfn.CONCAT(A183," (",N183,")"),A183)</f>
        <v>Chéngxī Jiēdào (Zībó Shì)</v>
      </c>
      <c r="C183" t="str">
        <f>IF(COUNTIF(B:B,B183)&gt;1,_xlfn.CONCAT(A183," (",M183,")"),B183)</f>
        <v>Chéngxī Jiēdào (Zībó Shì)</v>
      </c>
      <c r="D183" t="s">
        <v>2913</v>
      </c>
      <c r="E183" t="s">
        <v>7</v>
      </c>
      <c r="F183" t="str">
        <f>_xlfn.CONCAT(D183,", ",H183,", ",I183,", ","山东省")</f>
        <v>城西街道, 博山区, 淄博市, 山东省</v>
      </c>
      <c r="G183">
        <v>70302</v>
      </c>
      <c r="H183" t="s">
        <v>3792</v>
      </c>
      <c r="I183" t="s">
        <v>3791</v>
      </c>
      <c r="J183">
        <f>VLOOKUP(F183,[1]!china_towns_second__2[[Column1]:[Y]],3,FALSE)</f>
        <v>36.494854322749497</v>
      </c>
      <c r="K183">
        <f>VLOOKUP(F183,[1]!china_towns_second__2[[Column1]:[Y]],2,FALSE)</f>
        <v>117.84366369999999</v>
      </c>
      <c r="L183" t="s">
        <v>5021</v>
      </c>
      <c r="M183" t="str">
        <f>VLOOKUP(H183,CHOOSE({1,2},Table17[Native],Table17[Name]),2,0)</f>
        <v>Bóshān Qū</v>
      </c>
      <c r="N183" s="15" t="str">
        <f>VLOOKUP(I183,CHOOSE({1,2},Table17[Native],Table17[Name]),2,0)</f>
        <v>Zībó Shì</v>
      </c>
      <c r="O183" s="15" t="str">
        <f t="shared" si="4"/>
        <v>Chengxi Jiedao (Zibo Shi) (Zībó Shì)</v>
      </c>
      <c r="P183" s="15" t="str">
        <f t="shared" si="5"/>
        <v>Chengxi Jiedao (Zibo Shi) (Zībó Shì)</v>
      </c>
    </row>
    <row r="184" spans="1:16" hidden="1" x14ac:dyDescent="0.25">
      <c r="A184" t="s">
        <v>3070</v>
      </c>
      <c r="B184" t="str">
        <f>IF(COUNTIF(A:A,A184)&gt;1,_xlfn.CONCAT(A184," (",N184,")"),A184)</f>
        <v>Chéngxiāng Jiēdào</v>
      </c>
      <c r="C184" t="str">
        <f>IF(COUNTIF(B:B,B184)&gt;1,_xlfn.CONCAT(A184," (",M184,")"),B184)</f>
        <v>Chéngxiāng Jiēdào</v>
      </c>
      <c r="D184" t="s">
        <v>3071</v>
      </c>
      <c r="E184" t="s">
        <v>7</v>
      </c>
      <c r="F184" t="str">
        <f>_xlfn.CONCAT(D184,", ",H184,", ",I184,", ","山东省")</f>
        <v>城厢街道, 莱阳市, 烟台市, 山东省</v>
      </c>
      <c r="G184">
        <v>172357</v>
      </c>
      <c r="H184" t="s">
        <v>3775</v>
      </c>
      <c r="I184" t="s">
        <v>3771</v>
      </c>
      <c r="J184">
        <f>VLOOKUP(F184,[1]!china_towns_second__2[[Column1]:[Y]],3,FALSE)</f>
        <v>36.975410713967499</v>
      </c>
      <c r="K184">
        <f>VLOOKUP(F184,[1]!china_towns_second__2[[Column1]:[Y]],2,FALSE)</f>
        <v>120.7159795</v>
      </c>
      <c r="L184" t="s">
        <v>5022</v>
      </c>
      <c r="M184" t="str">
        <f>VLOOKUP(H184,CHOOSE({1,2},Table17[Native],Table17[Name]),2,0)</f>
        <v>Láiyáng Shì</v>
      </c>
      <c r="N184" s="15" t="str">
        <f>VLOOKUP(I184,CHOOSE({1,2},Table17[Native],Table17[Name]),2,0)</f>
        <v>Yāntái Shì</v>
      </c>
      <c r="O184" s="15" t="str">
        <f t="shared" si="4"/>
        <v>Chengxiang Jiedao (Yāntái Shì)</v>
      </c>
      <c r="P184" s="15" t="str">
        <f t="shared" si="5"/>
        <v>Chengxiang Jiedao (Yāntái Shì)</v>
      </c>
    </row>
    <row r="185" spans="1:16" hidden="1" x14ac:dyDescent="0.25">
      <c r="A185" t="s">
        <v>2140</v>
      </c>
      <c r="B185" t="str">
        <f>IF(COUNTIF(A:A,A185)&gt;1,_xlfn.CONCAT(A185," (",N185,")"),A185)</f>
        <v>Chéngyáng Jiēdào (Qīngdăo Shì)</v>
      </c>
      <c r="C185" t="str">
        <f>IF(COUNTIF(B:B,B185)&gt;1,_xlfn.CONCAT(A185," (",M185,")"),B185)</f>
        <v>Chéngyáng Jiēdào (Qīngdăo Shì)</v>
      </c>
      <c r="D185" t="s">
        <v>2141</v>
      </c>
      <c r="E185" t="s">
        <v>7</v>
      </c>
      <c r="F185" t="str">
        <f>_xlfn.CONCAT(D185,", ",H185,", ",I185,", ","山东省")</f>
        <v>城阳街道, 城阳区, 青岛市, 山东省</v>
      </c>
      <c r="G185">
        <v>226471</v>
      </c>
      <c r="H185" t="s">
        <v>3725</v>
      </c>
      <c r="I185" t="s">
        <v>3724</v>
      </c>
      <c r="J185">
        <f>VLOOKUP(F185,[1]!china_towns_second__2[[Column1]:[Y]],3,FALSE)</f>
        <v>36.313938326992002</v>
      </c>
      <c r="K185">
        <f>VLOOKUP(F185,[1]!china_towns_second__2[[Column1]:[Y]],2,FALSE)</f>
        <v>120.4037936</v>
      </c>
      <c r="L185" t="s">
        <v>5023</v>
      </c>
      <c r="M185" t="str">
        <f>VLOOKUP(H185,CHOOSE({1,2},Table17[Native],Table17[Name]),2,0)</f>
        <v>Chéngyáng Qū</v>
      </c>
      <c r="N185" s="15" t="str">
        <f>VLOOKUP(I185,CHOOSE({1,2},Table17[Native],Table17[Name]),2,0)</f>
        <v>Qīngdăo Shì</v>
      </c>
      <c r="O185" s="15" t="str">
        <f t="shared" si="4"/>
        <v>Chengyang Jiedao (Qingdao Shi) (Qīngdăo Shì)</v>
      </c>
      <c r="P185" s="15" t="str">
        <f t="shared" si="5"/>
        <v>Chengyang Jiedao (Qingdao Shi) (Qīngdăo Shì)</v>
      </c>
    </row>
    <row r="186" spans="1:16" hidden="1" x14ac:dyDescent="0.25">
      <c r="A186" t="s">
        <v>2140</v>
      </c>
      <c r="B186" t="str">
        <f>IF(COUNTIF(A:A,A186)&gt;1,_xlfn.CONCAT(A186," (",N186,")"),A186)</f>
        <v>Chéngyáng Jiēdào (Rìzhào Shì)</v>
      </c>
      <c r="C186" t="str">
        <f>IF(COUNTIF(B:B,B186)&gt;1,_xlfn.CONCAT(A186," (",M186,")"),B186)</f>
        <v>Chéngyáng Jiēdào (Rìzhào Shì)</v>
      </c>
      <c r="D186" t="s">
        <v>2141</v>
      </c>
      <c r="E186" t="s">
        <v>7</v>
      </c>
      <c r="F186" t="str">
        <f>_xlfn.CONCAT(D186,", ",H186,", ",I186,", ","山东省")</f>
        <v>城阳街道, 莒县, 日照市, 山东省</v>
      </c>
      <c r="G186">
        <v>166544</v>
      </c>
      <c r="H186" t="s">
        <v>3739</v>
      </c>
      <c r="I186" t="s">
        <v>3736</v>
      </c>
      <c r="J186">
        <f>VLOOKUP(F186,[1]!china_towns_second__2[[Column1]:[Y]],3,FALSE)</f>
        <v>35.613739668569998</v>
      </c>
      <c r="K186">
        <f>VLOOKUP(F186,[1]!china_towns_second__2[[Column1]:[Y]],2,FALSE)</f>
        <v>118.8535029</v>
      </c>
      <c r="L186" t="s">
        <v>5024</v>
      </c>
      <c r="M186" t="str">
        <f>VLOOKUP(H186,CHOOSE({1,2},Table17[Native],Table17[Name]),2,0)</f>
        <v>Jŭ Xiàn</v>
      </c>
      <c r="N186" s="15" t="str">
        <f>VLOOKUP(I186,CHOOSE({1,2},Table17[Native],Table17[Name]),2,0)</f>
        <v>Rìzhào Shì</v>
      </c>
      <c r="O186" s="15" t="str">
        <f t="shared" si="4"/>
        <v>Chengyang Jiedao (Rizhao Shi) (Rìzhào Shì)</v>
      </c>
      <c r="P186" s="15" t="str">
        <f t="shared" si="5"/>
        <v>Chengyang Jiedao (Rizhao Shi) (Rìzhào Shì)</v>
      </c>
    </row>
    <row r="187" spans="1:16" hidden="1" x14ac:dyDescent="0.25">
      <c r="A187" t="s">
        <v>30</v>
      </c>
      <c r="B187" t="str">
        <f>IF(COUNTIF(A:A,A187)&gt;1,_xlfn.CONCAT(A187," (",N187,")"),A187)</f>
        <v>Chénhù Zhèn</v>
      </c>
      <c r="C187" t="str">
        <f>IF(COUNTIF(B:B,B187)&gt;1,_xlfn.CONCAT(A187," (",M187,")"),B187)</f>
        <v>Chénhù Zhèn</v>
      </c>
      <c r="D187" t="s">
        <v>31</v>
      </c>
      <c r="E187" t="s">
        <v>13</v>
      </c>
      <c r="F187" t="str">
        <f>_xlfn.CONCAT(D187,", ",H187,", ",I187,", ","山东省")</f>
        <v>陈户镇, 博兴县, 滨州市, 山东省</v>
      </c>
      <c r="G187">
        <v>40880</v>
      </c>
      <c r="H187" t="s">
        <v>3634</v>
      </c>
      <c r="I187" t="s">
        <v>3630</v>
      </c>
      <c r="J187">
        <f>VLOOKUP(F187,[1]!china_towns_second__2[[Column1]:[Y]],3,FALSE)</f>
        <v>37.257603040828997</v>
      </c>
      <c r="K187">
        <f>VLOOKUP(F187,[1]!china_towns_second__2[[Column1]:[Y]],2,FALSE)</f>
        <v>118.1999107</v>
      </c>
      <c r="L187" t="s">
        <v>5025</v>
      </c>
      <c r="M187" t="str">
        <f>VLOOKUP(H187,CHOOSE({1,2},Table17[Native],Table17[Name]),2,0)</f>
        <v>Bóxīng Xiàn</v>
      </c>
      <c r="N187" s="15" t="str">
        <f>VLOOKUP(I187,CHOOSE({1,2},Table17[Native],Table17[Name]),2,0)</f>
        <v>Bīnzhōu Shì</v>
      </c>
      <c r="O187" s="15" t="str">
        <f t="shared" si="4"/>
        <v>Chenhu Zhen (Bīnzhōu Shì)</v>
      </c>
      <c r="P187" s="15" t="str">
        <f t="shared" si="5"/>
        <v>Chenhu Zhen (Bīnzhōu Shì)</v>
      </c>
    </row>
    <row r="188" spans="1:16" hidden="1" x14ac:dyDescent="0.25">
      <c r="A188" t="s">
        <v>638</v>
      </c>
      <c r="B188" t="str">
        <f>IF(COUNTIF(A:A,A188)&gt;1,_xlfn.CONCAT(A188," (",N188,")"),A188)</f>
        <v>Chénjí Zhèn (Hézé Shì)</v>
      </c>
      <c r="C188" t="str">
        <f>IF(COUNTIF(B:B,B188)&gt;1,_xlfn.CONCAT(A188," (",M188,")"),B188)</f>
        <v>Chénjí Zhèn (Hézé Shì)</v>
      </c>
      <c r="D188" t="s">
        <v>639</v>
      </c>
      <c r="E188" t="s">
        <v>13</v>
      </c>
      <c r="F188" t="str">
        <f>_xlfn.CONCAT(D188,", ",H188,", ",I188,", ","山东省")</f>
        <v>陈集镇, 定陶区, 菏泽市, 山东省</v>
      </c>
      <c r="G188">
        <v>57941</v>
      </c>
      <c r="H188" t="s">
        <v>3665</v>
      </c>
      <c r="I188" t="s">
        <v>3662</v>
      </c>
      <c r="J188">
        <f>VLOOKUP(F188,[1]!china_towns_second__2[[Column1]:[Y]],3,FALSE)</f>
        <v>35.199421866129001</v>
      </c>
      <c r="K188">
        <f>VLOOKUP(F188,[1]!china_towns_second__2[[Column1]:[Y]],2,FALSE)</f>
        <v>115.6144326</v>
      </c>
      <c r="L188" t="s">
        <v>5026</v>
      </c>
      <c r="M188" t="str">
        <f>VLOOKUP(H188,CHOOSE({1,2},Table17[Native],Table17[Name]),2,0)</f>
        <v>Dìngtáo Qū</v>
      </c>
      <c r="N188" s="15" t="str">
        <f>VLOOKUP(I188,CHOOSE({1,2},Table17[Native],Table17[Name]),2,0)</f>
        <v>Hézé Shì</v>
      </c>
      <c r="O188" s="15" t="str">
        <f t="shared" si="4"/>
        <v>Chenji Zhen (Heze Shi) (Hézé Shì)</v>
      </c>
      <c r="P188" s="15" t="str">
        <f t="shared" si="5"/>
        <v>Chenji Zhen (Heze Shi) (Hézé Shì)</v>
      </c>
    </row>
    <row r="189" spans="1:16" hidden="1" x14ac:dyDescent="0.25">
      <c r="A189" t="s">
        <v>638</v>
      </c>
      <c r="B189" t="str">
        <f>IF(COUNTIF(A:A,A189)&gt;1,_xlfn.CONCAT(A189," (",N189,")"),A189)</f>
        <v>Chénjí Zhèn (Liáochéng Shì)</v>
      </c>
      <c r="C189" t="str">
        <f>IF(COUNTIF(B:B,B189)&gt;1,_xlfn.CONCAT(A189," (",M189,")"),B189)</f>
        <v>Chénjí Zhèn (Liáochéng Shì)</v>
      </c>
      <c r="D189" t="s">
        <v>639</v>
      </c>
      <c r="E189" t="s">
        <v>13</v>
      </c>
      <c r="F189" t="str">
        <f>_xlfn.CONCAT(D189,", ",H189,", ",I189,", ","山东省")</f>
        <v>陈集镇, 东阿县, 聊城市, 山东省</v>
      </c>
      <c r="G189">
        <v>16938</v>
      </c>
      <c r="H189" t="s">
        <v>3703</v>
      </c>
      <c r="I189" t="s">
        <v>3700</v>
      </c>
      <c r="J189">
        <f>VLOOKUP(F189,[1]!china_towns_second__2[[Column1]:[Y]],3,FALSE)</f>
        <v>36.3601979829428</v>
      </c>
      <c r="K189">
        <f>VLOOKUP(F189,[1]!china_towns_second__2[[Column1]:[Y]],2,FALSE)</f>
        <v>116.3075352</v>
      </c>
      <c r="L189" t="s">
        <v>5027</v>
      </c>
      <c r="M189" t="str">
        <f>VLOOKUP(H189,CHOOSE({1,2},Table17[Native],Table17[Name]),2,0)</f>
        <v>Dōng'ē Xiàn</v>
      </c>
      <c r="N189" s="15" t="str">
        <f>VLOOKUP(I189,CHOOSE({1,2},Table17[Native],Table17[Name]),2,0)</f>
        <v>Liáochéng Shì</v>
      </c>
      <c r="O189" s="15" t="str">
        <f t="shared" si="4"/>
        <v>Chenji Zhen (Liaocheng Shi) (Liáochéng Shì)</v>
      </c>
      <c r="P189" s="15" t="str">
        <f t="shared" si="5"/>
        <v>Chenji Zhen (Liaocheng Shi) (Liáochéng Shì)</v>
      </c>
    </row>
    <row r="190" spans="1:16" hidden="1" x14ac:dyDescent="0.25">
      <c r="A190" t="s">
        <v>640</v>
      </c>
      <c r="B190" t="str">
        <f>IF(COUNTIF(A:A,A190)&gt;1,_xlfn.CONCAT(A190," (",N190,")"),A190)</f>
        <v>Chénpō Xiāng</v>
      </c>
      <c r="C190" t="str">
        <f>IF(COUNTIF(B:B,B190)&gt;1,_xlfn.CONCAT(A190," (",M190,")"),B190)</f>
        <v>Chénpō Xiāng</v>
      </c>
      <c r="D190" t="s">
        <v>641</v>
      </c>
      <c r="E190" t="s">
        <v>61</v>
      </c>
      <c r="F190" t="str">
        <f>_xlfn.CONCAT(D190,", ",H190,", ",I190,", ","山东省")</f>
        <v>陈坡乡, 郓城县, 菏泽市, 山东省</v>
      </c>
      <c r="G190">
        <v>23130</v>
      </c>
      <c r="H190" t="s">
        <v>3671</v>
      </c>
      <c r="I190" t="s">
        <v>3662</v>
      </c>
      <c r="J190" t="e">
        <f>VLOOKUP(F190,[1]!china_towns_second__2[[Column1]:[Y]],3,FALSE)</f>
        <v>#N/A</v>
      </c>
      <c r="K190" t="e">
        <f>VLOOKUP(F190,[1]!china_towns_second__2[[Column1]:[Y]],2,FALSE)</f>
        <v>#N/A</v>
      </c>
      <c r="L190" t="s">
        <v>5028</v>
      </c>
      <c r="M190" t="str">
        <f>VLOOKUP(H190,CHOOSE({1,2},Table17[Native],Table17[Name]),2,0)</f>
        <v>Yùnchéng Xiàn</v>
      </c>
      <c r="N190" s="15" t="str">
        <f>VLOOKUP(I190,CHOOSE({1,2},Table17[Native],Table17[Name]),2,0)</f>
        <v>Hézé Shì</v>
      </c>
      <c r="O190" s="15" t="str">
        <f t="shared" si="4"/>
        <v>Chenpo Xiang (Hézé Shì)</v>
      </c>
      <c r="P190" s="15" t="str">
        <f t="shared" si="5"/>
        <v>Chenpo Xiang (Hézé Shì)</v>
      </c>
    </row>
    <row r="191" spans="1:16" hidden="1" x14ac:dyDescent="0.25">
      <c r="A191" t="s">
        <v>2404</v>
      </c>
      <c r="B191" t="str">
        <f>IF(COUNTIF(A:A,A191)&gt;1,_xlfn.CONCAT(A191," (",N191,")"),A191)</f>
        <v>Chéntuăn Zhèn</v>
      </c>
      <c r="C191" t="str">
        <f>IF(COUNTIF(B:B,B191)&gt;1,_xlfn.CONCAT(A191," (",M191,")"),B191)</f>
        <v>Chéntuăn Zhèn</v>
      </c>
      <c r="D191" t="s">
        <v>2405</v>
      </c>
      <c r="E191" t="s">
        <v>13</v>
      </c>
      <c r="F191" t="str">
        <f>_xlfn.CONCAT(D191,", ",H191,", ",I191,", ","山东省")</f>
        <v>陈疃镇, 东港区, 日照市, 山东省</v>
      </c>
      <c r="G191">
        <v>24706</v>
      </c>
      <c r="H191" t="s">
        <v>3737</v>
      </c>
      <c r="I191" t="s">
        <v>3736</v>
      </c>
      <c r="J191">
        <f>VLOOKUP(F191,[1]!china_towns_second__2[[Column1]:[Y]],3,FALSE)</f>
        <v>35.518538205764102</v>
      </c>
      <c r="K191">
        <f>VLOOKUP(F191,[1]!china_towns_second__2[[Column1]:[Y]],2,FALSE)</f>
        <v>119.2530806</v>
      </c>
      <c r="L191" t="s">
        <v>5029</v>
      </c>
      <c r="M191" t="str">
        <f>VLOOKUP(H191,CHOOSE({1,2},Table17[Native],Table17[Name]),2,0)</f>
        <v>Dōnggăng Qū</v>
      </c>
      <c r="N191" s="15" t="str">
        <f>VLOOKUP(I191,CHOOSE({1,2},Table17[Native],Table17[Name]),2,0)</f>
        <v>Rìzhào Shì</v>
      </c>
      <c r="O191" s="15" t="str">
        <f t="shared" si="4"/>
        <v>Chentuan Zhen (Rìzhào Shì)</v>
      </c>
      <c r="P191" s="15" t="str">
        <f t="shared" si="5"/>
        <v>Chentuan Zhen (Rìzhào Shì)</v>
      </c>
    </row>
    <row r="192" spans="1:16" hidden="1" x14ac:dyDescent="0.25">
      <c r="A192" t="s">
        <v>642</v>
      </c>
      <c r="B192" t="str">
        <f>IF(COUNTIF(A:A,A192)&gt;1,_xlfn.CONCAT(A192," (",N192,")"),A192)</f>
        <v>Chénwáng Jiēdào</v>
      </c>
      <c r="C192" t="str">
        <f>IF(COUNTIF(B:B,B192)&gt;1,_xlfn.CONCAT(A192," (",M192,")"),B192)</f>
        <v>Chénwáng Jiēdào</v>
      </c>
      <c r="D192" t="s">
        <v>643</v>
      </c>
      <c r="E192" t="s">
        <v>7</v>
      </c>
      <c r="F192" t="str">
        <f>_xlfn.CONCAT(D192,", ",H192,", ",I192,", ","山东省")</f>
        <v>陈王街道, 鄄城县, 菏泽市, 山东省</v>
      </c>
      <c r="G192">
        <v>29736</v>
      </c>
      <c r="H192" t="s">
        <v>3667</v>
      </c>
      <c r="I192" t="s">
        <v>3662</v>
      </c>
      <c r="J192">
        <f>VLOOKUP(F192,[1]!china_towns_second__2[[Column1]:[Y]],3,FALSE)</f>
        <v>35.551601586333398</v>
      </c>
      <c r="K192">
        <f>VLOOKUP(F192,[1]!china_towns_second__2[[Column1]:[Y]],2,FALSE)</f>
        <v>115.5447133</v>
      </c>
      <c r="L192" t="s">
        <v>5030</v>
      </c>
      <c r="M192" t="str">
        <f>VLOOKUP(H192,CHOOSE({1,2},Table17[Native],Table17[Name]),2,0)</f>
        <v>Juànchéng Xiàn</v>
      </c>
      <c r="N192" s="15" t="str">
        <f>VLOOKUP(I192,CHOOSE({1,2},Table17[Native],Table17[Name]),2,0)</f>
        <v>Hézé Shì</v>
      </c>
      <c r="O192" s="15" t="str">
        <f t="shared" si="4"/>
        <v>Chenwang Jiedao (Hézé Shì)</v>
      </c>
      <c r="P192" s="15" t="str">
        <f t="shared" si="5"/>
        <v>Chenwang Jiedao (Hézé Shì)</v>
      </c>
    </row>
    <row r="193" spans="1:16" hidden="1" x14ac:dyDescent="0.25">
      <c r="A193" t="s">
        <v>475</v>
      </c>
      <c r="B193" t="str">
        <f>IF(COUNTIF(A:A,A193)&gt;1,_xlfn.CONCAT(A193," (",N193,")"),A193)</f>
        <v>Chénzhuāng Zhèn</v>
      </c>
      <c r="C193" t="str">
        <f>IF(COUNTIF(B:B,B193)&gt;1,_xlfn.CONCAT(A193," (",M193,")"),B193)</f>
        <v>Chénzhuāng Zhèn</v>
      </c>
      <c r="D193" t="s">
        <v>476</v>
      </c>
      <c r="E193" t="s">
        <v>13</v>
      </c>
      <c r="F193" t="str">
        <f>_xlfn.CONCAT(D193,", ",H193,", ",I193,", ","山东省")</f>
        <v>陈庄镇, 利津县, 东营市, 山东省</v>
      </c>
      <c r="G193">
        <v>50396</v>
      </c>
      <c r="H193" t="s">
        <v>3660</v>
      </c>
      <c r="I193" t="s">
        <v>3655</v>
      </c>
      <c r="J193">
        <f>VLOOKUP(F193,[1]!china_towns_second__2[[Column1]:[Y]],3,FALSE)</f>
        <v>37.686895525674899</v>
      </c>
      <c r="K193">
        <f>VLOOKUP(F193,[1]!china_towns_second__2[[Column1]:[Y]],2,FALSE)</f>
        <v>118.5603018</v>
      </c>
      <c r="L193" t="s">
        <v>5031</v>
      </c>
      <c r="M193" t="str">
        <f>VLOOKUP(H193,CHOOSE({1,2},Table17[Native],Table17[Name]),2,0)</f>
        <v>Lìjīn Xiàn</v>
      </c>
      <c r="N193" s="15" t="str">
        <f>VLOOKUP(I193,CHOOSE({1,2},Table17[Native],Table17[Name]),2,0)</f>
        <v>Dōngyíng Shì</v>
      </c>
      <c r="O193" s="15" t="str">
        <f t="shared" si="4"/>
        <v>Chenzhuang Zhen (Dōngyíng Shì)</v>
      </c>
      <c r="P193" s="15" t="str">
        <f t="shared" si="5"/>
        <v>Chenzhuang Zhen (Dōngyíng Shì)</v>
      </c>
    </row>
    <row r="194" spans="1:16" x14ac:dyDescent="0.25">
      <c r="A194" t="s">
        <v>32</v>
      </c>
      <c r="B194" t="str">
        <f>IF(COUNTIF(A:A,A194)&gt;1,_xlfn.CONCAT(A194," (",N194,")"),A194)</f>
        <v>Chēwáng Zhèn</v>
      </c>
      <c r="C194" t="str">
        <f>IF(COUNTIF(B:B,B194)&gt;1,_xlfn.CONCAT(A194," (",M194,")"),B194)</f>
        <v>Chēwáng Zhèn</v>
      </c>
      <c r="D194" t="s">
        <v>33</v>
      </c>
      <c r="E194" t="s">
        <v>13</v>
      </c>
      <c r="F194" t="str">
        <f>_xlfn.CONCAT(D194,", ",H194,", ",I194,", ","山东省")</f>
        <v>车王镇, 无棣县, 滨州市, 山东省</v>
      </c>
      <c r="G194">
        <v>43878</v>
      </c>
      <c r="H194" t="s">
        <v>3636</v>
      </c>
      <c r="I194" t="s">
        <v>3630</v>
      </c>
      <c r="J194">
        <f>VLOOKUP(F194,[1]!china_towns_second__2[[Column1]:[Y]],3,FALSE)</f>
        <v>37.911980440131302</v>
      </c>
      <c r="K194">
        <f>VLOOKUP(F194,[1]!china_towns_second__2[[Column1]:[Y]],2,FALSE)</f>
        <v>117.62378200000001</v>
      </c>
      <c r="L194" t="s">
        <v>5032</v>
      </c>
      <c r="M194" t="str">
        <f>VLOOKUP(H194,CHOOSE({1,2},Table17[Native],Table17[Name]),2,0)</f>
        <v>Wúdì Xiàn</v>
      </c>
      <c r="N194" s="15" t="str">
        <f>VLOOKUP(I194,CHOOSE({1,2},Table17[Native],Table17[Name]),2,0)</f>
        <v>Bīnzhōu Shì</v>
      </c>
      <c r="O194" s="15" t="str">
        <f t="shared" ref="O194:O257" si="6">_xlfn.CONCAT(L194," (",N194,")")</f>
        <v>Chewang Zhen (Bīnzhōu Shì)</v>
      </c>
      <c r="P194" s="15" t="str">
        <f t="shared" ref="P194:P257" si="7">IF(COUNTIF(O:O,O194)&gt;1,_xlfn.CONCAT(L194," (",M194,")"),O194)</f>
        <v>Chewang Zhen (Bīnzhōu Shì)</v>
      </c>
    </row>
    <row r="195" spans="1:16" x14ac:dyDescent="0.25">
      <c r="A195" t="s">
        <v>1833</v>
      </c>
      <c r="B195" t="str">
        <f>IF(COUNTIF(A:A,A195)&gt;1,_xlfn.CONCAT(A195," (",N195,")"),A195)</f>
        <v>Chēwăng Zhèn</v>
      </c>
      <c r="C195" t="str">
        <f>IF(COUNTIF(B:B,B195)&gt;1,_xlfn.CONCAT(A195," (",M195,")"),B195)</f>
        <v>Chēwăng Zhèn</v>
      </c>
      <c r="D195" t="s">
        <v>1834</v>
      </c>
      <c r="E195" t="s">
        <v>13</v>
      </c>
      <c r="F195" t="str">
        <f>_xlfn.CONCAT(D195,", ",H195,", ",I195,", ","山东省")</f>
        <v>车辋镇, 兰陵县, 临沂市, 山东省</v>
      </c>
      <c r="G195">
        <v>49975</v>
      </c>
      <c r="H195" t="s">
        <v>3714</v>
      </c>
      <c r="I195" t="s">
        <v>3710</v>
      </c>
      <c r="J195">
        <f>VLOOKUP(F195,[1]!china_towns_second__2[[Column1]:[Y]],3,FALSE)</f>
        <v>34.980083859854297</v>
      </c>
      <c r="K195">
        <f>VLOOKUP(F195,[1]!china_towns_second__2[[Column1]:[Y]],2,FALSE)</f>
        <v>117.8945392</v>
      </c>
      <c r="L195" t="s">
        <v>5032</v>
      </c>
      <c r="M195" t="str">
        <f>VLOOKUP(H195,CHOOSE({1,2},Table17[Native],Table17[Name]),2,0)</f>
        <v>Lánlíng Xiàn</v>
      </c>
      <c r="N195" s="15" t="str">
        <f>VLOOKUP(I195,CHOOSE({1,2},Table17[Native],Table17[Name]),2,0)</f>
        <v>Línyí Shì</v>
      </c>
      <c r="O195" s="15" t="str">
        <f t="shared" si="6"/>
        <v>Chewang Zhen (Línyí Shì)</v>
      </c>
      <c r="P195" s="15" t="str">
        <f t="shared" si="7"/>
        <v>Chewang Zhen (Línyí Shì)</v>
      </c>
    </row>
    <row r="196" spans="1:16" hidden="1" x14ac:dyDescent="0.25">
      <c r="A196" t="s">
        <v>3476</v>
      </c>
      <c r="B196" t="str">
        <f>IF(COUNTIF(A:A,A196)&gt;1,_xlfn.CONCAT(A196," (",N196,")"),A196)</f>
        <v>Chēzhàn Jiēdào</v>
      </c>
      <c r="C196" t="str">
        <f>IF(COUNTIF(B:B,B196)&gt;1,_xlfn.CONCAT(A196," (",M196,")"),B196)</f>
        <v>Chēzhàn Jiēdào</v>
      </c>
      <c r="D196" t="s">
        <v>3477</v>
      </c>
      <c r="E196" t="s">
        <v>7</v>
      </c>
      <c r="F196" t="str">
        <f>_xlfn.CONCAT(D196,", ",H196,", ",I196,", ","山东省")</f>
        <v>车站街道, 张店区, 淄博市, 山东省</v>
      </c>
      <c r="G196">
        <v>53320</v>
      </c>
      <c r="H196" t="s">
        <v>3797</v>
      </c>
      <c r="I196" t="s">
        <v>3791</v>
      </c>
      <c r="J196">
        <f>VLOOKUP(F196,[1]!china_towns_second__2[[Column1]:[Y]],3,FALSE)</f>
        <v>36.788390717027099</v>
      </c>
      <c r="K196">
        <f>VLOOKUP(F196,[1]!china_towns_second__2[[Column1]:[Y]],2,FALSE)</f>
        <v>118.0369948</v>
      </c>
      <c r="L196" t="s">
        <v>5033</v>
      </c>
      <c r="M196" t="str">
        <f>VLOOKUP(H196,CHOOSE({1,2},Table17[Native],Table17[Name]),2,0)</f>
        <v>Zhāngdiàn Qū</v>
      </c>
      <c r="N196" s="15" t="str">
        <f>VLOOKUP(I196,CHOOSE({1,2},Table17[Native],Table17[Name]),2,0)</f>
        <v>Zībó Shì</v>
      </c>
      <c r="O196" s="15" t="str">
        <f t="shared" si="6"/>
        <v>Chezhan Jiedao (Zībó Shì)</v>
      </c>
      <c r="P196" s="15" t="str">
        <f t="shared" si="7"/>
        <v>Chezhan Jiedao (Zībó Shì)</v>
      </c>
    </row>
    <row r="197" spans="1:16" hidden="1" x14ac:dyDescent="0.25">
      <c r="A197" t="s">
        <v>2914</v>
      </c>
      <c r="B197" t="str">
        <f>IF(COUNTIF(A:A,A197)&gt;1,_xlfn.CONCAT(A197," (",N197,")"),A197)</f>
        <v>Chìshān Jiēdào</v>
      </c>
      <c r="C197" t="str">
        <f>IF(COUNTIF(B:B,B197)&gt;1,_xlfn.CONCAT(A197," (",M197,")"),B197)</f>
        <v>Chìshān Jiēdào</v>
      </c>
      <c r="D197" t="s">
        <v>2915</v>
      </c>
      <c r="E197" t="s">
        <v>7</v>
      </c>
      <c r="F197" t="str">
        <f>_xlfn.CONCAT(D197,", ",H197,", ",I197,", ","山东省")</f>
        <v>斥山街道, 荣成市, 威海市, 山东省</v>
      </c>
      <c r="G197">
        <v>36976</v>
      </c>
      <c r="H197" t="s">
        <v>3767</v>
      </c>
      <c r="I197" t="s">
        <v>3765</v>
      </c>
      <c r="J197">
        <f>VLOOKUP(F197,[1]!china_towns_second__2[[Column1]:[Y]],3,FALSE)</f>
        <v>36.930290560432397</v>
      </c>
      <c r="K197">
        <f>VLOOKUP(F197,[1]!china_towns_second__2[[Column1]:[Y]],2,FALSE)</f>
        <v>122.3737131</v>
      </c>
      <c r="L197" t="s">
        <v>5034</v>
      </c>
      <c r="M197" t="str">
        <f>VLOOKUP(H197,CHOOSE({1,2},Table17[Native],Table17[Name]),2,0)</f>
        <v>Róngchéng Shì</v>
      </c>
      <c r="N197" s="15" t="str">
        <f>VLOOKUP(I197,CHOOSE({1,2},Table17[Native],Table17[Name]),2,0)</f>
        <v>Wēihăi Shì</v>
      </c>
      <c r="O197" s="15" t="str">
        <f t="shared" si="6"/>
        <v>Chishan Jiedao (Wēihăi Shì)</v>
      </c>
      <c r="P197" s="15" t="str">
        <f t="shared" si="7"/>
        <v>Chishan Jiedao (Wēihăi Shì)</v>
      </c>
    </row>
    <row r="198" spans="1:16" hidden="1" x14ac:dyDescent="0.25">
      <c r="A198" t="s">
        <v>3479</v>
      </c>
      <c r="B198" t="str">
        <f>IF(COUNTIF(A:A,A198)&gt;1,_xlfn.CONCAT(A198," (",N198,")"),A198)</f>
        <v>Chíshàng Zhèn</v>
      </c>
      <c r="C198" t="str">
        <f>IF(COUNTIF(B:B,B198)&gt;1,_xlfn.CONCAT(A198," (",M198,")"),B198)</f>
        <v>Chíshàng Zhèn</v>
      </c>
      <c r="D198" t="s">
        <v>3480</v>
      </c>
      <c r="E198" t="s">
        <v>13</v>
      </c>
      <c r="F198" t="str">
        <f>_xlfn.CONCAT(D198,", ",H198,", ",I198,", ","山东省")</f>
        <v>池上镇, 博山区, 淄博市, 山东省</v>
      </c>
      <c r="G198">
        <v>17561</v>
      </c>
      <c r="H198" t="s">
        <v>3792</v>
      </c>
      <c r="I198" t="s">
        <v>3791</v>
      </c>
      <c r="J198">
        <f>VLOOKUP(F198,[1]!china_towns_second__2[[Column1]:[Y]],3,FALSE)</f>
        <v>36.344396187408996</v>
      </c>
      <c r="K198">
        <f>VLOOKUP(F198,[1]!china_towns_second__2[[Column1]:[Y]],2,FALSE)</f>
        <v>118.1131764</v>
      </c>
      <c r="L198" t="s">
        <v>5035</v>
      </c>
      <c r="M198" t="str">
        <f>VLOOKUP(H198,CHOOSE({1,2},Table17[Native],Table17[Name]),2,0)</f>
        <v>Bóshān Qū</v>
      </c>
      <c r="N198" s="15" t="str">
        <f>VLOOKUP(I198,CHOOSE({1,2},Table17[Native],Table17[Name]),2,0)</f>
        <v>Zībó Shì</v>
      </c>
      <c r="O198" s="15" t="str">
        <f t="shared" si="6"/>
        <v>Chishang Zhen (Zībó Shì)</v>
      </c>
      <c r="P198" s="15" t="str">
        <f t="shared" si="7"/>
        <v>Chishang Zhen (Zībó Shì)</v>
      </c>
    </row>
    <row r="199" spans="1:16" hidden="1" x14ac:dyDescent="0.25">
      <c r="A199" t="s">
        <v>1835</v>
      </c>
      <c r="B199" t="str">
        <f>IF(COUNTIF(A:A,A199)&gt;1,_xlfn.CONCAT(A199," (",N199,")"),A199)</f>
        <v>Chóngfāng Zhèn [incl. Xīncūn Xiāng]</v>
      </c>
      <c r="C199" t="str">
        <f>IF(COUNTIF(B:B,B199)&gt;1,_xlfn.CONCAT(A199," (",M199,")"),B199)</f>
        <v>Chóngfāng Zhèn [incl. Xīncūn Xiāng]</v>
      </c>
      <c r="D199" t="s">
        <v>1836</v>
      </c>
      <c r="E199" t="s">
        <v>13</v>
      </c>
      <c r="F199" t="str">
        <f>_xlfn.CONCAT(D199,", ",H199,", ",I199,", ","山东省")</f>
        <v>重坊镇, 郯城县, 临沂市, 山东省</v>
      </c>
      <c r="G199">
        <v>75205</v>
      </c>
      <c r="H199" t="s">
        <v>3720</v>
      </c>
      <c r="I199" t="s">
        <v>3710</v>
      </c>
      <c r="J199">
        <f>VLOOKUP(F199,[1]!china_towns_second__2[[Column1]:[Y]],3,FALSE)</f>
        <v>34.598193858331499</v>
      </c>
      <c r="K199">
        <f>VLOOKUP(F199,[1]!china_towns_second__2[[Column1]:[Y]],2,FALSE)</f>
        <v>118.142454</v>
      </c>
      <c r="L199" t="s">
        <v>5036</v>
      </c>
      <c r="M199" t="str">
        <f>VLOOKUP(H199,CHOOSE({1,2},Table17[Native],Table17[Name]),2,0)</f>
        <v>Tánchéng Xiàn</v>
      </c>
      <c r="N199" s="15" t="str">
        <f>VLOOKUP(I199,CHOOSE({1,2},Table17[Native],Table17[Name]),2,0)</f>
        <v>Línyí Shì</v>
      </c>
      <c r="O199" s="15" t="str">
        <f t="shared" si="6"/>
        <v>Chongfang Zhen [incl. Xincun Xiang] (Línyí Shì)</v>
      </c>
      <c r="P199" s="15" t="str">
        <f t="shared" si="7"/>
        <v>Chongfang Zhen [incl. Xincun Xiang] (Línyí Shì)</v>
      </c>
    </row>
    <row r="200" spans="1:16" hidden="1" x14ac:dyDescent="0.25">
      <c r="A200" t="s">
        <v>1556</v>
      </c>
      <c r="B200" t="str">
        <f>IF(COUNTIF(A:A,A200)&gt;1,_xlfn.CONCAT(A200," (",N200,")"),A200)</f>
        <v>Chóngwén Jiēdào</v>
      </c>
      <c r="C200" t="str">
        <f>IF(COUNTIF(B:B,B200)&gt;1,_xlfn.CONCAT(A200," (",M200,")"),B200)</f>
        <v>Chóngwén Jiēdào</v>
      </c>
      <c r="D200" t="s">
        <v>1557</v>
      </c>
      <c r="E200" t="s">
        <v>7</v>
      </c>
      <c r="F200" t="str">
        <f>_xlfn.CONCAT(D200,", ",H200,", ",I200,", ","山东省")</f>
        <v>崇文街道, 冠县, 聊城市, 山东省</v>
      </c>
      <c r="G200">
        <v>53274</v>
      </c>
      <c r="H200" t="s">
        <v>3705</v>
      </c>
      <c r="I200" t="s">
        <v>3700</v>
      </c>
      <c r="J200">
        <f>VLOOKUP(F200,[1]!china_towns_second__2[[Column1]:[Y]],3,FALSE)</f>
        <v>36.506705492778202</v>
      </c>
      <c r="K200">
        <f>VLOOKUP(F200,[1]!china_towns_second__2[[Column1]:[Y]],2,FALSE)</f>
        <v>115.4151718</v>
      </c>
      <c r="L200" t="s">
        <v>5037</v>
      </c>
      <c r="M200" t="str">
        <f>VLOOKUP(H200,CHOOSE({1,2},Table17[Native],Table17[Name]),2,0)</f>
        <v>Guān Xiàn</v>
      </c>
      <c r="N200" s="15" t="str">
        <f>VLOOKUP(I200,CHOOSE({1,2},Table17[Native],Table17[Name]),2,0)</f>
        <v>Liáochéng Shì</v>
      </c>
      <c r="O200" s="15" t="str">
        <f t="shared" si="6"/>
        <v>Chongwen Jiedao (Liáochéng Shì)</v>
      </c>
      <c r="P200" s="15" t="str">
        <f t="shared" si="7"/>
        <v>Chongwen Jiedao (Liáochéng Shì)</v>
      </c>
    </row>
    <row r="201" spans="1:16" hidden="1" x14ac:dyDescent="0.25">
      <c r="A201" t="s">
        <v>2916</v>
      </c>
      <c r="B201" t="str">
        <f>IF(COUNTIF(A:A,A201)&gt;1,_xlfn.CONCAT(A201," (",N201,")"),A201)</f>
        <v>Chūcūn Zhèn</v>
      </c>
      <c r="C201" t="str">
        <f>IF(COUNTIF(B:B,B201)&gt;1,_xlfn.CONCAT(A201," (",M201,")"),B201)</f>
        <v>Chūcūn Zhèn</v>
      </c>
      <c r="D201" t="s">
        <v>2917</v>
      </c>
      <c r="E201" t="s">
        <v>13</v>
      </c>
      <c r="F201" t="str">
        <f>_xlfn.CONCAT(D201,", ",H201,", ",I201,", ","山东省")</f>
        <v>初村镇, 环翠区, 威海市, 山东省</v>
      </c>
      <c r="G201">
        <v>34388</v>
      </c>
      <c r="H201" t="s">
        <v>3766</v>
      </c>
      <c r="I201" t="s">
        <v>3765</v>
      </c>
      <c r="J201">
        <f>VLOOKUP(F201,[1]!china_towns_second__2[[Column1]:[Y]],3,FALSE)</f>
        <v>37.398901427649299</v>
      </c>
      <c r="K201">
        <f>VLOOKUP(F201,[1]!china_towns_second__2[[Column1]:[Y]],2,FALSE)</f>
        <v>121.9268357</v>
      </c>
      <c r="L201" t="s">
        <v>5038</v>
      </c>
      <c r="M201" t="str">
        <f>VLOOKUP(H201,CHOOSE({1,2},Table17[Native],Table17[Name]),2,0)</f>
        <v>Huáncuì Qū</v>
      </c>
      <c r="N201" s="15" t="str">
        <f>VLOOKUP(I201,CHOOSE({1,2},Table17[Native],Table17[Name]),2,0)</f>
        <v>Wēihăi Shì</v>
      </c>
      <c r="O201" s="15" t="str">
        <f t="shared" si="6"/>
        <v>Chucun Zhen (Wēihăi Shì)</v>
      </c>
      <c r="P201" s="15" t="str">
        <f t="shared" si="7"/>
        <v>Chucun Zhen (Wēihăi Shì)</v>
      </c>
    </row>
    <row r="202" spans="1:16" hidden="1" x14ac:dyDescent="0.25">
      <c r="A202" t="s">
        <v>1838</v>
      </c>
      <c r="B202" t="str">
        <f>IF(COUNTIF(A:A,A202)&gt;1,_xlfn.CONCAT(A202," (",N202,")"),A202)</f>
        <v>Chŭdūn Zhèn</v>
      </c>
      <c r="C202" t="str">
        <f>IF(COUNTIF(B:B,B202)&gt;1,_xlfn.CONCAT(A202," (",M202,")"),B202)</f>
        <v>Chŭdūn Zhèn</v>
      </c>
      <c r="D202" t="s">
        <v>1839</v>
      </c>
      <c r="E202" t="s">
        <v>13</v>
      </c>
      <c r="F202" t="str">
        <f>_xlfn.CONCAT(D202,", ",H202,", ",I202,", ","山东省")</f>
        <v>褚墩镇, 罗庄区, 临沂市, 山东省</v>
      </c>
      <c r="G202">
        <v>52775</v>
      </c>
      <c r="H202" t="s">
        <v>3717</v>
      </c>
      <c r="I202" t="s">
        <v>3710</v>
      </c>
      <c r="J202">
        <f>VLOOKUP(F202,[1]!china_towns_second__2[[Column1]:[Y]],3,FALSE)</f>
        <v>34.811065882278299</v>
      </c>
      <c r="K202">
        <f>VLOOKUP(F202,[1]!china_towns_second__2[[Column1]:[Y]],2,FALSE)</f>
        <v>118.22648239999999</v>
      </c>
      <c r="L202" t="s">
        <v>5039</v>
      </c>
      <c r="M202" t="str">
        <f>VLOOKUP(H202,CHOOSE({1,2},Table17[Native],Table17[Name]),2,0)</f>
        <v>Luózhuāng Qū</v>
      </c>
      <c r="N202" s="15" t="str">
        <f>VLOOKUP(I202,CHOOSE({1,2},Table17[Native],Table17[Name]),2,0)</f>
        <v>Línyí Shì</v>
      </c>
      <c r="O202" s="15" t="str">
        <f t="shared" si="6"/>
        <v>Chudun Zhen (Línyí Shì)</v>
      </c>
      <c r="P202" s="15" t="str">
        <f t="shared" si="7"/>
        <v>Chudun Zhen (Línyí Shì)</v>
      </c>
    </row>
    <row r="203" spans="1:16" hidden="1" x14ac:dyDescent="0.25">
      <c r="A203" t="s">
        <v>3072</v>
      </c>
      <c r="B203" t="str">
        <f>IF(COUNTIF(A:A,A203)&gt;1,_xlfn.CONCAT(A203," (",N203,")"),A203)</f>
        <v>Chūjiā Jiēdào</v>
      </c>
      <c r="C203" t="str">
        <f>IF(COUNTIF(B:B,B203)&gt;1,_xlfn.CONCAT(A203," (",M203,")"),B203)</f>
        <v>Chūjiā Jiēdào</v>
      </c>
      <c r="D203" t="s">
        <v>3073</v>
      </c>
      <c r="E203" t="s">
        <v>7</v>
      </c>
      <c r="F203" t="str">
        <f>_xlfn.CONCAT(D203,", ",H203,", ",I203,", ","山东省")</f>
        <v>初家街道, 莱山区, 烟台市, 山东省</v>
      </c>
      <c r="G203">
        <v>61867</v>
      </c>
      <c r="H203" t="s">
        <v>3774</v>
      </c>
      <c r="I203" t="s">
        <v>3771</v>
      </c>
      <c r="J203">
        <f>VLOOKUP(F203,[1]!china_towns_second__2[[Column1]:[Y]],3,FALSE)</f>
        <v>37.452156771032001</v>
      </c>
      <c r="K203">
        <f>VLOOKUP(F203,[1]!china_towns_second__2[[Column1]:[Y]],2,FALSE)</f>
        <v>121.4092763</v>
      </c>
      <c r="L203" t="s">
        <v>5040</v>
      </c>
      <c r="M203" t="str">
        <f>VLOOKUP(H203,CHOOSE({1,2},Table17[Native],Table17[Name]),2,0)</f>
        <v>Láishān Qū</v>
      </c>
      <c r="N203" s="15" t="str">
        <f>VLOOKUP(I203,CHOOSE({1,2},Table17[Native],Table17[Name]),2,0)</f>
        <v>Yāntái Shì</v>
      </c>
      <c r="O203" s="15" t="str">
        <f t="shared" si="6"/>
        <v>Chujia Jiedao (Yāntái Shì)</v>
      </c>
      <c r="P203" s="15" t="str">
        <f t="shared" si="7"/>
        <v>Chujia Jiedao (Yāntái Shì)</v>
      </c>
    </row>
    <row r="204" spans="1:16" hidden="1" x14ac:dyDescent="0.25">
      <c r="A204" t="s">
        <v>34</v>
      </c>
      <c r="B204" t="str">
        <f>IF(COUNTIF(A:A,A204)&gt;1,_xlfn.CONCAT(A204," (",N204,")"),A204)</f>
        <v>Chúnhuà Zhèn</v>
      </c>
      <c r="C204" t="str">
        <f>IF(COUNTIF(B:B,B204)&gt;1,_xlfn.CONCAT(A204," (",M204,")"),B204)</f>
        <v>Chúnhuà Zhèn</v>
      </c>
      <c r="D204" t="s">
        <v>35</v>
      </c>
      <c r="E204" t="s">
        <v>13</v>
      </c>
      <c r="F204" t="str">
        <f>_xlfn.CONCAT(D204,", ",H204,", ",I204,", ","山东省")</f>
        <v>纯化镇, 博兴县, 滨州市, 山东省</v>
      </c>
      <c r="G204">
        <v>23072</v>
      </c>
      <c r="H204" t="s">
        <v>3634</v>
      </c>
      <c r="I204" t="s">
        <v>3630</v>
      </c>
      <c r="J204">
        <f>VLOOKUP(F204,[1]!china_towns_second__2[[Column1]:[Y]],3,FALSE)</f>
        <v>37.272186591308198</v>
      </c>
      <c r="K204">
        <f>VLOOKUP(F204,[1]!china_towns_second__2[[Column1]:[Y]],2,FALSE)</f>
        <v>118.29786420000001</v>
      </c>
      <c r="L204" t="s">
        <v>5041</v>
      </c>
      <c r="M204" t="str">
        <f>VLOOKUP(H204,CHOOSE({1,2},Table17[Native],Table17[Name]),2,0)</f>
        <v>Bóxīng Xiàn</v>
      </c>
      <c r="N204" s="15" t="str">
        <f>VLOOKUP(I204,CHOOSE({1,2},Table17[Native],Table17[Name]),2,0)</f>
        <v>Bīnzhōu Shì</v>
      </c>
      <c r="O204" s="15" t="str">
        <f t="shared" si="6"/>
        <v>Chunhua Zhen (Bīnzhōu Shì)</v>
      </c>
      <c r="P204" s="15" t="str">
        <f t="shared" si="7"/>
        <v>Chunhua Zhen (Bīnzhōu Shì)</v>
      </c>
    </row>
    <row r="205" spans="1:16" hidden="1" x14ac:dyDescent="0.25">
      <c r="A205" t="s">
        <v>1250</v>
      </c>
      <c r="B205" t="str">
        <f>IF(COUNTIF(A:A,A205)&gt;1,_xlfn.CONCAT(A205," (",N205,")"),A205)</f>
        <v>Cìqiū Zhèn</v>
      </c>
      <c r="C205" t="str">
        <f>IF(COUNTIF(B:B,B205)&gt;1,_xlfn.CONCAT(A205," (",M205,")"),B205)</f>
        <v>Cìqiū Zhèn</v>
      </c>
      <c r="D205" t="s">
        <v>1251</v>
      </c>
      <c r="E205" t="s">
        <v>13</v>
      </c>
      <c r="F205" t="str">
        <f>_xlfn.CONCAT(D205,", ",H205,", ",I205,", ","山东省")</f>
        <v>次丘镇, 汶上县, 济宁市, 山东省</v>
      </c>
      <c r="G205">
        <v>70562</v>
      </c>
      <c r="H205" t="s">
        <v>3695</v>
      </c>
      <c r="I205" t="s">
        <v>3687</v>
      </c>
      <c r="J205">
        <f>VLOOKUP(F205,[1]!china_towns_second__2[[Column1]:[Y]],3,FALSE)</f>
        <v>35.670389996843603</v>
      </c>
      <c r="K205">
        <f>VLOOKUP(F205,[1]!china_towns_second__2[[Column1]:[Y]],2,FALSE)</f>
        <v>116.3990902</v>
      </c>
      <c r="L205" t="s">
        <v>5042</v>
      </c>
      <c r="M205" t="str">
        <f>VLOOKUP(H205,CHOOSE({1,2},Table17[Native],Table17[Name]),2,0)</f>
        <v>Wènshàng Xiàn</v>
      </c>
      <c r="N205" s="15" t="str">
        <f>VLOOKUP(I205,CHOOSE({1,2},Table17[Native],Table17[Name]),2,0)</f>
        <v>Jìníng Shì</v>
      </c>
      <c r="O205" s="15" t="str">
        <f t="shared" si="6"/>
        <v>Ciqiu Zhen (Jìníng Shì)</v>
      </c>
      <c r="P205" s="15" t="str">
        <f t="shared" si="7"/>
        <v>Ciqiu Zhen (Jìníng Shì)</v>
      </c>
    </row>
    <row r="206" spans="1:16" hidden="1" x14ac:dyDescent="0.25">
      <c r="A206" t="s">
        <v>2516</v>
      </c>
      <c r="B206" t="str">
        <f>IF(COUNTIF(A:A,A206)&gt;1,_xlfn.CONCAT(A206," (",N206,")"),A206)</f>
        <v>Cíyáo Zhèn</v>
      </c>
      <c r="C206" t="str">
        <f>IF(COUNTIF(B:B,B206)&gt;1,_xlfn.CONCAT(A206," (",M206,")"),B206)</f>
        <v>Cíyáo Zhèn</v>
      </c>
      <c r="D206" t="s">
        <v>2517</v>
      </c>
      <c r="E206" t="s">
        <v>13</v>
      </c>
      <c r="F206" t="str">
        <f>_xlfn.CONCAT(D206,", ",H206,", ",I206,", ","山东省")</f>
        <v>磁窑镇, 宁阳县, 泰安市, 山东省</v>
      </c>
      <c r="G206">
        <v>84922</v>
      </c>
      <c r="H206" t="s">
        <v>3747</v>
      </c>
      <c r="I206" t="s">
        <v>3743</v>
      </c>
      <c r="J206">
        <f>VLOOKUP(F206,[1]!china_towns_second__2[[Column1]:[Y]],3,FALSE)</f>
        <v>35.874035135717897</v>
      </c>
      <c r="K206">
        <f>VLOOKUP(F206,[1]!china_towns_second__2[[Column1]:[Y]],2,FALSE)</f>
        <v>117.0583103</v>
      </c>
      <c r="L206" t="s">
        <v>5043</v>
      </c>
      <c r="M206" t="str">
        <f>VLOOKUP(H206,CHOOSE({1,2},Table17[Native],Table17[Name]),2,0)</f>
        <v>Níngyáng Xiàn</v>
      </c>
      <c r="N206" s="15" t="str">
        <f>VLOOKUP(I206,CHOOSE({1,2},Table17[Native],Table17[Name]),2,0)</f>
        <v>Tài'ān Shì</v>
      </c>
      <c r="O206" s="15" t="str">
        <f t="shared" si="6"/>
        <v>Ciyao Zhen (Tài'ān Shì)</v>
      </c>
      <c r="P206" s="15" t="str">
        <f t="shared" si="7"/>
        <v>Ciyao Zhen (Tài'ān Shì)</v>
      </c>
    </row>
    <row r="207" spans="1:16" hidden="1" x14ac:dyDescent="0.25">
      <c r="A207" t="s">
        <v>2143</v>
      </c>
      <c r="B207" t="str">
        <f>IF(COUNTIF(A:A,A207)&gt;1,_xlfn.CONCAT(A207," (",N207,")"),A207)</f>
        <v>Cuījiājí Zhèn</v>
      </c>
      <c r="C207" t="str">
        <f>IF(COUNTIF(B:B,B207)&gt;1,_xlfn.CONCAT(A207," (",M207,")"),B207)</f>
        <v>Cuījiājí Zhèn</v>
      </c>
      <c r="D207" t="s">
        <v>2144</v>
      </c>
      <c r="E207" t="s">
        <v>13</v>
      </c>
      <c r="F207" t="str">
        <f>_xlfn.CONCAT(D207,", ",H207,", ",I207,", ","山东省")</f>
        <v>崔家集镇, 平度市, 青岛市, 山东省</v>
      </c>
      <c r="G207">
        <v>47651</v>
      </c>
      <c r="H207" t="s">
        <v>3732</v>
      </c>
      <c r="I207" t="s">
        <v>3724</v>
      </c>
      <c r="J207">
        <f>VLOOKUP(F207,[1]!china_towns_second__2[[Column1]:[Y]],3,FALSE)</f>
        <v>36.632230159968699</v>
      </c>
      <c r="K207">
        <f>VLOOKUP(F207,[1]!china_towns_second__2[[Column1]:[Y]],2,FALSE)</f>
        <v>119.7560584</v>
      </c>
      <c r="L207" t="s">
        <v>5044</v>
      </c>
      <c r="M207" t="str">
        <f>VLOOKUP(H207,CHOOSE({1,2},Table17[Native],Table17[Name]),2,0)</f>
        <v>Píngdù Shì</v>
      </c>
      <c r="N207" s="15" t="str">
        <f>VLOOKUP(I207,CHOOSE({1,2},Table17[Native],Table17[Name]),2,0)</f>
        <v>Qīngdăo Shì</v>
      </c>
      <c r="O207" s="15" t="str">
        <f t="shared" si="6"/>
        <v>Cuijiaji Zhen (Qīngdăo Shì)</v>
      </c>
      <c r="P207" s="15" t="str">
        <f t="shared" si="7"/>
        <v>Cuijiaji Zhen (Qīngdăo Shì)</v>
      </c>
    </row>
    <row r="208" spans="1:16" hidden="1" x14ac:dyDescent="0.25">
      <c r="A208" t="s">
        <v>1840</v>
      </c>
      <c r="B208" t="str">
        <f>IF(COUNTIF(A:A,A208)&gt;1,_xlfn.CONCAT(A208," (",N208,")"),A208)</f>
        <v>Cuījiāyù Zhèn</v>
      </c>
      <c r="C208" t="str">
        <f>IF(COUNTIF(B:B,B208)&gt;1,_xlfn.CONCAT(A208," (",M208,")"),B208)</f>
        <v>Cuījiāyù Zhèn</v>
      </c>
      <c r="D208" t="s">
        <v>1841</v>
      </c>
      <c r="E208" t="s">
        <v>13</v>
      </c>
      <c r="F208" t="str">
        <f>_xlfn.CONCAT(D208,", ",H208,", ",I208,", ","山东省")</f>
        <v>崔家峪镇, 沂水县, 临沂市, 山东省</v>
      </c>
      <c r="G208">
        <v>26684</v>
      </c>
      <c r="H208" t="s">
        <v>3722</v>
      </c>
      <c r="I208" t="s">
        <v>3710</v>
      </c>
      <c r="J208">
        <f>VLOOKUP(F208,[1]!china_towns_second__2[[Column1]:[Y]],3,FALSE)</f>
        <v>35.826553818407803</v>
      </c>
      <c r="K208">
        <f>VLOOKUP(F208,[1]!china_towns_second__2[[Column1]:[Y]],2,FALSE)</f>
        <v>118.4262609</v>
      </c>
      <c r="L208" t="s">
        <v>5045</v>
      </c>
      <c r="M208" t="str">
        <f>VLOOKUP(H208,CHOOSE({1,2},Table17[Native],Table17[Name]),2,0)</f>
        <v>Yíshuĭ Xiàn</v>
      </c>
      <c r="N208" s="15" t="str">
        <f>VLOOKUP(I208,CHOOSE({1,2},Table17[Native],Table17[Name]),2,0)</f>
        <v>Línyí Shì</v>
      </c>
      <c r="O208" s="15" t="str">
        <f t="shared" si="6"/>
        <v>Cuijiayu Zhen (Línyí Shì)</v>
      </c>
      <c r="P208" s="15" t="str">
        <f t="shared" si="7"/>
        <v>Cuijiayu Zhen (Línyí Shì)</v>
      </c>
    </row>
    <row r="209" spans="1:16" hidden="1" x14ac:dyDescent="0.25">
      <c r="A209" t="s">
        <v>232</v>
      </c>
      <c r="B209" t="str">
        <f>IF(COUNTIF(A:A,A209)&gt;1,_xlfn.CONCAT(A209," (",N209,")"),A209)</f>
        <v>Cuīkŏu Zhèn</v>
      </c>
      <c r="C209" t="str">
        <f>IF(COUNTIF(B:B,B209)&gt;1,_xlfn.CONCAT(A209," (",M209,")"),B209)</f>
        <v>Cuīkŏu Zhèn</v>
      </c>
      <c r="D209" t="s">
        <v>233</v>
      </c>
      <c r="E209" t="s">
        <v>13</v>
      </c>
      <c r="F209" t="str">
        <f>_xlfn.CONCAT(D209,", ",H209,", ",I209,", ","山东省")</f>
        <v>崔口镇, 庆云县, 德州市, 山东省</v>
      </c>
      <c r="G209">
        <v>13747</v>
      </c>
      <c r="H209" t="s">
        <v>3650</v>
      </c>
      <c r="I209" t="s">
        <v>3642</v>
      </c>
      <c r="J209">
        <f>VLOOKUP(F209,[1]!china_towns_second__2[[Column1]:[Y]],3,FALSE)</f>
        <v>37.963164343912197</v>
      </c>
      <c r="K209">
        <f>VLOOKUP(F209,[1]!china_towns_second__2[[Column1]:[Y]],2,FALSE)</f>
        <v>117.5328457</v>
      </c>
      <c r="L209" t="s">
        <v>5046</v>
      </c>
      <c r="M209" t="str">
        <f>VLOOKUP(H209,CHOOSE({1,2},Table17[Native],Table17[Name]),2,0)</f>
        <v>Qìngyún Xiàn</v>
      </c>
      <c r="N209" s="15" t="str">
        <f>VLOOKUP(I209,CHOOSE({1,2},Table17[Native],Table17[Name]),2,0)</f>
        <v>Dézhōu Shì</v>
      </c>
      <c r="O209" s="15" t="str">
        <f t="shared" si="6"/>
        <v>Cuikou Zhen (Dézhōu Shì)</v>
      </c>
      <c r="P209" s="15" t="str">
        <f t="shared" si="7"/>
        <v>Cuikou Zhen (Dézhōu Shì)</v>
      </c>
    </row>
    <row r="210" spans="1:16" hidden="1" x14ac:dyDescent="0.25">
      <c r="A210" t="s">
        <v>3074</v>
      </c>
      <c r="B210" t="str">
        <f>IF(COUNTIF(A:A,A210)&gt;1,_xlfn.CONCAT(A210," (",N210,")"),A210)</f>
        <v>Cuìpíng Jiēdào</v>
      </c>
      <c r="C210" t="str">
        <f>IF(COUNTIF(B:B,B210)&gt;1,_xlfn.CONCAT(A210," (",M210,")"),B210)</f>
        <v>Cuìpíng Jiēdào</v>
      </c>
      <c r="D210" t="s">
        <v>3075</v>
      </c>
      <c r="E210" t="s">
        <v>7</v>
      </c>
      <c r="F210" t="str">
        <f>_xlfn.CONCAT(D210,", ",H210,", ",I210,", ","山东省")</f>
        <v>翠屏街道, 栖霞市, 烟台市, 山东省</v>
      </c>
      <c r="G210">
        <v>53995</v>
      </c>
      <c r="H210" t="s">
        <v>3780</v>
      </c>
      <c r="I210" t="s">
        <v>3771</v>
      </c>
      <c r="J210">
        <f>VLOOKUP(F210,[1]!china_towns_second__2[[Column1]:[Y]],3,FALSE)</f>
        <v>37.276115488354598</v>
      </c>
      <c r="K210">
        <f>VLOOKUP(F210,[1]!china_towns_second__2[[Column1]:[Y]],2,FALSE)</f>
        <v>120.8427353</v>
      </c>
      <c r="L210" t="s">
        <v>5047</v>
      </c>
      <c r="M210" t="str">
        <f>VLOOKUP(H210,CHOOSE({1,2},Table17[Native],Table17[Name]),2,0)</f>
        <v>Qīxiá Shì</v>
      </c>
      <c r="N210" s="15" t="str">
        <f>VLOOKUP(I210,CHOOSE({1,2},Table17[Native],Table17[Name]),2,0)</f>
        <v>Yāntái Shì</v>
      </c>
      <c r="O210" s="15" t="str">
        <f t="shared" si="6"/>
        <v>Cuiping Jiedao (Yāntái Shì)</v>
      </c>
      <c r="P210" s="15" t="str">
        <f t="shared" si="7"/>
        <v>Cuiping Jiedao (Yāntái Shì)</v>
      </c>
    </row>
    <row r="211" spans="1:16" hidden="1" x14ac:dyDescent="0.25">
      <c r="A211" t="s">
        <v>939</v>
      </c>
      <c r="B211" t="str">
        <f>IF(COUNTIF(A:A,A211)&gt;1,_xlfn.CONCAT(A211," (",N211,")"),A211)</f>
        <v>Cuīzhài Jiēdào</v>
      </c>
      <c r="C211" t="str">
        <f>IF(COUNTIF(B:B,B211)&gt;1,_xlfn.CONCAT(A211," (",M211,")"),B211)</f>
        <v>Cuīzhài Jiēdào</v>
      </c>
      <c r="D211" t="s">
        <v>940</v>
      </c>
      <c r="E211" t="s">
        <v>7</v>
      </c>
      <c r="F211" t="str">
        <f>_xlfn.CONCAT(D211,", ",H211,", ",I211,", ","山东省")</f>
        <v>崔寨街道, 济阳区, 济南市, 山东省</v>
      </c>
      <c r="G211">
        <v>46873</v>
      </c>
      <c r="H211" t="s">
        <v>3677</v>
      </c>
      <c r="I211" t="s">
        <v>3673</v>
      </c>
      <c r="J211" t="e">
        <f>VLOOKUP(F211,[1]!china_towns_second__2[[Column1]:[Y]],3,FALSE)</f>
        <v>#N/A</v>
      </c>
      <c r="K211" t="e">
        <f>VLOOKUP(F211,[1]!china_towns_second__2[[Column1]:[Y]],2,FALSE)</f>
        <v>#N/A</v>
      </c>
      <c r="L211" t="s">
        <v>5048</v>
      </c>
      <c r="M211" t="str">
        <f>VLOOKUP(H211,CHOOSE({1,2},Table17[Native],Table17[Name]),2,0)</f>
        <v>Jìyáng Qū</v>
      </c>
      <c r="N211" s="15" t="str">
        <f>VLOOKUP(I211,CHOOSE({1,2},Table17[Native],Table17[Name]),2,0)</f>
        <v>Jìnán Shì</v>
      </c>
      <c r="O211" s="15" t="str">
        <f t="shared" si="6"/>
        <v>Cuizhai Jiedao (Jìnán Shì)</v>
      </c>
      <c r="P211" s="15" t="str">
        <f t="shared" si="7"/>
        <v>Cuizhai Jiedao (Jìnán Shì)</v>
      </c>
    </row>
    <row r="212" spans="1:16" hidden="1" x14ac:dyDescent="0.25">
      <c r="A212" t="s">
        <v>2518</v>
      </c>
      <c r="B212" t="str">
        <f>IF(COUNTIF(A:A,A212)&gt;1,_xlfn.CONCAT(A212," (",N212,")"),A212)</f>
        <v>Cúlái Zhèn</v>
      </c>
      <c r="C212" t="str">
        <f>IF(COUNTIF(B:B,B212)&gt;1,_xlfn.CONCAT(A212," (",M212,")"),B212)</f>
        <v>Cúlái Zhèn</v>
      </c>
      <c r="D212" t="s">
        <v>2519</v>
      </c>
      <c r="E212" t="s">
        <v>13</v>
      </c>
      <c r="F212" t="str">
        <f>_xlfn.CONCAT(D212,", ",H212,", ",I212,", ","山东省")</f>
        <v>徂徕镇, 岱岳区, 泰安市, 山东省</v>
      </c>
      <c r="G212">
        <v>54916</v>
      </c>
      <c r="H212" t="s">
        <v>3744</v>
      </c>
      <c r="I212" t="s">
        <v>3743</v>
      </c>
      <c r="J212">
        <f>VLOOKUP(F212,[1]!china_towns_second__2[[Column1]:[Y]],3,FALSE)</f>
        <v>36.093219356063699</v>
      </c>
      <c r="K212">
        <f>VLOOKUP(F212,[1]!china_towns_second__2[[Column1]:[Y]],2,FALSE)</f>
        <v>117.28002979999999</v>
      </c>
      <c r="L212" t="s">
        <v>5049</v>
      </c>
      <c r="M212" t="str">
        <f>VLOOKUP(H212,CHOOSE({1,2},Table17[Native],Table17[Name]),2,0)</f>
        <v>Dàiyuè Qū</v>
      </c>
      <c r="N212" s="15" t="str">
        <f>VLOOKUP(I212,CHOOSE({1,2},Table17[Native],Table17[Name]),2,0)</f>
        <v>Tài'ān Shì</v>
      </c>
      <c r="O212" s="15" t="str">
        <f t="shared" si="6"/>
        <v>Culai Zhen (Tài'ān Shì)</v>
      </c>
      <c r="P212" s="15" t="str">
        <f t="shared" si="7"/>
        <v>Culai Zhen (Tài'ān Shì)</v>
      </c>
    </row>
    <row r="213" spans="1:16" hidden="1" x14ac:dyDescent="0.25">
      <c r="A213" t="s">
        <v>3077</v>
      </c>
      <c r="B213" t="str">
        <f>IF(COUNTIF(A:A,A213)&gt;1,_xlfn.CONCAT(A213," (",N213,")"),A213)</f>
        <v>Cūnlĭjí Zhèn</v>
      </c>
      <c r="C213" t="str">
        <f>IF(COUNTIF(B:B,B213)&gt;1,_xlfn.CONCAT(A213," (",M213,")"),B213)</f>
        <v>Cūnlĭjí Zhèn</v>
      </c>
      <c r="D213" t="s">
        <v>3078</v>
      </c>
      <c r="E213" t="s">
        <v>13</v>
      </c>
      <c r="F213" t="str">
        <f>_xlfn.CONCAT(D213,", ",H213,", ",I213,", ","山东省")</f>
        <v>村里集镇, 蓬莱区, 烟台市, 山东省</v>
      </c>
      <c r="G213">
        <v>41373</v>
      </c>
      <c r="H213" t="s">
        <v>3779</v>
      </c>
      <c r="I213" t="s">
        <v>3771</v>
      </c>
      <c r="J213">
        <f>VLOOKUP(F213,[1]!china_towns_second__2[[Column1]:[Y]],3,FALSE)</f>
        <v>37.504965851298103</v>
      </c>
      <c r="K213">
        <f>VLOOKUP(F213,[1]!china_towns_second__2[[Column1]:[Y]],2,FALSE)</f>
        <v>120.786197</v>
      </c>
      <c r="L213" t="s">
        <v>5050</v>
      </c>
      <c r="M213" t="str">
        <f>VLOOKUP(H213,CHOOSE({1,2},Table17[Native],Table17[Name]),2,0)</f>
        <v>Pénglái Qū</v>
      </c>
      <c r="N213" s="15" t="str">
        <f>VLOOKUP(I213,CHOOSE({1,2},Table17[Native],Table17[Name]),2,0)</f>
        <v>Yāntái Shì</v>
      </c>
      <c r="O213" s="15" t="str">
        <f t="shared" si="6"/>
        <v>Cunliji Zhen (Yāntái Shì)</v>
      </c>
      <c r="P213" s="15" t="str">
        <f t="shared" si="7"/>
        <v>Cunliji Zhen (Yāntái Shì)</v>
      </c>
    </row>
    <row r="214" spans="1:16" hidden="1" x14ac:dyDescent="0.25">
      <c r="A214" t="s">
        <v>1252</v>
      </c>
      <c r="B214" t="str">
        <f>IF(COUNTIF(A:A,A214)&gt;1,_xlfn.CONCAT(A214," (",N214,")"),A214)</f>
        <v>Dà'ān Zhèn</v>
      </c>
      <c r="C214" t="str">
        <f>IF(COUNTIF(B:B,B214)&gt;1,_xlfn.CONCAT(A214," (",M214,")"),B214)</f>
        <v>Dà'ān Zhèn</v>
      </c>
      <c r="D214" t="s">
        <v>1253</v>
      </c>
      <c r="E214" t="s">
        <v>13</v>
      </c>
      <c r="F214" t="str">
        <f>_xlfn.CONCAT(D214,", ",H214,", ",I214,", ","山东省")</f>
        <v>大安镇, 兖州区, 济宁市, 山东省</v>
      </c>
      <c r="G214">
        <v>83853</v>
      </c>
      <c r="H214" t="s">
        <v>3696</v>
      </c>
      <c r="I214" t="s">
        <v>3687</v>
      </c>
      <c r="J214">
        <f>VLOOKUP(F214,[1]!china_towns_second__2[[Column1]:[Y]],3,FALSE)</f>
        <v>35.631589567597302</v>
      </c>
      <c r="K214">
        <f>VLOOKUP(F214,[1]!china_towns_second__2[[Column1]:[Y]],2,FALSE)</f>
        <v>116.8095759</v>
      </c>
      <c r="L214" t="s">
        <v>5051</v>
      </c>
      <c r="M214" t="str">
        <f>VLOOKUP(H214,CHOOSE({1,2},Table17[Native],Table17[Name]),2,0)</f>
        <v>Yănzhōu Qū</v>
      </c>
      <c r="N214" s="15" t="str">
        <f>VLOOKUP(I214,CHOOSE({1,2},Table17[Native],Table17[Name]),2,0)</f>
        <v>Jìníng Shì</v>
      </c>
      <c r="O214" s="15" t="str">
        <f t="shared" si="6"/>
        <v>Da'an Zhen (Jìníng Shì)</v>
      </c>
      <c r="P214" s="15" t="str">
        <f t="shared" si="7"/>
        <v>Da'an Zhen (Jìníng Shì)</v>
      </c>
    </row>
    <row r="215" spans="1:16" hidden="1" x14ac:dyDescent="0.25">
      <c r="A215" t="s">
        <v>1558</v>
      </c>
      <c r="B215" t="str">
        <f>IF(COUNTIF(A:A,A215)&gt;1,_xlfn.CONCAT(A215," (",N215,")"),A215)</f>
        <v>Dàbù Xiāng</v>
      </c>
      <c r="C215" t="str">
        <f>IF(COUNTIF(B:B,B215)&gt;1,_xlfn.CONCAT(A215," (",M215,")"),B215)</f>
        <v>Dàbù Xiāng</v>
      </c>
      <c r="D215" t="s">
        <v>1559</v>
      </c>
      <c r="E215" t="s">
        <v>61</v>
      </c>
      <c r="F215" t="str">
        <f>_xlfn.CONCAT(D215,", ",H215,", ",I215,", ","山东省")</f>
        <v>大布乡, 阳谷县, 聊城市, 山东省</v>
      </c>
      <c r="G215">
        <v>33661</v>
      </c>
      <c r="H215" t="s">
        <v>3708</v>
      </c>
      <c r="I215" t="s">
        <v>3700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5052</v>
      </c>
      <c r="M215" t="str">
        <f>VLOOKUP(H215,CHOOSE({1,2},Table17[Native],Table17[Name]),2,0)</f>
        <v>Yánggŭ Xiàn</v>
      </c>
      <c r="N215" s="15" t="str">
        <f>VLOOKUP(I215,CHOOSE({1,2},Table17[Native],Table17[Name]),2,0)</f>
        <v>Liáochéng Shì</v>
      </c>
      <c r="O215" s="15" t="str">
        <f t="shared" si="6"/>
        <v>Dabu Xiang (Liáochéng Shì)</v>
      </c>
      <c r="P215" s="15" t="str">
        <f t="shared" si="7"/>
        <v>Dabu Xiang (Liáochéng Shì)</v>
      </c>
    </row>
    <row r="216" spans="1:16" hidden="1" x14ac:dyDescent="0.25">
      <c r="A216" t="s">
        <v>234</v>
      </c>
      <c r="B216" t="str">
        <f>IF(COUNTIF(A:A,A216)&gt;1,_xlfn.CONCAT(A216," (",N216,")"),A216)</f>
        <v>Dàcáo Zhèn</v>
      </c>
      <c r="C216" t="str">
        <f>IF(COUNTIF(B:B,B216)&gt;1,_xlfn.CONCAT(A216," (",M216,")"),B216)</f>
        <v>Dàcáo Zhèn</v>
      </c>
      <c r="D216" t="s">
        <v>235</v>
      </c>
      <c r="E216" t="s">
        <v>13</v>
      </c>
      <c r="F216" t="str">
        <f>_xlfn.CONCAT(D216,", ",H216,", ",I216,", ","山东省")</f>
        <v>大曹镇, 宁津县, 德州市, 山东省</v>
      </c>
      <c r="G216">
        <v>34205</v>
      </c>
      <c r="H216" t="s">
        <v>3647</v>
      </c>
      <c r="I216" t="s">
        <v>3642</v>
      </c>
      <c r="J216">
        <f>VLOOKUP(F216,[1]!china_towns_second__2[[Column1]:[Y]],3,FALSE)</f>
        <v>37.575385402279601</v>
      </c>
      <c r="K216">
        <f>VLOOKUP(F216,[1]!china_towns_second__2[[Column1]:[Y]],2,FALSE)</f>
        <v>116.5891628</v>
      </c>
      <c r="L216" t="s">
        <v>5053</v>
      </c>
      <c r="M216" t="str">
        <f>VLOOKUP(H216,CHOOSE({1,2},Table17[Native],Table17[Name]),2,0)</f>
        <v>Níngjīn Xiàn</v>
      </c>
      <c r="N216" s="15" t="str">
        <f>VLOOKUP(I216,CHOOSE({1,2},Table17[Native],Table17[Name]),2,0)</f>
        <v>Dézhōu Shì</v>
      </c>
      <c r="O216" s="15" t="str">
        <f t="shared" si="6"/>
        <v>Dacao Zhen (Dézhōu Shì)</v>
      </c>
      <c r="P216" s="15" t="str">
        <f t="shared" si="7"/>
        <v>Dacao Zhen (Dézhōu Shì)</v>
      </c>
    </row>
    <row r="217" spans="1:16" hidden="1" x14ac:dyDescent="0.25">
      <c r="A217" t="s">
        <v>2145</v>
      </c>
      <c r="B217" t="str">
        <f>IF(COUNTIF(A:A,A217)&gt;1,_xlfn.CONCAT(A217," (",N217,")"),A217)</f>
        <v>Dàchăng Zhèn</v>
      </c>
      <c r="C217" t="str">
        <f>IF(COUNTIF(B:B,B217)&gt;1,_xlfn.CONCAT(A217," (",M217,")"),B217)</f>
        <v>Dàchăng Zhèn</v>
      </c>
      <c r="D217" t="s">
        <v>2146</v>
      </c>
      <c r="E217" t="s">
        <v>13</v>
      </c>
      <c r="F217" t="str">
        <f>_xlfn.CONCAT(D217,", ",H217,", ",I217,", ","山东省")</f>
        <v>大场镇, 黄岛区, 青岛市, 山东省</v>
      </c>
      <c r="G217">
        <v>42955</v>
      </c>
      <c r="H217" t="s">
        <v>3726</v>
      </c>
      <c r="I217" t="s">
        <v>3724</v>
      </c>
      <c r="J217">
        <f>VLOOKUP(F217,[1]!china_towns_second__2[[Column1]:[Y]],3,FALSE)</f>
        <v>35.682912074491099</v>
      </c>
      <c r="K217">
        <f>VLOOKUP(F217,[1]!china_towns_second__2[[Column1]:[Y]],2,FALSE)</f>
        <v>119.648978</v>
      </c>
      <c r="L217" t="s">
        <v>5054</v>
      </c>
      <c r="M217" t="str">
        <f>VLOOKUP(H217,CHOOSE({1,2},Table17[Native],Table17[Name]),2,0)</f>
        <v>Huángdăo Qū</v>
      </c>
      <c r="N217" s="15" t="str">
        <f>VLOOKUP(I217,CHOOSE({1,2},Table17[Native],Table17[Name]),2,0)</f>
        <v>Qīngdăo Shì</v>
      </c>
      <c r="O217" s="15" t="str">
        <f t="shared" si="6"/>
        <v>Dachang Zhen (Qīngdăo Shì)</v>
      </c>
      <c r="P217" s="15" t="str">
        <f t="shared" si="7"/>
        <v>Dachang Zhen (Qīngdăo Shì)</v>
      </c>
    </row>
    <row r="218" spans="1:16" hidden="1" x14ac:dyDescent="0.25">
      <c r="A218" t="s">
        <v>2147</v>
      </c>
      <c r="B218" t="str">
        <f>IF(COUNTIF(A:A,A218)&gt;1,_xlfn.CONCAT(A218," (",N218,")"),A218)</f>
        <v>Dàcūn Zhèn [incl. Lĭwùguān Zhèn]</v>
      </c>
      <c r="C218" t="str">
        <f>IF(COUNTIF(B:B,B218)&gt;1,_xlfn.CONCAT(A218," (",M218,")"),B218)</f>
        <v>Dàcūn Zhèn [incl. Lĭwùguān Zhèn]</v>
      </c>
      <c r="D218" t="s">
        <v>2148</v>
      </c>
      <c r="E218" t="s">
        <v>13</v>
      </c>
      <c r="F218" t="str">
        <f>_xlfn.CONCAT(D218,", ",H218,", ",I218,", ","山东省")</f>
        <v>大村镇, 黄岛区, 青岛市, 山东省</v>
      </c>
      <c r="G218">
        <v>49010</v>
      </c>
      <c r="H218" t="s">
        <v>3726</v>
      </c>
      <c r="I218" t="s">
        <v>3724</v>
      </c>
      <c r="J218">
        <f>VLOOKUP(F218,[1]!china_towns_second__2[[Column1]:[Y]],3,FALSE)</f>
        <v>35.809734500966201</v>
      </c>
      <c r="K218">
        <f>VLOOKUP(F218,[1]!china_towns_second__2[[Column1]:[Y]],2,FALSE)</f>
        <v>119.69981900000001</v>
      </c>
      <c r="L218" t="s">
        <v>5055</v>
      </c>
      <c r="M218" t="str">
        <f>VLOOKUP(H218,CHOOSE({1,2},Table17[Native],Table17[Name]),2,0)</f>
        <v>Huángdăo Qū</v>
      </c>
      <c r="N218" s="15" t="str">
        <f>VLOOKUP(I218,CHOOSE({1,2},Table17[Native],Table17[Name]),2,0)</f>
        <v>Qīngdăo Shì</v>
      </c>
      <c r="O218" s="15" t="str">
        <f t="shared" si="6"/>
        <v>Dacun Zhen [incl. Liwuguan Zhen] (Qīngdăo Shì)</v>
      </c>
      <c r="P218" s="15" t="str">
        <f t="shared" si="7"/>
        <v>Dacun Zhen [incl. Liwuguan Zhen] (Qīngdăo Shì)</v>
      </c>
    </row>
    <row r="219" spans="1:16" hidden="1" x14ac:dyDescent="0.25">
      <c r="A219" t="s">
        <v>1843</v>
      </c>
      <c r="B219" t="str">
        <f>IF(COUNTIF(A:A,A219)&gt;1,_xlfn.CONCAT(A219," (",N219,")"),A219)</f>
        <v>Dàdiàn Zhèn</v>
      </c>
      <c r="C219" t="str">
        <f>IF(COUNTIF(B:B,B219)&gt;1,_xlfn.CONCAT(A219," (",M219,")"),B219)</f>
        <v>Dàdiàn Zhèn</v>
      </c>
      <c r="D219" t="s">
        <v>1844</v>
      </c>
      <c r="E219" t="s">
        <v>13</v>
      </c>
      <c r="F219" t="str">
        <f>_xlfn.CONCAT(D219,", ",H219,", ",I219,", ","山东省")</f>
        <v>大店镇, 莒南县, 临沂市, 山东省</v>
      </c>
      <c r="G219">
        <v>66830</v>
      </c>
      <c r="H219" t="s">
        <v>3713</v>
      </c>
      <c r="I219" t="s">
        <v>3710</v>
      </c>
      <c r="J219">
        <f>VLOOKUP(F219,[1]!china_towns_second__2[[Column1]:[Y]],3,FALSE)</f>
        <v>35.335003276906399</v>
      </c>
      <c r="K219">
        <f>VLOOKUP(F219,[1]!china_towns_second__2[[Column1]:[Y]],2,FALSE)</f>
        <v>118.7849159</v>
      </c>
      <c r="L219" t="s">
        <v>5056</v>
      </c>
      <c r="M219" t="str">
        <f>VLOOKUP(H219,CHOOSE({1,2},Table17[Native],Table17[Name]),2,0)</f>
        <v>Jŭnán Xiàn</v>
      </c>
      <c r="N219" s="15" t="str">
        <f>VLOOKUP(I219,CHOOSE({1,2},Table17[Native],Table17[Name]),2,0)</f>
        <v>Línyí Shì</v>
      </c>
      <c r="O219" s="15" t="str">
        <f t="shared" si="6"/>
        <v>Dadian Zhen (Línyí Shì)</v>
      </c>
      <c r="P219" s="15" t="str">
        <f t="shared" si="7"/>
        <v>Dadian Zhen (Línyí Shì)</v>
      </c>
    </row>
    <row r="220" spans="1:16" hidden="1" x14ac:dyDescent="0.25">
      <c r="A220" t="s">
        <v>2149</v>
      </c>
      <c r="B220" t="str">
        <f>IF(COUNTIF(A:A,A220)&gt;1,_xlfn.CONCAT(A220," (",N220,")"),A220)</f>
        <v>Dàgăng Jiēdào [incl. Huáyánglù Jiēdào]</v>
      </c>
      <c r="C220" t="str">
        <f>IF(COUNTIF(B:B,B220)&gt;1,_xlfn.CONCAT(A220," (",M220,")"),B220)</f>
        <v>Dàgăng Jiēdào [incl. Huáyánglù Jiēdào]</v>
      </c>
      <c r="D220" t="s">
        <v>2150</v>
      </c>
      <c r="E220" t="s">
        <v>7</v>
      </c>
      <c r="F220" t="str">
        <f>_xlfn.CONCAT(D220,", ",H220,", ",I220,", ","山东省")</f>
        <v>大港街道, 市北区, 青岛市, 山东省</v>
      </c>
      <c r="G220">
        <v>44436</v>
      </c>
      <c r="H220" t="s">
        <v>3733</v>
      </c>
      <c r="I220" t="s">
        <v>3724</v>
      </c>
      <c r="J220">
        <f>VLOOKUP(F220,[1]!china_towns_second__2[[Column1]:[Y]],3,FALSE)</f>
        <v>36.097545469024197</v>
      </c>
      <c r="K220">
        <f>VLOOKUP(F220,[1]!china_towns_second__2[[Column1]:[Y]],2,FALSE)</f>
        <v>120.3219642</v>
      </c>
      <c r="L220" t="s">
        <v>5057</v>
      </c>
      <c r="M220" t="str">
        <f>VLOOKUP(H220,CHOOSE({1,2},Table17[Native],Table17[Name]),2,0)</f>
        <v>Shìbĕi Qū</v>
      </c>
      <c r="N220" s="15" t="str">
        <f>VLOOKUP(I220,CHOOSE({1,2},Table17[Native],Table17[Name]),2,0)</f>
        <v>Qīngdăo Shì</v>
      </c>
      <c r="O220" s="15" t="str">
        <f t="shared" si="6"/>
        <v>Dagang Jiedao [incl. Huayanglu Jiedao] (Qīngdăo Shì)</v>
      </c>
      <c r="P220" s="15" t="str">
        <f t="shared" si="7"/>
        <v>Dagang Jiedao [incl. Huayanglu Jiedao] (Qīngdăo Shì)</v>
      </c>
    </row>
    <row r="221" spans="1:16" hidden="1" x14ac:dyDescent="0.25">
      <c r="A221" t="s">
        <v>36</v>
      </c>
      <c r="B221" t="str">
        <f>IF(COUNTIF(A:A,A221)&gt;1,_xlfn.CONCAT(A221," (",N221,")"),A221)</f>
        <v>Dàgāo Zhèn</v>
      </c>
      <c r="C221" t="str">
        <f>IF(COUNTIF(B:B,B221)&gt;1,_xlfn.CONCAT(A221," (",M221,")"),B221)</f>
        <v>Dàgāo Zhèn</v>
      </c>
      <c r="D221" t="s">
        <v>37</v>
      </c>
      <c r="E221" t="s">
        <v>13</v>
      </c>
      <c r="F221" t="str">
        <f>_xlfn.CONCAT(D221,", ",H221,", ",I221,", ","山东省")</f>
        <v>大高镇, 沾化区, 滨州市, 山东省</v>
      </c>
      <c r="G221">
        <v>36202</v>
      </c>
      <c r="H221" t="s">
        <v>3638</v>
      </c>
      <c r="I221" t="s">
        <v>3630</v>
      </c>
      <c r="J221">
        <f>VLOOKUP(F221,[1]!china_towns_second__2[[Column1]:[Y]],3,FALSE)</f>
        <v>37.628503416347797</v>
      </c>
      <c r="K221">
        <f>VLOOKUP(F221,[1]!china_towns_second__2[[Column1]:[Y]],2,FALSE)</f>
        <v>117.86707850000001</v>
      </c>
      <c r="L221" t="s">
        <v>5058</v>
      </c>
      <c r="M221" t="str">
        <f>VLOOKUP(H221,CHOOSE({1,2},Table17[Native],Table17[Name]),2,0)</f>
        <v>Zhānhuà Qū</v>
      </c>
      <c r="N221" s="15" t="str">
        <f>VLOOKUP(I221,CHOOSE({1,2},Table17[Native],Table17[Name]),2,0)</f>
        <v>Bīnzhōu Shì</v>
      </c>
      <c r="O221" s="15" t="str">
        <f t="shared" si="6"/>
        <v>Dagao Zhen (Bīnzhōu Shì)</v>
      </c>
      <c r="P221" s="15" t="str">
        <f t="shared" si="7"/>
        <v>Dagao Zhen (Bīnzhōu Shì)</v>
      </c>
    </row>
    <row r="222" spans="1:16" hidden="1" x14ac:dyDescent="0.25">
      <c r="A222" t="s">
        <v>942</v>
      </c>
      <c r="B222" t="str">
        <f>IF(COUNTIF(A:A,A222)&gt;1,_xlfn.CONCAT(A222," (",N222,")"),A222)</f>
        <v>Dàguānyuán Jiēdào</v>
      </c>
      <c r="C222" t="str">
        <f>IF(COUNTIF(B:B,B222)&gt;1,_xlfn.CONCAT(A222," (",M222,")"),B222)</f>
        <v>Dàguānyuán Jiēdào</v>
      </c>
      <c r="D222" t="s">
        <v>943</v>
      </c>
      <c r="E222" t="s">
        <v>7</v>
      </c>
      <c r="F222" t="str">
        <f>_xlfn.CONCAT(D222,", ",H222,", ",I222,", ","山东省")</f>
        <v>大观园街道, 市中区, 济南市, 山东省</v>
      </c>
      <c r="G222">
        <v>18822</v>
      </c>
      <c r="H222" t="s">
        <v>3683</v>
      </c>
      <c r="I222" t="s">
        <v>3673</v>
      </c>
      <c r="J222">
        <f>VLOOKUP(F222,[1]!china_towns_second__2[[Column1]:[Y]],3,FALSE)</f>
        <v>36.662614246496403</v>
      </c>
      <c r="K222">
        <f>VLOOKUP(F222,[1]!china_towns_second__2[[Column1]:[Y]],2,FALSE)</f>
        <v>116.98798189999999</v>
      </c>
      <c r="L222" t="s">
        <v>5059</v>
      </c>
      <c r="M222" t="str">
        <f>VLOOKUP(H222,CHOOSE({1,2},Table17[Native],Table17[Name]),2,0)</f>
        <v>Shìzhōng Qū</v>
      </c>
      <c r="N222" s="15" t="str">
        <f>VLOOKUP(I222,CHOOSE({1,2},Table17[Native],Table17[Name]),2,0)</f>
        <v>Jìnán Shì</v>
      </c>
      <c r="O222" s="15" t="str">
        <f t="shared" si="6"/>
        <v>Daguanyuan Jiedao (Jìnán Shì)</v>
      </c>
      <c r="P222" s="15" t="str">
        <f t="shared" si="7"/>
        <v>Daguanyuan Jiedao (Jìnán Shì)</v>
      </c>
    </row>
    <row r="223" spans="1:16" hidden="1" x14ac:dyDescent="0.25">
      <c r="A223" t="s">
        <v>2918</v>
      </c>
      <c r="B223" t="str">
        <f>IF(COUNTIF(A:A,A223)&gt;1,_xlfn.CONCAT(A223," (",N223,")"),A223)</f>
        <v>Dàgūshān Zhèn</v>
      </c>
      <c r="C223" t="str">
        <f>IF(COUNTIF(B:B,B223)&gt;1,_xlfn.CONCAT(A223," (",M223,")"),B223)</f>
        <v>Dàgūshān Zhèn</v>
      </c>
      <c r="D223" t="s">
        <v>2919</v>
      </c>
      <c r="E223" t="s">
        <v>13</v>
      </c>
      <c r="F223" t="str">
        <f>_xlfn.CONCAT(D223,", ",H223,", ",I223,", ","山东省")</f>
        <v>大孤山镇, 乳山市, 威海市, 山东省</v>
      </c>
      <c r="G223">
        <v>24128</v>
      </c>
      <c r="H223" t="s">
        <v>3768</v>
      </c>
      <c r="I223" t="s">
        <v>3765</v>
      </c>
      <c r="J223">
        <f>VLOOKUP(F223,[1]!china_towns_second__2[[Column1]:[Y]],3,FALSE)</f>
        <v>36.9429580666962</v>
      </c>
      <c r="K223">
        <f>VLOOKUP(F223,[1]!china_towns_second__2[[Column1]:[Y]],2,FALSE)</f>
        <v>121.6363836</v>
      </c>
      <c r="L223" t="s">
        <v>5060</v>
      </c>
      <c r="M223" t="str">
        <f>VLOOKUP(H223,CHOOSE({1,2},Table17[Native],Table17[Name]),2,0)</f>
        <v>Rŭshān Shì</v>
      </c>
      <c r="N223" s="15" t="str">
        <f>VLOOKUP(I223,CHOOSE({1,2},Table17[Native],Table17[Name]),2,0)</f>
        <v>Wēihăi Shì</v>
      </c>
      <c r="O223" s="15" t="str">
        <f t="shared" si="6"/>
        <v>Dagushan Zhen (Wēihăi Shì)</v>
      </c>
      <c r="P223" s="15" t="str">
        <f t="shared" si="7"/>
        <v>Dagushan Zhen (Wēihăi Shì)</v>
      </c>
    </row>
    <row r="224" spans="1:16" hidden="1" x14ac:dyDescent="0.25">
      <c r="A224" t="s">
        <v>236</v>
      </c>
      <c r="B224" t="str">
        <f>IF(COUNTIF(A:A,A224)&gt;1,_xlfn.CONCAT(A224," (",N224,")"),A224)</f>
        <v>Dàhuáng Xiāng</v>
      </c>
      <c r="C224" t="str">
        <f>IF(COUNTIF(B:B,B224)&gt;1,_xlfn.CONCAT(A224," (",M224,")"),B224)</f>
        <v>Dàhuáng Xiāng</v>
      </c>
      <c r="D224" t="s">
        <v>237</v>
      </c>
      <c r="E224" t="s">
        <v>61</v>
      </c>
      <c r="F224" t="str">
        <f>_xlfn.CONCAT(D224,", ",H224,", ",I224,", ","山东省")</f>
        <v>大黄乡, 齐河县, 德州市, 山东省</v>
      </c>
      <c r="G224">
        <v>26609</v>
      </c>
      <c r="H224" t="s">
        <v>3649</v>
      </c>
      <c r="I224" t="s">
        <v>3642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5061</v>
      </c>
      <c r="M224" t="str">
        <f>VLOOKUP(H224,CHOOSE({1,2},Table17[Native],Table17[Name]),2,0)</f>
        <v>Qíhé Xiàn</v>
      </c>
      <c r="N224" s="15" t="str">
        <f>VLOOKUP(I224,CHOOSE({1,2},Table17[Native],Table17[Name]),2,0)</f>
        <v>Dézhōu Shì</v>
      </c>
      <c r="O224" s="15" t="str">
        <f t="shared" si="6"/>
        <v>Dahuang Xiang (Dézhōu Shì)</v>
      </c>
      <c r="P224" s="15" t="str">
        <f t="shared" si="7"/>
        <v>Dahuang Xiang (Dézhōu Shì)</v>
      </c>
    </row>
    <row r="225" spans="1:16" hidden="1" x14ac:dyDescent="0.25">
      <c r="A225" t="s">
        <v>645</v>
      </c>
      <c r="B225" t="str">
        <f>IF(COUNTIF(A:A,A225)&gt;1,_xlfn.CONCAT(A225," (",N225,")"),A225)</f>
        <v>Dàhuángjí Zhèn</v>
      </c>
      <c r="C225" t="str">
        <f>IF(COUNTIF(B:B,B225)&gt;1,_xlfn.CONCAT(A225," (",M225,")"),B225)</f>
        <v>Dàhuángjí Zhèn</v>
      </c>
      <c r="D225" t="s">
        <v>646</v>
      </c>
      <c r="E225" t="s">
        <v>13</v>
      </c>
      <c r="F225" t="str">
        <f>_xlfn.CONCAT(D225,", ",H225,", ",I225,", ","山东省")</f>
        <v>大黄集镇, 牡丹区, 菏泽市, 山东省</v>
      </c>
      <c r="G225">
        <v>42956</v>
      </c>
      <c r="H225" t="s">
        <v>3669</v>
      </c>
      <c r="I225" t="s">
        <v>3662</v>
      </c>
      <c r="J225">
        <f>VLOOKUP(F225,[1]!china_towns_second__2[[Column1]:[Y]],3,FALSE)</f>
        <v>35.079694948746301</v>
      </c>
      <c r="K225">
        <f>VLOOKUP(F225,[1]!china_towns_second__2[[Column1]:[Y]],2,FALSE)</f>
        <v>115.2785813</v>
      </c>
      <c r="L225" t="s">
        <v>5062</v>
      </c>
      <c r="M225" t="str">
        <f>VLOOKUP(H225,CHOOSE({1,2},Table17[Native],Table17[Name]),2,0)</f>
        <v>Mŭdān Qū</v>
      </c>
      <c r="N225" s="15" t="str">
        <f>VLOOKUP(I225,CHOOSE({1,2},Table17[Native],Table17[Name]),2,0)</f>
        <v>Hézé Shì</v>
      </c>
      <c r="O225" s="15" t="str">
        <f t="shared" si="6"/>
        <v>Dahuangji Zhen (Hézé Shì)</v>
      </c>
      <c r="P225" s="15" t="str">
        <f t="shared" si="7"/>
        <v>Dahuangji Zhen (Hézé Shì)</v>
      </c>
    </row>
    <row r="226" spans="1:16" hidden="1" x14ac:dyDescent="0.25">
      <c r="A226" t="s">
        <v>1845</v>
      </c>
      <c r="B226" t="str">
        <f>IF(COUNTIF(A:A,A226)&gt;1,_xlfn.CONCAT(A226," (",N226,")"),A226)</f>
        <v>Dàigù Zhèn</v>
      </c>
      <c r="C226" t="str">
        <f>IF(COUNTIF(B:B,B226)&gt;1,_xlfn.CONCAT(A226," (",M226,")"),B226)</f>
        <v>Dàigù Zhèn</v>
      </c>
      <c r="D226" t="s">
        <v>1846</v>
      </c>
      <c r="E226" t="s">
        <v>13</v>
      </c>
      <c r="F226" t="str">
        <f>_xlfn.CONCAT(D226,", ",H226,", ",I226,", ","山东省")</f>
        <v>岱崮镇, 蒙阴县, 临沂市, 山东省</v>
      </c>
      <c r="G226">
        <v>42790</v>
      </c>
      <c r="H226" t="s">
        <v>3718</v>
      </c>
      <c r="I226" t="s">
        <v>3710</v>
      </c>
      <c r="J226">
        <f>VLOOKUP(F226,[1]!china_towns_second__2[[Column1]:[Y]],3,FALSE)</f>
        <v>35.952692316443702</v>
      </c>
      <c r="K226">
        <f>VLOOKUP(F226,[1]!china_towns_second__2[[Column1]:[Y]],2,FALSE)</f>
        <v>118.1460424</v>
      </c>
      <c r="L226" t="s">
        <v>5063</v>
      </c>
      <c r="M226" t="str">
        <f>VLOOKUP(H226,CHOOSE({1,2},Table17[Native],Table17[Name]),2,0)</f>
        <v>Mĕngyīn Xiàn</v>
      </c>
      <c r="N226" s="15" t="str">
        <f>VLOOKUP(I226,CHOOSE({1,2},Table17[Native],Table17[Name]),2,0)</f>
        <v>Línyí Shì</v>
      </c>
      <c r="O226" s="15" t="str">
        <f t="shared" si="6"/>
        <v>Daigu Zhen (Línyí Shì)</v>
      </c>
      <c r="P226" s="15" t="str">
        <f t="shared" si="7"/>
        <v>Daigu Zhen (Línyí Shì)</v>
      </c>
    </row>
    <row r="227" spans="1:16" hidden="1" x14ac:dyDescent="0.25">
      <c r="A227" t="s">
        <v>2520</v>
      </c>
      <c r="B227" t="str">
        <f>IF(COUNTIF(A:A,A227)&gt;1,_xlfn.CONCAT(A227," (",N227,")"),A227)</f>
        <v>Dàimiào Jiēdào</v>
      </c>
      <c r="C227" t="str">
        <f>IF(COUNTIF(B:B,B227)&gt;1,_xlfn.CONCAT(A227," (",M227,")"),B227)</f>
        <v>Dàimiào Jiēdào</v>
      </c>
      <c r="D227" t="s">
        <v>2521</v>
      </c>
      <c r="E227" t="s">
        <v>7</v>
      </c>
      <c r="F227" t="str">
        <f>_xlfn.CONCAT(D227,", ",H227,", ",I227,", ","山东省")</f>
        <v>岱庙街道, 泰山区, 泰安市, 山东省</v>
      </c>
      <c r="G227">
        <v>135165</v>
      </c>
      <c r="H227" t="s">
        <v>3748</v>
      </c>
      <c r="I227" t="s">
        <v>3743</v>
      </c>
      <c r="J227">
        <f>VLOOKUP(F227,[1]!china_towns_second__2[[Column1]:[Y]],3,FALSE)</f>
        <v>36.182248928830901</v>
      </c>
      <c r="K227">
        <f>VLOOKUP(F227,[1]!china_towns_second__2[[Column1]:[Y]],2,FALSE)</f>
        <v>117.1331081</v>
      </c>
      <c r="L227" t="s">
        <v>5064</v>
      </c>
      <c r="M227" t="str">
        <f>VLOOKUP(H227,CHOOSE({1,2},Table17[Native],Table17[Name]),2,0)</f>
        <v>Tàishān Qū</v>
      </c>
      <c r="N227" s="15" t="str">
        <f>VLOOKUP(I227,CHOOSE({1,2},Table17[Native],Table17[Name]),2,0)</f>
        <v>Tài'ān Shì</v>
      </c>
      <c r="O227" s="15" t="str">
        <f t="shared" si="6"/>
        <v>Daimiao Jiedao (Tài'ān Shì)</v>
      </c>
      <c r="P227" s="15" t="str">
        <f t="shared" si="7"/>
        <v>Daimiao Jiedao (Tài'ān Shì)</v>
      </c>
    </row>
    <row r="228" spans="1:16" hidden="1" x14ac:dyDescent="0.25">
      <c r="A228" t="s">
        <v>2522</v>
      </c>
      <c r="B228" t="str">
        <f>IF(COUNTIF(A:A,A228)&gt;1,_xlfn.CONCAT(A228," (",N228,")"),A228)</f>
        <v>Dàimiào Zhèn</v>
      </c>
      <c r="C228" t="str">
        <f>IF(COUNTIF(B:B,B228)&gt;1,_xlfn.CONCAT(A228," (",M228,")"),B228)</f>
        <v>Dàimiào Zhèn</v>
      </c>
      <c r="D228" t="s">
        <v>2523</v>
      </c>
      <c r="E228" t="s">
        <v>13</v>
      </c>
      <c r="F228" t="str">
        <f>_xlfn.CONCAT(D228,", ",H228,", ",I228,", ","山东省")</f>
        <v>戴庙镇, 东平县, 泰安市, 山东省</v>
      </c>
      <c r="G228">
        <v>36074</v>
      </c>
      <c r="H228" t="s">
        <v>3745</v>
      </c>
      <c r="I228" t="s">
        <v>3743</v>
      </c>
      <c r="J228">
        <f>VLOOKUP(F228,[1]!china_towns_second__2[[Column1]:[Y]],3,FALSE)</f>
        <v>35.976957664531</v>
      </c>
      <c r="K228">
        <f>VLOOKUP(F228,[1]!china_towns_second__2[[Column1]:[Y]],2,FALSE)</f>
        <v>116.1085516</v>
      </c>
      <c r="L228" t="s">
        <v>5065</v>
      </c>
      <c r="M228" t="str">
        <f>VLOOKUP(H228,CHOOSE({1,2},Table17[Native],Table17[Name]),2,0)</f>
        <v>Dōngpíng Xiàn</v>
      </c>
      <c r="N228" s="15" t="str">
        <f>VLOOKUP(I228,CHOOSE({1,2},Table17[Native],Table17[Name]),2,0)</f>
        <v>Tài'ān Shì</v>
      </c>
      <c r="O228" s="15" t="str">
        <f t="shared" si="6"/>
        <v>Daimiao Zhen (Tài'ān Shì)</v>
      </c>
      <c r="P228" s="15" t="str">
        <f t="shared" si="7"/>
        <v>Daimiao Zhen (Tài'ān Shì)</v>
      </c>
    </row>
    <row r="229" spans="1:16" hidden="1" x14ac:dyDescent="0.25">
      <c r="A229" t="s">
        <v>1560</v>
      </c>
      <c r="B229" t="str">
        <f>IF(COUNTIF(A:A,A229)&gt;1,_xlfn.CONCAT(A229," (",N229,")"),A229)</f>
        <v>Dàiwān Zhèn</v>
      </c>
      <c r="C229" t="str">
        <f>IF(COUNTIF(B:B,B229)&gt;1,_xlfn.CONCAT(A229," (",M229,")"),B229)</f>
        <v>Dàiwān Zhèn</v>
      </c>
      <c r="D229" t="s">
        <v>1561</v>
      </c>
      <c r="E229" t="s">
        <v>13</v>
      </c>
      <c r="F229" t="str">
        <f>_xlfn.CONCAT(D229,", ",H229,", ",I229,", ","山东省")</f>
        <v>戴湾镇, 临清市, 聊城市, 山东省</v>
      </c>
      <c r="G229">
        <v>30444</v>
      </c>
      <c r="H229" t="s">
        <v>3706</v>
      </c>
      <c r="I229" t="s">
        <v>3700</v>
      </c>
      <c r="J229">
        <f>VLOOKUP(F229,[1]!china_towns_second__2[[Column1]:[Y]],3,FALSE)</f>
        <v>36.7718575317828</v>
      </c>
      <c r="K229">
        <f>VLOOKUP(F229,[1]!china_towns_second__2[[Column1]:[Y]],2,FALSE)</f>
        <v>115.8400043</v>
      </c>
      <c r="L229" t="s">
        <v>5066</v>
      </c>
      <c r="M229" t="str">
        <f>VLOOKUP(H229,CHOOSE({1,2},Table17[Native],Table17[Name]),2,0)</f>
        <v>Línqīng Shì</v>
      </c>
      <c r="N229" s="15" t="str">
        <f>VLOOKUP(I229,CHOOSE({1,2},Table17[Native],Table17[Name]),2,0)</f>
        <v>Liáochéng Shì</v>
      </c>
      <c r="O229" s="15" t="str">
        <f t="shared" si="6"/>
        <v>Daiwan Zhen (Liáochéng Shì)</v>
      </c>
      <c r="P229" s="15" t="str">
        <f t="shared" si="7"/>
        <v>Daiwan Zhen (Liáochéng Shì)</v>
      </c>
    </row>
    <row r="230" spans="1:16" hidden="1" x14ac:dyDescent="0.25">
      <c r="A230" t="s">
        <v>38</v>
      </c>
      <c r="B230" t="str">
        <f>IF(COUNTIF(A:A,A230)&gt;1,_xlfn.CONCAT(A230," (",N230,")"),A230)</f>
        <v>Dàixī Jiēdào</v>
      </c>
      <c r="C230" t="str">
        <f>IF(COUNTIF(B:B,B230)&gt;1,_xlfn.CONCAT(A230," (",M230,")"),B230)</f>
        <v>Dàixī Jiēdào</v>
      </c>
      <c r="D230" t="s">
        <v>39</v>
      </c>
      <c r="E230" t="s">
        <v>7</v>
      </c>
      <c r="F230" t="str">
        <f>_xlfn.CONCAT(D230,", ",H230,", ",I230,", ","山东省")</f>
        <v>黛溪街道, 邹平市, 滨州市, 山东省</v>
      </c>
      <c r="G230">
        <v>81916</v>
      </c>
      <c r="H230" t="s">
        <v>3640</v>
      </c>
      <c r="I230" t="s">
        <v>3630</v>
      </c>
      <c r="J230">
        <f>VLOOKUP(F230,[1]!china_towns_second__2[[Column1]:[Y]],3,FALSE)</f>
        <v>36.895213005456903</v>
      </c>
      <c r="K230">
        <f>VLOOKUP(F230,[1]!china_towns_second__2[[Column1]:[Y]],2,FALSE)</f>
        <v>117.7142779</v>
      </c>
      <c r="L230" t="s">
        <v>5067</v>
      </c>
      <c r="M230" t="str">
        <f>VLOOKUP(H230,CHOOSE({1,2},Table17[Native],Table17[Name]),2,0)</f>
        <v>Zōupíng Shì</v>
      </c>
      <c r="N230" s="15" t="str">
        <f>VLOOKUP(I230,CHOOSE({1,2},Table17[Native],Table17[Name]),2,0)</f>
        <v>Bīnzhōu Shì</v>
      </c>
      <c r="O230" s="15" t="str">
        <f t="shared" si="6"/>
        <v>Daixi Jiedao (Bīnzhōu Shì)</v>
      </c>
      <c r="P230" s="15" t="str">
        <f t="shared" si="7"/>
        <v>Daixi Jiedao (Bīnzhōu Shì)</v>
      </c>
    </row>
    <row r="231" spans="1:16" hidden="1" x14ac:dyDescent="0.25">
      <c r="A231" t="s">
        <v>2696</v>
      </c>
      <c r="B231" t="str">
        <f>IF(COUNTIF(A:A,A231)&gt;1,_xlfn.CONCAT(A231," (",N231,")"),A231)</f>
        <v>Dàjiāwā Jiēdào</v>
      </c>
      <c r="C231" t="str">
        <f>IF(COUNTIF(B:B,B231)&gt;1,_xlfn.CONCAT(A231," (",M231,")"),B231)</f>
        <v>Dàjiāwā Jiēdào</v>
      </c>
      <c r="D231" t="s">
        <v>2697</v>
      </c>
      <c r="E231" t="s">
        <v>7</v>
      </c>
      <c r="F231" t="str">
        <f>_xlfn.CONCAT(D231,", ",H231,", ",I231,", ","山东省")</f>
        <v>大家洼街道, 寒亭区, 潍坊市, 山东省</v>
      </c>
      <c r="G231">
        <v>76459</v>
      </c>
      <c r="H231" t="s">
        <v>3757</v>
      </c>
      <c r="I231" t="s">
        <v>3751</v>
      </c>
      <c r="J231">
        <f>VLOOKUP(F231,[1]!china_towns_second__2[[Column1]:[Y]],3,FALSE)</f>
        <v>37.153244718961602</v>
      </c>
      <c r="K231">
        <f>VLOOKUP(F231,[1]!china_towns_second__2[[Column1]:[Y]],2,FALSE)</f>
        <v>119.029798</v>
      </c>
      <c r="L231" t="s">
        <v>5068</v>
      </c>
      <c r="M231" t="str">
        <f>VLOOKUP(H231,CHOOSE({1,2},Table17[Native],Table17[Name]),2,0)</f>
        <v>Hántíng Qū</v>
      </c>
      <c r="N231" s="15" t="str">
        <f>VLOOKUP(I231,CHOOSE({1,2},Table17[Native],Table17[Name]),2,0)</f>
        <v>Wéifāng Shì</v>
      </c>
      <c r="O231" s="15" t="str">
        <f t="shared" si="6"/>
        <v>Dajiawa Jiedao (Wéifāng Shì)</v>
      </c>
      <c r="P231" s="15" t="str">
        <f t="shared" si="7"/>
        <v>Dajiawa Jiedao (Wéifāng Shì)</v>
      </c>
    </row>
    <row r="232" spans="1:16" hidden="1" x14ac:dyDescent="0.25">
      <c r="A232" t="s">
        <v>3481</v>
      </c>
      <c r="B232" t="str">
        <f>IF(COUNTIF(A:A,A232)&gt;1,_xlfn.CONCAT(A232," (",N232,")"),A232)</f>
        <v>Dàjiē Jiēdào</v>
      </c>
      <c r="C232" t="str">
        <f>IF(COUNTIF(B:B,B232)&gt;1,_xlfn.CONCAT(A232," (",M232,")"),B232)</f>
        <v>Dàjiē Jiēdào</v>
      </c>
      <c r="D232" t="s">
        <v>3482</v>
      </c>
      <c r="E232" t="s">
        <v>7</v>
      </c>
      <c r="F232" t="str">
        <f>_xlfn.CONCAT(D232,", ",H232,", ",I232,", ","山东省")</f>
        <v>大街街道, 周村区, 淄博市, 山东省</v>
      </c>
      <c r="G232">
        <v>39629</v>
      </c>
      <c r="H232" t="s">
        <v>3798</v>
      </c>
      <c r="I232" t="s">
        <v>3791</v>
      </c>
      <c r="J232">
        <f>VLOOKUP(F232,[1]!china_towns_second__2[[Column1]:[Y]],3,FALSE)</f>
        <v>36.7885298572157</v>
      </c>
      <c r="K232">
        <f>VLOOKUP(F232,[1]!china_towns_second__2[[Column1]:[Y]],2,FALSE)</f>
        <v>117.8291601</v>
      </c>
      <c r="L232" t="s">
        <v>5069</v>
      </c>
      <c r="M232" t="str">
        <f>VLOOKUP(H232,CHOOSE({1,2},Table17[Native],Table17[Name]),2,0)</f>
        <v>Zhōucūn Qū</v>
      </c>
      <c r="N232" s="15" t="str">
        <f>VLOOKUP(I232,CHOOSE({1,2},Table17[Native],Table17[Name]),2,0)</f>
        <v>Zībó Shì</v>
      </c>
      <c r="O232" s="15" t="str">
        <f t="shared" si="6"/>
        <v>Dajie Jiedao (Zībó Shì)</v>
      </c>
      <c r="P232" s="15" t="str">
        <f t="shared" si="7"/>
        <v>Dajie Jiedao (Zībó Shì)</v>
      </c>
    </row>
    <row r="233" spans="1:16" hidden="1" x14ac:dyDescent="0.25">
      <c r="A233" t="s">
        <v>3079</v>
      </c>
      <c r="B233" t="str">
        <f>IF(COUNTIF(A:A,A233)&gt;1,_xlfn.CONCAT(A233," (",N233,")"),A233)</f>
        <v>Dàjìjiā Jiēdào</v>
      </c>
      <c r="C233" t="str">
        <f>IF(COUNTIF(B:B,B233)&gt;1,_xlfn.CONCAT(A233," (",M233,")"),B233)</f>
        <v>Dàjìjiā Jiēdào</v>
      </c>
      <c r="D233" t="s">
        <v>3080</v>
      </c>
      <c r="E233" t="s">
        <v>7</v>
      </c>
      <c r="F233" t="str">
        <f>_xlfn.CONCAT(D233,", ",H233,", ",I233,", ","山东省")</f>
        <v>大季家街道, 福山区, 烟台市, 山东省</v>
      </c>
      <c r="G233">
        <v>32495</v>
      </c>
      <c r="H233" t="s">
        <v>3772</v>
      </c>
      <c r="I233" t="s">
        <v>3771</v>
      </c>
      <c r="J233">
        <f>VLOOKUP(F233,[1]!china_towns_second__2[[Column1]:[Y]],3,FALSE)</f>
        <v>37.681403677962102</v>
      </c>
      <c r="K233">
        <f>VLOOKUP(F233,[1]!china_towns_second__2[[Column1]:[Y]],2,FALSE)</f>
        <v>121.0806302</v>
      </c>
      <c r="L233" t="s">
        <v>5070</v>
      </c>
      <c r="M233" t="str">
        <f>VLOOKUP(H233,CHOOSE({1,2},Table17[Native],Table17[Name]),2,0)</f>
        <v>Fúshān Qū</v>
      </c>
      <c r="N233" s="15" t="str">
        <f>VLOOKUP(I233,CHOOSE({1,2},Table17[Native],Table17[Name]),2,0)</f>
        <v>Yāntái Shì</v>
      </c>
      <c r="O233" s="15" t="str">
        <f t="shared" si="6"/>
        <v>Dajijia Jiedao (Yāntái Shì)</v>
      </c>
      <c r="P233" s="15" t="str">
        <f t="shared" si="7"/>
        <v>Dajijia Jiedao (Yāntái Shì)</v>
      </c>
    </row>
    <row r="234" spans="1:16" hidden="1" x14ac:dyDescent="0.25">
      <c r="A234" t="s">
        <v>2524</v>
      </c>
      <c r="B234" t="str">
        <f>IF(COUNTIF(A:A,A234)&gt;1,_xlfn.CONCAT(A234," (",N234,")"),A234)</f>
        <v>Dàjīnkŏu Xiāng</v>
      </c>
      <c r="C234" t="str">
        <f>IF(COUNTIF(B:B,B234)&gt;1,_xlfn.CONCAT(A234," (",M234,")"),B234)</f>
        <v>Dàjīnkŏu Xiāng</v>
      </c>
      <c r="D234" t="s">
        <v>2525</v>
      </c>
      <c r="E234" t="s">
        <v>61</v>
      </c>
      <c r="F234" t="str">
        <f>_xlfn.CONCAT(D234,", ",H234,", ",I234,", ","山东省")</f>
        <v>大津口乡, 泰山区, 泰安市, 山东省</v>
      </c>
      <c r="G234">
        <v>10936</v>
      </c>
      <c r="H234" t="s">
        <v>3748</v>
      </c>
      <c r="I234" t="s">
        <v>3743</v>
      </c>
      <c r="J234" t="e">
        <f>VLOOKUP(F234,[1]!china_towns_second__2[[Column1]:[Y]],3,FALSE)</f>
        <v>#N/A</v>
      </c>
      <c r="K234" t="e">
        <f>VLOOKUP(F234,[1]!china_towns_second__2[[Column1]:[Y]],2,FALSE)</f>
        <v>#N/A</v>
      </c>
      <c r="L234" t="s">
        <v>5071</v>
      </c>
      <c r="M234" t="str">
        <f>VLOOKUP(H234,CHOOSE({1,2},Table17[Native],Table17[Name]),2,0)</f>
        <v>Tàishān Qū</v>
      </c>
      <c r="N234" s="15" t="str">
        <f>VLOOKUP(I234,CHOOSE({1,2},Table17[Native],Table17[Name]),2,0)</f>
        <v>Tài'ān Shì</v>
      </c>
      <c r="O234" s="15" t="str">
        <f t="shared" si="6"/>
        <v>Dajinkou Xiang (Tài'ān Shì)</v>
      </c>
      <c r="P234" s="15" t="str">
        <f t="shared" si="7"/>
        <v>Dajinkou Xiang (Tài'ān Shì)</v>
      </c>
    </row>
    <row r="235" spans="1:16" hidden="1" x14ac:dyDescent="0.25">
      <c r="A235" t="s">
        <v>3081</v>
      </c>
      <c r="B235" t="str">
        <f>IF(COUNTIF(A:A,A235)&gt;1,_xlfn.CONCAT(A235," (",N235,")"),A235)</f>
        <v>Dàkuăng Zhèn</v>
      </c>
      <c r="C235" t="str">
        <f>IF(COUNTIF(B:B,B235)&gt;1,_xlfn.CONCAT(A235," (",M235,")"),B235)</f>
        <v>Dàkuăng Zhèn</v>
      </c>
      <c r="D235" t="s">
        <v>3082</v>
      </c>
      <c r="E235" t="s">
        <v>13</v>
      </c>
      <c r="F235" t="str">
        <f>_xlfn.CONCAT(D235,", ",H235,", ",I235,", ","山东省")</f>
        <v>大夼镇, 莱阳市, 烟台市, 山东省</v>
      </c>
      <c r="G235">
        <v>29875</v>
      </c>
      <c r="H235" t="s">
        <v>3775</v>
      </c>
      <c r="I235" t="s">
        <v>3771</v>
      </c>
      <c r="J235">
        <f>VLOOKUP(F235,[1]!china_towns_second__2[[Column1]:[Y]],3,FALSE)</f>
        <v>36.786283344008702</v>
      </c>
      <c r="K235">
        <f>VLOOKUP(F235,[1]!china_towns_second__2[[Column1]:[Y]],2,FALSE)</f>
        <v>120.8329708</v>
      </c>
      <c r="L235" t="s">
        <v>5072</v>
      </c>
      <c r="M235" t="str">
        <f>VLOOKUP(H235,CHOOSE({1,2},Table17[Native],Table17[Name]),2,0)</f>
        <v>Láiyáng Shì</v>
      </c>
      <c r="N235" s="15" t="str">
        <f>VLOOKUP(I235,CHOOSE({1,2},Table17[Native],Table17[Name]),2,0)</f>
        <v>Yāntái Shì</v>
      </c>
      <c r="O235" s="15" t="str">
        <f t="shared" si="6"/>
        <v>Dakuang Zhen (Yāntái Shì)</v>
      </c>
      <c r="P235" s="15" t="str">
        <f t="shared" si="7"/>
        <v>Dakuang Zhen (Yāntái Shì)</v>
      </c>
    </row>
    <row r="236" spans="1:16" hidden="1" x14ac:dyDescent="0.25">
      <c r="A236" t="s">
        <v>238</v>
      </c>
      <c r="B236" t="str">
        <f>IF(COUNTIF(A:A,A236)&gt;1,_xlfn.CONCAT(A236," (",N236,")"),A236)</f>
        <v>Dàliŭ Zhèn</v>
      </c>
      <c r="C236" t="str">
        <f>IF(COUNTIF(B:B,B236)&gt;1,_xlfn.CONCAT(A236," (",M236,")"),B236)</f>
        <v>Dàliŭ Zhèn</v>
      </c>
      <c r="D236" t="s">
        <v>239</v>
      </c>
      <c r="E236" t="s">
        <v>13</v>
      </c>
      <c r="F236" t="str">
        <f>_xlfn.CONCAT(D236,", ",H236,", ",I236,", ","山东省")</f>
        <v>大柳镇, 宁津县, 德州市, 山东省</v>
      </c>
      <c r="G236">
        <v>28960</v>
      </c>
      <c r="H236" t="s">
        <v>3647</v>
      </c>
      <c r="I236" t="s">
        <v>3642</v>
      </c>
      <c r="J236">
        <f>VLOOKUP(F236,[1]!china_towns_second__2[[Column1]:[Y]],3,FALSE)</f>
        <v>37.752162262175602</v>
      </c>
      <c r="K236">
        <f>VLOOKUP(F236,[1]!china_towns_second__2[[Column1]:[Y]],2,FALSE)</f>
        <v>116.8593717</v>
      </c>
      <c r="L236" t="s">
        <v>5073</v>
      </c>
      <c r="M236" t="str">
        <f>VLOOKUP(H236,CHOOSE({1,2},Table17[Native],Table17[Name]),2,0)</f>
        <v>Níngjīn Xiàn</v>
      </c>
      <c r="N236" s="15" t="str">
        <f>VLOOKUP(I236,CHOOSE({1,2},Table17[Native],Table17[Name]),2,0)</f>
        <v>Dézhōu Shì</v>
      </c>
      <c r="O236" s="15" t="str">
        <f t="shared" si="6"/>
        <v>Daliu Zhen (Dézhōu Shì)</v>
      </c>
      <c r="P236" s="15" t="str">
        <f t="shared" si="7"/>
        <v>Daliu Zhen (Dézhōu Shì)</v>
      </c>
    </row>
    <row r="237" spans="1:16" hidden="1" x14ac:dyDescent="0.25">
      <c r="A237" t="s">
        <v>3083</v>
      </c>
      <c r="B237" t="str">
        <f>IF(COUNTIF(A:A,A237)&gt;1,_xlfn.CONCAT(A237," (",N237,")"),A237)</f>
        <v>Dàliŭxíng Zhèn</v>
      </c>
      <c r="C237" t="str">
        <f>IF(COUNTIF(B:B,B237)&gt;1,_xlfn.CONCAT(A237," (",M237,")"),B237)</f>
        <v>Dàliŭxíng Zhèn</v>
      </c>
      <c r="D237" t="s">
        <v>3084</v>
      </c>
      <c r="E237" t="s">
        <v>13</v>
      </c>
      <c r="F237" t="str">
        <f>_xlfn.CONCAT(D237,", ",H237,", ",I237,", ","山东省")</f>
        <v>大柳行镇, 蓬莱区, 烟台市, 山东省</v>
      </c>
      <c r="G237">
        <v>24322</v>
      </c>
      <c r="H237" t="s">
        <v>3779</v>
      </c>
      <c r="I237" t="s">
        <v>3771</v>
      </c>
      <c r="J237">
        <f>VLOOKUP(F237,[1]!china_towns_second__2[[Column1]:[Y]],3,FALSE)</f>
        <v>37.578223007102899</v>
      </c>
      <c r="K237">
        <f>VLOOKUP(F237,[1]!china_towns_second__2[[Column1]:[Y]],2,FALSE)</f>
        <v>121.0273402</v>
      </c>
      <c r="L237" t="s">
        <v>5074</v>
      </c>
      <c r="M237" t="str">
        <f>VLOOKUP(H237,CHOOSE({1,2},Table17[Native],Table17[Name]),2,0)</f>
        <v>Pénglái Qū</v>
      </c>
      <c r="N237" s="15" t="str">
        <f>VLOOKUP(I237,CHOOSE({1,2},Table17[Native],Table17[Name]),2,0)</f>
        <v>Yāntái Shì</v>
      </c>
      <c r="O237" s="15" t="str">
        <f t="shared" si="6"/>
        <v>Daliuxing Zhen (Yāntái Shì)</v>
      </c>
      <c r="P237" s="15" t="str">
        <f t="shared" si="7"/>
        <v>Daliuxing Zhen (Yāntái Shì)</v>
      </c>
    </row>
    <row r="238" spans="1:16" hidden="1" x14ac:dyDescent="0.25">
      <c r="A238" t="s">
        <v>1254</v>
      </c>
      <c r="B238" t="str">
        <f>IF(COUNTIF(A:A,A238)&gt;1,_xlfn.CONCAT(A238," (",N238,")"),A238)</f>
        <v>Dàlùkŏu Xiāng</v>
      </c>
      <c r="C238" t="str">
        <f>IF(COUNTIF(B:B,B238)&gt;1,_xlfn.CONCAT(A238," (",M238,")"),B238)</f>
        <v>Dàlùkŏu Xiāng</v>
      </c>
      <c r="D238" t="s">
        <v>1255</v>
      </c>
      <c r="E238" t="s">
        <v>61</v>
      </c>
      <c r="F238" t="str">
        <f>_xlfn.CONCAT(D238,", ",H238,", ",I238,", ","山东省")</f>
        <v>大路口乡, 梁山县, 济宁市, 山东省</v>
      </c>
      <c r="G238">
        <v>30889</v>
      </c>
      <c r="H238" t="s">
        <v>3690</v>
      </c>
      <c r="I238" t="s">
        <v>3687</v>
      </c>
      <c r="J238" t="e">
        <f>VLOOKUP(F238,[1]!china_towns_second__2[[Column1]:[Y]],3,FALSE)</f>
        <v>#N/A</v>
      </c>
      <c r="K238" t="e">
        <f>VLOOKUP(F238,[1]!china_towns_second__2[[Column1]:[Y]],2,FALSE)</f>
        <v>#N/A</v>
      </c>
      <c r="L238" t="s">
        <v>5075</v>
      </c>
      <c r="M238" t="str">
        <f>VLOOKUP(H238,CHOOSE({1,2},Table17[Native],Table17[Name]),2,0)</f>
        <v>Liángshān Xiàn</v>
      </c>
      <c r="N238" s="15" t="str">
        <f>VLOOKUP(I238,CHOOSE({1,2},Table17[Native],Table17[Name]),2,0)</f>
        <v>Jìníng Shì</v>
      </c>
      <c r="O238" s="15" t="str">
        <f t="shared" si="6"/>
        <v>Dalukou Xiang (Jìníng Shì)</v>
      </c>
      <c r="P238" s="15" t="str">
        <f t="shared" si="7"/>
        <v>Dalukou Xiang (Jìníng Shì)</v>
      </c>
    </row>
    <row r="239" spans="1:16" hidden="1" x14ac:dyDescent="0.25">
      <c r="A239" t="s">
        <v>477</v>
      </c>
      <c r="B239" t="str">
        <f>IF(COUNTIF(A:A,A239)&gt;1,_xlfn.CONCAT(A239," (",N239,")"),A239)</f>
        <v>Dàmătóu Zhèn</v>
      </c>
      <c r="C239" t="str">
        <f>IF(COUNTIF(B:B,B239)&gt;1,_xlfn.CONCAT(A239," (",M239,")"),B239)</f>
        <v>Dàmătóu Zhèn</v>
      </c>
      <c r="D239" t="s">
        <v>478</v>
      </c>
      <c r="E239" t="s">
        <v>13</v>
      </c>
      <c r="F239" t="str">
        <f>_xlfn.CONCAT(D239,", ",H239,", ",I239,", ","山东省")</f>
        <v>大码头镇, 广饶县, 东营市, 山东省</v>
      </c>
      <c r="G239">
        <v>44157</v>
      </c>
      <c r="H239" t="s">
        <v>3657</v>
      </c>
      <c r="I239" t="s">
        <v>3655</v>
      </c>
      <c r="J239">
        <f>VLOOKUP(F239,[1]!china_towns_second__2[[Column1]:[Y]],3,FALSE)</f>
        <v>37.134611164412199</v>
      </c>
      <c r="K239">
        <f>VLOOKUP(F239,[1]!china_towns_second__2[[Column1]:[Y]],2,FALSE)</f>
        <v>118.6061971</v>
      </c>
      <c r="L239" t="s">
        <v>5076</v>
      </c>
      <c r="M239" t="str">
        <f>VLOOKUP(H239,CHOOSE({1,2},Table17[Native],Table17[Name]),2,0)</f>
        <v>Guăngráo Xiàn</v>
      </c>
      <c r="N239" s="15" t="str">
        <f>VLOOKUP(I239,CHOOSE({1,2},Table17[Native],Table17[Name]),2,0)</f>
        <v>Dōngyíng Shì</v>
      </c>
      <c r="O239" s="15" t="str">
        <f t="shared" si="6"/>
        <v>Damatou Zhen (Dōngyíng Shì)</v>
      </c>
      <c r="P239" s="15" t="str">
        <f t="shared" si="7"/>
        <v>Damatou Zhen (Dōngyíng Shì)</v>
      </c>
    </row>
    <row r="240" spans="1:16" hidden="1" x14ac:dyDescent="0.25">
      <c r="A240" t="s">
        <v>944</v>
      </c>
      <c r="B240" t="str">
        <f>IF(COUNTIF(A:A,A240)&gt;1,_xlfn.CONCAT(A240," (",N240,")"),A240)</f>
        <v>Dàmínghú Jiēdào</v>
      </c>
      <c r="C240" t="str">
        <f>IF(COUNTIF(B:B,B240)&gt;1,_xlfn.CONCAT(A240," (",M240,")"),B240)</f>
        <v>Dàmínghú Jiēdào</v>
      </c>
      <c r="D240" t="s">
        <v>945</v>
      </c>
      <c r="E240" t="s">
        <v>7</v>
      </c>
      <c r="F240" t="str">
        <f>_xlfn.CONCAT(D240,", ",H240,", ",I240,", ","山东省")</f>
        <v>大明湖街道, 历下区, 济南市, 山东省</v>
      </c>
      <c r="G240">
        <v>22197</v>
      </c>
      <c r="H240" t="s">
        <v>3680</v>
      </c>
      <c r="I240" t="s">
        <v>3673</v>
      </c>
      <c r="J240">
        <f>VLOOKUP(F240,[1]!china_towns_second__2[[Column1]:[Y]],3,FALSE)</f>
        <v>36.669423528758401</v>
      </c>
      <c r="K240">
        <f>VLOOKUP(F240,[1]!china_towns_second__2[[Column1]:[Y]],2,FALSE)</f>
        <v>117.0246618</v>
      </c>
      <c r="L240" t="s">
        <v>5077</v>
      </c>
      <c r="M240" t="str">
        <f>VLOOKUP(H240,CHOOSE({1,2},Table17[Native],Table17[Name]),2,0)</f>
        <v>Lìxià Qū</v>
      </c>
      <c r="N240" s="15" t="str">
        <f>VLOOKUP(I240,CHOOSE({1,2},Table17[Native],Table17[Name]),2,0)</f>
        <v>Jìnán Shì</v>
      </c>
      <c r="O240" s="15" t="str">
        <f t="shared" si="6"/>
        <v>Daminghu Jiedao (Jìnán Shì)</v>
      </c>
      <c r="P240" s="15" t="str">
        <f t="shared" si="7"/>
        <v>Daminghu Jiedao (Jìnán Shì)</v>
      </c>
    </row>
    <row r="241" spans="1:16" hidden="1" x14ac:dyDescent="0.25">
      <c r="A241" t="s">
        <v>2699</v>
      </c>
      <c r="B241" t="str">
        <f>IF(COUNTIF(A:A,A241)&gt;1,_xlfn.CONCAT(A241," (",N241,")"),A241)</f>
        <v>Dàmóujiā Zhèn</v>
      </c>
      <c r="C241" t="str">
        <f>IF(COUNTIF(B:B,B241)&gt;1,_xlfn.CONCAT(A241," (",M241,")"),B241)</f>
        <v>Dàmóujiā Zhèn</v>
      </c>
      <c r="D241" t="s">
        <v>2700</v>
      </c>
      <c r="E241" t="s">
        <v>13</v>
      </c>
      <c r="F241" t="str">
        <f>_xlfn.CONCAT(D241,", ",H241,", ",I241,", ","山东省")</f>
        <v>大牟家镇, 高密市, 潍坊市, 山东省</v>
      </c>
      <c r="G241">
        <v>47569</v>
      </c>
      <c r="H241" t="s">
        <v>3756</v>
      </c>
      <c r="I241" t="s">
        <v>3751</v>
      </c>
      <c r="J241">
        <f>VLOOKUP(F241,[1]!china_towns_second__2[[Column1]:[Y]],3,FALSE)</f>
        <v>36.583928422811503</v>
      </c>
      <c r="K241">
        <f>VLOOKUP(F241,[1]!china_towns_second__2[[Column1]:[Y]],2,FALSE)</f>
        <v>119.63560889999999</v>
      </c>
      <c r="L241" t="s">
        <v>5078</v>
      </c>
      <c r="M241" t="str">
        <f>VLOOKUP(H241,CHOOSE({1,2},Table17[Native],Table17[Name]),2,0)</f>
        <v>Gāomì Shì</v>
      </c>
      <c r="N241" s="15" t="str">
        <f>VLOOKUP(I241,CHOOSE({1,2},Table17[Native],Table17[Name]),2,0)</f>
        <v>Wéifāng Shì</v>
      </c>
      <c r="O241" s="15" t="str">
        <f t="shared" si="6"/>
        <v>Damoujia Zhen (Wéifāng Shì)</v>
      </c>
      <c r="P241" s="15" t="str">
        <f t="shared" si="7"/>
        <v>Damoujia Zhen (Wéifāng Shì)</v>
      </c>
    </row>
    <row r="242" spans="1:16" hidden="1" x14ac:dyDescent="0.25">
      <c r="A242" t="s">
        <v>946</v>
      </c>
      <c r="B242" t="str">
        <f>IF(COUNTIF(A:A,A242)&gt;1,_xlfn.CONCAT(A242," (",N242,")"),A242)</f>
        <v>Dăngjiā Jiēdào</v>
      </c>
      <c r="C242" t="str">
        <f>IF(COUNTIF(B:B,B242)&gt;1,_xlfn.CONCAT(A242," (",M242,")"),B242)</f>
        <v>Dăngjiā Jiēdào</v>
      </c>
      <c r="D242" t="s">
        <v>947</v>
      </c>
      <c r="E242" t="s">
        <v>7</v>
      </c>
      <c r="F242" t="str">
        <f>_xlfn.CONCAT(D242,", ",H242,", ",I242,", ","山东省")</f>
        <v>党家街道, 市中区, 济南市, 山东省</v>
      </c>
      <c r="G242">
        <v>42514</v>
      </c>
      <c r="H242" t="s">
        <v>3683</v>
      </c>
      <c r="I242" t="s">
        <v>3673</v>
      </c>
      <c r="J242">
        <f>VLOOKUP(F242,[1]!china_towns_second__2[[Column1]:[Y]],3,FALSE)</f>
        <v>36.542752269059399</v>
      </c>
      <c r="K242">
        <f>VLOOKUP(F242,[1]!china_towns_second__2[[Column1]:[Y]],2,FALSE)</f>
        <v>116.90932359999999</v>
      </c>
      <c r="L242" t="s">
        <v>5079</v>
      </c>
      <c r="M242" t="str">
        <f>VLOOKUP(H242,CHOOSE({1,2},Table17[Native],Table17[Name]),2,0)</f>
        <v>Shìzhōng Qū</v>
      </c>
      <c r="N242" s="15" t="str">
        <f>VLOOKUP(I242,CHOOSE({1,2},Table17[Native],Table17[Name]),2,0)</f>
        <v>Jìnán Shì</v>
      </c>
      <c r="O242" s="15" t="str">
        <f t="shared" si="6"/>
        <v>Dangjia Jiedao (Jìnán Shì)</v>
      </c>
      <c r="P242" s="15" t="str">
        <f t="shared" si="7"/>
        <v>Dangjia Jiedao (Jìnán Shì)</v>
      </c>
    </row>
    <row r="243" spans="1:16" hidden="1" x14ac:dyDescent="0.25">
      <c r="A243" t="s">
        <v>647</v>
      </c>
      <c r="B243" t="str">
        <f>IF(COUNTIF(A:A,A243)&gt;1,_xlfn.CONCAT(A243," (",N243,")"),A243)</f>
        <v>Dàniàn Zhèn</v>
      </c>
      <c r="C243" t="str">
        <f>IF(COUNTIF(B:B,B243)&gt;1,_xlfn.CONCAT(A243," (",M243,")"),B243)</f>
        <v>Dàniàn Zhèn</v>
      </c>
      <c r="D243" t="s">
        <v>648</v>
      </c>
      <c r="E243" t="s">
        <v>13</v>
      </c>
      <c r="F243" t="str">
        <f>_xlfn.CONCAT(D243,", ",H243,", ",I243,", ","山东省")</f>
        <v>大埝镇, 鄄城县, 菏泽市, 山东省</v>
      </c>
      <c r="G243">
        <v>26903</v>
      </c>
      <c r="H243" t="s">
        <v>3667</v>
      </c>
      <c r="I243" t="s">
        <v>3662</v>
      </c>
      <c r="J243">
        <f>VLOOKUP(F243,[1]!china_towns_second__2[[Column1]:[Y]],3,FALSE)</f>
        <v>35.6411698569921</v>
      </c>
      <c r="K243">
        <f>VLOOKUP(F243,[1]!china_towns_second__2[[Column1]:[Y]],2,FALSE)</f>
        <v>115.58023420000001</v>
      </c>
      <c r="L243" t="s">
        <v>5080</v>
      </c>
      <c r="M243" t="str">
        <f>VLOOKUP(H243,CHOOSE({1,2},Table17[Native],Table17[Name]),2,0)</f>
        <v>Juànchéng Xiàn</v>
      </c>
      <c r="N243" s="15" t="str">
        <f>VLOOKUP(I243,CHOOSE({1,2},Table17[Native],Table17[Name]),2,0)</f>
        <v>Hézé Shì</v>
      </c>
      <c r="O243" s="15" t="str">
        <f t="shared" si="6"/>
        <v>Danian Zhen (Hézé Shì)</v>
      </c>
      <c r="P243" s="15" t="str">
        <f t="shared" si="7"/>
        <v>Danian Zhen (Hézé Shì)</v>
      </c>
    </row>
    <row r="244" spans="1:16" hidden="1" x14ac:dyDescent="0.25">
      <c r="A244" t="s">
        <v>40</v>
      </c>
      <c r="B244" t="str">
        <f>IF(COUNTIF(A:A,A244)&gt;1,_xlfn.CONCAT(A244," (",N244,")"),A244)</f>
        <v>Dàniánchén Zhèn</v>
      </c>
      <c r="C244" t="str">
        <f>IF(COUNTIF(B:B,B244)&gt;1,_xlfn.CONCAT(A244," (",M244,")"),B244)</f>
        <v>Dàniánchén Zhèn</v>
      </c>
      <c r="D244" t="s">
        <v>41</v>
      </c>
      <c r="E244" t="s">
        <v>13</v>
      </c>
      <c r="F244" t="str">
        <f>_xlfn.CONCAT(D244,", ",H244,", ",I244,", ","山东省")</f>
        <v>大年陈镇, 惠民县, 滨州市, 山东省</v>
      </c>
      <c r="G244">
        <v>30861</v>
      </c>
      <c r="H244" t="s">
        <v>3635</v>
      </c>
      <c r="I244" t="s">
        <v>3630</v>
      </c>
      <c r="J244">
        <f>VLOOKUP(F244,[1]!china_towns_second__2[[Column1]:[Y]],3,FALSE)</f>
        <v>37.164552523213104</v>
      </c>
      <c r="K244">
        <f>VLOOKUP(F244,[1]!china_towns_second__2[[Column1]:[Y]],2,FALSE)</f>
        <v>117.51209919999999</v>
      </c>
      <c r="L244" t="s">
        <v>5081</v>
      </c>
      <c r="M244" t="str">
        <f>VLOOKUP(H244,CHOOSE({1,2},Table17[Native],Table17[Name]),2,0)</f>
        <v>Huìmín Xiàn</v>
      </c>
      <c r="N244" s="15" t="str">
        <f>VLOOKUP(I244,CHOOSE({1,2},Table17[Native],Table17[Name]),2,0)</f>
        <v>Bīnzhōu Shì</v>
      </c>
      <c r="O244" s="15" t="str">
        <f t="shared" si="6"/>
        <v>Danianchen Zhen (Bīnzhōu Shì)</v>
      </c>
      <c r="P244" s="15" t="str">
        <f t="shared" si="7"/>
        <v>Danianchen Zhen (Bīnzhōu Shì)</v>
      </c>
    </row>
    <row r="245" spans="1:16" hidden="1" x14ac:dyDescent="0.25">
      <c r="A245" t="s">
        <v>649</v>
      </c>
      <c r="B245" t="str">
        <f>IF(COUNTIF(A:A,A245)&gt;1,_xlfn.CONCAT(A245," (",N245,")"),A245)</f>
        <v>Dānyáng Jiēdào</v>
      </c>
      <c r="C245" t="str">
        <f>IF(COUNTIF(B:B,B245)&gt;1,_xlfn.CONCAT(A245," (",M245,")"),B245)</f>
        <v>Dānyáng Jiēdào</v>
      </c>
      <c r="D245" t="s">
        <v>650</v>
      </c>
      <c r="E245" t="s">
        <v>7</v>
      </c>
      <c r="F245" t="str">
        <f>_xlfn.CONCAT(D245,", ",H245,", ",I245,", ","山东省")</f>
        <v>丹阳街道, 牡丹区, 菏泽市, 山东省</v>
      </c>
      <c r="G245">
        <v>101666</v>
      </c>
      <c r="H245" t="s">
        <v>3669</v>
      </c>
      <c r="I245" t="s">
        <v>3662</v>
      </c>
      <c r="J245">
        <f>VLOOKUP(F245,[1]!china_towns_second__2[[Column1]:[Y]],3,FALSE)</f>
        <v>35.234309366166499</v>
      </c>
      <c r="K245">
        <f>VLOOKUP(F245,[1]!china_towns_second__2[[Column1]:[Y]],2,FALSE)</f>
        <v>115.49758060000001</v>
      </c>
      <c r="L245" t="s">
        <v>5082</v>
      </c>
      <c r="M245" t="str">
        <f>VLOOKUP(H245,CHOOSE({1,2},Table17[Native],Table17[Name]),2,0)</f>
        <v>Mŭdān Qū</v>
      </c>
      <c r="N245" s="15" t="str">
        <f>VLOOKUP(I245,CHOOSE({1,2},Table17[Native],Table17[Name]),2,0)</f>
        <v>Hézé Shì</v>
      </c>
      <c r="O245" s="15" t="str">
        <f t="shared" si="6"/>
        <v>Danyang Jiedao (Hézé Shì)</v>
      </c>
      <c r="P245" s="15" t="str">
        <f t="shared" si="7"/>
        <v>Danyang Jiedao (Hézé Shì)</v>
      </c>
    </row>
    <row r="246" spans="1:16" hidden="1" x14ac:dyDescent="0.25">
      <c r="A246" t="s">
        <v>948</v>
      </c>
      <c r="B246" t="str">
        <f>IF(COUNTIF(A:A,A246)&gt;1,_xlfn.CONCAT(A246," (",N246,")"),A246)</f>
        <v>Dàodéjiē Jiēdào</v>
      </c>
      <c r="C246" t="str">
        <f>IF(COUNTIF(B:B,B246)&gt;1,_xlfn.CONCAT(A246," (",M246,")"),B246)</f>
        <v>Dàodéjiē Jiēdào</v>
      </c>
      <c r="D246" t="s">
        <v>949</v>
      </c>
      <c r="E246" t="s">
        <v>7</v>
      </c>
      <c r="F246" t="str">
        <f>_xlfn.CONCAT(D246,", ",H246,", ",I246,", ","山东省")</f>
        <v>道德街街道, 槐荫区, 济南市, 山东省</v>
      </c>
      <c r="G246">
        <v>16206</v>
      </c>
      <c r="H246" t="s">
        <v>3676</v>
      </c>
      <c r="I246" t="s">
        <v>3673</v>
      </c>
      <c r="J246">
        <f>VLOOKUP(F246,[1]!china_towns_second__2[[Column1]:[Y]],3,FALSE)</f>
        <v>36.653218145999404</v>
      </c>
      <c r="K246">
        <f>VLOOKUP(F246,[1]!china_towns_second__2[[Column1]:[Y]],2,FALSE)</f>
        <v>116.9644473</v>
      </c>
      <c r="L246" t="s">
        <v>5083</v>
      </c>
      <c r="M246" t="str">
        <f>VLOOKUP(H246,CHOOSE({1,2},Table17[Native],Table17[Name]),2,0)</f>
        <v>Huáiyìn Qū</v>
      </c>
      <c r="N246" s="15" t="str">
        <f>VLOOKUP(I246,CHOOSE({1,2},Table17[Native],Table17[Name]),2,0)</f>
        <v>Jìnán Shì</v>
      </c>
      <c r="O246" s="15" t="str">
        <f t="shared" si="6"/>
        <v>Daodejie Jiedao (Jìnán Shì)</v>
      </c>
      <c r="P246" s="15" t="str">
        <f t="shared" si="7"/>
        <v>Daodejie Jiedao (Jìnán Shì)</v>
      </c>
    </row>
    <row r="247" spans="1:16" hidden="1" x14ac:dyDescent="0.25">
      <c r="A247" t="s">
        <v>1847</v>
      </c>
      <c r="B247" t="str">
        <f>IF(COUNTIF(A:A,A247)&gt;1,_xlfn.CONCAT(A247," (",N247,")"),A247)</f>
        <v>Dàokŏu Zhèn</v>
      </c>
      <c r="C247" t="str">
        <f>IF(COUNTIF(B:B,B247)&gt;1,_xlfn.CONCAT(A247," (",M247,")"),B247)</f>
        <v>Dàokŏu Zhèn</v>
      </c>
      <c r="D247" t="s">
        <v>1848</v>
      </c>
      <c r="E247" t="s">
        <v>13</v>
      </c>
      <c r="F247" t="str">
        <f>_xlfn.CONCAT(D247,", ",H247,", ",I247,", ","山东省")</f>
        <v>道口镇, 莒南县, 临沂市, 山东省</v>
      </c>
      <c r="G247">
        <v>31381</v>
      </c>
      <c r="H247" t="s">
        <v>3713</v>
      </c>
      <c r="I247" t="s">
        <v>3710</v>
      </c>
      <c r="J247">
        <f>VLOOKUP(F247,[1]!china_towns_second__2[[Column1]:[Y]],3,FALSE)</f>
        <v>35.267699430132801</v>
      </c>
      <c r="K247">
        <f>VLOOKUP(F247,[1]!china_towns_second__2[[Column1]:[Y]],2,FALSE)</f>
        <v>118.6640001</v>
      </c>
      <c r="L247" t="s">
        <v>5084</v>
      </c>
      <c r="M247" t="str">
        <f>VLOOKUP(H247,CHOOSE({1,2},Table17[Native],Table17[Name]),2,0)</f>
        <v>Jŭnán Xiàn</v>
      </c>
      <c r="N247" s="15" t="str">
        <f>VLOOKUP(I247,CHOOSE({1,2},Table17[Native],Table17[Name]),2,0)</f>
        <v>Línyí Shì</v>
      </c>
      <c r="O247" s="15" t="str">
        <f t="shared" si="6"/>
        <v>Daokou Zhen (Línyí Shì)</v>
      </c>
      <c r="P247" s="15" t="str">
        <f t="shared" si="7"/>
        <v>Daokou Zhen (Línyí Shì)</v>
      </c>
    </row>
    <row r="248" spans="1:16" hidden="1" x14ac:dyDescent="0.25">
      <c r="A248" t="s">
        <v>1562</v>
      </c>
      <c r="B248" t="str">
        <f>IF(COUNTIF(A:A,A248)&gt;1,_xlfn.CONCAT(A248," (",N248,")"),A248)</f>
        <v>Dàokŏupū Jiēdào</v>
      </c>
      <c r="C248" t="str">
        <f>IF(COUNTIF(B:B,B248)&gt;1,_xlfn.CONCAT(A248," (",M248,")"),B248)</f>
        <v>Dàokŏupū Jiēdào</v>
      </c>
      <c r="D248" t="s">
        <v>1563</v>
      </c>
      <c r="E248" t="s">
        <v>7</v>
      </c>
      <c r="F248" t="str">
        <f>_xlfn.CONCAT(D248,", ",H248,", ",I248,", ","山东省")</f>
        <v>道口铺街道, 东昌府区, 聊城市, 山东省</v>
      </c>
      <c r="G248">
        <v>33890</v>
      </c>
      <c r="H248" t="s">
        <v>3702</v>
      </c>
      <c r="I248" t="s">
        <v>3700</v>
      </c>
      <c r="J248">
        <f>VLOOKUP(F248,[1]!china_towns_second__2[[Column1]:[Y]],3,FALSE)</f>
        <v>36.465361075244502</v>
      </c>
      <c r="K248">
        <f>VLOOKUP(F248,[1]!china_towns_second__2[[Column1]:[Y]],2,FALSE)</f>
        <v>115.8543336</v>
      </c>
      <c r="L248" t="s">
        <v>5085</v>
      </c>
      <c r="M248" t="str">
        <f>VLOOKUP(H248,CHOOSE({1,2},Table17[Native],Table17[Name]),2,0)</f>
        <v>Dōngchāngfŭ Qū</v>
      </c>
      <c r="N248" s="15" t="str">
        <f>VLOOKUP(I248,CHOOSE({1,2},Table17[Native],Table17[Name]),2,0)</f>
        <v>Liáochéng Shì</v>
      </c>
      <c r="O248" s="15" t="str">
        <f t="shared" si="6"/>
        <v>Daokoupu Jiedao (Liáochéng Shì)</v>
      </c>
      <c r="P248" s="15" t="str">
        <f t="shared" si="7"/>
        <v>Daokoupu Jiedao (Liáochéng Shì)</v>
      </c>
    </row>
    <row r="249" spans="1:16" hidden="1" x14ac:dyDescent="0.25">
      <c r="A249" t="s">
        <v>2526</v>
      </c>
      <c r="B249" t="str">
        <f>IF(COUNTIF(A:A,A249)&gt;1,_xlfn.CONCAT(A249," (",N249,")"),A249)</f>
        <v>Dàolăng Zhèn</v>
      </c>
      <c r="C249" t="str">
        <f>IF(COUNTIF(B:B,B249)&gt;1,_xlfn.CONCAT(A249," (",M249,")"),B249)</f>
        <v>Dàolăng Zhèn</v>
      </c>
      <c r="D249" t="s">
        <v>2527</v>
      </c>
      <c r="E249" t="s">
        <v>13</v>
      </c>
      <c r="F249" t="str">
        <f>_xlfn.CONCAT(D249,", ",H249,", ",I249,", ","山东省")</f>
        <v>道朗镇, 岱岳区, 泰安市, 山东省</v>
      </c>
      <c r="G249">
        <v>31344</v>
      </c>
      <c r="H249" t="s">
        <v>3744</v>
      </c>
      <c r="I249" t="s">
        <v>3743</v>
      </c>
      <c r="J249">
        <f>VLOOKUP(F249,[1]!china_towns_second__2[[Column1]:[Y]],3,FALSE)</f>
        <v>36.201233700718703</v>
      </c>
      <c r="K249">
        <f>VLOOKUP(F249,[1]!china_towns_second__2[[Column1]:[Y]],2,FALSE)</f>
        <v>116.90880110000001</v>
      </c>
      <c r="L249" t="s">
        <v>5086</v>
      </c>
      <c r="M249" t="str">
        <f>VLOOKUP(H249,CHOOSE({1,2},Table17[Native],Table17[Name]),2,0)</f>
        <v>Dàiyuè Qū</v>
      </c>
      <c r="N249" s="15" t="str">
        <f>VLOOKUP(I249,CHOOSE({1,2},Table17[Native],Table17[Name]),2,0)</f>
        <v>Tài'ān Shì</v>
      </c>
      <c r="O249" s="15" t="str">
        <f t="shared" si="6"/>
        <v>Daolang Zhen (Tài'ān Shì)</v>
      </c>
      <c r="P249" s="15" t="str">
        <f t="shared" si="7"/>
        <v>Daolang Zhen (Tài'ān Shì)</v>
      </c>
    </row>
    <row r="250" spans="1:16" hidden="1" x14ac:dyDescent="0.25">
      <c r="A250" t="s">
        <v>2701</v>
      </c>
      <c r="B250" t="str">
        <f>IF(COUNTIF(A:A,A250)&gt;1,_xlfn.CONCAT(A250," (",N250,")"),A250)</f>
        <v>Dàotián Zhèn</v>
      </c>
      <c r="C250" t="str">
        <f>IF(COUNTIF(B:B,B250)&gt;1,_xlfn.CONCAT(A250," (",M250,")"),B250)</f>
        <v>Dàotián Zhèn</v>
      </c>
      <c r="D250" t="s">
        <v>2702</v>
      </c>
      <c r="E250" t="s">
        <v>13</v>
      </c>
      <c r="F250" t="str">
        <f>_xlfn.CONCAT(D250,", ",H250,", ",I250,", ","山东省")</f>
        <v>稻田镇, 寿光市, 潍坊市, 山东省</v>
      </c>
      <c r="G250">
        <v>93728</v>
      </c>
      <c r="H250" t="s">
        <v>3761</v>
      </c>
      <c r="I250" t="s">
        <v>3751</v>
      </c>
      <c r="J250">
        <f>VLOOKUP(F250,[1]!china_towns_second__2[[Column1]:[Y]],3,FALSE)</f>
        <v>36.812709872822602</v>
      </c>
      <c r="K250">
        <f>VLOOKUP(F250,[1]!china_towns_second__2[[Column1]:[Y]],2,FALSE)</f>
        <v>118.9093283</v>
      </c>
      <c r="L250" t="s">
        <v>5087</v>
      </c>
      <c r="M250" t="str">
        <f>VLOOKUP(H250,CHOOSE({1,2},Table17[Native],Table17[Name]),2,0)</f>
        <v>Shòuguāng Shì</v>
      </c>
      <c r="N250" s="15" t="str">
        <f>VLOOKUP(I250,CHOOSE({1,2},Table17[Native],Table17[Name]),2,0)</f>
        <v>Wéifāng Shì</v>
      </c>
      <c r="O250" s="15" t="str">
        <f t="shared" si="6"/>
        <v>Daotian Zhen (Wéifāng Shì)</v>
      </c>
      <c r="P250" s="15" t="str">
        <f t="shared" si="7"/>
        <v>Daotian Zhen (Wéifāng Shì)</v>
      </c>
    </row>
    <row r="251" spans="1:16" hidden="1" x14ac:dyDescent="0.25">
      <c r="A251" t="s">
        <v>1849</v>
      </c>
      <c r="B251" t="str">
        <f>IF(COUNTIF(A:A,A251)&gt;1,_xlfn.CONCAT(A251," (",N251,")"),A251)</f>
        <v>Dàotuō Zhèn</v>
      </c>
      <c r="C251" t="str">
        <f>IF(COUNTIF(B:B,B251)&gt;1,_xlfn.CONCAT(A251," (",M251,")"),B251)</f>
        <v>Dàotuō Zhèn</v>
      </c>
      <c r="D251" t="s">
        <v>1850</v>
      </c>
      <c r="E251" t="s">
        <v>13</v>
      </c>
      <c r="F251" t="str">
        <f>_xlfn.CONCAT(D251,", ",H251,", ",I251,", ","山东省")</f>
        <v>道托镇, 沂水县, 临沂市, 山东省</v>
      </c>
      <c r="G251">
        <v>31881</v>
      </c>
      <c r="H251" t="s">
        <v>3722</v>
      </c>
      <c r="I251" t="s">
        <v>3710</v>
      </c>
      <c r="J251">
        <f>VLOOKUP(F251,[1]!china_towns_second__2[[Column1]:[Y]],3,FALSE)</f>
        <v>35.884941675397599</v>
      </c>
      <c r="K251">
        <f>VLOOKUP(F251,[1]!china_towns_second__2[[Column1]:[Y]],2,FALSE)</f>
        <v>118.69594189999999</v>
      </c>
      <c r="L251" t="s">
        <v>5088</v>
      </c>
      <c r="M251" t="str">
        <f>VLOOKUP(H251,CHOOSE({1,2},Table17[Native],Table17[Name]),2,0)</f>
        <v>Yíshuĭ Xiàn</v>
      </c>
      <c r="N251" s="15" t="str">
        <f>VLOOKUP(I251,CHOOSE({1,2},Table17[Native],Table17[Name]),2,0)</f>
        <v>Línyí Shì</v>
      </c>
      <c r="O251" s="15" t="str">
        <f t="shared" si="6"/>
        <v>Daotuo Zhen (Línyí Shì)</v>
      </c>
      <c r="P251" s="15" t="str">
        <f t="shared" si="7"/>
        <v>Daotuo Zhen (Línyí Shì)</v>
      </c>
    </row>
    <row r="252" spans="1:16" hidden="1" x14ac:dyDescent="0.25">
      <c r="A252" t="s">
        <v>479</v>
      </c>
      <c r="B252" t="str">
        <f>IF(COUNTIF(A:A,A252)&gt;1,_xlfn.CONCAT(A252," (",N252,")"),A252)</f>
        <v>Dàozhuāng Zhèn</v>
      </c>
      <c r="C252" t="str">
        <f>IF(COUNTIF(B:B,B252)&gt;1,_xlfn.CONCAT(A252," (",M252,")"),B252)</f>
        <v>Dàozhuāng Zhèn</v>
      </c>
      <c r="D252" t="s">
        <v>480</v>
      </c>
      <c r="E252" t="s">
        <v>13</v>
      </c>
      <c r="F252" t="str">
        <f>_xlfn.CONCAT(D252,", ",H252,", ",I252,", ","山东省")</f>
        <v>稻庄镇, 广饶县, 东营市, 山东省</v>
      </c>
      <c r="G252">
        <v>73604</v>
      </c>
      <c r="H252" t="s">
        <v>3657</v>
      </c>
      <c r="I252" t="s">
        <v>3655</v>
      </c>
      <c r="J252">
        <f>VLOOKUP(F252,[1]!china_towns_second__2[[Column1]:[Y]],3,FALSE)</f>
        <v>37.090563012866703</v>
      </c>
      <c r="K252">
        <f>VLOOKUP(F252,[1]!china_towns_second__2[[Column1]:[Y]],2,FALSE)</f>
        <v>118.5132018</v>
      </c>
      <c r="L252" t="s">
        <v>5089</v>
      </c>
      <c r="M252" t="str">
        <f>VLOOKUP(H252,CHOOSE({1,2},Table17[Native],Table17[Name]),2,0)</f>
        <v>Guăngráo Xiàn</v>
      </c>
      <c r="N252" s="15" t="str">
        <f>VLOOKUP(I252,CHOOSE({1,2},Table17[Native],Table17[Name]),2,0)</f>
        <v>Dōngyíng Shì</v>
      </c>
      <c r="O252" s="15" t="str">
        <f t="shared" si="6"/>
        <v>Daozhuang Zhen (Dōngyíng Shì)</v>
      </c>
      <c r="P252" s="15" t="str">
        <f t="shared" si="7"/>
        <v>Daozhuang Zhen (Dōngyíng Shì)</v>
      </c>
    </row>
    <row r="253" spans="1:16" hidden="1" x14ac:dyDescent="0.25">
      <c r="A253" t="s">
        <v>951</v>
      </c>
      <c r="B253" t="str">
        <f>IF(COUNTIF(A:A,A253)&gt;1,_xlfn.CONCAT(A253," (",N253,")"),A253)</f>
        <v>Dàqiáo Jiēdào</v>
      </c>
      <c r="C253" t="str">
        <f>IF(COUNTIF(B:B,B253)&gt;1,_xlfn.CONCAT(A253," (",M253,")"),B253)</f>
        <v>Dàqiáo Jiēdào</v>
      </c>
      <c r="D253" t="s">
        <v>952</v>
      </c>
      <c r="E253" t="s">
        <v>7</v>
      </c>
      <c r="F253" t="str">
        <f>_xlfn.CONCAT(D253,", ",H253,", ",I253,", ","山东省")</f>
        <v>大桥街道, 天桥区, 济南市, 山东省</v>
      </c>
      <c r="G253">
        <v>50060</v>
      </c>
      <c r="H253" t="s">
        <v>3684</v>
      </c>
      <c r="I253" t="s">
        <v>3673</v>
      </c>
      <c r="J253" t="e">
        <f>VLOOKUP(F253,[1]!china_towns_second__2[[Column1]:[Y]],3,FALSE)</f>
        <v>#N/A</v>
      </c>
      <c r="K253" t="e">
        <f>VLOOKUP(F253,[1]!china_towns_second__2[[Column1]:[Y]],2,FALSE)</f>
        <v>#N/A</v>
      </c>
      <c r="L253" t="s">
        <v>5090</v>
      </c>
      <c r="M253" t="str">
        <f>VLOOKUP(H253,CHOOSE({1,2},Table17[Native],Table17[Name]),2,0)</f>
        <v>Tiānqiáo Qū</v>
      </c>
      <c r="N253" s="15" t="str">
        <f>VLOOKUP(I253,CHOOSE({1,2},Table17[Native],Table17[Name]),2,0)</f>
        <v>Jìnán Shì</v>
      </c>
      <c r="O253" s="15" t="str">
        <f t="shared" si="6"/>
        <v>Daqiao Jiedao (Jìnán Shì)</v>
      </c>
      <c r="P253" s="15" t="str">
        <f t="shared" si="7"/>
        <v>Daqiao Jiedao (Jìnán Shì)</v>
      </c>
    </row>
    <row r="254" spans="1:16" hidden="1" x14ac:dyDescent="0.25">
      <c r="A254" t="s">
        <v>1564</v>
      </c>
      <c r="B254" t="str">
        <f>IF(COUNTIF(A:A,A254)&gt;1,_xlfn.CONCAT(A254," (",N254,")"),A254)</f>
        <v>Dàqiáo Zhèn</v>
      </c>
      <c r="C254" t="str">
        <f>IF(COUNTIF(B:B,B254)&gt;1,_xlfn.CONCAT(A254," (",M254,")"),B254)</f>
        <v>Dàqiáo Zhèn</v>
      </c>
      <c r="D254" t="s">
        <v>1565</v>
      </c>
      <c r="E254" t="s">
        <v>13</v>
      </c>
      <c r="F254" t="str">
        <f>_xlfn.CONCAT(D254,", ",H254,", ",I254,", ","山东省")</f>
        <v>大桥镇, 东阿县, 聊城市, 山东省</v>
      </c>
      <c r="G254">
        <v>18228</v>
      </c>
      <c r="H254" t="s">
        <v>3703</v>
      </c>
      <c r="I254" t="s">
        <v>3700</v>
      </c>
      <c r="J254">
        <f>VLOOKUP(F254,[1]!china_towns_second__2[[Column1]:[Y]],3,FALSE)</f>
        <v>36.3142540117286</v>
      </c>
      <c r="K254">
        <f>VLOOKUP(F254,[1]!china_towns_second__2[[Column1]:[Y]],2,FALSE)</f>
        <v>116.3465369</v>
      </c>
      <c r="L254" t="s">
        <v>5091</v>
      </c>
      <c r="M254" t="str">
        <f>VLOOKUP(H254,CHOOSE({1,2},Table17[Native],Table17[Name]),2,0)</f>
        <v>Dōng'ē Xiàn</v>
      </c>
      <c r="N254" s="15" t="str">
        <f>VLOOKUP(I254,CHOOSE({1,2},Table17[Native],Table17[Name]),2,0)</f>
        <v>Liáochéng Shì</v>
      </c>
      <c r="O254" s="15" t="str">
        <f t="shared" si="6"/>
        <v>Daqiao Zhen (Liáochéng Shì)</v>
      </c>
      <c r="P254" s="15" t="str">
        <f t="shared" si="7"/>
        <v>Daqiao Zhen (Liáochéng Shì)</v>
      </c>
    </row>
    <row r="255" spans="1:16" hidden="1" x14ac:dyDescent="0.25">
      <c r="A255" t="s">
        <v>3085</v>
      </c>
      <c r="B255" t="str">
        <f>IF(COUNTIF(A:A,A255)&gt;1,_xlfn.CONCAT(A255," (",N255,")"),A255)</f>
        <v>Dàqīndăo Xiāng</v>
      </c>
      <c r="C255" t="str">
        <f>IF(COUNTIF(B:B,B255)&gt;1,_xlfn.CONCAT(A255," (",M255,")"),B255)</f>
        <v>Dàqīndăo Xiāng</v>
      </c>
      <c r="D255" t="s">
        <v>3086</v>
      </c>
      <c r="E255" t="s">
        <v>61</v>
      </c>
      <c r="F255" t="str">
        <f>_xlfn.CONCAT(D255,", ",H255,", ",I255,", ","山东省")</f>
        <v>大钦岛乡, 蓬莱区, 烟台市, 山东省</v>
      </c>
      <c r="G255">
        <v>3801</v>
      </c>
      <c r="H255" t="s">
        <v>3779</v>
      </c>
      <c r="I255" t="s">
        <v>3771</v>
      </c>
      <c r="J255" t="e">
        <f>VLOOKUP(F255,[1]!china_towns_second__2[[Column1]:[Y]],3,FALSE)</f>
        <v>#N/A</v>
      </c>
      <c r="K255" t="e">
        <f>VLOOKUP(F255,[1]!china_towns_second__2[[Column1]:[Y]],2,FALSE)</f>
        <v>#N/A</v>
      </c>
      <c r="L255" t="s">
        <v>5092</v>
      </c>
      <c r="M255" t="str">
        <f>VLOOKUP(H255,CHOOSE({1,2},Table17[Native],Table17[Name]),2,0)</f>
        <v>Pénglái Qū</v>
      </c>
      <c r="N255" s="15" t="str">
        <f>VLOOKUP(I255,CHOOSE({1,2},Table17[Native],Table17[Name]),2,0)</f>
        <v>Yāntái Shì</v>
      </c>
      <c r="O255" s="15" t="str">
        <f t="shared" si="6"/>
        <v>Daqindao Xiang (Yāntái Shì)</v>
      </c>
      <c r="P255" s="15" t="str">
        <f t="shared" si="7"/>
        <v>Daqindao Xiang (Yāntái Shì)</v>
      </c>
    </row>
    <row r="256" spans="1:16" hidden="1" x14ac:dyDescent="0.25">
      <c r="A256" t="s">
        <v>3087</v>
      </c>
      <c r="B256" t="str">
        <f>IF(COUNTIF(A:A,A256)&gt;1,_xlfn.CONCAT(A256," (",N256,")"),A256)</f>
        <v>Dàqínjiā Jiēdào</v>
      </c>
      <c r="C256" t="str">
        <f>IF(COUNTIF(B:B,B256)&gt;1,_xlfn.CONCAT(A256," (",M256,")"),B256)</f>
        <v>Dàqínjiā Jiēdào</v>
      </c>
      <c r="D256" t="s">
        <v>3088</v>
      </c>
      <c r="E256" t="s">
        <v>7</v>
      </c>
      <c r="F256" t="str">
        <f>_xlfn.CONCAT(D256,", ",H256,", ",I256,", ","山东省")</f>
        <v>大秦家街道, 招远市, 烟台市, 山东省</v>
      </c>
      <c r="G256">
        <v>28538</v>
      </c>
      <c r="H256" t="s">
        <v>3781</v>
      </c>
      <c r="I256" t="s">
        <v>3771</v>
      </c>
      <c r="J256">
        <f>VLOOKUP(F256,[1]!china_towns_second__2[[Column1]:[Y]],3,FALSE)</f>
        <v>37.337247248101399</v>
      </c>
      <c r="K256">
        <f>VLOOKUP(F256,[1]!china_towns_second__2[[Column1]:[Y]],2,FALSE)</f>
        <v>120.4729751</v>
      </c>
      <c r="L256" t="s">
        <v>5093</v>
      </c>
      <c r="M256" t="str">
        <f>VLOOKUP(H256,CHOOSE({1,2},Table17[Native],Table17[Name]),2,0)</f>
        <v>Zhāoyuăn Shì</v>
      </c>
      <c r="N256" s="15" t="str">
        <f>VLOOKUP(I256,CHOOSE({1,2},Table17[Native],Table17[Name]),2,0)</f>
        <v>Yāntái Shì</v>
      </c>
      <c r="O256" s="15" t="str">
        <f t="shared" si="6"/>
        <v>Daqinjia Jiedao (Yāntái Shì)</v>
      </c>
      <c r="P256" s="15" t="str">
        <f t="shared" si="7"/>
        <v>Daqinjia Jiedao (Yāntái Shì)</v>
      </c>
    </row>
    <row r="257" spans="1:16" hidden="1" x14ac:dyDescent="0.25">
      <c r="A257" t="s">
        <v>2704</v>
      </c>
      <c r="B257" t="str">
        <f>IF(COUNTIF(A:A,A257)&gt;1,_xlfn.CONCAT(A257," (",N257,")"),A257)</f>
        <v>Dàshèng Zhèn</v>
      </c>
      <c r="C257" t="str">
        <f>IF(COUNTIF(B:B,B257)&gt;1,_xlfn.CONCAT(A257," (",M257,")"),B257)</f>
        <v>Dàshèng Zhèn</v>
      </c>
      <c r="D257" t="s">
        <v>2705</v>
      </c>
      <c r="E257" t="s">
        <v>13</v>
      </c>
      <c r="F257" t="str">
        <f>_xlfn.CONCAT(D257,", ",H257,", ",I257,", ","山东省")</f>
        <v>大盛镇, 安丘市, 潍坊市, 山东省</v>
      </c>
      <c r="G257">
        <v>31797</v>
      </c>
      <c r="H257" t="s">
        <v>3752</v>
      </c>
      <c r="I257" t="s">
        <v>3751</v>
      </c>
      <c r="J257">
        <f>VLOOKUP(F257,[1]!china_towns_second__2[[Column1]:[Y]],3,FALSE)</f>
        <v>36.310641556270298</v>
      </c>
      <c r="K257">
        <f>VLOOKUP(F257,[1]!china_towns_second__2[[Column1]:[Y]],2,FALSE)</f>
        <v>118.8452556</v>
      </c>
      <c r="L257" t="s">
        <v>5094</v>
      </c>
      <c r="M257" t="str">
        <f>VLOOKUP(H257,CHOOSE({1,2},Table17[Native],Table17[Name]),2,0)</f>
        <v>Ānqiū Shì</v>
      </c>
      <c r="N257" s="15" t="str">
        <f>VLOOKUP(I257,CHOOSE({1,2},Table17[Native],Table17[Name]),2,0)</f>
        <v>Wéifāng Shì</v>
      </c>
      <c r="O257" s="15" t="str">
        <f t="shared" si="6"/>
        <v>Dasheng Zhen (Wéifāng Shì)</v>
      </c>
      <c r="P257" s="15" t="str">
        <f t="shared" si="7"/>
        <v>Dasheng Zhen (Wéifāng Shì)</v>
      </c>
    </row>
    <row r="258" spans="1:16" hidden="1" x14ac:dyDescent="0.25">
      <c r="A258" t="s">
        <v>1257</v>
      </c>
      <c r="B258" t="str">
        <f>IF(COUNTIF(A:A,A258)&gt;1,_xlfn.CONCAT(A258," (",N258,")"),A258)</f>
        <v>Dàshù Zhèn</v>
      </c>
      <c r="C258" t="str">
        <f>IF(COUNTIF(B:B,B258)&gt;1,_xlfn.CONCAT(A258," (",M258,")"),B258)</f>
        <v>Dàshù Zhèn</v>
      </c>
      <c r="D258" t="s">
        <v>1258</v>
      </c>
      <c r="E258" t="s">
        <v>13</v>
      </c>
      <c r="F258" t="str">
        <f>_xlfn.CONCAT(D258,", ",H258,", ",I258,", ","山东省")</f>
        <v>大束镇, 邹城市, 济宁市, 山东省</v>
      </c>
      <c r="G258">
        <v>73414</v>
      </c>
      <c r="H258" t="s">
        <v>3698</v>
      </c>
      <c r="I258" t="s">
        <v>3687</v>
      </c>
      <c r="J258">
        <f>VLOOKUP(F258,[1]!china_towns_second__2[[Column1]:[Y]],3,FALSE)</f>
        <v>35.432490301728301</v>
      </c>
      <c r="K258">
        <f>VLOOKUP(F258,[1]!china_towns_second__2[[Column1]:[Y]],2,FALSE)</f>
        <v>117.0925323</v>
      </c>
      <c r="L258" t="s">
        <v>5095</v>
      </c>
      <c r="M258" t="str">
        <f>VLOOKUP(H258,CHOOSE({1,2},Table17[Native],Table17[Name]),2,0)</f>
        <v>Zōuchéng Shì</v>
      </c>
      <c r="N258" s="15" t="str">
        <f>VLOOKUP(I258,CHOOSE({1,2},Table17[Native],Table17[Name]),2,0)</f>
        <v>Jìníng Shì</v>
      </c>
      <c r="O258" s="15" t="str">
        <f t="shared" ref="O258:O321" si="8">_xlfn.CONCAT(L258," (",N258,")")</f>
        <v>Dashu Zhen (Jìníng Shì)</v>
      </c>
      <c r="P258" s="15" t="str">
        <f t="shared" ref="P258:P321" si="9">IF(COUNTIF(O:O,O258)&gt;1,_xlfn.CONCAT(L258," (",M258,")"),O258)</f>
        <v>Dashu Zhen (Jìníng Shì)</v>
      </c>
    </row>
    <row r="259" spans="1:16" hidden="1" x14ac:dyDescent="0.25">
      <c r="A259" t="s">
        <v>2920</v>
      </c>
      <c r="B259" t="str">
        <f>IF(COUNTIF(A:A,A259)&gt;1,_xlfn.CONCAT(A259," (",N259,")"),A259)</f>
        <v>Dàshuĭbó Zhèn</v>
      </c>
      <c r="C259" t="str">
        <f>IF(COUNTIF(B:B,B259)&gt;1,_xlfn.CONCAT(A259," (",M259,")"),B259)</f>
        <v>Dàshuĭbó Zhèn</v>
      </c>
      <c r="D259" t="s">
        <v>2921</v>
      </c>
      <c r="E259" t="s">
        <v>13</v>
      </c>
      <c r="F259" t="str">
        <f>_xlfn.CONCAT(D259,", ",H259,", ",I259,", ","山东省")</f>
        <v>大水泊镇, 文登区, 威海市, 山东省</v>
      </c>
      <c r="G259">
        <v>35350</v>
      </c>
      <c r="H259" t="s">
        <v>3769</v>
      </c>
      <c r="I259" t="s">
        <v>3765</v>
      </c>
      <c r="J259">
        <f>VLOOKUP(F259,[1]!china_towns_second__2[[Column1]:[Y]],3,FALSE)</f>
        <v>37.169520226268197</v>
      </c>
      <c r="K259">
        <f>VLOOKUP(F259,[1]!china_towns_second__2[[Column1]:[Y]],2,FALSE)</f>
        <v>122.20981039999999</v>
      </c>
      <c r="L259" t="s">
        <v>5096</v>
      </c>
      <c r="M259" t="str">
        <f>VLOOKUP(H259,CHOOSE({1,2},Table17[Native],Table17[Name]),2,0)</f>
        <v>Wéndēng Qū</v>
      </c>
      <c r="N259" s="15" t="str">
        <f>VLOOKUP(I259,CHOOSE({1,2},Table17[Native],Table17[Name]),2,0)</f>
        <v>Wēihăi Shì</v>
      </c>
      <c r="O259" s="15" t="str">
        <f t="shared" si="8"/>
        <v>Dashuibo Zhen (Wēihăi Shì)</v>
      </c>
      <c r="P259" s="15" t="str">
        <f t="shared" si="9"/>
        <v>Dashuibo Zhen (Wēihăi Shì)</v>
      </c>
    </row>
    <row r="260" spans="1:16" hidden="1" x14ac:dyDescent="0.25">
      <c r="A260" t="s">
        <v>240</v>
      </c>
      <c r="B260" t="str">
        <f>IF(COUNTIF(A:A,A260)&gt;1,_xlfn.CONCAT(A260," (",N260,")"),A260)</f>
        <v>Dàsūn Xiāng</v>
      </c>
      <c r="C260" t="str">
        <f>IF(COUNTIF(B:B,B260)&gt;1,_xlfn.CONCAT(A260," (",M260,")"),B260)</f>
        <v>Dàsūn Xiāng</v>
      </c>
      <c r="D260" t="s">
        <v>241</v>
      </c>
      <c r="E260" t="s">
        <v>61</v>
      </c>
      <c r="F260" t="str">
        <f>_xlfn.CONCAT(D260,", ",H260,", ",I260,", ","山东省")</f>
        <v>大孙乡, 乐陵市, 德州市, 山东省</v>
      </c>
      <c r="G260">
        <v>22529</v>
      </c>
      <c r="H260" t="s">
        <v>3644</v>
      </c>
      <c r="I260" t="s">
        <v>3642</v>
      </c>
      <c r="J260" t="e">
        <f>VLOOKUP(F260,[1]!china_towns_second__2[[Column1]:[Y]],3,FALSE)</f>
        <v>#N/A</v>
      </c>
      <c r="K260" t="e">
        <f>VLOOKUP(F260,[1]!china_towns_second__2[[Column1]:[Y]],2,FALSE)</f>
        <v>#N/A</v>
      </c>
      <c r="L260" t="s">
        <v>5097</v>
      </c>
      <c r="M260" t="str">
        <f>VLOOKUP(H260,CHOOSE({1,2},Table17[Native],Table17[Name]),2,0)</f>
        <v>Lèlíng Shì</v>
      </c>
      <c r="N260" s="15" t="str">
        <f>VLOOKUP(I260,CHOOSE({1,2},Table17[Native],Table17[Name]),2,0)</f>
        <v>Dézhōu Shì</v>
      </c>
      <c r="O260" s="15" t="str">
        <f t="shared" si="8"/>
        <v>Dasun Xiang (Dézhōu Shì)</v>
      </c>
      <c r="P260" s="15" t="str">
        <f t="shared" si="9"/>
        <v>Dasun Xiang (Dézhōu Shì)</v>
      </c>
    </row>
    <row r="261" spans="1:16" hidden="1" x14ac:dyDescent="0.25">
      <c r="A261" t="s">
        <v>1851</v>
      </c>
      <c r="B261" t="str">
        <f>IF(COUNTIF(A:A,A261)&gt;1,_xlfn.CONCAT(A261," (",N261,")"),A261)</f>
        <v>Dàtiánzhuāng Xiāng</v>
      </c>
      <c r="C261" t="str">
        <f>IF(COUNTIF(B:B,B261)&gt;1,_xlfn.CONCAT(A261," (",M261,")"),B261)</f>
        <v>Dàtiánzhuāng Xiāng</v>
      </c>
      <c r="D261" t="s">
        <v>1852</v>
      </c>
      <c r="E261" t="s">
        <v>61</v>
      </c>
      <c r="F261" t="str">
        <f>_xlfn.CONCAT(D261,", ",H261,", ",I261,", ","山东省")</f>
        <v>大田庄乡, 费县, 临沂市, 山东省</v>
      </c>
      <c r="G261">
        <v>18127</v>
      </c>
      <c r="H261" t="s">
        <v>3711</v>
      </c>
      <c r="I261" t="s">
        <v>3710</v>
      </c>
      <c r="J261" t="e">
        <f>VLOOKUP(F261,[1]!china_towns_second__2[[Column1]:[Y]],3,FALSE)</f>
        <v>#N/A</v>
      </c>
      <c r="K261" t="e">
        <f>VLOOKUP(F261,[1]!china_towns_second__2[[Column1]:[Y]],2,FALSE)</f>
        <v>#N/A</v>
      </c>
      <c r="L261" t="s">
        <v>5098</v>
      </c>
      <c r="M261" t="str">
        <f>VLOOKUP(H261,CHOOSE({1,2},Table17[Native],Table17[Name]),2,0)</f>
        <v>Fèi Xiàn</v>
      </c>
      <c r="N261" s="15" t="str">
        <f>VLOOKUP(I261,CHOOSE({1,2},Table17[Native],Table17[Name]),2,0)</f>
        <v>Línyí Shì</v>
      </c>
      <c r="O261" s="15" t="str">
        <f t="shared" si="8"/>
        <v>Datianzhuang Xiang (Línyí Shì)</v>
      </c>
      <c r="P261" s="15" t="str">
        <f t="shared" si="9"/>
        <v>Datianzhuang Xiang (Línyí Shì)</v>
      </c>
    </row>
    <row r="262" spans="1:16" hidden="1" x14ac:dyDescent="0.25">
      <c r="A262" t="s">
        <v>2922</v>
      </c>
      <c r="B262" t="str">
        <f>IF(COUNTIF(A:A,A262)&gt;1,_xlfn.CONCAT(A262," (",N262,")"),A262)</f>
        <v>Dàtuăn Zhèn</v>
      </c>
      <c r="C262" t="str">
        <f>IF(COUNTIF(B:B,B262)&gt;1,_xlfn.CONCAT(A262," (",M262,")"),B262)</f>
        <v>Dàtuăn Zhèn</v>
      </c>
      <c r="D262" t="s">
        <v>2923</v>
      </c>
      <c r="E262" t="s">
        <v>13</v>
      </c>
      <c r="F262" t="str">
        <f>_xlfn.CONCAT(D262,", ",H262,", ",I262,", ","山东省")</f>
        <v>大疃镇, 荣成市, 威海市, 山东省</v>
      </c>
      <c r="G262">
        <v>15518</v>
      </c>
      <c r="H262" t="s">
        <v>3767</v>
      </c>
      <c r="I262" t="s">
        <v>3765</v>
      </c>
      <c r="J262">
        <f>VLOOKUP(F262,[1]!china_towns_second__2[[Column1]:[Y]],3,FALSE)</f>
        <v>37.106363559043302</v>
      </c>
      <c r="K262">
        <f>VLOOKUP(F262,[1]!china_towns_second__2[[Column1]:[Y]],2,FALSE)</f>
        <v>122.2900947</v>
      </c>
      <c r="L262" t="s">
        <v>5099</v>
      </c>
      <c r="M262" t="str">
        <f>VLOOKUP(H262,CHOOSE({1,2},Table17[Native],Table17[Name]),2,0)</f>
        <v>Róngchéng Shì</v>
      </c>
      <c r="N262" s="15" t="str">
        <f>VLOOKUP(I262,CHOOSE({1,2},Table17[Native],Table17[Name]),2,0)</f>
        <v>Wēihăi Shì</v>
      </c>
      <c r="O262" s="15" t="str">
        <f t="shared" si="8"/>
        <v>Datuan Zhen (Wēihăi Shì)</v>
      </c>
      <c r="P262" s="15" t="str">
        <f t="shared" si="9"/>
        <v>Datuan Zhen (Wēihăi Shì)</v>
      </c>
    </row>
    <row r="263" spans="1:16" hidden="1" x14ac:dyDescent="0.25">
      <c r="A263" t="s">
        <v>651</v>
      </c>
      <c r="B263" t="str">
        <f>IF(COUNTIF(A:A,A263)&gt;1,_xlfn.CONCAT(A263," (",N263,")"),A263)</f>
        <v>Dàtún Zhèn</v>
      </c>
      <c r="C263" t="str">
        <f>IF(COUNTIF(B:B,B263)&gt;1,_xlfn.CONCAT(A263," (",M263,")"),B263)</f>
        <v>Dàtún Zhèn</v>
      </c>
      <c r="D263" t="s">
        <v>652</v>
      </c>
      <c r="E263" t="s">
        <v>13</v>
      </c>
      <c r="F263" t="str">
        <f>_xlfn.CONCAT(D263,", ",H263,", ",I263,", ","山东省")</f>
        <v>大屯镇, 东明县, 菏泽市, 山东省</v>
      </c>
      <c r="G263">
        <v>40513</v>
      </c>
      <c r="H263" t="s">
        <v>3666</v>
      </c>
      <c r="I263" t="s">
        <v>3662</v>
      </c>
      <c r="J263">
        <f>VLOOKUP(F263,[1]!china_towns_second__2[[Column1]:[Y]],3,FALSE)</f>
        <v>35.102132751654203</v>
      </c>
      <c r="K263">
        <f>VLOOKUP(F263,[1]!china_towns_second__2[[Column1]:[Y]],2,FALSE)</f>
        <v>115.2021615</v>
      </c>
      <c r="L263" t="s">
        <v>5100</v>
      </c>
      <c r="M263" t="str">
        <f>VLOOKUP(H263,CHOOSE({1,2},Table17[Native],Table17[Name]),2,0)</f>
        <v>Dōngmíng Xiàn</v>
      </c>
      <c r="N263" s="15" t="str">
        <f>VLOOKUP(I263,CHOOSE({1,2},Table17[Native],Table17[Name]),2,0)</f>
        <v>Hézé Shì</v>
      </c>
      <c r="O263" s="15" t="str">
        <f t="shared" si="8"/>
        <v>Datun Zhen (Hézé Shì)</v>
      </c>
      <c r="P263" s="15" t="str">
        <f t="shared" si="9"/>
        <v>Datun Zhen (Hézé Shì)</v>
      </c>
    </row>
    <row r="264" spans="1:16" hidden="1" x14ac:dyDescent="0.25">
      <c r="A264" t="s">
        <v>481</v>
      </c>
      <c r="B264" t="str">
        <f>IF(COUNTIF(A:A,A264)&gt;1,_xlfn.CONCAT(A264," (",N264,")"),A264)</f>
        <v>Dàwáng Zhèn</v>
      </c>
      <c r="C264" t="str">
        <f>IF(COUNTIF(B:B,B264)&gt;1,_xlfn.CONCAT(A264," (",M264,")"),B264)</f>
        <v>Dàwáng Zhèn</v>
      </c>
      <c r="D264" t="s">
        <v>482</v>
      </c>
      <c r="E264" t="s">
        <v>13</v>
      </c>
      <c r="F264" t="str">
        <f>_xlfn.CONCAT(D264,", ",H264,", ",I264,", ","山东省")</f>
        <v>大王镇, 广饶县, 东营市, 山东省</v>
      </c>
      <c r="G264">
        <v>98542</v>
      </c>
      <c r="H264" t="s">
        <v>3657</v>
      </c>
      <c r="I264" t="s">
        <v>3655</v>
      </c>
      <c r="J264">
        <f>VLOOKUP(F264,[1]!china_towns_second__2[[Column1]:[Y]],3,FALSE)</f>
        <v>36.982284633960802</v>
      </c>
      <c r="K264">
        <f>VLOOKUP(F264,[1]!china_towns_second__2[[Column1]:[Y]],2,FALSE)</f>
        <v>118.48263609999999</v>
      </c>
      <c r="L264" t="s">
        <v>5101</v>
      </c>
      <c r="M264" t="str">
        <f>VLOOKUP(H264,CHOOSE({1,2},Table17[Native],Table17[Name]),2,0)</f>
        <v>Guăngráo Xiàn</v>
      </c>
      <c r="N264" s="15" t="str">
        <f>VLOOKUP(I264,CHOOSE({1,2},Table17[Native],Table17[Name]),2,0)</f>
        <v>Dōngyíng Shì</v>
      </c>
      <c r="O264" s="15" t="str">
        <f t="shared" si="8"/>
        <v>Dawang Zhen (Dōngyíng Shì)</v>
      </c>
      <c r="P264" s="15" t="str">
        <f t="shared" si="9"/>
        <v>Dawang Zhen (Dōngyíng Shì)</v>
      </c>
    </row>
    <row r="265" spans="1:16" hidden="1" x14ac:dyDescent="0.25">
      <c r="A265" t="s">
        <v>1566</v>
      </c>
      <c r="B265" t="str">
        <f>IF(COUNTIF(A:A,A265)&gt;1,_xlfn.CONCAT(A265," (",N265,")"),A265)</f>
        <v>Dàwángzhài Zhèn</v>
      </c>
      <c r="C265" t="str">
        <f>IF(COUNTIF(B:B,B265)&gt;1,_xlfn.CONCAT(A265," (",M265,")"),B265)</f>
        <v>Dàwángzhài Zhèn</v>
      </c>
      <c r="D265" t="s">
        <v>1567</v>
      </c>
      <c r="E265" t="s">
        <v>13</v>
      </c>
      <c r="F265" t="str">
        <f>_xlfn.CONCAT(D265,", ",H265,", ",I265,", ","山东省")</f>
        <v>大王寨镇, 莘县, 聊城市, 山东省</v>
      </c>
      <c r="G265">
        <v>35354</v>
      </c>
      <c r="H265" t="s">
        <v>3707</v>
      </c>
      <c r="I265" t="s">
        <v>3700</v>
      </c>
      <c r="J265">
        <f>VLOOKUP(F265,[1]!china_towns_second__2[[Column1]:[Y]],3,FALSE)</f>
        <v>36.330380115379</v>
      </c>
      <c r="K265">
        <f>VLOOKUP(F265,[1]!china_towns_second__2[[Column1]:[Y]],2,FALSE)</f>
        <v>115.4954985</v>
      </c>
      <c r="L265" t="s">
        <v>5102</v>
      </c>
      <c r="M265" t="str">
        <f>VLOOKUP(H265,CHOOSE({1,2},Table17[Native],Table17[Name]),2,0)</f>
        <v>Shēn Xiàn</v>
      </c>
      <c r="N265" s="15" t="str">
        <f>VLOOKUP(I265,CHOOSE({1,2},Table17[Native],Table17[Name]),2,0)</f>
        <v>Liáochéng Shì</v>
      </c>
      <c r="O265" s="15" t="str">
        <f t="shared" si="8"/>
        <v>Dawangzhai Zhen (Liáochéng Shì)</v>
      </c>
      <c r="P265" s="15" t="str">
        <f t="shared" si="9"/>
        <v>Dawangzhai Zhen (Liáochéng Shì)</v>
      </c>
    </row>
    <row r="266" spans="1:16" hidden="1" x14ac:dyDescent="0.25">
      <c r="A266" t="s">
        <v>953</v>
      </c>
      <c r="B266" t="str">
        <f>IF(COUNTIF(A:A,A266)&gt;1,_xlfn.CONCAT(A266," (",N266,")"),A266)</f>
        <v>Dàwángzhuāng Zhèn</v>
      </c>
      <c r="C266" t="str">
        <f>IF(COUNTIF(B:B,B266)&gt;1,_xlfn.CONCAT(A266," (",M266,")"),B266)</f>
        <v>Dàwángzhuāng Zhèn</v>
      </c>
      <c r="D266" t="s">
        <v>954</v>
      </c>
      <c r="E266" t="s">
        <v>13</v>
      </c>
      <c r="F266" t="str">
        <f>_xlfn.CONCAT(D266,", ",H266,", ",I266,", ","山东省")</f>
        <v>大王庄镇, 莱芜区, 济南市, 山东省</v>
      </c>
      <c r="G266">
        <v>40131</v>
      </c>
      <c r="H266" t="s">
        <v>3678</v>
      </c>
      <c r="I266" t="s">
        <v>3673</v>
      </c>
      <c r="J266">
        <f>VLOOKUP(F266,[1]!china_towns_second__2[[Column1]:[Y]],3,FALSE)</f>
        <v>36.360962299999997</v>
      </c>
      <c r="K266">
        <f>VLOOKUP(F266,[1]!china_towns_second__2[[Column1]:[Y]],2,FALSE)</f>
        <v>117.4770786</v>
      </c>
      <c r="L266" t="s">
        <v>5103</v>
      </c>
      <c r="M266" t="str">
        <f>VLOOKUP(H266,CHOOSE({1,2},Table17[Native],Table17[Name]),2,0)</f>
        <v>Láiwú Qū</v>
      </c>
      <c r="N266" s="15" t="str">
        <f>VLOOKUP(I266,CHOOSE({1,2},Table17[Native],Table17[Name]),2,0)</f>
        <v>Jìnán Shì</v>
      </c>
      <c r="O266" s="15" t="str">
        <f t="shared" si="8"/>
        <v>Dawangzhuang Zhen (Jìnán Shì)</v>
      </c>
      <c r="P266" s="15" t="str">
        <f t="shared" si="9"/>
        <v>Dawangzhuang Zhen (Jìnán Shì)</v>
      </c>
    </row>
    <row r="267" spans="1:16" hidden="1" x14ac:dyDescent="0.25">
      <c r="A267" t="s">
        <v>2528</v>
      </c>
      <c r="B267" t="str">
        <f>IF(COUNTIF(A:A,A267)&gt;1,_xlfn.CONCAT(A267," (",N267,")"),A267)</f>
        <v>Dàwènkŏu Zhèn</v>
      </c>
      <c r="C267" t="str">
        <f>IF(COUNTIF(B:B,B267)&gt;1,_xlfn.CONCAT(A267," (",M267,")"),B267)</f>
        <v>Dàwènkŏu Zhèn</v>
      </c>
      <c r="D267" t="s">
        <v>2529</v>
      </c>
      <c r="E267" t="s">
        <v>13</v>
      </c>
      <c r="F267" t="str">
        <f>_xlfn.CONCAT(D267,", ",H267,", ",I267,", ","山东省")</f>
        <v>大汶口镇, 岱岳区, 泰安市, 山东省</v>
      </c>
      <c r="G267">
        <v>74986</v>
      </c>
      <c r="H267" t="s">
        <v>3744</v>
      </c>
      <c r="I267" t="s">
        <v>3743</v>
      </c>
      <c r="J267">
        <f>VLOOKUP(F267,[1]!china_towns_second__2[[Column1]:[Y]],3,FALSE)</f>
        <v>35.983864012323501</v>
      </c>
      <c r="K267">
        <f>VLOOKUP(F267,[1]!china_towns_second__2[[Column1]:[Y]],2,FALSE)</f>
        <v>117.10161720000001</v>
      </c>
      <c r="L267" t="s">
        <v>5104</v>
      </c>
      <c r="M267" t="str">
        <f>VLOOKUP(H267,CHOOSE({1,2},Table17[Native],Table17[Name]),2,0)</f>
        <v>Dàiyuè Qū</v>
      </c>
      <c r="N267" s="15" t="str">
        <f>VLOOKUP(I267,CHOOSE({1,2},Table17[Native],Table17[Name]),2,0)</f>
        <v>Tài'ān Shì</v>
      </c>
      <c r="O267" s="15" t="str">
        <f t="shared" si="8"/>
        <v>Dawenkou Zhen (Tài'ān Shì)</v>
      </c>
      <c r="P267" s="15" t="str">
        <f t="shared" si="9"/>
        <v>Dawenkou Zhen (Tài'ān Shì)</v>
      </c>
    </row>
    <row r="268" spans="1:16" hidden="1" x14ac:dyDescent="0.25">
      <c r="A268" t="s">
        <v>3359</v>
      </c>
      <c r="B268" t="str">
        <f>IF(COUNTIF(A:A,A268)&gt;1,_xlfn.CONCAT(A268," (",N268,")"),A268)</f>
        <v>Dàwù Zhèn</v>
      </c>
      <c r="C268" t="str">
        <f>IF(COUNTIF(B:B,B268)&gt;1,_xlfn.CONCAT(A268," (",M268,")"),B268)</f>
        <v>Dàwù Zhèn</v>
      </c>
      <c r="D268" t="s">
        <v>3360</v>
      </c>
      <c r="E268" t="s">
        <v>13</v>
      </c>
      <c r="F268" t="str">
        <f>_xlfn.CONCAT(D268,", ",H268,", ",I268,", ","山东省")</f>
        <v>大坞镇, 滕州市, 枣庄市, 山东省</v>
      </c>
      <c r="G268">
        <v>81408</v>
      </c>
      <c r="H268" t="s">
        <v>3787</v>
      </c>
      <c r="I268" t="s">
        <v>3784</v>
      </c>
      <c r="J268">
        <f>VLOOKUP(F268,[1]!china_towns_second__2[[Column1]:[Y]],3,FALSE)</f>
        <v>35.138433200124602</v>
      </c>
      <c r="K268">
        <f>VLOOKUP(F268,[1]!china_towns_second__2[[Column1]:[Y]],2,FALSE)</f>
        <v>116.98885660000001</v>
      </c>
      <c r="L268" t="s">
        <v>5105</v>
      </c>
      <c r="M268" t="str">
        <f>VLOOKUP(H268,CHOOSE({1,2},Table17[Native],Table17[Name]),2,0)</f>
        <v>Téngzhōu Shì</v>
      </c>
      <c r="N268" s="15" t="str">
        <f>VLOOKUP(I268,CHOOSE({1,2},Table17[Native],Table17[Name]),2,0)</f>
        <v>Zăozhuāng Shì</v>
      </c>
      <c r="O268" s="15" t="str">
        <f t="shared" si="8"/>
        <v>Dawu Zhen (Zăozhuāng Shì)</v>
      </c>
      <c r="P268" s="15" t="str">
        <f t="shared" si="9"/>
        <v>Dawu Zhen (Zăozhuāng Shì)</v>
      </c>
    </row>
    <row r="269" spans="1:16" hidden="1" x14ac:dyDescent="0.25">
      <c r="A269" t="s">
        <v>653</v>
      </c>
      <c r="B269" t="str">
        <f>IF(COUNTIF(A:A,A269)&gt;1,_xlfn.CONCAT(A269," (",N269,")"),A269)</f>
        <v>Dàxièjí Zhèn</v>
      </c>
      <c r="C269" t="str">
        <f>IF(COUNTIF(B:B,B269)&gt;1,_xlfn.CONCAT(A269," (",M269,")"),B269)</f>
        <v>Dàxièjí Zhèn</v>
      </c>
      <c r="D269" t="s">
        <v>654</v>
      </c>
      <c r="E269" t="s">
        <v>13</v>
      </c>
      <c r="F269" t="str">
        <f>_xlfn.CONCAT(D269,", ",H269,", ",I269,", ","山东省")</f>
        <v>大谢集镇, 巨野县, 菏泽市, 山东省</v>
      </c>
      <c r="G269">
        <v>57075</v>
      </c>
      <c r="H269" t="s">
        <v>3668</v>
      </c>
      <c r="I269" t="s">
        <v>3662</v>
      </c>
      <c r="J269">
        <f>VLOOKUP(F269,[1]!china_towns_second__2[[Column1]:[Y]],3,FALSE)</f>
        <v>35.157926869857199</v>
      </c>
      <c r="K269">
        <f>VLOOKUP(F269,[1]!china_towns_second__2[[Column1]:[Y]],2,FALSE)</f>
        <v>116.12254110000001</v>
      </c>
      <c r="L269" t="s">
        <v>5106</v>
      </c>
      <c r="M269" t="str">
        <f>VLOOKUP(H269,CHOOSE({1,2},Table17[Native],Table17[Name]),2,0)</f>
        <v>Jùyĕ Xiàn</v>
      </c>
      <c r="N269" s="15" t="str">
        <f>VLOOKUP(I269,CHOOSE({1,2},Table17[Native],Table17[Name]),2,0)</f>
        <v>Hézé Shì</v>
      </c>
      <c r="O269" s="15" t="str">
        <f t="shared" si="8"/>
        <v>Daxieji Zhen (Hézé Shì)</v>
      </c>
      <c r="P269" s="15" t="str">
        <f t="shared" si="9"/>
        <v>Daxieji Zhen (Hézé Shì)</v>
      </c>
    </row>
    <row r="270" spans="1:16" hidden="1" x14ac:dyDescent="0.25">
      <c r="A270" t="s">
        <v>3823</v>
      </c>
      <c r="B270" t="str">
        <f>IF(COUNTIF(A:A,A270)&gt;1,_xlfn.CONCAT(A270," (",N270,")"),A270)</f>
        <v>Dàxìn Zhèn [incl. Pŭdōng Zhèn]</v>
      </c>
      <c r="C270" t="str">
        <f>IF(COUNTIF(B:B,B270)&gt;1,_xlfn.CONCAT(A270," (",M270,")"),B270)</f>
        <v>Dàxìn Zhèn [incl. Pŭdōng Zhèn]</v>
      </c>
      <c r="D270" t="s">
        <v>3822</v>
      </c>
      <c r="E270" t="s">
        <v>13</v>
      </c>
      <c r="F270" t="str">
        <f>_xlfn.CONCAT(D270,", ",H270,", ",I270,", ","山东省")</f>
        <v>大信镇, 即墨区, 青岛市, 山东省</v>
      </c>
      <c r="G270">
        <v>66960</v>
      </c>
      <c r="H270" t="s">
        <v>3728</v>
      </c>
      <c r="I270" t="s">
        <v>3724</v>
      </c>
      <c r="J270">
        <f>VLOOKUP(F270,[1]!china_towns_second__2[[Column1]:[Y]],3,FALSE)</f>
        <v>36.436917305529398</v>
      </c>
      <c r="K270">
        <f>VLOOKUP(F270,[1]!china_towns_second__2[[Column1]:[Y]],2,FALSE)</f>
        <v>120.3247235</v>
      </c>
      <c r="L270" t="s">
        <v>5107</v>
      </c>
      <c r="M270" t="str">
        <f>VLOOKUP(H270,CHOOSE({1,2},Table17[Native],Table17[Name]),2,0)</f>
        <v>Jímò Qū</v>
      </c>
      <c r="N270" s="15" t="str">
        <f>VLOOKUP(I270,CHOOSE({1,2},Table17[Native],Table17[Name]),2,0)</f>
        <v>Qīngdăo Shì</v>
      </c>
      <c r="O270" s="15" t="str">
        <f t="shared" si="8"/>
        <v>Daxin Zhen [incl. Pudong Zhen] (Qīngdăo Shì)</v>
      </c>
      <c r="P270" s="15" t="str">
        <f t="shared" si="9"/>
        <v>Daxin Zhen [incl. Pudong Zhen] (Qīngdăo Shì)</v>
      </c>
    </row>
    <row r="271" spans="1:16" hidden="1" x14ac:dyDescent="0.25">
      <c r="A271" t="s">
        <v>3089</v>
      </c>
      <c r="B271" t="str">
        <f>IF(COUNTIF(A:A,A271)&gt;1,_xlfn.CONCAT(A271," (",N271,")"),A271)</f>
        <v>Dàxīndiàn Zhèn</v>
      </c>
      <c r="C271" t="str">
        <f>IF(COUNTIF(B:B,B271)&gt;1,_xlfn.CONCAT(A271," (",M271,")"),B271)</f>
        <v>Dàxīndiàn Zhèn</v>
      </c>
      <c r="D271" t="s">
        <v>3090</v>
      </c>
      <c r="E271" t="s">
        <v>13</v>
      </c>
      <c r="F271" t="str">
        <f>_xlfn.CONCAT(D271,", ",H271,", ",I271,", ","山东省")</f>
        <v>大辛店镇, 蓬莱区, 烟台市, 山东省</v>
      </c>
      <c r="G271">
        <v>67453</v>
      </c>
      <c r="H271" t="s">
        <v>3779</v>
      </c>
      <c r="I271" t="s">
        <v>3771</v>
      </c>
      <c r="J271">
        <f>VLOOKUP(F271,[1]!china_towns_second__2[[Column1]:[Y]],3,FALSE)</f>
        <v>37.6224336335261</v>
      </c>
      <c r="K271">
        <f>VLOOKUP(F271,[1]!china_towns_second__2[[Column1]:[Y]],2,FALSE)</f>
        <v>120.8871135</v>
      </c>
      <c r="L271" t="s">
        <v>5108</v>
      </c>
      <c r="M271" t="str">
        <f>VLOOKUP(H271,CHOOSE({1,2},Table17[Native],Table17[Name]),2,0)</f>
        <v>Pénglái Qū</v>
      </c>
      <c r="N271" s="15" t="str">
        <f>VLOOKUP(I271,CHOOSE({1,2},Table17[Native],Table17[Name]),2,0)</f>
        <v>Yāntái Shì</v>
      </c>
      <c r="O271" s="15" t="str">
        <f t="shared" si="8"/>
        <v>Daxindian Zhen (Yāntái Shì)</v>
      </c>
      <c r="P271" s="15" t="str">
        <f t="shared" si="9"/>
        <v>Daxindian Zhen (Yāntái Shì)</v>
      </c>
    </row>
    <row r="272" spans="1:16" hidden="1" x14ac:dyDescent="0.25">
      <c r="A272" t="s">
        <v>1854</v>
      </c>
      <c r="B272" t="str">
        <f>IF(COUNTIF(A:A,A272)&gt;1,_xlfn.CONCAT(A272," (",N272,")"),A272)</f>
        <v>Dàxīng Zhèn</v>
      </c>
      <c r="C272" t="str">
        <f>IF(COUNTIF(B:B,B272)&gt;1,_xlfn.CONCAT(A272," (",M272,")"),B272)</f>
        <v>Dàxīng Zhèn</v>
      </c>
      <c r="D272" t="s">
        <v>1855</v>
      </c>
      <c r="E272" t="s">
        <v>13</v>
      </c>
      <c r="F272" t="str">
        <f>_xlfn.CONCAT(D272,", ",H272,", ",I272,", ","山东省")</f>
        <v>大兴镇, 临沭县, 临沂市, 山东省</v>
      </c>
      <c r="G272">
        <v>56624</v>
      </c>
      <c r="H272" t="s">
        <v>3716</v>
      </c>
      <c r="I272" t="s">
        <v>3710</v>
      </c>
      <c r="J272">
        <f>VLOOKUP(F272,[1]!china_towns_second__2[[Column1]:[Y]],3,FALSE)</f>
        <v>34.767909546781802</v>
      </c>
      <c r="K272">
        <f>VLOOKUP(F272,[1]!china_towns_second__2[[Column1]:[Y]],2,FALSE)</f>
        <v>118.7056865</v>
      </c>
      <c r="L272" t="s">
        <v>5109</v>
      </c>
      <c r="M272" t="str">
        <f>VLOOKUP(H272,CHOOSE({1,2},Table17[Native],Table17[Name]),2,0)</f>
        <v>Línshù Xiàn</v>
      </c>
      <c r="N272" s="15" t="str">
        <f>VLOOKUP(I272,CHOOSE({1,2},Table17[Native],Table17[Name]),2,0)</f>
        <v>Línyí Shì</v>
      </c>
      <c r="O272" s="15" t="str">
        <f t="shared" si="8"/>
        <v>Daxing Zhen (Línyí Shì)</v>
      </c>
      <c r="P272" s="15" t="str">
        <f t="shared" si="9"/>
        <v>Daxing Zhen (Línyí Shì)</v>
      </c>
    </row>
    <row r="273" spans="1:16" hidden="1" x14ac:dyDescent="0.25">
      <c r="A273" t="s">
        <v>1568</v>
      </c>
      <c r="B273" t="str">
        <f>IF(COUNTIF(A:A,A273)&gt;1,_xlfn.CONCAT(A273," (",N273,")"),A273)</f>
        <v>Dàxīnzhuāng Jiēdào</v>
      </c>
      <c r="C273" t="str">
        <f>IF(COUNTIF(B:B,B273)&gt;1,_xlfn.CONCAT(A273," (",M273,")"),B273)</f>
        <v>Dàxīnzhuāng Jiēdào</v>
      </c>
      <c r="D273" t="s">
        <v>1569</v>
      </c>
      <c r="E273" t="s">
        <v>7</v>
      </c>
      <c r="F273" t="str">
        <f>_xlfn.CONCAT(D273,", ",H273,", ",I273,", ","山东省")</f>
        <v>大辛庄街道, 临清市, 聊城市, 山东省</v>
      </c>
      <c r="G273">
        <v>35253</v>
      </c>
      <c r="H273" t="s">
        <v>3706</v>
      </c>
      <c r="I273" t="s">
        <v>3700</v>
      </c>
      <c r="J273">
        <f>VLOOKUP(F273,[1]!china_towns_second__2[[Column1]:[Y]],3,FALSE)</f>
        <v>36.773887051478397</v>
      </c>
      <c r="K273">
        <f>VLOOKUP(F273,[1]!china_towns_second__2[[Column1]:[Y]],2,FALSE)</f>
        <v>115.717857</v>
      </c>
      <c r="L273" t="s">
        <v>5110</v>
      </c>
      <c r="M273" t="str">
        <f>VLOOKUP(H273,CHOOSE({1,2},Table17[Native],Table17[Name]),2,0)</f>
        <v>Línqīng Shì</v>
      </c>
      <c r="N273" s="15" t="str">
        <f>VLOOKUP(I273,CHOOSE({1,2},Table17[Native],Table17[Name]),2,0)</f>
        <v>Liáochéng Shì</v>
      </c>
      <c r="O273" s="15" t="str">
        <f t="shared" si="8"/>
        <v>Daxinzhuang Jiedao (Liáochéng Shì)</v>
      </c>
      <c r="P273" s="15" t="str">
        <f t="shared" si="9"/>
        <v>Daxinzhuang Jiedao (Liáochéng Shì)</v>
      </c>
    </row>
    <row r="274" spans="1:16" hidden="1" x14ac:dyDescent="0.25">
      <c r="A274" t="s">
        <v>2530</v>
      </c>
      <c r="B274" t="str">
        <f>IF(COUNTIF(A:A,A274)&gt;1,_xlfn.CONCAT(A274," (",N274,")"),A274)</f>
        <v>Dàyáng Zhèn</v>
      </c>
      <c r="C274" t="str">
        <f>IF(COUNTIF(B:B,B274)&gt;1,_xlfn.CONCAT(A274," (",M274,")"),B274)</f>
        <v>Dàyáng Zhèn</v>
      </c>
      <c r="D274" t="s">
        <v>2531</v>
      </c>
      <c r="E274" t="s">
        <v>13</v>
      </c>
      <c r="F274" t="str">
        <f>_xlfn.CONCAT(D274,", ",H274,", ",I274,", ","山东省")</f>
        <v>大羊镇, 东平县, 泰安市, 山东省</v>
      </c>
      <c r="G274">
        <v>32266</v>
      </c>
      <c r="H274" t="s">
        <v>3745</v>
      </c>
      <c r="I274" t="s">
        <v>3743</v>
      </c>
      <c r="J274">
        <f>VLOOKUP(F274,[1]!china_towns_second__2[[Column1]:[Y]],3,FALSE)</f>
        <v>36.029651587157304</v>
      </c>
      <c r="K274">
        <f>VLOOKUP(F274,[1]!china_towns_second__2[[Column1]:[Y]],2,FALSE)</f>
        <v>116.4833883</v>
      </c>
      <c r="L274" t="s">
        <v>5111</v>
      </c>
      <c r="M274" t="str">
        <f>VLOOKUP(H274,CHOOSE({1,2},Table17[Native],Table17[Name]),2,0)</f>
        <v>Dōngpíng Xiàn</v>
      </c>
      <c r="N274" s="15" t="str">
        <f>VLOOKUP(I274,CHOOSE({1,2},Table17[Native],Table17[Name]),2,0)</f>
        <v>Tài'ān Shì</v>
      </c>
      <c r="O274" s="15" t="str">
        <f t="shared" si="8"/>
        <v>Dayang Zhen (Tài'ān Shì)</v>
      </c>
      <c r="P274" s="15" t="str">
        <f t="shared" si="9"/>
        <v>Dayang Zhen (Tài'ān Shì)</v>
      </c>
    </row>
    <row r="275" spans="1:16" hidden="1" x14ac:dyDescent="0.25">
      <c r="A275" t="s">
        <v>3091</v>
      </c>
      <c r="B275" t="str">
        <f>IF(COUNTIF(A:A,A275)&gt;1,_xlfn.CONCAT(A275," (",N275,")"),A275)</f>
        <v>Dàyáo Jiēdào</v>
      </c>
      <c r="C275" t="str">
        <f>IF(COUNTIF(B:B,B275)&gt;1,_xlfn.CONCAT(A275," (",M275,")"),B275)</f>
        <v>Dàyáo Jiēdào</v>
      </c>
      <c r="D275" t="s">
        <v>3092</v>
      </c>
      <c r="E275" t="s">
        <v>7</v>
      </c>
      <c r="F275" t="str">
        <f>_xlfn.CONCAT(D275,", ",H275,", ",I275,", ","山东省")</f>
        <v>大窑街道, 牟平区, 烟台市, 山东省</v>
      </c>
      <c r="G275">
        <v>31142</v>
      </c>
      <c r="H275" t="s">
        <v>3778</v>
      </c>
      <c r="I275" t="s">
        <v>3771</v>
      </c>
      <c r="J275">
        <f>VLOOKUP(F275,[1]!china_towns_second__2[[Column1]:[Y]],3,FALSE)</f>
        <v>37.402651677482403</v>
      </c>
      <c r="K275">
        <f>VLOOKUP(F275,[1]!china_towns_second__2[[Column1]:[Y]],2,FALSE)</f>
        <v>121.6730345</v>
      </c>
      <c r="L275" t="s">
        <v>5112</v>
      </c>
      <c r="M275" t="str">
        <f>VLOOKUP(H275,CHOOSE({1,2},Table17[Native],Table17[Name]),2,0)</f>
        <v>Mùpíng Qū</v>
      </c>
      <c r="N275" s="15" t="str">
        <f>VLOOKUP(I275,CHOOSE({1,2},Table17[Native],Table17[Name]),2,0)</f>
        <v>Yāntái Shì</v>
      </c>
      <c r="O275" s="15" t="str">
        <f t="shared" si="8"/>
        <v>Dayao Jiedao (Yāntái Shì)</v>
      </c>
      <c r="P275" s="15" t="str">
        <f t="shared" si="9"/>
        <v>Dayao Jiedao (Yāntái Shì)</v>
      </c>
    </row>
    <row r="276" spans="1:16" hidden="1" x14ac:dyDescent="0.25">
      <c r="A276" t="s">
        <v>656</v>
      </c>
      <c r="B276" t="str">
        <f>IF(COUNTIF(A:A,A276)&gt;1,_xlfn.CONCAT(A276," (",N276,")"),A276)</f>
        <v>Dàyì Zhèn</v>
      </c>
      <c r="C276" t="str">
        <f>IF(COUNTIF(B:B,B276)&gt;1,_xlfn.CONCAT(A276," (",M276,")"),B276)</f>
        <v>Dàyì Zhèn</v>
      </c>
      <c r="D276" t="s">
        <v>657</v>
      </c>
      <c r="E276" t="s">
        <v>13</v>
      </c>
      <c r="F276" t="str">
        <f>_xlfn.CONCAT(D276,", ",H276,", ",I276,", ","山东省")</f>
        <v>大义镇, 巨野县, 菏泽市, 山东省</v>
      </c>
      <c r="G276">
        <v>61542</v>
      </c>
      <c r="H276" t="s">
        <v>3668</v>
      </c>
      <c r="I276" t="s">
        <v>3662</v>
      </c>
      <c r="J276">
        <f>VLOOKUP(F276,[1]!china_towns_second__2[[Column1]:[Y]],3,FALSE)</f>
        <v>35.261831534068101</v>
      </c>
      <c r="K276">
        <f>VLOOKUP(F276,[1]!china_towns_second__2[[Column1]:[Y]],2,FALSE)</f>
        <v>116.0792941</v>
      </c>
      <c r="L276" t="s">
        <v>5113</v>
      </c>
      <c r="M276" t="str">
        <f>VLOOKUP(H276,CHOOSE({1,2},Table17[Native],Table17[Name]),2,0)</f>
        <v>Jùyĕ Xiàn</v>
      </c>
      <c r="N276" s="15" t="str">
        <f>VLOOKUP(I276,CHOOSE({1,2},Table17[Native],Table17[Name]),2,0)</f>
        <v>Hézé Shì</v>
      </c>
      <c r="O276" s="15" t="str">
        <f t="shared" si="8"/>
        <v>Dayi Zhen (Hézé Shì)</v>
      </c>
      <c r="P276" s="15" t="str">
        <f t="shared" si="9"/>
        <v>Dayi Zhen (Hézé Shì)</v>
      </c>
    </row>
    <row r="277" spans="1:16" hidden="1" x14ac:dyDescent="0.25">
      <c r="A277" t="s">
        <v>2707</v>
      </c>
      <c r="B277" t="str">
        <f>IF(COUNTIF(A:A,A277)&gt;1,_xlfn.CONCAT(A277," (",N277,")"),A277)</f>
        <v>Dàyú Jiēdào</v>
      </c>
      <c r="C277" t="str">
        <f>IF(COUNTIF(B:B,B277)&gt;1,_xlfn.CONCAT(A277," (",M277,")"),B277)</f>
        <v>Dàyú Jiēdào</v>
      </c>
      <c r="D277" t="s">
        <v>2708</v>
      </c>
      <c r="E277" t="s">
        <v>7</v>
      </c>
      <c r="F277" t="str">
        <f>_xlfn.CONCAT(D277,", ",H277,", ",I277,", ","山东省")</f>
        <v>大虞街道, 奎文区, 潍坊市, 山东省</v>
      </c>
      <c r="G277">
        <v>114307</v>
      </c>
      <c r="H277" t="s">
        <v>3758</v>
      </c>
      <c r="I277" t="s">
        <v>3751</v>
      </c>
      <c r="J277">
        <f>VLOOKUP(F277,[1]!china_towns_second__2[[Column1]:[Y]],3,FALSE)</f>
        <v>36.731756230930699</v>
      </c>
      <c r="K277">
        <f>VLOOKUP(F277,[1]!china_towns_second__2[[Column1]:[Y]],2,FALSE)</f>
        <v>119.1318677</v>
      </c>
      <c r="L277" t="s">
        <v>5114</v>
      </c>
      <c r="M277" t="str">
        <f>VLOOKUP(H277,CHOOSE({1,2},Table17[Native],Table17[Name]),2,0)</f>
        <v>Kuíwén Qū</v>
      </c>
      <c r="N277" s="15" t="str">
        <f>VLOOKUP(I277,CHOOSE({1,2},Table17[Native],Table17[Name]),2,0)</f>
        <v>Wéifāng Shì</v>
      </c>
      <c r="O277" s="15" t="str">
        <f t="shared" si="8"/>
        <v>Dayu Jiedao (Wéifāng Shì)</v>
      </c>
      <c r="P277" s="15" t="str">
        <f t="shared" si="9"/>
        <v>Dayu Jiedao (Wéifāng Shì)</v>
      </c>
    </row>
    <row r="278" spans="1:16" hidden="1" x14ac:dyDescent="0.25">
      <c r="A278" t="s">
        <v>2154</v>
      </c>
      <c r="B278" t="str">
        <f>IF(COUNTIF(A:A,A278)&gt;1,_xlfn.CONCAT(A278," (",N278,")"),A278)</f>
        <v>Dàzéshān Zhèn [incl. Chánglè Zhèn]</v>
      </c>
      <c r="C278" t="str">
        <f>IF(COUNTIF(B:B,B278)&gt;1,_xlfn.CONCAT(A278," (",M278,")"),B278)</f>
        <v>Dàzéshān Zhèn [incl. Chánglè Zhèn]</v>
      </c>
      <c r="D278" t="s">
        <v>2155</v>
      </c>
      <c r="E278" t="s">
        <v>13</v>
      </c>
      <c r="F278" t="str">
        <f>_xlfn.CONCAT(D278,", ",H278,", ",I278,", ","山东省")</f>
        <v>大泽山镇, 平度市, 青岛市, 山东省</v>
      </c>
      <c r="G278">
        <v>60034</v>
      </c>
      <c r="H278" t="s">
        <v>3732</v>
      </c>
      <c r="I278" t="s">
        <v>3724</v>
      </c>
      <c r="J278">
        <f>VLOOKUP(F278,[1]!china_towns_second__2[[Column1]:[Y]],3,FALSE)</f>
        <v>36.974436037728601</v>
      </c>
      <c r="K278">
        <f>VLOOKUP(F278,[1]!china_towns_second__2[[Column1]:[Y]],2,FALSE)</f>
        <v>119.9091442</v>
      </c>
      <c r="L278" t="s">
        <v>5115</v>
      </c>
      <c r="M278" t="str">
        <f>VLOOKUP(H278,CHOOSE({1,2},Table17[Native],Table17[Name]),2,0)</f>
        <v>Píngdù Shì</v>
      </c>
      <c r="N278" s="15" t="str">
        <f>VLOOKUP(I278,CHOOSE({1,2},Table17[Native],Table17[Name]),2,0)</f>
        <v>Qīngdăo Shì</v>
      </c>
      <c r="O278" s="15" t="str">
        <f t="shared" si="8"/>
        <v>Dazeshan Zhen [incl. Changle Zhen] (Qīngdăo Shì)</v>
      </c>
      <c r="P278" s="15" t="str">
        <f t="shared" si="9"/>
        <v>Dazeshan Zhen [incl. Changle Zhen] (Qīngdăo Shì)</v>
      </c>
    </row>
    <row r="279" spans="1:16" hidden="1" x14ac:dyDescent="0.25">
      <c r="A279" t="s">
        <v>1570</v>
      </c>
      <c r="B279" t="str">
        <f>IF(COUNTIF(A:A,A279)&gt;1,_xlfn.CONCAT(A279," (",N279,")"),A279)</f>
        <v>Dàzhāngjiā Zhèn</v>
      </c>
      <c r="C279" t="str">
        <f>IF(COUNTIF(B:B,B279)&gt;1,_xlfn.CONCAT(A279," (",M279,")"),B279)</f>
        <v>Dàzhāngjiā Zhèn</v>
      </c>
      <c r="D279" t="s">
        <v>1571</v>
      </c>
      <c r="E279" t="s">
        <v>13</v>
      </c>
      <c r="F279" t="str">
        <f>_xlfn.CONCAT(D279,", ",H279,", ",I279,", ","山东省")</f>
        <v>大张家镇, 莘县, 聊城市, 山东省</v>
      </c>
      <c r="G279">
        <v>36810</v>
      </c>
      <c r="H279" t="s">
        <v>3707</v>
      </c>
      <c r="I279" t="s">
        <v>3700</v>
      </c>
      <c r="J279">
        <f>VLOOKUP(F279,[1]!china_towns_second__2[[Column1]:[Y]],3,FALSE)</f>
        <v>35.8819743868982</v>
      </c>
      <c r="K279">
        <f>VLOOKUP(F279,[1]!china_towns_second__2[[Column1]:[Y]],2,FALSE)</f>
        <v>115.4025788</v>
      </c>
      <c r="L279" t="s">
        <v>5116</v>
      </c>
      <c r="M279" t="str">
        <f>VLOOKUP(H279,CHOOSE({1,2},Table17[Native],Table17[Name]),2,0)</f>
        <v>Shēn Xiàn</v>
      </c>
      <c r="N279" s="15" t="str">
        <f>VLOOKUP(I279,CHOOSE({1,2},Table17[Native],Table17[Name]),2,0)</f>
        <v>Liáochéng Shì</v>
      </c>
      <c r="O279" s="15" t="str">
        <f t="shared" si="8"/>
        <v>Dazhangjia Zhen (Liáochéng Shì)</v>
      </c>
      <c r="P279" s="15" t="str">
        <f t="shared" si="9"/>
        <v>Dazhangjia Zhen (Liáochéng Shì)</v>
      </c>
    </row>
    <row r="280" spans="1:16" hidden="1" x14ac:dyDescent="0.25">
      <c r="A280" t="s">
        <v>1259</v>
      </c>
      <c r="B280" t="str">
        <f>IF(COUNTIF(A:A,A280)&gt;1,_xlfn.CONCAT(A280," (",N280,")"),A280)</f>
        <v>Dàzhānglóu Zhèn</v>
      </c>
      <c r="C280" t="str">
        <f>IF(COUNTIF(B:B,B280)&gt;1,_xlfn.CONCAT(A280," (",M280,")"),B280)</f>
        <v>Dàzhānglóu Zhèn</v>
      </c>
      <c r="D280" t="s">
        <v>1260</v>
      </c>
      <c r="E280" t="s">
        <v>13</v>
      </c>
      <c r="F280" t="str">
        <f>_xlfn.CONCAT(D280,", ",H280,", ",I280,", ","山东省")</f>
        <v>大张楼镇, 嘉祥县, 济宁市, 山东省</v>
      </c>
      <c r="G280">
        <v>36667</v>
      </c>
      <c r="H280" t="s">
        <v>3688</v>
      </c>
      <c r="I280" t="s">
        <v>3687</v>
      </c>
      <c r="J280">
        <f>VLOOKUP(F280,[1]!china_towns_second__2[[Column1]:[Y]],3,FALSE)</f>
        <v>35.543280099166999</v>
      </c>
      <c r="K280">
        <f>VLOOKUP(F280,[1]!china_towns_second__2[[Column1]:[Y]],2,FALSE)</f>
        <v>116.3192361</v>
      </c>
      <c r="L280" t="s">
        <v>5117</v>
      </c>
      <c r="M280" t="str">
        <f>VLOOKUP(H280,CHOOSE({1,2},Table17[Native],Table17[Name]),2,0)</f>
        <v>Jiāxiáng Xiàn</v>
      </c>
      <c r="N280" s="15" t="str">
        <f>VLOOKUP(I280,CHOOSE({1,2},Table17[Native],Table17[Name]),2,0)</f>
        <v>Jìníng Shì</v>
      </c>
      <c r="O280" s="15" t="str">
        <f t="shared" si="8"/>
        <v>Dazhanglou Zhen (Jìníng Shì)</v>
      </c>
      <c r="P280" s="15" t="str">
        <f t="shared" si="9"/>
        <v>Dazhanglou Zhen (Jìníng Shì)</v>
      </c>
    </row>
    <row r="281" spans="1:16" hidden="1" x14ac:dyDescent="0.25">
      <c r="A281" t="s">
        <v>3483</v>
      </c>
      <c r="B281" t="str">
        <f>IF(COUNTIF(A:A,A281)&gt;1,_xlfn.CONCAT(A281," (",N281,")"),A281)</f>
        <v>Dàzhāngzhuāng Zhèn</v>
      </c>
      <c r="C281" t="str">
        <f>IF(COUNTIF(B:B,B281)&gt;1,_xlfn.CONCAT(A281," (",M281,")"),B281)</f>
        <v>Dàzhāngzhuāng Zhèn</v>
      </c>
      <c r="D281" t="s">
        <v>3484</v>
      </c>
      <c r="E281" t="s">
        <v>13</v>
      </c>
      <c r="F281" t="str">
        <f>_xlfn.CONCAT(D281,", ",H281,", ",I281,", ","山东省")</f>
        <v>大张庄镇, 沂源县, 淄博市, 山东省</v>
      </c>
      <c r="G281">
        <v>35459</v>
      </c>
      <c r="H281" t="s">
        <v>3796</v>
      </c>
      <c r="I281" t="s">
        <v>3791</v>
      </c>
      <c r="J281">
        <f>VLOOKUP(F281,[1]!china_towns_second__2[[Column1]:[Y]],3,FALSE)</f>
        <v>36.036003177022899</v>
      </c>
      <c r="K281">
        <f>VLOOKUP(F281,[1]!china_towns_second__2[[Column1]:[Y]],2,FALSE)</f>
        <v>118.0095041</v>
      </c>
      <c r="L281" t="s">
        <v>5118</v>
      </c>
      <c r="M281" t="str">
        <f>VLOOKUP(H281,CHOOSE({1,2},Table17[Native],Table17[Name]),2,0)</f>
        <v>Yíyuán Xiàn</v>
      </c>
      <c r="N281" s="15" t="str">
        <f>VLOOKUP(I281,CHOOSE({1,2},Table17[Native],Table17[Name]),2,0)</f>
        <v>Zībó Shì</v>
      </c>
      <c r="O281" s="15" t="str">
        <f t="shared" si="8"/>
        <v>Dazhangzhuang Zhen (Zībó Shì)</v>
      </c>
      <c r="P281" s="15" t="str">
        <f t="shared" si="9"/>
        <v>Dazhangzhuang Zhen (Zībó Shì)</v>
      </c>
    </row>
    <row r="282" spans="1:16" hidden="1" x14ac:dyDescent="0.25">
      <c r="A282" t="s">
        <v>1856</v>
      </c>
      <c r="B282" t="str">
        <f>IF(COUNTIF(A:A,A282)&gt;1,_xlfn.CONCAT(A282," (",N282,")"),A282)</f>
        <v>Dàzhòngcūn Zhèn</v>
      </c>
      <c r="C282" t="str">
        <f>IF(COUNTIF(B:B,B282)&gt;1,_xlfn.CONCAT(A282," (",M282,")"),B282)</f>
        <v>Dàzhòngcūn Zhèn</v>
      </c>
      <c r="D282" t="s">
        <v>1857</v>
      </c>
      <c r="E282" t="s">
        <v>13</v>
      </c>
      <c r="F282" t="str">
        <f>_xlfn.CONCAT(D282,", ",H282,", ",I282,", ","山东省")</f>
        <v>大仲村镇, 兰陵县, 临沂市, 山东省</v>
      </c>
      <c r="G282">
        <v>81741</v>
      </c>
      <c r="H282" t="s">
        <v>3714</v>
      </c>
      <c r="I282" t="s">
        <v>3710</v>
      </c>
      <c r="J282">
        <f>VLOOKUP(F282,[1]!china_towns_second__2[[Column1]:[Y]],3,FALSE)</f>
        <v>34.999868816377003</v>
      </c>
      <c r="K282">
        <f>VLOOKUP(F282,[1]!china_towns_second__2[[Column1]:[Y]],2,FALSE)</f>
        <v>118.00971370000001</v>
      </c>
      <c r="L282" t="s">
        <v>5119</v>
      </c>
      <c r="M282" t="str">
        <f>VLOOKUP(H282,CHOOSE({1,2},Table17[Native],Table17[Name]),2,0)</f>
        <v>Lánlíng Xiàn</v>
      </c>
      <c r="N282" s="15" t="str">
        <f>VLOOKUP(I282,CHOOSE({1,2},Table17[Native],Table17[Name]),2,0)</f>
        <v>Línyí Shì</v>
      </c>
      <c r="O282" s="15" t="str">
        <f t="shared" si="8"/>
        <v>Dazhongcun Zhen (Línyí Shì)</v>
      </c>
      <c r="P282" s="15" t="str">
        <f t="shared" si="9"/>
        <v>Dazhongcun Zhen (Línyí Shì)</v>
      </c>
    </row>
    <row r="283" spans="1:16" hidden="1" x14ac:dyDescent="0.25">
      <c r="A283" t="s">
        <v>1858</v>
      </c>
      <c r="B283" t="str">
        <f>IF(COUNTIF(A:A,A283)&gt;1,_xlfn.CONCAT(A283," (",N283,")"),A283)</f>
        <v>Dàzhuāng Zhèn [incl. Yángjiāpō Zhèn]</v>
      </c>
      <c r="C283" t="str">
        <f>IF(COUNTIF(B:B,B283)&gt;1,_xlfn.CONCAT(A283," (",M283,")"),B283)</f>
        <v>Dàzhuāng Zhèn [incl. Yángjiāpō Zhèn]</v>
      </c>
      <c r="D283" t="s">
        <v>1859</v>
      </c>
      <c r="E283" t="s">
        <v>13</v>
      </c>
      <c r="F283" t="str">
        <f>_xlfn.CONCAT(D283,", ",H283,", ",I283,", ","山东省")</f>
        <v>大庄镇, 沂南县, 临沂市, 山东省</v>
      </c>
      <c r="G283">
        <v>80974</v>
      </c>
      <c r="H283" t="s">
        <v>3721</v>
      </c>
      <c r="I283" t="s">
        <v>3710</v>
      </c>
      <c r="J283">
        <f>VLOOKUP(F283,[1]!china_towns_second__2[[Column1]:[Y]],3,FALSE)</f>
        <v>35.450717169565799</v>
      </c>
      <c r="K283">
        <f>VLOOKUP(F283,[1]!china_towns_second__2[[Column1]:[Y]],2,FALSE)</f>
        <v>118.5196122</v>
      </c>
      <c r="L283" t="s">
        <v>5120</v>
      </c>
      <c r="M283" t="str">
        <f>VLOOKUP(H283,CHOOSE({1,2},Table17[Native],Table17[Name]),2,0)</f>
        <v>Yínán Xiàn</v>
      </c>
      <c r="N283" s="15" t="str">
        <f>VLOOKUP(I283,CHOOSE({1,2},Table17[Native],Table17[Name]),2,0)</f>
        <v>Línyí Shì</v>
      </c>
      <c r="O283" s="15" t="str">
        <f t="shared" si="8"/>
        <v>Dazhuang Zhen [incl. Yangjiapo Zhen] (Línyí Shì)</v>
      </c>
      <c r="P283" s="15" t="str">
        <f t="shared" si="9"/>
        <v>Dazhuang Zhen [incl. Yangjiapo Zhen] (Línyí Shì)</v>
      </c>
    </row>
    <row r="284" spans="1:16" hidden="1" x14ac:dyDescent="0.25">
      <c r="A284" t="s">
        <v>3094</v>
      </c>
      <c r="B284" t="str">
        <f>IF(COUNTIF(A:A,A284)&gt;1,_xlfn.CONCAT(A284," (",N284,")"),A284)</f>
        <v>Dēngzhōu Jiēdào</v>
      </c>
      <c r="C284" t="str">
        <f>IF(COUNTIF(B:B,B284)&gt;1,_xlfn.CONCAT(A284," (",M284,")"),B284)</f>
        <v>Dēngzhōu Jiēdào</v>
      </c>
      <c r="D284" t="s">
        <v>3095</v>
      </c>
      <c r="E284" t="s">
        <v>7</v>
      </c>
      <c r="F284" t="str">
        <f>_xlfn.CONCAT(D284,", ",H284,", ",I284,", ","山东省")</f>
        <v>登州街道, 蓬莱区, 烟台市, 山东省</v>
      </c>
      <c r="G284">
        <v>70939</v>
      </c>
      <c r="H284" t="s">
        <v>3779</v>
      </c>
      <c r="I284" t="s">
        <v>3771</v>
      </c>
      <c r="J284">
        <f>VLOOKUP(F284,[1]!china_towns_second__2[[Column1]:[Y]],3,FALSE)</f>
        <v>37.796018468463103</v>
      </c>
      <c r="K284">
        <f>VLOOKUP(F284,[1]!china_towns_second__2[[Column1]:[Y]],2,FALSE)</f>
        <v>120.77317789999999</v>
      </c>
      <c r="L284" t="s">
        <v>5121</v>
      </c>
      <c r="M284" t="str">
        <f>VLOOKUP(H284,CHOOSE({1,2},Table17[Native],Table17[Name]),2,0)</f>
        <v>Pénglái Qū</v>
      </c>
      <c r="N284" s="15" t="str">
        <f>VLOOKUP(I284,CHOOSE({1,2},Table17[Native],Table17[Name]),2,0)</f>
        <v>Yāntái Shì</v>
      </c>
      <c r="O284" s="15" t="str">
        <f t="shared" si="8"/>
        <v>Dengzhou Jiedao (Yāntái Shì)</v>
      </c>
      <c r="P284" s="15" t="str">
        <f t="shared" si="9"/>
        <v>Dengzhou Jiedao (Yāntái Shì)</v>
      </c>
    </row>
    <row r="285" spans="1:16" hidden="1" x14ac:dyDescent="0.25">
      <c r="A285" t="s">
        <v>2156</v>
      </c>
      <c r="B285" t="str">
        <f>IF(COUNTIF(A:A,A285)&gt;1,_xlfn.CONCAT(A285," (",N285,")"),A285)</f>
        <v>Dēngzhōulù Jiēdào</v>
      </c>
      <c r="C285" t="str">
        <f>IF(COUNTIF(B:B,B285)&gt;1,_xlfn.CONCAT(A285," (",M285,")"),B285)</f>
        <v>Dēngzhōulù Jiēdào</v>
      </c>
      <c r="D285" t="s">
        <v>2157</v>
      </c>
      <c r="E285" t="s">
        <v>7</v>
      </c>
      <c r="F285" t="str">
        <f>_xlfn.CONCAT(D285,", ",H285,", ",I285,", ","山东省")</f>
        <v>登州路街道, 市北区, 青岛市, 山东省</v>
      </c>
      <c r="G285">
        <v>37371</v>
      </c>
      <c r="H285" t="s">
        <v>3733</v>
      </c>
      <c r="I285" t="s">
        <v>3724</v>
      </c>
      <c r="J285">
        <f>VLOOKUP(F285,[1]!china_towns_second__2[[Column1]:[Y]],3,FALSE)</f>
        <v>36.079208495817603</v>
      </c>
      <c r="K285">
        <f>VLOOKUP(F285,[1]!china_towns_second__2[[Column1]:[Y]],2,FALSE)</f>
        <v>120.3433924</v>
      </c>
      <c r="L285" t="s">
        <v>5122</v>
      </c>
      <c r="M285" t="str">
        <f>VLOOKUP(H285,CHOOSE({1,2},Table17[Native],Table17[Name]),2,0)</f>
        <v>Shìbĕi Qū</v>
      </c>
      <c r="N285" s="15" t="str">
        <f>VLOOKUP(I285,CHOOSE({1,2},Table17[Native],Table17[Name]),2,0)</f>
        <v>Qīngdăo Shì</v>
      </c>
      <c r="O285" s="15" t="str">
        <f t="shared" si="8"/>
        <v>Dengzhoulu Jiedao (Qīngdăo Shì)</v>
      </c>
      <c r="P285" s="15" t="str">
        <f t="shared" si="9"/>
        <v>Dengzhoulu Jiedao (Qīngdăo Shì)</v>
      </c>
    </row>
    <row r="286" spans="1:16" hidden="1" x14ac:dyDescent="0.25">
      <c r="A286" t="s">
        <v>243</v>
      </c>
      <c r="B286" t="str">
        <f>IF(COUNTIF(A:A,A286)&gt;1,_xlfn.CONCAT(A286," (",N286,")"),A286)</f>
        <v>Dépíng Zhèn</v>
      </c>
      <c r="C286" t="str">
        <f>IF(COUNTIF(B:B,B286)&gt;1,_xlfn.CONCAT(A286," (",M286,")"),B286)</f>
        <v>Dépíng Zhèn</v>
      </c>
      <c r="D286" t="s">
        <v>244</v>
      </c>
      <c r="E286" t="s">
        <v>13</v>
      </c>
      <c r="F286" t="str">
        <f>_xlfn.CONCAT(D286,", ",H286,", ",I286,", ","山东省")</f>
        <v>德平镇, 临邑县, 德州市, 山东省</v>
      </c>
      <c r="G286">
        <v>50655</v>
      </c>
      <c r="H286" t="s">
        <v>3646</v>
      </c>
      <c r="I286" t="s">
        <v>3642</v>
      </c>
      <c r="J286">
        <f>VLOOKUP(F286,[1]!china_towns_second__2[[Column1]:[Y]],3,FALSE)</f>
        <v>37.4684328971395</v>
      </c>
      <c r="K286">
        <f>VLOOKUP(F286,[1]!china_towns_second__2[[Column1]:[Y]],2,FALSE)</f>
        <v>116.9585661</v>
      </c>
      <c r="L286" t="s">
        <v>5123</v>
      </c>
      <c r="M286" t="str">
        <f>VLOOKUP(H286,CHOOSE({1,2},Table17[Native],Table17[Name]),2,0)</f>
        <v>Línyì Xiàn</v>
      </c>
      <c r="N286" s="15" t="str">
        <f>VLOOKUP(I286,CHOOSE({1,2},Table17[Native],Table17[Name]),2,0)</f>
        <v>Dézhōu Shì</v>
      </c>
      <c r="O286" s="15" t="str">
        <f t="shared" si="8"/>
        <v>Deping Zhen (Dézhōu Shì)</v>
      </c>
      <c r="P286" s="15" t="str">
        <f t="shared" si="9"/>
        <v>Deping Zhen (Dézhōu Shì)</v>
      </c>
    </row>
    <row r="287" spans="1:16" hidden="1" x14ac:dyDescent="0.25">
      <c r="A287" t="s">
        <v>246</v>
      </c>
      <c r="B287" t="str">
        <f>IF(COUNTIF(A:A,A287)&gt;1,_xlfn.CONCAT(A287," (",N287,")"),A287)</f>
        <v>Déyuán Jiēdào [Fāngzi Xiāng]</v>
      </c>
      <c r="C287" t="str">
        <f>IF(COUNTIF(B:B,B287)&gt;1,_xlfn.CONCAT(A287," (",M287,")"),B287)</f>
        <v>Déyuán Jiēdào [Fāngzi Xiāng]</v>
      </c>
      <c r="D287" t="s">
        <v>247</v>
      </c>
      <c r="E287" t="s">
        <v>7</v>
      </c>
      <c r="F287" t="str">
        <f>_xlfn.CONCAT(D287,", ",H287,", ",I287,", ","山东省")</f>
        <v>德原街道, 平原县, 德州市, 山东省</v>
      </c>
      <c r="G287">
        <v>19013</v>
      </c>
      <c r="H287" t="s">
        <v>3648</v>
      </c>
      <c r="I287" t="s">
        <v>3642</v>
      </c>
      <c r="J287" t="e">
        <f>VLOOKUP(F287,[1]!china_towns_second__2[[Column1]:[Y]],3,FALSE)</f>
        <v>#N/A</v>
      </c>
      <c r="K287" t="e">
        <f>VLOOKUP(F287,[1]!china_towns_second__2[[Column1]:[Y]],2,FALSE)</f>
        <v>#N/A</v>
      </c>
      <c r="L287" t="s">
        <v>5124</v>
      </c>
      <c r="M287" t="str">
        <f>VLOOKUP(H287,CHOOSE({1,2},Table17[Native],Table17[Name]),2,0)</f>
        <v>Píngyuán Xiàn</v>
      </c>
      <c r="N287" s="15" t="str">
        <f>VLOOKUP(I287,CHOOSE({1,2},Table17[Native],Table17[Name]),2,0)</f>
        <v>Dézhōu Shì</v>
      </c>
      <c r="O287" s="15" t="str">
        <f t="shared" si="8"/>
        <v>Deyuan Jiedao [Fangzi Xiang] (Dézhōu Shì)</v>
      </c>
      <c r="P287" s="15" t="str">
        <f t="shared" si="9"/>
        <v>Deyuan Jiedao [Fangzi Xiang] (Dézhōu Shì)</v>
      </c>
    </row>
    <row r="288" spans="1:16" hidden="1" x14ac:dyDescent="0.25">
      <c r="A288" t="s">
        <v>2158</v>
      </c>
      <c r="B288" t="str">
        <f>IF(COUNTIF(A:A,A288)&gt;1,_xlfn.CONCAT(A288," (",N288,")"),A288)</f>
        <v>Diànbù Zhèn</v>
      </c>
      <c r="C288" t="str">
        <f>IF(COUNTIF(B:B,B288)&gt;1,_xlfn.CONCAT(A288," (",M288,")"),B288)</f>
        <v>Diànbù Zhèn</v>
      </c>
      <c r="D288" t="s">
        <v>2159</v>
      </c>
      <c r="E288" t="s">
        <v>13</v>
      </c>
      <c r="F288" t="str">
        <f>_xlfn.CONCAT(D288,", ",H288,", ",I288,", ","山东省")</f>
        <v>店埠镇, 莱西市, 青岛市, 山东省</v>
      </c>
      <c r="G288">
        <v>52613</v>
      </c>
      <c r="H288" t="s">
        <v>3729</v>
      </c>
      <c r="I288" t="s">
        <v>3724</v>
      </c>
      <c r="J288">
        <f>VLOOKUP(F288,[1]!china_towns_second__2[[Column1]:[Y]],3,FALSE)</f>
        <v>36.675126364800299</v>
      </c>
      <c r="K288">
        <f>VLOOKUP(F288,[1]!china_towns_second__2[[Column1]:[Y]],2,FALSE)</f>
        <v>120.3319152</v>
      </c>
      <c r="L288" t="s">
        <v>5125</v>
      </c>
      <c r="M288" t="str">
        <f>VLOOKUP(H288,CHOOSE({1,2},Table17[Native],Table17[Name]),2,0)</f>
        <v>Láixī Shì</v>
      </c>
      <c r="N288" s="15" t="str">
        <f>VLOOKUP(I288,CHOOSE({1,2},Table17[Native],Table17[Name]),2,0)</f>
        <v>Qīngdăo Shì</v>
      </c>
      <c r="O288" s="15" t="str">
        <f t="shared" si="8"/>
        <v>Dianbu Zhen (Qīngdăo Shì)</v>
      </c>
      <c r="P288" s="15" t="str">
        <f t="shared" si="9"/>
        <v>Dianbu Zhen (Qīngdăo Shì)</v>
      </c>
    </row>
    <row r="289" spans="1:16" hidden="1" x14ac:dyDescent="0.25">
      <c r="A289" t="s">
        <v>658</v>
      </c>
      <c r="B289" t="str">
        <f>IF(COUNTIF(A:A,A289)&gt;1,_xlfn.CONCAT(A289," (",N289,")"),A289)</f>
        <v>Diànhùtún Jiēdào</v>
      </c>
      <c r="C289" t="str">
        <f>IF(COUNTIF(B:B,B289)&gt;1,_xlfn.CONCAT(A289," (",M289,")"),B289)</f>
        <v>Diànhùtún Jiēdào</v>
      </c>
      <c r="D289" t="s">
        <v>659</v>
      </c>
      <c r="E289" t="s">
        <v>7</v>
      </c>
      <c r="F289" t="str">
        <f>_xlfn.CONCAT(D289,", ",H289,", ",I289,", ","山东省")</f>
        <v>佃户屯街道, 牡丹区, 菏泽市, 山东省</v>
      </c>
      <c r="G289">
        <v>44620</v>
      </c>
      <c r="H289" t="s">
        <v>3669</v>
      </c>
      <c r="I289" t="s">
        <v>3662</v>
      </c>
      <c r="J289">
        <f>VLOOKUP(F289,[1]!china_towns_second__2[[Column1]:[Y]],3,FALSE)</f>
        <v>35.169160233522703</v>
      </c>
      <c r="K289">
        <f>VLOOKUP(F289,[1]!china_towns_second__2[[Column1]:[Y]],2,FALSE)</f>
        <v>115.49696280000001</v>
      </c>
      <c r="L289" t="s">
        <v>5126</v>
      </c>
      <c r="M289" t="str">
        <f>VLOOKUP(H289,CHOOSE({1,2},Table17[Native],Table17[Name]),2,0)</f>
        <v>Mŭdān Qū</v>
      </c>
      <c r="N289" s="15" t="str">
        <f>VLOOKUP(I289,CHOOSE({1,2},Table17[Native],Table17[Name]),2,0)</f>
        <v>Hézé Shì</v>
      </c>
      <c r="O289" s="15" t="str">
        <f t="shared" si="8"/>
        <v>Dianhutun Jiedao (Hézé Shì)</v>
      </c>
      <c r="P289" s="15" t="str">
        <f t="shared" si="9"/>
        <v>Dianhutun Jiedao (Hézé Shì)</v>
      </c>
    </row>
    <row r="290" spans="1:16" hidden="1" x14ac:dyDescent="0.25">
      <c r="A290" t="s">
        <v>955</v>
      </c>
      <c r="B290" t="str">
        <f>IF(COUNTIF(A:A,A290)&gt;1,_xlfn.CONCAT(A290," (",N290,")"),A290)</f>
        <v>Diànliŭ Jiēdào</v>
      </c>
      <c r="C290" t="str">
        <f>IF(COUNTIF(B:B,B290)&gt;1,_xlfn.CONCAT(A290," (",M290,")"),B290)</f>
        <v>Diànliŭ Jiēdào</v>
      </c>
      <c r="D290" t="s">
        <v>956</v>
      </c>
      <c r="E290" t="s">
        <v>7</v>
      </c>
      <c r="F290" t="str">
        <f>_xlfn.CONCAT(D290,", ",H290,", ",I290,", ","山东省")</f>
        <v>甸柳街道, 历下区, 济南市, 山东省</v>
      </c>
      <c r="G290">
        <v>48977</v>
      </c>
      <c r="H290" t="s">
        <v>3680</v>
      </c>
      <c r="I290" t="s">
        <v>3673</v>
      </c>
      <c r="J290">
        <f>VLOOKUP(F290,[1]!china_towns_second__2[[Column1]:[Y]],3,FALSE)</f>
        <v>36.659299215503999</v>
      </c>
      <c r="K290">
        <f>VLOOKUP(F290,[1]!china_towns_second__2[[Column1]:[Y]],2,FALSE)</f>
        <v>117.06249939999999</v>
      </c>
      <c r="L290" t="s">
        <v>5127</v>
      </c>
      <c r="M290" t="str">
        <f>VLOOKUP(H290,CHOOSE({1,2},Table17[Native],Table17[Name]),2,0)</f>
        <v>Lìxià Qū</v>
      </c>
      <c r="N290" s="15" t="str">
        <f>VLOOKUP(I290,CHOOSE({1,2},Table17[Native],Table17[Name]),2,0)</f>
        <v>Jìnán Shì</v>
      </c>
      <c r="O290" s="15" t="str">
        <f t="shared" si="8"/>
        <v>Dianliu Jiedao (Jìnán Shì)</v>
      </c>
      <c r="P290" s="15" t="str">
        <f t="shared" si="9"/>
        <v>Dianliu Jiedao (Jìnán Shì)</v>
      </c>
    </row>
    <row r="291" spans="1:16" hidden="1" x14ac:dyDescent="0.25">
      <c r="A291" t="s">
        <v>1860</v>
      </c>
      <c r="B291" t="str">
        <f>IF(COUNTIF(A:A,A291)&gt;1,_xlfn.CONCAT(A291," (",N291,")"),A291)</f>
        <v>Diàntóu Zhèn</v>
      </c>
      <c r="C291" t="str">
        <f>IF(COUNTIF(B:B,B291)&gt;1,_xlfn.CONCAT(A291," (",M291,")"),B291)</f>
        <v>Diàntóu Zhèn</v>
      </c>
      <c r="D291" t="s">
        <v>1861</v>
      </c>
      <c r="E291" t="s">
        <v>13</v>
      </c>
      <c r="F291" t="str">
        <f>_xlfn.CONCAT(D291,", ",H291,", ",I291,", ","山东省")</f>
        <v>店头镇, 临沭县, 临沂市, 山东省</v>
      </c>
      <c r="G291">
        <v>40900</v>
      </c>
      <c r="H291" t="s">
        <v>3716</v>
      </c>
      <c r="I291" t="s">
        <v>3710</v>
      </c>
      <c r="J291">
        <f>VLOOKUP(F291,[1]!china_towns_second__2[[Column1]:[Y]],3,FALSE)</f>
        <v>34.816498218112102</v>
      </c>
      <c r="K291">
        <f>VLOOKUP(F291,[1]!china_towns_second__2[[Column1]:[Y]],2,FALSE)</f>
        <v>118.600576</v>
      </c>
      <c r="L291" t="s">
        <v>5128</v>
      </c>
      <c r="M291" t="str">
        <f>VLOOKUP(H291,CHOOSE({1,2},Table17[Native],Table17[Name]),2,0)</f>
        <v>Línshù Xiàn</v>
      </c>
      <c r="N291" s="15" t="str">
        <f>VLOOKUP(I291,CHOOSE({1,2},Table17[Native],Table17[Name]),2,0)</f>
        <v>Línyí Shì</v>
      </c>
      <c r="O291" s="15" t="str">
        <f t="shared" si="8"/>
        <v>Diantou Zhen (Línyí Shì)</v>
      </c>
      <c r="P291" s="15" t="str">
        <f t="shared" si="9"/>
        <v>Diantou Zhen (Línyí Shì)</v>
      </c>
    </row>
    <row r="292" spans="1:16" hidden="1" x14ac:dyDescent="0.25">
      <c r="A292" t="s">
        <v>43</v>
      </c>
      <c r="B292" t="str">
        <f>IF(COUNTIF(A:A,A292)&gt;1,_xlfn.CONCAT(A292," (",N292,")"),A292)</f>
        <v>Diànzi Zhèn (Bīnzhōu Shì)</v>
      </c>
      <c r="C292" t="str">
        <f>IF(COUNTIF(B:B,B292)&gt;1,_xlfn.CONCAT(A292," (",M292,")"),B292)</f>
        <v>Diànzi Zhèn (Bīnzhōu Shì)</v>
      </c>
      <c r="D292" t="s">
        <v>44</v>
      </c>
      <c r="E292" t="s">
        <v>13</v>
      </c>
      <c r="F292" t="str">
        <f>_xlfn.CONCAT(D292,", ",H292,", ",I292,", ","山东省")</f>
        <v>店子镇, 博兴县, 滨州市, 山东省</v>
      </c>
      <c r="G292">
        <v>43512</v>
      </c>
      <c r="H292" t="s">
        <v>3634</v>
      </c>
      <c r="I292" t="s">
        <v>3630</v>
      </c>
      <c r="J292">
        <f>VLOOKUP(F292,[1]!china_towns_second__2[[Column1]:[Y]],3,FALSE)</f>
        <v>37.093913441262501</v>
      </c>
      <c r="K292">
        <f>VLOOKUP(F292,[1]!china_towns_second__2[[Column1]:[Y]],2,FALSE)</f>
        <v>118.2954482</v>
      </c>
      <c r="L292" t="s">
        <v>5129</v>
      </c>
      <c r="M292" t="str">
        <f>VLOOKUP(H292,CHOOSE({1,2},Table17[Native],Table17[Name]),2,0)</f>
        <v>Bóxīng Xiàn</v>
      </c>
      <c r="N292" s="15" t="str">
        <f>VLOOKUP(I292,CHOOSE({1,2},Table17[Native],Table17[Name]),2,0)</f>
        <v>Bīnzhōu Shì</v>
      </c>
      <c r="O292" s="15" t="str">
        <f t="shared" si="8"/>
        <v>Dianzi Zhen (Binzhou Shi) (Bīnzhōu Shì)</v>
      </c>
      <c r="P292" s="15" t="str">
        <f t="shared" si="9"/>
        <v>Dianzi Zhen (Binzhou Shi) (Bīnzhōu Shì)</v>
      </c>
    </row>
    <row r="293" spans="1:16" hidden="1" x14ac:dyDescent="0.25">
      <c r="A293" t="s">
        <v>43</v>
      </c>
      <c r="B293" t="str">
        <f>IF(COUNTIF(A:A,A293)&gt;1,_xlfn.CONCAT(A293," (",N293,")"),A293)</f>
        <v>Diànzi Zhèn (Liáochéng Shì)</v>
      </c>
      <c r="C293" t="str">
        <f>IF(COUNTIF(B:B,B293)&gt;1,_xlfn.CONCAT(A293," (",M293,")"),B293)</f>
        <v>Diànzi Zhèn (Liáochéng Shì)</v>
      </c>
      <c r="D293" t="s">
        <v>44</v>
      </c>
      <c r="E293" t="s">
        <v>13</v>
      </c>
      <c r="F293" t="str">
        <f>_xlfn.CONCAT(D293,", ",H293,", ",I293,", ","山东省")</f>
        <v>店子镇, 冠县, 聊城市, 山东省</v>
      </c>
      <c r="G293">
        <v>29188</v>
      </c>
      <c r="H293" t="s">
        <v>3705</v>
      </c>
      <c r="I293" t="s">
        <v>3700</v>
      </c>
      <c r="J293">
        <f>VLOOKUP(F293,[1]!china_towns_second__2[[Column1]:[Y]],3,FALSE)</f>
        <v>36.5643521175272</v>
      </c>
      <c r="K293">
        <f>VLOOKUP(F293,[1]!china_towns_second__2[[Column1]:[Y]],2,FALSE)</f>
        <v>115.487234</v>
      </c>
      <c r="L293" t="s">
        <v>5130</v>
      </c>
      <c r="M293" t="str">
        <f>VLOOKUP(H293,CHOOSE({1,2},Table17[Native],Table17[Name]),2,0)</f>
        <v>Guān Xiàn</v>
      </c>
      <c r="N293" s="15" t="str">
        <f>VLOOKUP(I293,CHOOSE({1,2},Table17[Native],Table17[Name]),2,0)</f>
        <v>Liáochéng Shì</v>
      </c>
      <c r="O293" s="15" t="str">
        <f t="shared" si="8"/>
        <v>Dianzi Zhen (Liaocheng Shi) (Liáochéng Shì)</v>
      </c>
      <c r="P293" s="15" t="str">
        <f t="shared" si="9"/>
        <v>Dianzi Zhen (Liaocheng Shi) (Liáochéng Shì)</v>
      </c>
    </row>
    <row r="294" spans="1:16" hidden="1" x14ac:dyDescent="0.25">
      <c r="A294" t="s">
        <v>43</v>
      </c>
      <c r="B294" t="str">
        <f>IF(COUNTIF(A:A,A294)&gt;1,_xlfn.CONCAT(A294," (",N294,")"),A294)</f>
        <v>Diànzi Zhèn (Qīngdăo Shì)</v>
      </c>
      <c r="C294" t="str">
        <f>IF(COUNTIF(B:B,B294)&gt;1,_xlfn.CONCAT(A294," (",M294,")"),B294)</f>
        <v>Diànzi Zhèn (Qīngdăo Shì)</v>
      </c>
      <c r="D294" t="s">
        <v>44</v>
      </c>
      <c r="E294" t="s">
        <v>13</v>
      </c>
      <c r="F294" t="str">
        <f>_xlfn.CONCAT(D294,", ",H294,", ",I294,", ","山东省")</f>
        <v>店子镇, 平度市, 青岛市, 山东省</v>
      </c>
      <c r="G294">
        <v>51267</v>
      </c>
      <c r="H294" t="s">
        <v>3732</v>
      </c>
      <c r="I294" t="s">
        <v>3724</v>
      </c>
      <c r="J294">
        <f>VLOOKUP(F294,[1]!china_towns_second__2[[Column1]:[Y]],3,FALSE)</f>
        <v>36.9112446600681</v>
      </c>
      <c r="K294">
        <f>VLOOKUP(F294,[1]!china_towns_second__2[[Column1]:[Y]],2,FALSE)</f>
        <v>119.8722676</v>
      </c>
      <c r="L294" t="s">
        <v>5131</v>
      </c>
      <c r="M294" t="str">
        <f>VLOOKUP(H294,CHOOSE({1,2},Table17[Native],Table17[Name]),2,0)</f>
        <v>Píngdù Shì</v>
      </c>
      <c r="N294" s="15" t="str">
        <f>VLOOKUP(I294,CHOOSE({1,2},Table17[Native],Table17[Name]),2,0)</f>
        <v>Qīngdăo Shì</v>
      </c>
      <c r="O294" s="15" t="str">
        <f t="shared" si="8"/>
        <v>Dianzi Zhen (Qingdao Shi) (Qīngdăo Shì)</v>
      </c>
      <c r="P294" s="15" t="str">
        <f t="shared" si="9"/>
        <v>Dianzi Zhen (Qingdao Shi) (Qīngdăo Shì)</v>
      </c>
    </row>
    <row r="295" spans="1:16" hidden="1" x14ac:dyDescent="0.25">
      <c r="A295" t="s">
        <v>43</v>
      </c>
      <c r="B295" t="str">
        <f>IF(COUNTIF(A:A,A295)&gt;1,_xlfn.CONCAT(A295," (",N295,")"),A295)</f>
        <v>Diànzi Zhèn (Zăozhuāng Shì)</v>
      </c>
      <c r="C295" t="str">
        <f>IF(COUNTIF(B:B,B295)&gt;1,_xlfn.CONCAT(A295," (",M295,")"),B295)</f>
        <v>Diànzi Zhèn (Zăozhuāng Shì)</v>
      </c>
      <c r="D295" t="s">
        <v>44</v>
      </c>
      <c r="E295" t="s">
        <v>13</v>
      </c>
      <c r="F295" t="str">
        <f>_xlfn.CONCAT(D295,", ",H295,", ",I295,", ","山东省")</f>
        <v>店子镇, 山亭区, 枣庄市, 山东省</v>
      </c>
      <c r="G295">
        <v>31300</v>
      </c>
      <c r="H295" t="s">
        <v>3785</v>
      </c>
      <c r="I295" t="s">
        <v>3784</v>
      </c>
      <c r="J295">
        <f>VLOOKUP(F295,[1]!china_towns_second__2[[Column1]:[Y]],3,FALSE)</f>
        <v>35.279609508100698</v>
      </c>
      <c r="K295">
        <f>VLOOKUP(F295,[1]!china_towns_second__2[[Column1]:[Y]],2,FALSE)</f>
        <v>117.3537269</v>
      </c>
      <c r="L295" t="s">
        <v>5132</v>
      </c>
      <c r="M295" t="str">
        <f>VLOOKUP(H295,CHOOSE({1,2},Table17[Native],Table17[Name]),2,0)</f>
        <v>Shāntíng Qū</v>
      </c>
      <c r="N295" s="15" t="str">
        <f>VLOOKUP(I295,CHOOSE({1,2},Table17[Native],Table17[Name]),2,0)</f>
        <v>Zăozhuāng Shì</v>
      </c>
      <c r="O295" s="15" t="str">
        <f t="shared" si="8"/>
        <v>Dianzi Zhen (Zaozhuang Shi) (Zăozhuāng Shì)</v>
      </c>
      <c r="P295" s="15" t="str">
        <f t="shared" si="9"/>
        <v>Dianzi Zhen (Zaozhuang Shi) (Zăozhuāng Shì)</v>
      </c>
    </row>
    <row r="296" spans="1:16" hidden="1" x14ac:dyDescent="0.25">
      <c r="A296" t="s">
        <v>2406</v>
      </c>
      <c r="B296" t="str">
        <f>IF(COUNTIF(A:A,A296)&gt;1,_xlfn.CONCAT(A296," (",N296,")"),A296)</f>
        <v>Diànzijí Jiēdào</v>
      </c>
      <c r="C296" t="str">
        <f>IF(COUNTIF(B:B,B296)&gt;1,_xlfn.CONCAT(A296," (",M296,")"),B296)</f>
        <v>Diànzijí Jiēdào</v>
      </c>
      <c r="D296" t="s">
        <v>2407</v>
      </c>
      <c r="E296" t="s">
        <v>7</v>
      </c>
      <c r="F296" t="str">
        <f>_xlfn.CONCAT(D296,", ",H296,", ",I296,", ","山东省")</f>
        <v>店子集街道, 莒县, 日照市, 山东省</v>
      </c>
      <c r="G296">
        <v>35738</v>
      </c>
      <c r="H296" t="s">
        <v>3739</v>
      </c>
      <c r="I296" t="s">
        <v>3736</v>
      </c>
      <c r="J296" t="e">
        <f>VLOOKUP(F296,[1]!china_towns_second__2[[Column1]:[Y]],3,FALSE)</f>
        <v>#N/A</v>
      </c>
      <c r="K296" t="e">
        <f>VLOOKUP(F296,[1]!china_towns_second__2[[Column1]:[Y]],2,FALSE)</f>
        <v>#N/A</v>
      </c>
      <c r="L296" t="s">
        <v>5133</v>
      </c>
      <c r="M296" t="str">
        <f>VLOOKUP(H296,CHOOSE({1,2},Table17[Native],Table17[Name]),2,0)</f>
        <v>Jŭ Xiàn</v>
      </c>
      <c r="N296" s="15" t="str">
        <f>VLOOKUP(I296,CHOOSE({1,2},Table17[Native],Table17[Name]),2,0)</f>
        <v>Rìzhào Shì</v>
      </c>
      <c r="O296" s="15" t="str">
        <f t="shared" si="8"/>
        <v>Dianziji Jiedao (Rìzhào Shì)</v>
      </c>
      <c r="P296" s="15" t="str">
        <f t="shared" si="9"/>
        <v>Dianziji Jiedao (Rìzhào Shì)</v>
      </c>
    </row>
    <row r="297" spans="1:16" hidden="1" x14ac:dyDescent="0.25">
      <c r="A297" t="s">
        <v>957</v>
      </c>
      <c r="B297" t="str">
        <f>IF(COUNTIF(A:A,A297)&gt;1,_xlfn.CONCAT(A297," (",N297,")"),A297)</f>
        <v>Diāo Jiēdào</v>
      </c>
      <c r="C297" t="str">
        <f>IF(COUNTIF(B:B,B297)&gt;1,_xlfn.CONCAT(A297," (",M297,")"),B297)</f>
        <v>Diāo Jiēdào</v>
      </c>
      <c r="D297" t="s">
        <v>958</v>
      </c>
      <c r="E297" t="s">
        <v>7</v>
      </c>
      <c r="F297" t="str">
        <f>_xlfn.CONCAT(D297,", ",H297,", ",I297,", ","山东省")</f>
        <v>刁镇街道, 章丘区, 济南市, 山东省</v>
      </c>
      <c r="G297">
        <v>62031</v>
      </c>
      <c r="H297" t="s">
        <v>3685</v>
      </c>
      <c r="I297" t="s">
        <v>3673</v>
      </c>
      <c r="J297" t="e">
        <f>VLOOKUP(F297,[1]!china_towns_second__2[[Column1]:[Y]],3,FALSE)</f>
        <v>#N/A</v>
      </c>
      <c r="K297" t="e">
        <f>VLOOKUP(F297,[1]!china_towns_second__2[[Column1]:[Y]],2,FALSE)</f>
        <v>#N/A</v>
      </c>
      <c r="L297" t="s">
        <v>5134</v>
      </c>
      <c r="M297" t="str">
        <f>VLOOKUP(H297,CHOOSE({1,2},Table17[Native],Table17[Name]),2,0)</f>
        <v>Zhāngqiū Qū</v>
      </c>
      <c r="N297" s="15" t="str">
        <f>VLOOKUP(I297,CHOOSE({1,2},Table17[Native],Table17[Name]),2,0)</f>
        <v>Jìnán Shì</v>
      </c>
      <c r="O297" s="15" t="str">
        <f t="shared" si="8"/>
        <v>Diao Jiedao (Jìnán Shì)</v>
      </c>
      <c r="P297" s="15" t="str">
        <f t="shared" si="9"/>
        <v>Diao Jiedao (Jìnán Shì)</v>
      </c>
    </row>
    <row r="298" spans="1:16" hidden="1" x14ac:dyDescent="0.25">
      <c r="A298" t="s">
        <v>483</v>
      </c>
      <c r="B298" t="str">
        <f>IF(COUNTIF(A:A,A298)&gt;1,_xlfn.CONCAT(A298," (",N298,")"),A298)</f>
        <v>Diāokŏu Xiāng</v>
      </c>
      <c r="C298" t="str">
        <f>IF(COUNTIF(B:B,B298)&gt;1,_xlfn.CONCAT(A298," (",M298,")"),B298)</f>
        <v>Diāokŏu Xiāng</v>
      </c>
      <c r="D298" t="s">
        <v>484</v>
      </c>
      <c r="E298" t="s">
        <v>61</v>
      </c>
      <c r="F298" t="str">
        <f>_xlfn.CONCAT(D298,", ",H298,", ",I298,", ","山东省")</f>
        <v>刁口乡, 利津县, 东营市, 山东省</v>
      </c>
      <c r="G298">
        <v>1934</v>
      </c>
      <c r="H298" t="s">
        <v>3660</v>
      </c>
      <c r="I298" t="s">
        <v>3655</v>
      </c>
      <c r="J298" t="e">
        <f>VLOOKUP(F298,[1]!china_towns_second__2[[Column1]:[Y]],3,FALSE)</f>
        <v>#N/A</v>
      </c>
      <c r="K298" t="e">
        <f>VLOOKUP(F298,[1]!china_towns_second__2[[Column1]:[Y]],2,FALSE)</f>
        <v>#N/A</v>
      </c>
      <c r="L298" t="s">
        <v>5135</v>
      </c>
      <c r="M298" t="str">
        <f>VLOOKUP(H298,CHOOSE({1,2},Table17[Native],Table17[Name]),2,0)</f>
        <v>Lìjīn Xiàn</v>
      </c>
      <c r="N298" s="15" t="str">
        <f>VLOOKUP(I298,CHOOSE({1,2},Table17[Native],Table17[Name]),2,0)</f>
        <v>Dōngyíng Shì</v>
      </c>
      <c r="O298" s="15" t="str">
        <f t="shared" si="8"/>
        <v>Diaokou Xiang (Dōngyíng Shì)</v>
      </c>
      <c r="P298" s="15" t="str">
        <f t="shared" si="9"/>
        <v>Diaokou Xiang (Dōngyíng Shì)</v>
      </c>
    </row>
    <row r="299" spans="1:16" hidden="1" x14ac:dyDescent="0.25">
      <c r="A299" t="s">
        <v>1862</v>
      </c>
      <c r="B299" t="str">
        <f>IF(COUNTIF(A:A,A299)&gt;1,_xlfn.CONCAT(A299," (",N299,")"),A299)</f>
        <v>Dìfāng Zhèn</v>
      </c>
      <c r="C299" t="str">
        <f>IF(COUNTIF(B:B,B299)&gt;1,_xlfn.CONCAT(A299," (",M299,")"),B299)</f>
        <v>Dìfāng Zhèn</v>
      </c>
      <c r="D299" t="s">
        <v>1863</v>
      </c>
      <c r="E299" t="s">
        <v>13</v>
      </c>
      <c r="F299" t="str">
        <f>_xlfn.CONCAT(D299,", ",H299,", ",I299,", ","山东省")</f>
        <v>地方镇, 平邑县, 临沂市, 山东省</v>
      </c>
      <c r="G299">
        <v>61219</v>
      </c>
      <c r="H299" t="s">
        <v>3719</v>
      </c>
      <c r="I299" t="s">
        <v>3710</v>
      </c>
      <c r="J299">
        <f>VLOOKUP(F299,[1]!china_towns_second__2[[Column1]:[Y]],3,FALSE)</f>
        <v>35.337084955640698</v>
      </c>
      <c r="K299">
        <f>VLOOKUP(F299,[1]!china_towns_second__2[[Column1]:[Y]],2,FALSE)</f>
        <v>117.8083211</v>
      </c>
      <c r="L299" t="s">
        <v>5136</v>
      </c>
      <c r="M299" t="str">
        <f>VLOOKUP(H299,CHOOSE({1,2},Table17[Native],Table17[Name]),2,0)</f>
        <v>Píngyì Xiàn</v>
      </c>
      <c r="N299" s="15" t="str">
        <f>VLOOKUP(I299,CHOOSE({1,2},Table17[Native],Table17[Name]),2,0)</f>
        <v>Línyí Shì</v>
      </c>
      <c r="O299" s="15" t="str">
        <f t="shared" si="8"/>
        <v>Difang Zhen (Línyí Shì)</v>
      </c>
      <c r="P299" s="15" t="str">
        <f t="shared" si="9"/>
        <v>Difang Zhen (Línyí Shì)</v>
      </c>
    </row>
    <row r="300" spans="1:16" hidden="1" x14ac:dyDescent="0.25">
      <c r="A300" t="s">
        <v>45</v>
      </c>
      <c r="B300" t="str">
        <f>IF(COUNTIF(A:A,A300)&gt;1,_xlfn.CONCAT(A300," (",N300,")"),A300)</f>
        <v>Dìfēng Jiēdào</v>
      </c>
      <c r="C300" t="str">
        <f>IF(COUNTIF(B:B,B300)&gt;1,_xlfn.CONCAT(A300," (",M300,")"),B300)</f>
        <v>Dìfēng Jiēdào</v>
      </c>
      <c r="D300" t="s">
        <v>46</v>
      </c>
      <c r="E300" t="s">
        <v>7</v>
      </c>
      <c r="F300" t="str">
        <f>_xlfn.CONCAT(D300,", ",H300,", ",I300,", ","山东省")</f>
        <v>棣丰街道, 无棣县, 滨州市, 山东省</v>
      </c>
      <c r="G300">
        <v>26206</v>
      </c>
      <c r="H300" t="s">
        <v>3636</v>
      </c>
      <c r="I300" t="s">
        <v>3630</v>
      </c>
      <c r="J300">
        <f>VLOOKUP(F300,[1]!china_towns_second__2[[Column1]:[Y]],3,FALSE)</f>
        <v>37.735831951509198</v>
      </c>
      <c r="K300">
        <f>VLOOKUP(F300,[1]!china_towns_second__2[[Column1]:[Y]],2,FALSE)</f>
        <v>117.67831339999999</v>
      </c>
      <c r="L300" t="s">
        <v>5137</v>
      </c>
      <c r="M300" t="str">
        <f>VLOOKUP(H300,CHOOSE({1,2},Table17[Native],Table17[Name]),2,0)</f>
        <v>Wúdì Xiàn</v>
      </c>
      <c r="N300" s="15" t="str">
        <f>VLOOKUP(I300,CHOOSE({1,2},Table17[Native],Table17[Name]),2,0)</f>
        <v>Bīnzhōu Shì</v>
      </c>
      <c r="O300" s="15" t="str">
        <f t="shared" si="8"/>
        <v>Difeng Jiedao (Bīnzhōu Shì)</v>
      </c>
      <c r="P300" s="15" t="str">
        <f t="shared" si="9"/>
        <v>Difeng Jiedao (Bīnzhōu Shì)</v>
      </c>
    </row>
    <row r="301" spans="1:16" hidden="1" x14ac:dyDescent="0.25">
      <c r="A301" t="s">
        <v>3361</v>
      </c>
      <c r="B301" t="str">
        <f>IF(COUNTIF(A:A,A301)&gt;1,_xlfn.CONCAT(A301," (",N301,")"),A301)</f>
        <v>Dĭgé Zhèn</v>
      </c>
      <c r="C301" t="str">
        <f>IF(COUNTIF(B:B,B301)&gt;1,_xlfn.CONCAT(A301," (",M301,")"),B301)</f>
        <v>Dĭgé Zhèn</v>
      </c>
      <c r="D301" t="s">
        <v>3362</v>
      </c>
      <c r="E301" t="s">
        <v>13</v>
      </c>
      <c r="F301" t="str">
        <f>_xlfn.CONCAT(D301,", ",H301,", ",I301,", ","山东省")</f>
        <v>底阁镇, 峄城区, 枣庄市, 山东省</v>
      </c>
      <c r="G301">
        <v>40105</v>
      </c>
      <c r="H301" t="s">
        <v>3789</v>
      </c>
      <c r="I301" t="s">
        <v>3784</v>
      </c>
      <c r="J301">
        <f>VLOOKUP(F301,[1]!china_towns_second__2[[Column1]:[Y]],3,FALSE)</f>
        <v>34.714550976943698</v>
      </c>
      <c r="K301">
        <f>VLOOKUP(F301,[1]!china_towns_second__2[[Column1]:[Y]],2,FALSE)</f>
        <v>117.7700814</v>
      </c>
      <c r="L301" t="s">
        <v>5138</v>
      </c>
      <c r="M301" t="str">
        <f>VLOOKUP(H301,CHOOSE({1,2},Table17[Native],Table17[Name]),2,0)</f>
        <v>Yìchéng Qū</v>
      </c>
      <c r="N301" s="15" t="str">
        <f>VLOOKUP(I301,CHOOSE({1,2},Table17[Native],Table17[Name]),2,0)</f>
        <v>Zăozhuāng Shì</v>
      </c>
      <c r="O301" s="15" t="str">
        <f t="shared" si="8"/>
        <v>Dige Zhen (Zăozhuāng Shì)</v>
      </c>
      <c r="P301" s="15" t="str">
        <f t="shared" si="9"/>
        <v>Dige Zhen (Zăozhuāng Shì)</v>
      </c>
    </row>
    <row r="302" spans="1:16" hidden="1" x14ac:dyDescent="0.25">
      <c r="A302" t="s">
        <v>959</v>
      </c>
      <c r="B302" t="str">
        <f>IF(COUNTIF(A:A,A302)&gt;1,_xlfn.CONCAT(A302," (",N302,")"),A302)</f>
        <v>Dīkŏulù Jiēdào</v>
      </c>
      <c r="C302" t="str">
        <f>IF(COUNTIF(B:B,B302)&gt;1,_xlfn.CONCAT(A302," (",M302,")"),B302)</f>
        <v>Dīkŏulù Jiēdào</v>
      </c>
      <c r="D302" t="s">
        <v>960</v>
      </c>
      <c r="E302" t="s">
        <v>7</v>
      </c>
      <c r="F302" t="str">
        <f>_xlfn.CONCAT(D302,", ",H302,", ",I302,", ","山东省")</f>
        <v>堤口路街道, 天桥区, 济南市, 山东省</v>
      </c>
      <c r="G302">
        <v>68413</v>
      </c>
      <c r="H302" t="s">
        <v>3684</v>
      </c>
      <c r="I302" t="s">
        <v>3673</v>
      </c>
      <c r="J302">
        <f>VLOOKUP(F302,[1]!china_towns_second__2[[Column1]:[Y]],3,FALSE)</f>
        <v>36.678912383840498</v>
      </c>
      <c r="K302">
        <f>VLOOKUP(F302,[1]!china_towns_second__2[[Column1]:[Y]],2,FALSE)</f>
        <v>116.9617196</v>
      </c>
      <c r="L302" t="s">
        <v>5139</v>
      </c>
      <c r="M302" t="str">
        <f>VLOOKUP(H302,CHOOSE({1,2},Table17[Native],Table17[Name]),2,0)</f>
        <v>Tiānqiáo Qū</v>
      </c>
      <c r="N302" s="15" t="str">
        <f>VLOOKUP(I302,CHOOSE({1,2},Table17[Native],Table17[Name]),2,0)</f>
        <v>Jìnán Shì</v>
      </c>
      <c r="O302" s="15" t="str">
        <f t="shared" si="8"/>
        <v>Dikoulu Jiedao (Jìnán Shì)</v>
      </c>
      <c r="P302" s="15" t="str">
        <f t="shared" si="9"/>
        <v>Dikoulu Jiedao (Jìnán Shì)</v>
      </c>
    </row>
    <row r="303" spans="1:16" hidden="1" x14ac:dyDescent="0.25">
      <c r="A303" t="s">
        <v>660</v>
      </c>
      <c r="B303" t="str">
        <f>IF(COUNTIF(A:A,A303)&gt;1,_xlfn.CONCAT(A303," (",N303,")"),A303)</f>
        <v>Dīnglĭcháng Zhèn</v>
      </c>
      <c r="C303" t="str">
        <f>IF(COUNTIF(B:B,B303)&gt;1,_xlfn.CONCAT(A303," (",M303,")"),B303)</f>
        <v>Dīnglĭcháng Zhèn</v>
      </c>
      <c r="D303" t="s">
        <v>661</v>
      </c>
      <c r="E303" t="s">
        <v>7</v>
      </c>
      <c r="F303" t="str">
        <f>_xlfn.CONCAT(D303,", ",H303,", ",I303,", ","山东省")</f>
        <v>丁里长街道, 郓城县, 菏泽市, 山东省</v>
      </c>
      <c r="G303">
        <v>36875</v>
      </c>
      <c r="H303" t="s">
        <v>3671</v>
      </c>
      <c r="I303" t="s">
        <v>3662</v>
      </c>
      <c r="J303" t="e">
        <f>VLOOKUP(F303,[1]!china_towns_second__2[[Column1]:[Y]],3,FALSE)</f>
        <v>#N/A</v>
      </c>
      <c r="K303" t="e">
        <f>VLOOKUP(F303,[1]!china_towns_second__2[[Column1]:[Y]],2,FALSE)</f>
        <v>#N/A</v>
      </c>
      <c r="L303" t="s">
        <v>5140</v>
      </c>
      <c r="M303" t="str">
        <f>VLOOKUP(H303,CHOOSE({1,2},Table17[Native],Table17[Name]),2,0)</f>
        <v>Yùnchéng Xiàn</v>
      </c>
      <c r="N303" s="15" t="str">
        <f>VLOOKUP(I303,CHOOSE({1,2},Table17[Native],Table17[Name]),2,0)</f>
        <v>Hézé Shì</v>
      </c>
      <c r="O303" s="15" t="str">
        <f t="shared" si="8"/>
        <v>Dinglichang Zhen (Hézé Shì)</v>
      </c>
      <c r="P303" s="15" t="str">
        <f t="shared" si="9"/>
        <v>Dinglichang Zhen (Hézé Shì)</v>
      </c>
    </row>
    <row r="304" spans="1:16" hidden="1" x14ac:dyDescent="0.25">
      <c r="A304" t="s">
        <v>1572</v>
      </c>
      <c r="B304" t="str">
        <f>IF(COUNTIF(A:A,A304)&gt;1,_xlfn.CONCAT(A304," (",N304,")"),A304)</f>
        <v>Dìngshuĭ Zhèn</v>
      </c>
      <c r="C304" t="str">
        <f>IF(COUNTIF(B:B,B304)&gt;1,_xlfn.CONCAT(A304," (",M304,")"),B304)</f>
        <v>Dìngshuĭ Zhèn</v>
      </c>
      <c r="D304" t="s">
        <v>1573</v>
      </c>
      <c r="E304" t="s">
        <v>13</v>
      </c>
      <c r="F304" t="str">
        <f>_xlfn.CONCAT(D304,", ",H304,", ",I304,", ","山东省")</f>
        <v>定水镇, 阳谷县, 聊城市, 山东省</v>
      </c>
      <c r="G304">
        <v>26256</v>
      </c>
      <c r="H304" t="s">
        <v>3708</v>
      </c>
      <c r="I304" t="s">
        <v>3700</v>
      </c>
      <c r="J304">
        <f>VLOOKUP(F304,[1]!china_towns_second__2[[Column1]:[Y]],3,FALSE)</f>
        <v>36.253281515727103</v>
      </c>
      <c r="K304">
        <f>VLOOKUP(F304,[1]!china_towns_second__2[[Column1]:[Y]],2,FALSE)</f>
        <v>115.7871212</v>
      </c>
      <c r="L304" t="s">
        <v>5141</v>
      </c>
      <c r="M304" t="str">
        <f>VLOOKUP(H304,CHOOSE({1,2},Table17[Native],Table17[Name]),2,0)</f>
        <v>Yánggŭ Xiàn</v>
      </c>
      <c r="N304" s="15" t="str">
        <f>VLOOKUP(I304,CHOOSE({1,2},Table17[Native],Table17[Name]),2,0)</f>
        <v>Liáochéng Shì</v>
      </c>
      <c r="O304" s="15" t="str">
        <f t="shared" si="8"/>
        <v>Dingshui Zhen (Liáochéng Shì)</v>
      </c>
      <c r="P304" s="15" t="str">
        <f t="shared" si="9"/>
        <v>Dingshui Zhen (Liáochéng Shì)</v>
      </c>
    </row>
    <row r="305" spans="1:16" hidden="1" x14ac:dyDescent="0.25">
      <c r="A305" t="s">
        <v>249</v>
      </c>
      <c r="B305" t="str">
        <f>IF(COUNTIF(A:A,A305)&gt;1,_xlfn.CONCAT(A305," (",N305,")"),A305)</f>
        <v>Dīngwù Zhèn</v>
      </c>
      <c r="C305" t="str">
        <f>IF(COUNTIF(B:B,B305)&gt;1,_xlfn.CONCAT(A305," (",M305,")"),B305)</f>
        <v>Dīngwù Zhèn</v>
      </c>
      <c r="D305" t="s">
        <v>250</v>
      </c>
      <c r="E305" t="s">
        <v>13</v>
      </c>
      <c r="F305" t="str">
        <f>_xlfn.CONCAT(D305,", ",H305,", ",I305,", ","山东省")</f>
        <v>丁坞镇, 乐陵市, 德州市, 山东省</v>
      </c>
      <c r="G305">
        <v>37573</v>
      </c>
      <c r="H305" t="s">
        <v>3644</v>
      </c>
      <c r="I305" t="s">
        <v>3642</v>
      </c>
      <c r="J305">
        <f>VLOOKUP(F305,[1]!china_towns_second__2[[Column1]:[Y]],3,FALSE)</f>
        <v>37.704925167120997</v>
      </c>
      <c r="K305">
        <f>VLOOKUP(F305,[1]!china_towns_second__2[[Column1]:[Y]],2,FALSE)</f>
        <v>117.06366559999999</v>
      </c>
      <c r="L305" t="s">
        <v>5142</v>
      </c>
      <c r="M305" t="str">
        <f>VLOOKUP(H305,CHOOSE({1,2},Table17[Native],Table17[Name]),2,0)</f>
        <v>Lèlíng Shì</v>
      </c>
      <c r="N305" s="15" t="str">
        <f>VLOOKUP(I305,CHOOSE({1,2},Table17[Native],Table17[Name]),2,0)</f>
        <v>Dézhōu Shì</v>
      </c>
      <c r="O305" s="15" t="str">
        <f t="shared" si="8"/>
        <v>Dingwu Zhen (Dézhōu Shì)</v>
      </c>
      <c r="P305" s="15" t="str">
        <f t="shared" si="9"/>
        <v>Dingwu Zhen (Dézhōu Shì)</v>
      </c>
    </row>
    <row r="306" spans="1:16" hidden="1" x14ac:dyDescent="0.25">
      <c r="A306" t="s">
        <v>1574</v>
      </c>
      <c r="B306" t="str">
        <f>IF(COUNTIF(A:A,A306)&gt;1,_xlfn.CONCAT(A306," (",N306,")"),A306)</f>
        <v>Dìngyuănzhài Zhèn</v>
      </c>
      <c r="C306" t="str">
        <f>IF(COUNTIF(B:B,B306)&gt;1,_xlfn.CONCAT(A306," (",M306,")"),B306)</f>
        <v>Dìngyuănzhài Zhèn</v>
      </c>
      <c r="D306" t="s">
        <v>1575</v>
      </c>
      <c r="E306" t="s">
        <v>13</v>
      </c>
      <c r="F306" t="str">
        <f>_xlfn.CONCAT(D306,", ",H306,", ",I306,", ","山东省")</f>
        <v>定远寨镇, 冠县, 聊城市, 山东省</v>
      </c>
      <c r="G306">
        <v>33595</v>
      </c>
      <c r="H306" t="s">
        <v>3705</v>
      </c>
      <c r="I306" t="s">
        <v>3700</v>
      </c>
      <c r="J306">
        <f>VLOOKUP(F306,[1]!china_towns_second__2[[Column1]:[Y]],3,FALSE)</f>
        <v>36.478111924150902</v>
      </c>
      <c r="K306">
        <f>VLOOKUP(F306,[1]!china_towns_second__2[[Column1]:[Y]],2,FALSE)</f>
        <v>115.6772241</v>
      </c>
      <c r="L306" t="s">
        <v>5143</v>
      </c>
      <c r="M306" t="str">
        <f>VLOOKUP(H306,CHOOSE({1,2},Table17[Native],Table17[Name]),2,0)</f>
        <v>Guān Xiàn</v>
      </c>
      <c r="N306" s="15" t="str">
        <f>VLOOKUP(I306,CHOOSE({1,2},Table17[Native],Table17[Name]),2,0)</f>
        <v>Liáochéng Shì</v>
      </c>
      <c r="O306" s="15" t="str">
        <f t="shared" si="8"/>
        <v>Dingyuanzhai Zhen (Liáochéng Shì)</v>
      </c>
      <c r="P306" s="15" t="str">
        <f t="shared" si="9"/>
        <v>Dingyuanzhai Zhen (Liáochéng Shì)</v>
      </c>
    </row>
    <row r="307" spans="1:16" hidden="1" x14ac:dyDescent="0.25">
      <c r="A307" t="s">
        <v>485</v>
      </c>
      <c r="B307" t="str">
        <f>IF(COUNTIF(A:A,A307)&gt;1,_xlfn.CONCAT(A307," (",N307,")"),A307)</f>
        <v>Dīngzhuāng Jiēdào</v>
      </c>
      <c r="C307" t="str">
        <f>IF(COUNTIF(B:B,B307)&gt;1,_xlfn.CONCAT(A307," (",M307,")"),B307)</f>
        <v>Dīngzhuāng Jiēdào</v>
      </c>
      <c r="D307" t="s">
        <v>486</v>
      </c>
      <c r="E307" t="s">
        <v>7</v>
      </c>
      <c r="F307" t="str">
        <f>_xlfn.CONCAT(D307,", ",H307,", ",I307,", ","山东省")</f>
        <v>丁庄街道, 广饶县, 东营市, 山东省</v>
      </c>
      <c r="G307">
        <v>42014</v>
      </c>
      <c r="H307" t="s">
        <v>3657</v>
      </c>
      <c r="I307" t="s">
        <v>3655</v>
      </c>
      <c r="J307" t="e">
        <f>VLOOKUP(F307,[1]!china_towns_second__2[[Column1]:[Y]],3,FALSE)</f>
        <v>#N/A</v>
      </c>
      <c r="K307" t="e">
        <f>VLOOKUP(F307,[1]!china_towns_second__2[[Column1]:[Y]],2,FALSE)</f>
        <v>#N/A</v>
      </c>
      <c r="L307" t="s">
        <v>5144</v>
      </c>
      <c r="M307" t="str">
        <f>VLOOKUP(H307,CHOOSE({1,2},Table17[Native],Table17[Name]),2,0)</f>
        <v>Guăngráo Xiàn</v>
      </c>
      <c r="N307" s="15" t="str">
        <f>VLOOKUP(I307,CHOOSE({1,2},Table17[Native],Table17[Name]),2,0)</f>
        <v>Dōngyíng Shì</v>
      </c>
      <c r="O307" s="15" t="str">
        <f t="shared" si="8"/>
        <v>Dingzhuang Jiedao (Dōngyíng Shì)</v>
      </c>
      <c r="P307" s="15" t="str">
        <f t="shared" si="9"/>
        <v>Dingzhuang Jiedao (Dōngyíng Shì)</v>
      </c>
    </row>
    <row r="308" spans="1:16" hidden="1" x14ac:dyDescent="0.25">
      <c r="A308" t="s">
        <v>251</v>
      </c>
      <c r="B308" t="str">
        <f>IF(COUNTIF(A:A,A308)&gt;1,_xlfn.CONCAT(A308," (",N308,")"),A308)</f>
        <v>Dīngzhuāng Zhèn</v>
      </c>
      <c r="C308" t="str">
        <f>IF(COUNTIF(B:B,B308)&gt;1,_xlfn.CONCAT(A308," (",M308,")"),B308)</f>
        <v>Dīngzhuāng Zhèn</v>
      </c>
      <c r="D308" t="s">
        <v>252</v>
      </c>
      <c r="E308" t="s">
        <v>13</v>
      </c>
      <c r="F308" t="str">
        <f>_xlfn.CONCAT(D308,", ",H308,", ",I308,", ","山东省")</f>
        <v>丁庄镇, 陵城区, 德州市, 山东省</v>
      </c>
      <c r="G308">
        <v>18010</v>
      </c>
      <c r="H308" t="s">
        <v>3645</v>
      </c>
      <c r="I308" t="s">
        <v>3642</v>
      </c>
      <c r="J308">
        <f>VLOOKUP(F308,[1]!china_towns_second__2[[Column1]:[Y]],3,FALSE)</f>
        <v>37.310900847404199</v>
      </c>
      <c r="K308">
        <f>VLOOKUP(F308,[1]!china_towns_second__2[[Column1]:[Y]],2,FALSE)</f>
        <v>116.4474625</v>
      </c>
      <c r="L308" t="s">
        <v>5145</v>
      </c>
      <c r="M308" t="str">
        <f>VLOOKUP(H308,CHOOSE({1,2},Table17[Native],Table17[Name]),2,0)</f>
        <v>Língchéng Qū</v>
      </c>
      <c r="N308" s="15" t="str">
        <f>VLOOKUP(I308,CHOOSE({1,2},Table17[Native],Table17[Name]),2,0)</f>
        <v>Dézhōu Shì</v>
      </c>
      <c r="O308" s="15" t="str">
        <f t="shared" si="8"/>
        <v>Dingzhuang Zhen (Dézhōu Shì)</v>
      </c>
      <c r="P308" s="15" t="str">
        <f t="shared" si="9"/>
        <v>Dingzhuang Zhen (Dézhōu Shì)</v>
      </c>
    </row>
    <row r="309" spans="1:16" hidden="1" x14ac:dyDescent="0.25">
      <c r="A309" t="s">
        <v>961</v>
      </c>
      <c r="B309" t="str">
        <f>IF(COUNTIF(A:A,A309)&gt;1,_xlfn.CONCAT(A309," (",N309,")"),A309)</f>
        <v>Dōng'ā Zhèn</v>
      </c>
      <c r="C309" t="str">
        <f>IF(COUNTIF(B:B,B309)&gt;1,_xlfn.CONCAT(A309," (",M309,")"),B309)</f>
        <v>Dōng'ā Zhèn</v>
      </c>
      <c r="D309" t="s">
        <v>962</v>
      </c>
      <c r="E309" t="s">
        <v>13</v>
      </c>
      <c r="F309" t="str">
        <f>_xlfn.CONCAT(D309,", ",H309,", ",I309,", ","山东省")</f>
        <v>东阿镇, 平阴县, 济南市, 山东省</v>
      </c>
      <c r="G309">
        <v>29326</v>
      </c>
      <c r="H309" t="s">
        <v>3681</v>
      </c>
      <c r="I309" t="s">
        <v>3673</v>
      </c>
      <c r="J309">
        <f>VLOOKUP(F309,[1]!china_towns_second__2[[Column1]:[Y]],3,FALSE)</f>
        <v>36.183358639829301</v>
      </c>
      <c r="K309">
        <f>VLOOKUP(F309,[1]!china_towns_second__2[[Column1]:[Y]],2,FALSE)</f>
        <v>116.2922167</v>
      </c>
      <c r="L309" t="s">
        <v>5146</v>
      </c>
      <c r="M309" t="str">
        <f>VLOOKUP(H309,CHOOSE({1,2},Table17[Native],Table17[Name]),2,0)</f>
        <v>Píngyīn Xiàn</v>
      </c>
      <c r="N309" s="15" t="str">
        <f>VLOOKUP(I309,CHOOSE({1,2},Table17[Native],Table17[Name]),2,0)</f>
        <v>Jìnán Shì</v>
      </c>
      <c r="O309" s="15" t="str">
        <f t="shared" si="8"/>
        <v>Dong'a Zhen (Jìnán Shì)</v>
      </c>
      <c r="P309" s="15" t="str">
        <f t="shared" si="9"/>
        <v>Dong'a Zhen (Jìnán Shì)</v>
      </c>
    </row>
    <row r="310" spans="1:16" hidden="1" x14ac:dyDescent="0.25">
      <c r="A310" t="s">
        <v>487</v>
      </c>
      <c r="B310" t="str">
        <f>IF(COUNTIF(A:A,A310)&gt;1,_xlfn.CONCAT(A310," (",N310,")"),A310)</f>
        <v>Dōngchéng Jiēdào (Dōngyíng Shì)</v>
      </c>
      <c r="C310" t="str">
        <f>IF(COUNTIF(B:B,B310)&gt;1,_xlfn.CONCAT(A310," (",M310,")"),B310)</f>
        <v>Dōngchéng Jiēdào (Dōngyíng Shì)</v>
      </c>
      <c r="D310" t="s">
        <v>488</v>
      </c>
      <c r="E310" t="s">
        <v>7</v>
      </c>
      <c r="F310" t="str">
        <f>_xlfn.CONCAT(D310,", ",H310,", ",I310,", ","山东省")</f>
        <v>东城街道, 东营区, 东营市, 山东省</v>
      </c>
      <c r="G310">
        <v>112425</v>
      </c>
      <c r="H310" t="s">
        <v>3656</v>
      </c>
      <c r="I310" t="s">
        <v>3655</v>
      </c>
      <c r="J310">
        <f>VLOOKUP(F310,[1]!china_towns_second__2[[Column1]:[Y]],3,FALSE)</f>
        <v>37.416089211290902</v>
      </c>
      <c r="K310">
        <f>VLOOKUP(F310,[1]!china_towns_second__2[[Column1]:[Y]],2,FALSE)</f>
        <v>118.7920299</v>
      </c>
      <c r="L310" t="s">
        <v>5147</v>
      </c>
      <c r="M310" t="str">
        <f>VLOOKUP(H310,CHOOSE({1,2},Table17[Native],Table17[Name]),2,0)</f>
        <v>Dōngyíng Qū</v>
      </c>
      <c r="N310" s="15" t="str">
        <f>VLOOKUP(I310,CHOOSE({1,2},Table17[Native],Table17[Name]),2,0)</f>
        <v>Dōngyíng Shì</v>
      </c>
      <c r="O310" s="15" t="str">
        <f t="shared" si="8"/>
        <v>Dongcheng Jiedao (Dongying Shi) (Dōngyíng Shì)</v>
      </c>
      <c r="P310" s="15" t="str">
        <f t="shared" si="9"/>
        <v>Dongcheng Jiedao (Dongying Shi) (Dōngyíng Shì)</v>
      </c>
    </row>
    <row r="311" spans="1:16" hidden="1" x14ac:dyDescent="0.25">
      <c r="A311" t="s">
        <v>487</v>
      </c>
      <c r="B311" t="str">
        <f>IF(COUNTIF(A:A,A311)&gt;1,_xlfn.CONCAT(A311," (",N311,")"),A311)</f>
        <v>Dōngchéng Jiēdào (Hézé Shì)</v>
      </c>
      <c r="C311" t="str">
        <f>IF(COUNTIF(B:B,B311)&gt;1,_xlfn.CONCAT(A311," (",M311,")"),B311)</f>
        <v>Dōngchéng Jiēdào (Mŭdān Qū)</v>
      </c>
      <c r="D311" t="s">
        <v>488</v>
      </c>
      <c r="E311" t="s">
        <v>7</v>
      </c>
      <c r="F311" t="str">
        <f>_xlfn.CONCAT(D311,", ",H311,", ",I311,", ","山东省")</f>
        <v>东城街道, 牡丹区, 菏泽市, 山东省</v>
      </c>
      <c r="G311">
        <v>71458</v>
      </c>
      <c r="H311" t="s">
        <v>3669</v>
      </c>
      <c r="I311" t="s">
        <v>3662</v>
      </c>
      <c r="J311">
        <f>VLOOKUP(F311,[1]!china_towns_second__2[[Column1]:[Y]],3,FALSE)</f>
        <v>35.253579881649003</v>
      </c>
      <c r="K311">
        <f>VLOOKUP(F311,[1]!china_towns_second__2[[Column1]:[Y]],2,FALSE)</f>
        <v>115.4711758</v>
      </c>
      <c r="L311" t="s">
        <v>5148</v>
      </c>
      <c r="M311" t="str">
        <f>VLOOKUP(H311,CHOOSE({1,2},Table17[Native],Table17[Name]),2,0)</f>
        <v>Mŭdān Qū</v>
      </c>
      <c r="N311" s="15" t="str">
        <f>VLOOKUP(I311,CHOOSE({1,2},Table17[Native],Table17[Name]),2,0)</f>
        <v>Hézé Shì</v>
      </c>
      <c r="O311" s="15" t="str">
        <f t="shared" si="8"/>
        <v>Dongcheng Jiedao (Mudan Qu) (Hézé Shì)</v>
      </c>
      <c r="P311" s="15" t="str">
        <f t="shared" si="9"/>
        <v>Dongcheng Jiedao (Mudan Qu) (Hézé Shì)</v>
      </c>
    </row>
    <row r="312" spans="1:16" hidden="1" x14ac:dyDescent="0.25">
      <c r="A312" t="s">
        <v>487</v>
      </c>
      <c r="B312" t="str">
        <f>IF(COUNTIF(A:A,A312)&gt;1,_xlfn.CONCAT(A312," (",N312,")"),A312)</f>
        <v>Dōngchéng Jiēdào (Hézé Shì)</v>
      </c>
      <c r="C312" t="str">
        <f>IF(COUNTIF(B:B,B312)&gt;1,_xlfn.CONCAT(A312," (",M312,")"),B312)</f>
        <v>Dōngchéng Jiēdào (Shàn Xiàn)</v>
      </c>
      <c r="D312" t="s">
        <v>488</v>
      </c>
      <c r="E312" t="s">
        <v>7</v>
      </c>
      <c r="F312" t="str">
        <f>_xlfn.CONCAT(D312,", ",H312,", ",I312,", ","山东省")</f>
        <v>东城街道, 单县, 菏泽市, 山东省</v>
      </c>
      <c r="G312">
        <v>26105</v>
      </c>
      <c r="H312" t="s">
        <v>3670</v>
      </c>
      <c r="I312" t="s">
        <v>3662</v>
      </c>
      <c r="J312">
        <f>VLOOKUP(F312,[1]!china_towns_second__2[[Column1]:[Y]],3,FALSE)</f>
        <v>34.739613350229597</v>
      </c>
      <c r="K312">
        <f>VLOOKUP(F312,[1]!china_towns_second__2[[Column1]:[Y]],2,FALSE)</f>
        <v>116.1263555</v>
      </c>
      <c r="L312" t="s">
        <v>5149</v>
      </c>
      <c r="M312" t="str">
        <f>VLOOKUP(H312,CHOOSE({1,2},Table17[Native],Table17[Name]),2,0)</f>
        <v>Shàn Xiàn</v>
      </c>
      <c r="N312" s="15" t="str">
        <f>VLOOKUP(I312,CHOOSE({1,2},Table17[Native],Table17[Name]),2,0)</f>
        <v>Hézé Shì</v>
      </c>
      <c r="O312" s="15" t="str">
        <f t="shared" si="8"/>
        <v>Dongcheng Jiedao (Shan Xian) (Hézé Shì)</v>
      </c>
      <c r="P312" s="15" t="str">
        <f t="shared" si="9"/>
        <v>Dongcheng Jiedao (Shan Xian) (Hézé Shì)</v>
      </c>
    </row>
    <row r="313" spans="1:16" hidden="1" x14ac:dyDescent="0.25">
      <c r="A313" t="s">
        <v>487</v>
      </c>
      <c r="B313" t="str">
        <f>IF(COUNTIF(A:A,A313)&gt;1,_xlfn.CONCAT(A313," (",N313,")"),A313)</f>
        <v>Dōngchéng Jiēdào (Liáochéng Shì)</v>
      </c>
      <c r="C313" t="str">
        <f>IF(COUNTIF(B:B,B313)&gt;1,_xlfn.CONCAT(A313," (",M313,")"),B313)</f>
        <v>Dōngchéng Jiēdào (Liáochéng Shì)</v>
      </c>
      <c r="D313" t="s">
        <v>488</v>
      </c>
      <c r="E313" t="s">
        <v>7</v>
      </c>
      <c r="F313" t="str">
        <f>_xlfn.CONCAT(D313,", ",H313,", ",I313,", ","山东省")</f>
        <v>东城街道, 东昌府区, 聊城市, 山东省</v>
      </c>
      <c r="G313">
        <v>46224</v>
      </c>
      <c r="H313" t="s">
        <v>3702</v>
      </c>
      <c r="I313" t="s">
        <v>3700</v>
      </c>
      <c r="J313">
        <f>VLOOKUP(F313,[1]!china_towns_second__2[[Column1]:[Y]],3,FALSE)</f>
        <v>36.447484300807901</v>
      </c>
      <c r="K313">
        <f>VLOOKUP(F313,[1]!china_towns_second__2[[Column1]:[Y]],2,FALSE)</f>
        <v>116.0366518</v>
      </c>
      <c r="L313" t="s">
        <v>5150</v>
      </c>
      <c r="M313" t="str">
        <f>VLOOKUP(H313,CHOOSE({1,2},Table17[Native],Table17[Name]),2,0)</f>
        <v>Dōngchāngfŭ Qū</v>
      </c>
      <c r="N313" s="15" t="str">
        <f>VLOOKUP(I313,CHOOSE({1,2},Table17[Native],Table17[Name]),2,0)</f>
        <v>Liáochéng Shì</v>
      </c>
      <c r="O313" s="15" t="str">
        <f t="shared" si="8"/>
        <v>Dongcheng Jiedao (Liaocheng Shi) (Liáochéng Shì)</v>
      </c>
      <c r="P313" s="15" t="str">
        <f t="shared" si="9"/>
        <v>Dongcheng Jiedao (Liaocheng Shi) (Liáochéng Shì)</v>
      </c>
    </row>
    <row r="314" spans="1:16" hidden="1" x14ac:dyDescent="0.25">
      <c r="A314" t="s">
        <v>487</v>
      </c>
      <c r="B314" t="str">
        <f>IF(COUNTIF(A:A,A314)&gt;1,_xlfn.CONCAT(A314," (",N314,")"),A314)</f>
        <v>Dōngchéng Jiēdào (Wéifāng Shì)</v>
      </c>
      <c r="C314" t="str">
        <f>IF(COUNTIF(B:B,B314)&gt;1,_xlfn.CONCAT(A314," (",M314,")"),B314)</f>
        <v>Dōngchéng Jiēdào (Wéifāng Shì)</v>
      </c>
      <c r="D314" t="s">
        <v>488</v>
      </c>
      <c r="E314" t="s">
        <v>7</v>
      </c>
      <c r="F314" t="str">
        <f>_xlfn.CONCAT(D314,", ",H314,", ",I314,", ","山东省")</f>
        <v>东城街道, 临朐县, 潍坊市, 山东省</v>
      </c>
      <c r="G314">
        <v>109439</v>
      </c>
      <c r="H314" t="s">
        <v>3759</v>
      </c>
      <c r="I314" t="s">
        <v>3751</v>
      </c>
      <c r="J314">
        <f>VLOOKUP(F314,[1]!china_towns_second__2[[Column1]:[Y]],3,FALSE)</f>
        <v>36.487339081181297</v>
      </c>
      <c r="K314">
        <f>VLOOKUP(F314,[1]!china_towns_second__2[[Column1]:[Y]],2,FALSE)</f>
        <v>118.5869137</v>
      </c>
      <c r="L314" t="s">
        <v>5151</v>
      </c>
      <c r="M314" t="str">
        <f>VLOOKUP(H314,CHOOSE({1,2},Table17[Native],Table17[Name]),2,0)</f>
        <v>Línqú Xiàn</v>
      </c>
      <c r="N314" s="15" t="str">
        <f>VLOOKUP(I314,CHOOSE({1,2},Table17[Native],Table17[Name]),2,0)</f>
        <v>Wéifāng Shì</v>
      </c>
      <c r="O314" s="15" t="str">
        <f t="shared" si="8"/>
        <v>Dongcheng Jiedao (Weifang Shi) (Wéifāng Shì)</v>
      </c>
      <c r="P314" s="15" t="str">
        <f t="shared" si="9"/>
        <v>Dongcheng Jiedao (Weifang Shi) (Wéifāng Shì)</v>
      </c>
    </row>
    <row r="315" spans="1:16" hidden="1" x14ac:dyDescent="0.25">
      <c r="A315" t="s">
        <v>3096</v>
      </c>
      <c r="B315" t="str">
        <f>IF(COUNTIF(A:A,A315)&gt;1,_xlfn.CONCAT(A315," (",N315,")"),A315)</f>
        <v>Dōngcūn Jiēdào</v>
      </c>
      <c r="C315" t="str">
        <f>IF(COUNTIF(B:B,B315)&gt;1,_xlfn.CONCAT(A315," (",M315,")"),B315)</f>
        <v>Dōngcūn Jiēdào</v>
      </c>
      <c r="D315" t="s">
        <v>3097</v>
      </c>
      <c r="E315" t="s">
        <v>7</v>
      </c>
      <c r="F315" t="str">
        <f>_xlfn.CONCAT(D315,", ",H315,", ",I315,", ","山东省")</f>
        <v>东村街道, 海阳市, 烟台市, 山东省</v>
      </c>
      <c r="G315">
        <v>79039</v>
      </c>
      <c r="H315" t="s">
        <v>3773</v>
      </c>
      <c r="I315" t="s">
        <v>3771</v>
      </c>
      <c r="J315">
        <f>VLOOKUP(F315,[1]!china_towns_second__2[[Column1]:[Y]],3,FALSE)</f>
        <v>36.798939961566902</v>
      </c>
      <c r="K315">
        <f>VLOOKUP(F315,[1]!china_towns_second__2[[Column1]:[Y]],2,FALSE)</f>
        <v>121.1303671</v>
      </c>
      <c r="L315" t="s">
        <v>5152</v>
      </c>
      <c r="M315" t="str">
        <f>VLOOKUP(H315,CHOOSE({1,2},Table17[Native],Table17[Name]),2,0)</f>
        <v>Hăiyáng Shì</v>
      </c>
      <c r="N315" s="15" t="str">
        <f>VLOOKUP(I315,CHOOSE({1,2},Table17[Native],Table17[Name]),2,0)</f>
        <v>Yāntái Shì</v>
      </c>
      <c r="O315" s="15" t="str">
        <f t="shared" si="8"/>
        <v>Dongcun Jiedao (Yāntái Shì)</v>
      </c>
      <c r="P315" s="15" t="str">
        <f t="shared" si="9"/>
        <v>Dongcun Jiedao (Yāntái Shì)</v>
      </c>
    </row>
    <row r="316" spans="1:16" hidden="1" x14ac:dyDescent="0.25">
      <c r="A316" t="s">
        <v>2532</v>
      </c>
      <c r="B316" t="str">
        <f>IF(COUNTIF(A:A,A316)&gt;1,_xlfn.CONCAT(A316," (",N316,")"),A316)</f>
        <v>Dōngdū Zhèn</v>
      </c>
      <c r="C316" t="str">
        <f>IF(COUNTIF(B:B,B316)&gt;1,_xlfn.CONCAT(A316," (",M316,")"),B316)</f>
        <v>Dōngdū Zhèn</v>
      </c>
      <c r="D316" t="s">
        <v>2533</v>
      </c>
      <c r="E316" t="s">
        <v>13</v>
      </c>
      <c r="F316" t="str">
        <f>_xlfn.CONCAT(D316,", ",H316,", ",I316,", ","山东省")</f>
        <v>东都镇, 新泰市, 泰安市, 山东省</v>
      </c>
      <c r="G316">
        <v>53257</v>
      </c>
      <c r="H316" t="s">
        <v>3749</v>
      </c>
      <c r="I316" t="s">
        <v>3743</v>
      </c>
      <c r="J316">
        <f>VLOOKUP(F316,[1]!china_towns_second__2[[Column1]:[Y]],3,FALSE)</f>
        <v>35.821028576885404</v>
      </c>
      <c r="K316">
        <f>VLOOKUP(F316,[1]!china_towns_second__2[[Column1]:[Y]],2,FALSE)</f>
        <v>117.7145605</v>
      </c>
      <c r="L316" t="s">
        <v>5153</v>
      </c>
      <c r="M316" t="str">
        <f>VLOOKUP(H316,CHOOSE({1,2},Table17[Native],Table17[Name]),2,0)</f>
        <v>Xīntài Shì</v>
      </c>
      <c r="N316" s="15" t="str">
        <f>VLOOKUP(I316,CHOOSE({1,2},Table17[Native],Table17[Name]),2,0)</f>
        <v>Tài'ān Shì</v>
      </c>
      <c r="O316" s="15" t="str">
        <f t="shared" si="8"/>
        <v>Dongdu Zhen (Tài'ān Shì)</v>
      </c>
      <c r="P316" s="15" t="str">
        <f t="shared" si="9"/>
        <v>Dongdu Zhen (Tài'ān Shì)</v>
      </c>
    </row>
    <row r="317" spans="1:16" hidden="1" x14ac:dyDescent="0.25">
      <c r="A317" t="s">
        <v>1576</v>
      </c>
      <c r="B317" t="str">
        <f>IF(COUNTIF(A:A,A317)&gt;1,_xlfn.CONCAT(A317," (",N317,")"),A317)</f>
        <v>Dŏngdùzhuāng Zhèn</v>
      </c>
      <c r="C317" t="str">
        <f>IF(COUNTIF(B:B,B317)&gt;1,_xlfn.CONCAT(A317," (",M317,")"),B317)</f>
        <v>Dŏngdùzhuāng Zhèn</v>
      </c>
      <c r="D317" t="s">
        <v>1577</v>
      </c>
      <c r="E317" t="s">
        <v>13</v>
      </c>
      <c r="F317" t="str">
        <f>_xlfn.CONCAT(D317,", ",H317,", ",I317,", ","山东省")</f>
        <v>董杜庄镇, 莘县, 聊城市, 山东省</v>
      </c>
      <c r="G317">
        <v>29740</v>
      </c>
      <c r="H317" t="s">
        <v>3707</v>
      </c>
      <c r="I317" t="s">
        <v>3700</v>
      </c>
      <c r="J317">
        <f>VLOOKUP(F317,[1]!china_towns_second__2[[Column1]:[Y]],3,FALSE)</f>
        <v>36.180841482582899</v>
      </c>
      <c r="K317">
        <f>VLOOKUP(F317,[1]!china_towns_second__2[[Column1]:[Y]],2,FALSE)</f>
        <v>115.50245219999999</v>
      </c>
      <c r="L317" t="s">
        <v>5154</v>
      </c>
      <c r="M317" t="str">
        <f>VLOOKUP(H317,CHOOSE({1,2},Table17[Native],Table17[Name]),2,0)</f>
        <v>Shēn Xiàn</v>
      </c>
      <c r="N317" s="15" t="str">
        <f>VLOOKUP(I317,CHOOSE({1,2},Table17[Native],Table17[Name]),2,0)</f>
        <v>Liáochéng Shì</v>
      </c>
      <c r="O317" s="15" t="str">
        <f t="shared" si="8"/>
        <v>Dongduzhuang Zhen (Liáochéng Shì)</v>
      </c>
      <c r="P317" s="15" t="str">
        <f t="shared" si="9"/>
        <v>Dongduzhuang Zhen (Liáochéng Shì)</v>
      </c>
    </row>
    <row r="318" spans="1:16" hidden="1" x14ac:dyDescent="0.25">
      <c r="A318" t="s">
        <v>963</v>
      </c>
      <c r="B318" t="str">
        <f>IF(COUNTIF(A:A,A318)&gt;1,_xlfn.CONCAT(A318," (",N318,")"),A318)</f>
        <v>Dōngfēng Jiēdào</v>
      </c>
      <c r="C318" t="str">
        <f>IF(COUNTIF(B:B,B318)&gt;1,_xlfn.CONCAT(A318," (",M318,")"),B318)</f>
        <v>Dōngfēng Jiēdào</v>
      </c>
      <c r="D318" t="s">
        <v>964</v>
      </c>
      <c r="E318" t="s">
        <v>7</v>
      </c>
      <c r="F318" t="str">
        <f>_xlfn.CONCAT(D318,", ",H318,", ",I318,", ","山东省")</f>
        <v>东风街道, 历城区, 济南市, 山东省</v>
      </c>
      <c r="G318">
        <v>99367</v>
      </c>
      <c r="H318" t="s">
        <v>3679</v>
      </c>
      <c r="I318" t="s">
        <v>3673</v>
      </c>
      <c r="J318">
        <f>VLOOKUP(F318,[1]!china_towns_second__2[[Column1]:[Y]],3,FALSE)</f>
        <v>36.689940482077802</v>
      </c>
      <c r="K318">
        <f>VLOOKUP(F318,[1]!china_towns_second__2[[Column1]:[Y]],2,FALSE)</f>
        <v>117.0782639</v>
      </c>
      <c r="L318" t="s">
        <v>5155</v>
      </c>
      <c r="M318" t="str">
        <f>VLOOKUP(H318,CHOOSE({1,2},Table17[Native],Table17[Name]),2,0)</f>
        <v>Lìchéng Qū</v>
      </c>
      <c r="N318" s="15" t="str">
        <f>VLOOKUP(I318,CHOOSE({1,2},Table17[Native],Table17[Name]),2,0)</f>
        <v>Jìnán Shì</v>
      </c>
      <c r="O318" s="15" t="str">
        <f t="shared" si="8"/>
        <v>Dongfeng Jiedao (Jìnán Shì)</v>
      </c>
      <c r="P318" s="15" t="str">
        <f t="shared" si="9"/>
        <v>Dongfeng Jiedao (Jìnán Shì)</v>
      </c>
    </row>
    <row r="319" spans="1:16" hidden="1" x14ac:dyDescent="0.25">
      <c r="A319" t="s">
        <v>2160</v>
      </c>
      <c r="B319" t="str">
        <f>IF(COUNTIF(A:A,A319)&gt;1,_xlfn.CONCAT(A319," (",N319,")"),A319)</f>
        <v>Dōnggé Jiēdào [Chéngguān Jiēdào; incl. Cuīzhào Zhèn, Măgēzhuāng Zhèn]</v>
      </c>
      <c r="C319" t="str">
        <f>IF(COUNTIF(B:B,B319)&gt;1,_xlfn.CONCAT(A319," (",M319,")"),B319)</f>
        <v>Dōnggé Jiēdào [Chéngguān Jiēdào; incl. Cuīzhào Zhèn, Măgēzhuāng Zhèn]</v>
      </c>
      <c r="D319" t="s">
        <v>2161</v>
      </c>
      <c r="E319" t="s">
        <v>7</v>
      </c>
      <c r="F319" t="str">
        <f>_xlfn.CONCAT(D319,", ",H319,", ",I319,", ","山东省")</f>
        <v>东阁街道, 平度市, 青岛市, 山东省</v>
      </c>
      <c r="G319">
        <v>176942</v>
      </c>
      <c r="H319" t="s">
        <v>3732</v>
      </c>
      <c r="I319" t="s">
        <v>3724</v>
      </c>
      <c r="J319">
        <f>VLOOKUP(F319,[1]!china_towns_second__2[[Column1]:[Y]],3,FALSE)</f>
        <v>36.850563767299498</v>
      </c>
      <c r="K319">
        <f>VLOOKUP(F319,[1]!china_towns_second__2[[Column1]:[Y]],2,FALSE)</f>
        <v>120.017104</v>
      </c>
      <c r="L319" t="s">
        <v>5156</v>
      </c>
      <c r="M319" t="str">
        <f>VLOOKUP(H319,CHOOSE({1,2},Table17[Native],Table17[Name]),2,0)</f>
        <v>Píngdù Shì</v>
      </c>
      <c r="N319" s="15" t="str">
        <f>VLOOKUP(I319,CHOOSE({1,2},Table17[Native],Table17[Name]),2,0)</f>
        <v>Qīngdăo Shì</v>
      </c>
      <c r="O319" s="15" t="str">
        <f t="shared" si="8"/>
        <v>Dongge Jiedao [Chengguan Jiedao; incl. Cuizhao Zhen, Magezhuang Zhen] (Qīngdăo Shì)</v>
      </c>
      <c r="P319" s="15" t="str">
        <f t="shared" si="9"/>
        <v>Dongge Jiedao [Chengguan Jiedao; incl. Cuizhao Zhen, Magezhuang Zhen] (Qīngdăo Shì)</v>
      </c>
    </row>
    <row r="320" spans="1:16" hidden="1" x14ac:dyDescent="0.25">
      <c r="A320" t="s">
        <v>965</v>
      </c>
      <c r="B320" t="str">
        <f>IF(COUNTIF(A:A,A320)&gt;1,_xlfn.CONCAT(A320," (",N320,")"),A320)</f>
        <v>Dōngguān Jiēdào (Jìnán Shì)</v>
      </c>
      <c r="C320" t="str">
        <f>IF(COUNTIF(B:B,B320)&gt;1,_xlfn.CONCAT(A320," (",M320,")"),B320)</f>
        <v>Dōngguān Jiēdào (Jìnán Shì)</v>
      </c>
      <c r="D320" t="s">
        <v>966</v>
      </c>
      <c r="E320" t="s">
        <v>7</v>
      </c>
      <c r="F320" t="str">
        <f>_xlfn.CONCAT(D320,", ",H320,", ",I320,", ","山东省")</f>
        <v>东关街道, 历下区, 济南市, 山东省</v>
      </c>
      <c r="G320">
        <v>51919</v>
      </c>
      <c r="H320" t="s">
        <v>3680</v>
      </c>
      <c r="I320" t="s">
        <v>3673</v>
      </c>
      <c r="J320">
        <f>VLOOKUP(F320,[1]!china_towns_second__2[[Column1]:[Y]],3,FALSE)</f>
        <v>36.678580566060901</v>
      </c>
      <c r="K320">
        <f>VLOOKUP(F320,[1]!china_towns_second__2[[Column1]:[Y]],2,FALSE)</f>
        <v>117.0381378</v>
      </c>
      <c r="L320" t="s">
        <v>5157</v>
      </c>
      <c r="M320" t="str">
        <f>VLOOKUP(H320,CHOOSE({1,2},Table17[Native],Table17[Name]),2,0)</f>
        <v>Lìxià Qū</v>
      </c>
      <c r="N320" s="15" t="str">
        <f>VLOOKUP(I320,CHOOSE({1,2},Table17[Native],Table17[Name]),2,0)</f>
        <v>Jìnán Shì</v>
      </c>
      <c r="O320" s="15" t="str">
        <f t="shared" si="8"/>
        <v>Dongguan Jiedao (Jinan Shi) (Jìnán Shì)</v>
      </c>
      <c r="P320" s="15" t="str">
        <f t="shared" si="9"/>
        <v>Dongguan Jiedao (Jinan Shi) (Jìnán Shì)</v>
      </c>
    </row>
    <row r="321" spans="1:16" hidden="1" x14ac:dyDescent="0.25">
      <c r="A321" t="s">
        <v>965</v>
      </c>
      <c r="B321" t="str">
        <f>IF(COUNTIF(A:A,A321)&gt;1,_xlfn.CONCAT(A321," (",N321,")"),A321)</f>
        <v>Dōngguān Jiēdào (Wéifāng Shì)</v>
      </c>
      <c r="C321" t="str">
        <f>IF(COUNTIF(B:B,B321)&gt;1,_xlfn.CONCAT(A321," (",M321,")"),B321)</f>
        <v>Dōngguān Jiēdào (Wéifāng Shì)</v>
      </c>
      <c r="D321" t="s">
        <v>966</v>
      </c>
      <c r="E321" t="s">
        <v>7</v>
      </c>
      <c r="F321" t="str">
        <f>_xlfn.CONCAT(D321,", ",H321,", ",I321,", ","山东省")</f>
        <v>东关街道, 奎文区, 潍坊市, 山东省</v>
      </c>
      <c r="G321">
        <v>80724</v>
      </c>
      <c r="H321" t="s">
        <v>3758</v>
      </c>
      <c r="I321" t="s">
        <v>3751</v>
      </c>
      <c r="J321">
        <f>VLOOKUP(F321,[1]!china_towns_second__2[[Column1]:[Y]],3,FALSE)</f>
        <v>36.712358860009402</v>
      </c>
      <c r="K321">
        <f>VLOOKUP(F321,[1]!china_towns_second__2[[Column1]:[Y]],2,FALSE)</f>
        <v>119.1150586</v>
      </c>
      <c r="L321" t="s">
        <v>5158</v>
      </c>
      <c r="M321" t="str">
        <f>VLOOKUP(H321,CHOOSE({1,2},Table17[Native],Table17[Name]),2,0)</f>
        <v>Kuíwén Qū</v>
      </c>
      <c r="N321" s="15" t="str">
        <f>VLOOKUP(I321,CHOOSE({1,2},Table17[Native],Table17[Name]),2,0)</f>
        <v>Wéifāng Shì</v>
      </c>
      <c r="O321" s="15" t="str">
        <f t="shared" si="8"/>
        <v>Dongguan Jiedao (Weifang Shi) (Wéifāng Shì)</v>
      </c>
      <c r="P321" s="15" t="str">
        <f t="shared" si="9"/>
        <v>Dongguan Jiedao (Weifang Shi) (Wéifāng Shì)</v>
      </c>
    </row>
    <row r="322" spans="1:16" hidden="1" x14ac:dyDescent="0.25">
      <c r="A322" t="s">
        <v>2408</v>
      </c>
      <c r="B322" t="str">
        <f>IF(COUNTIF(A:A,A322)&gt;1,_xlfn.CONCAT(A322," (",N322,")"),A322)</f>
        <v>Dōngguān Zhèn</v>
      </c>
      <c r="C322" t="str">
        <f>IF(COUNTIF(B:B,B322)&gt;1,_xlfn.CONCAT(A322," (",M322,")"),B322)</f>
        <v>Dōngguān Zhèn</v>
      </c>
      <c r="D322" t="s">
        <v>2409</v>
      </c>
      <c r="E322" t="s">
        <v>13</v>
      </c>
      <c r="F322" t="str">
        <f>_xlfn.CONCAT(D322,", ",H322,", ",I322,", ","山东省")</f>
        <v>东莞镇, 莒县, 日照市, 山东省</v>
      </c>
      <c r="G322">
        <v>30967</v>
      </c>
      <c r="H322" t="s">
        <v>3739</v>
      </c>
      <c r="I322" t="s">
        <v>3736</v>
      </c>
      <c r="J322">
        <f>VLOOKUP(F322,[1]!china_towns_second__2[[Column1]:[Y]],3,FALSE)</f>
        <v>35.978187803019701</v>
      </c>
      <c r="K322">
        <f>VLOOKUP(F322,[1]!china_towns_second__2[[Column1]:[Y]],2,FALSE)</f>
        <v>118.96255189999999</v>
      </c>
      <c r="L322" t="s">
        <v>5159</v>
      </c>
      <c r="M322" t="str">
        <f>VLOOKUP(H322,CHOOSE({1,2},Table17[Native],Table17[Name]),2,0)</f>
        <v>Jŭ Xiàn</v>
      </c>
      <c r="N322" s="15" t="str">
        <f>VLOOKUP(I322,CHOOSE({1,2},Table17[Native],Table17[Name]),2,0)</f>
        <v>Rìzhào Shì</v>
      </c>
      <c r="O322" s="15" t="str">
        <f t="shared" ref="O322:O385" si="10">_xlfn.CONCAT(L322," (",N322,")")</f>
        <v>Dongguan Zhen (Rìzhào Shì)</v>
      </c>
      <c r="P322" s="15" t="str">
        <f t="shared" ref="P322:P385" si="11">IF(COUNTIF(O:O,O322)&gt;1,_xlfn.CONCAT(L322," (",M322,")"),O322)</f>
        <v>Dongguan Zhen (Rìzhào Shì)</v>
      </c>
    </row>
    <row r="323" spans="1:16" hidden="1" x14ac:dyDescent="0.25">
      <c r="A323" t="s">
        <v>662</v>
      </c>
      <c r="B323" t="str">
        <f>IF(COUNTIF(A:A,A323)&gt;1,_xlfn.CONCAT(A323," (",N323,")"),A323)</f>
        <v>Dŏngguāntún Zhèn</v>
      </c>
      <c r="C323" t="str">
        <f>IF(COUNTIF(B:B,B323)&gt;1,_xlfn.CONCAT(A323," (",M323,")"),B323)</f>
        <v>Dŏngguāntún Zhèn</v>
      </c>
      <c r="D323" t="s">
        <v>663</v>
      </c>
      <c r="E323" t="s">
        <v>13</v>
      </c>
      <c r="F323" t="str">
        <f>_xlfn.CONCAT(D323,", ",H323,", ",I323,", ","山东省")</f>
        <v>董官屯镇, 巨野县, 菏泽市, 山东省</v>
      </c>
      <c r="G323">
        <v>50416</v>
      </c>
      <c r="H323" t="s">
        <v>3668</v>
      </c>
      <c r="I323" t="s">
        <v>3662</v>
      </c>
      <c r="J323">
        <f>VLOOKUP(F323,[1]!china_towns_second__2[[Column1]:[Y]],3,FALSE)</f>
        <v>35.255826564370203</v>
      </c>
      <c r="K323">
        <f>VLOOKUP(F323,[1]!china_towns_second__2[[Column1]:[Y]],2,FALSE)</f>
        <v>115.9502131</v>
      </c>
      <c r="L323" t="s">
        <v>5160</v>
      </c>
      <c r="M323" t="str">
        <f>VLOOKUP(H323,CHOOSE({1,2},Table17[Native],Table17[Name]),2,0)</f>
        <v>Jùyĕ Xiàn</v>
      </c>
      <c r="N323" s="15" t="str">
        <f>VLOOKUP(I323,CHOOSE({1,2},Table17[Native],Table17[Name]),2,0)</f>
        <v>Hézé Shì</v>
      </c>
      <c r="O323" s="15" t="str">
        <f t="shared" si="10"/>
        <v>Dongguantun Zhen (Hézé Shì)</v>
      </c>
      <c r="P323" s="15" t="str">
        <f t="shared" si="11"/>
        <v>Dongguantun Zhen (Hézé Shì)</v>
      </c>
    </row>
    <row r="324" spans="1:16" hidden="1" x14ac:dyDescent="0.25">
      <c r="A324" t="s">
        <v>1578</v>
      </c>
      <c r="B324" t="str">
        <f>IF(COUNTIF(A:A,A324)&gt;1,_xlfn.CONCAT(A324," (",N324,")"),A324)</f>
        <v>Dōnggŭchéng Zhèn</v>
      </c>
      <c r="C324" t="str">
        <f>IF(COUNTIF(B:B,B324)&gt;1,_xlfn.CONCAT(A324," (",M324,")"),B324)</f>
        <v>Dōnggŭchéng Zhèn</v>
      </c>
      <c r="D324" t="s">
        <v>1579</v>
      </c>
      <c r="E324" t="s">
        <v>13</v>
      </c>
      <c r="F324" t="str">
        <f>_xlfn.CONCAT(D324,", ",H324,", ",I324,", ","山东省")</f>
        <v>东古城镇, 冠县, 聊城市, 山东省</v>
      </c>
      <c r="G324">
        <v>70579</v>
      </c>
      <c r="H324" t="s">
        <v>3705</v>
      </c>
      <c r="I324" t="s">
        <v>3700</v>
      </c>
      <c r="J324">
        <f>VLOOKUP(F324,[1]!china_towns_second__2[[Column1]:[Y]],3,FALSE)</f>
        <v>36.531144916925498</v>
      </c>
      <c r="K324">
        <f>VLOOKUP(F324,[1]!china_towns_second__2[[Column1]:[Y]],2,FALSE)</f>
        <v>115.3399519</v>
      </c>
      <c r="L324" t="s">
        <v>5161</v>
      </c>
      <c r="M324" t="str">
        <f>VLOOKUP(H324,CHOOSE({1,2},Table17[Native],Table17[Name]),2,0)</f>
        <v>Guān Xiàn</v>
      </c>
      <c r="N324" s="15" t="str">
        <f>VLOOKUP(I324,CHOOSE({1,2},Table17[Native],Table17[Name]),2,0)</f>
        <v>Liáochéng Shì</v>
      </c>
      <c r="O324" s="15" t="str">
        <f t="shared" si="10"/>
        <v>Donggucheng Zhen (Liáochéng Shì)</v>
      </c>
      <c r="P324" s="15" t="str">
        <f t="shared" si="11"/>
        <v>Donggucheng Zhen (Liáochéng Shì)</v>
      </c>
    </row>
    <row r="325" spans="1:16" hidden="1" x14ac:dyDescent="0.25">
      <c r="A325" t="s">
        <v>3364</v>
      </c>
      <c r="B325" t="str">
        <f>IF(COUNTIF(A:A,A325)&gt;1,_xlfn.CONCAT(A325," (",N325,")"),A325)</f>
        <v>Dōngguō Zhèn</v>
      </c>
      <c r="C325" t="str">
        <f>IF(COUNTIF(B:B,B325)&gt;1,_xlfn.CONCAT(A325," (",M325,")"),B325)</f>
        <v>Dōngguō Zhèn</v>
      </c>
      <c r="D325" t="s">
        <v>3365</v>
      </c>
      <c r="E325" t="s">
        <v>13</v>
      </c>
      <c r="F325" t="str">
        <f>_xlfn.CONCAT(D325,", ",H325,", ",I325,", ","山东省")</f>
        <v>东郭镇, 滕州市, 枣庄市, 山东省</v>
      </c>
      <c r="G325">
        <v>102183</v>
      </c>
      <c r="H325" t="s">
        <v>3787</v>
      </c>
      <c r="I325" t="s">
        <v>3784</v>
      </c>
      <c r="J325">
        <f>VLOOKUP(F325,[1]!china_towns_second__2[[Column1]:[Y]],3,FALSE)</f>
        <v>35.2094994413333</v>
      </c>
      <c r="K325">
        <f>VLOOKUP(F325,[1]!china_towns_second__2[[Column1]:[Y]],2,FALSE)</f>
        <v>117.2561166</v>
      </c>
      <c r="L325" t="s">
        <v>5162</v>
      </c>
      <c r="M325" t="str">
        <f>VLOOKUP(H325,CHOOSE({1,2},Table17[Native],Table17[Name]),2,0)</f>
        <v>Téngzhōu Shì</v>
      </c>
      <c r="N325" s="15" t="str">
        <f>VLOOKUP(I325,CHOOSE({1,2},Table17[Native],Table17[Name]),2,0)</f>
        <v>Zăozhuāng Shì</v>
      </c>
      <c r="O325" s="15" t="str">
        <f t="shared" si="10"/>
        <v>Dongguo Zhen (Zăozhuāng Shì)</v>
      </c>
      <c r="P325" s="15" t="str">
        <f t="shared" si="11"/>
        <v>Dongguo Zhen (Zăozhuāng Shì)</v>
      </c>
    </row>
    <row r="326" spans="1:16" hidden="1" x14ac:dyDescent="0.25">
      <c r="A326" t="s">
        <v>490</v>
      </c>
      <c r="B326" t="str">
        <f>IF(COUNTIF(A:A,A326)&gt;1,_xlfn.CONCAT(A326," (",N326,")"),A326)</f>
        <v>Dŏngjí Zhèn</v>
      </c>
      <c r="C326" t="str">
        <f>IF(COUNTIF(B:B,B326)&gt;1,_xlfn.CONCAT(A326," (",M326,")"),B326)</f>
        <v>Dŏngjí Zhèn</v>
      </c>
      <c r="D326" t="s">
        <v>491</v>
      </c>
      <c r="E326" t="s">
        <v>13</v>
      </c>
      <c r="F326" t="str">
        <f>_xlfn.CONCAT(D326,", ",H326,", ",I326,", ","山东省")</f>
        <v>董集镇, 垦利区, 东营市, 山东省</v>
      </c>
      <c r="G326">
        <v>18464</v>
      </c>
      <c r="H326" t="s">
        <v>3659</v>
      </c>
      <c r="I326" t="s">
        <v>3655</v>
      </c>
      <c r="J326">
        <f>VLOOKUP(F326,[1]!china_towns_second__2[[Column1]:[Y]],3,FALSE)</f>
        <v>37.4785849487373</v>
      </c>
      <c r="K326">
        <f>VLOOKUP(F326,[1]!china_towns_second__2[[Column1]:[Y]],2,FALSE)</f>
        <v>118.34133199999999</v>
      </c>
      <c r="L326" t="s">
        <v>5163</v>
      </c>
      <c r="M326" t="str">
        <f>VLOOKUP(H326,CHOOSE({1,2},Table17[Native],Table17[Name]),2,0)</f>
        <v>Kĕnlì Qū</v>
      </c>
      <c r="N326" s="15" t="str">
        <f>VLOOKUP(I326,CHOOSE({1,2},Table17[Native],Table17[Name]),2,0)</f>
        <v>Dōngyíng Shì</v>
      </c>
      <c r="O326" s="15" t="str">
        <f t="shared" si="10"/>
        <v>Dongji Zhen (Dōngyíng Shì)</v>
      </c>
      <c r="P326" s="15" t="str">
        <f t="shared" si="11"/>
        <v>Dongji Zhen (Dōngyíng Shì)</v>
      </c>
    </row>
    <row r="327" spans="1:16" hidden="1" x14ac:dyDescent="0.25">
      <c r="A327" t="s">
        <v>967</v>
      </c>
      <c r="B327" t="str">
        <f>IF(COUNTIF(A:A,A327)&gt;1,_xlfn.CONCAT(A327," (",N327,")"),A327)</f>
        <v>Dŏngjiā Jiēdào</v>
      </c>
      <c r="C327" t="str">
        <f>IF(COUNTIF(B:B,B327)&gt;1,_xlfn.CONCAT(A327," (",M327,")"),B327)</f>
        <v>Dŏngjiā Jiēdào</v>
      </c>
      <c r="D327" t="s">
        <v>968</v>
      </c>
      <c r="E327" t="s">
        <v>7</v>
      </c>
      <c r="F327" t="str">
        <f>_xlfn.CONCAT(D327,", ",H327,", ",I327,", ","山东省")</f>
        <v>董家街道, 历城区, 济南市, 山东省</v>
      </c>
      <c r="G327">
        <v>44870</v>
      </c>
      <c r="H327" t="s">
        <v>3679</v>
      </c>
      <c r="I327" t="s">
        <v>3673</v>
      </c>
      <c r="J327" t="e">
        <f>VLOOKUP(F327,[1]!china_towns_second__2[[Column1]:[Y]],3,FALSE)</f>
        <v>#N/A</v>
      </c>
      <c r="K327" t="e">
        <f>VLOOKUP(F327,[1]!china_towns_second__2[[Column1]:[Y]],2,FALSE)</f>
        <v>#N/A</v>
      </c>
      <c r="L327" t="s">
        <v>5164</v>
      </c>
      <c r="M327" t="str">
        <f>VLOOKUP(H327,CHOOSE({1,2},Table17[Native],Table17[Name]),2,0)</f>
        <v>Lìchéng Qū</v>
      </c>
      <c r="N327" s="15" t="str">
        <f>VLOOKUP(I327,CHOOSE({1,2},Table17[Native],Table17[Name]),2,0)</f>
        <v>Jìnán Shì</v>
      </c>
      <c r="O327" s="15" t="str">
        <f t="shared" si="10"/>
        <v>Dongjia Jiedao (Jìnán Shì)</v>
      </c>
      <c r="P327" s="15" t="str">
        <f t="shared" si="11"/>
        <v>Dongjia Jiedao (Jìnán Shì)</v>
      </c>
    </row>
    <row r="328" spans="1:16" hidden="1" x14ac:dyDescent="0.25">
      <c r="A328" t="s">
        <v>3099</v>
      </c>
      <c r="B328" t="str">
        <f>IF(COUNTIF(A:A,A328)&gt;1,_xlfn.CONCAT(A328," (",N328,")"),A328)</f>
        <v>Dōngjiāng Jiēdào</v>
      </c>
      <c r="C328" t="str">
        <f>IF(COUNTIF(B:B,B328)&gt;1,_xlfn.CONCAT(A328," (",M328,")"),B328)</f>
        <v>Dōngjiāng Jiēdào</v>
      </c>
      <c r="D328" t="s">
        <v>3100</v>
      </c>
      <c r="E328" t="s">
        <v>7</v>
      </c>
      <c r="F328" t="str">
        <f>_xlfn.CONCAT(D328,", ",H328,", ",I328,", ","山东省")</f>
        <v>东江街道, 龙口市, 烟台市, 山东省</v>
      </c>
      <c r="G328">
        <v>65372</v>
      </c>
      <c r="H328" t="s">
        <v>3777</v>
      </c>
      <c r="I328" t="s">
        <v>3771</v>
      </c>
      <c r="J328">
        <f>VLOOKUP(F328,[1]!china_towns_second__2[[Column1]:[Y]],3,FALSE)</f>
        <v>37.589853291535398</v>
      </c>
      <c r="K328">
        <f>VLOOKUP(F328,[1]!china_towns_second__2[[Column1]:[Y]],2,FALSE)</f>
        <v>120.5185802</v>
      </c>
      <c r="L328" t="s">
        <v>5165</v>
      </c>
      <c r="M328" t="str">
        <f>VLOOKUP(H328,CHOOSE({1,2},Table17[Native],Table17[Name]),2,0)</f>
        <v>Lóngkŏu Shì</v>
      </c>
      <c r="N328" s="15" t="str">
        <f>VLOOKUP(I328,CHOOSE({1,2},Table17[Native],Table17[Name]),2,0)</f>
        <v>Yāntái Shì</v>
      </c>
      <c r="O328" s="15" t="str">
        <f t="shared" si="10"/>
        <v>Dongjiang Jiedao (Yāntái Shì)</v>
      </c>
      <c r="P328" s="15" t="str">
        <f t="shared" si="11"/>
        <v>Dongjiang Jiedao (Yāntái Shì)</v>
      </c>
    </row>
    <row r="329" spans="1:16" hidden="1" x14ac:dyDescent="0.25">
      <c r="A329" t="s">
        <v>664</v>
      </c>
      <c r="B329" t="str">
        <f>IF(COUNTIF(A:A,A329)&gt;1,_xlfn.CONCAT(A329," (",N329,")"),A329)</f>
        <v>Dŏngkŏu Zhèn</v>
      </c>
      <c r="C329" t="str">
        <f>IF(COUNTIF(B:B,B329)&gt;1,_xlfn.CONCAT(A329," (",M329,")"),B329)</f>
        <v>Dŏngkŏu Zhèn</v>
      </c>
      <c r="D329" t="s">
        <v>665</v>
      </c>
      <c r="E329" t="s">
        <v>13</v>
      </c>
      <c r="F329" t="str">
        <f>_xlfn.CONCAT(D329,", ",H329,", ",I329,", ","山东省")</f>
        <v>董口镇, 鄄城县, 菏泽市, 山东省</v>
      </c>
      <c r="G329">
        <v>53279</v>
      </c>
      <c r="H329" t="s">
        <v>3667</v>
      </c>
      <c r="I329" t="s">
        <v>3662</v>
      </c>
      <c r="J329">
        <f>VLOOKUP(F329,[1]!china_towns_second__2[[Column1]:[Y]],3,FALSE)</f>
        <v>35.541457524616398</v>
      </c>
      <c r="K329">
        <f>VLOOKUP(F329,[1]!china_towns_second__2[[Column1]:[Y]],2,FALSE)</f>
        <v>115.4053648</v>
      </c>
      <c r="L329" t="s">
        <v>5166</v>
      </c>
      <c r="M329" t="str">
        <f>VLOOKUP(H329,CHOOSE({1,2},Table17[Native],Table17[Name]),2,0)</f>
        <v>Juànchéng Xiàn</v>
      </c>
      <c r="N329" s="15" t="str">
        <f>VLOOKUP(I329,CHOOSE({1,2},Table17[Native],Table17[Name]),2,0)</f>
        <v>Hézé Shì</v>
      </c>
      <c r="O329" s="15" t="str">
        <f t="shared" si="10"/>
        <v>Dongkou Zhen (Hézé Shì)</v>
      </c>
      <c r="P329" s="15" t="str">
        <f t="shared" si="11"/>
        <v>Dongkou Zhen (Hézé Shì)</v>
      </c>
    </row>
    <row r="330" spans="1:16" hidden="1" x14ac:dyDescent="0.25">
      <c r="A330" t="s">
        <v>3101</v>
      </c>
      <c r="B330" t="str">
        <f>IF(COUNTIF(A:A,A330)&gt;1,_xlfn.CONCAT(A330," (",N330,")"),A330)</f>
        <v>Dōnglái Jiēdào</v>
      </c>
      <c r="C330" t="str">
        <f>IF(COUNTIF(B:B,B330)&gt;1,_xlfn.CONCAT(A330," (",M330,")"),B330)</f>
        <v>Dōnglái Jiēdào</v>
      </c>
      <c r="D330" t="s">
        <v>3102</v>
      </c>
      <c r="E330" t="s">
        <v>7</v>
      </c>
      <c r="F330" t="str">
        <f>_xlfn.CONCAT(D330,", ",H330,", ",I330,", ","山东省")</f>
        <v>东莱街道, 龙口市, 烟台市, 山东省</v>
      </c>
      <c r="G330">
        <v>112454</v>
      </c>
      <c r="H330" t="s">
        <v>3777</v>
      </c>
      <c r="I330" t="s">
        <v>3771</v>
      </c>
      <c r="J330">
        <f>VLOOKUP(F330,[1]!china_towns_second__2[[Column1]:[Y]],3,FALSE)</f>
        <v>37.6523099765719</v>
      </c>
      <c r="K330">
        <f>VLOOKUP(F330,[1]!china_towns_second__2[[Column1]:[Y]],2,FALSE)</f>
        <v>120.52953239999999</v>
      </c>
      <c r="L330" t="s">
        <v>5167</v>
      </c>
      <c r="M330" t="str">
        <f>VLOOKUP(H330,CHOOSE({1,2},Table17[Native],Table17[Name]),2,0)</f>
        <v>Lóngkŏu Shì</v>
      </c>
      <c r="N330" s="15" t="str">
        <f>VLOOKUP(I330,CHOOSE({1,2},Table17[Native],Table17[Name]),2,0)</f>
        <v>Yāntái Shì</v>
      </c>
      <c r="O330" s="15" t="str">
        <f t="shared" si="10"/>
        <v>Donglai Jiedao (Yāntái Shì)</v>
      </c>
      <c r="P330" s="15" t="str">
        <f t="shared" si="11"/>
        <v>Donglai Jiedao (Yāntái Shì)</v>
      </c>
    </row>
    <row r="331" spans="1:16" hidden="1" x14ac:dyDescent="0.25">
      <c r="A331" t="s">
        <v>253</v>
      </c>
      <c r="B331" t="str">
        <f>IF(COUNTIF(A:A,A331)&gt;1,_xlfn.CONCAT(A331," (",N331,")"),A331)</f>
        <v>Dōnglĭ Guāntún Zhèn</v>
      </c>
      <c r="C331" t="str">
        <f>IF(COUNTIF(B:B,B331)&gt;1,_xlfn.CONCAT(A331," (",M331,")"),B331)</f>
        <v>Dōnglĭ Guāntún Zhèn</v>
      </c>
      <c r="D331" t="s">
        <v>254</v>
      </c>
      <c r="E331" t="s">
        <v>13</v>
      </c>
      <c r="F331" t="str">
        <f>_xlfn.CONCAT(D331,", ",H331,", ",I331,", ","山东省")</f>
        <v>东李官屯镇, 夏津县, 德州市, 山东省</v>
      </c>
      <c r="G331">
        <v>27055</v>
      </c>
      <c r="H331" t="s">
        <v>3652</v>
      </c>
      <c r="I331" t="s">
        <v>3642</v>
      </c>
      <c r="J331">
        <f>VLOOKUP(F331,[1]!china_towns_second__2[[Column1]:[Y]],3,FALSE)</f>
        <v>36.981709639487697</v>
      </c>
      <c r="K331">
        <f>VLOOKUP(F331,[1]!china_towns_second__2[[Column1]:[Y]],2,FALSE)</f>
        <v>116.1631807</v>
      </c>
      <c r="L331" t="s">
        <v>5168</v>
      </c>
      <c r="M331" t="str">
        <f>VLOOKUP(H331,CHOOSE({1,2},Table17[Native],Table17[Name]),2,0)</f>
        <v>Xiàjīn Xiàn</v>
      </c>
      <c r="N331" s="15" t="str">
        <f>VLOOKUP(I331,CHOOSE({1,2},Table17[Native],Table17[Name]),2,0)</f>
        <v>Dézhōu Shì</v>
      </c>
      <c r="O331" s="15" t="str">
        <f t="shared" si="10"/>
        <v>Dongli Guantun Zhen (Dézhōu Shì)</v>
      </c>
      <c r="P331" s="15" t="str">
        <f t="shared" si="11"/>
        <v>Dongli Guantun Zhen (Dézhōu Shì)</v>
      </c>
    </row>
    <row r="332" spans="1:16" hidden="1" x14ac:dyDescent="0.25">
      <c r="A332" t="s">
        <v>3486</v>
      </c>
      <c r="B332" t="str">
        <f>IF(COUNTIF(A:A,A332)&gt;1,_xlfn.CONCAT(A332," (",N332,")"),A332)</f>
        <v>Dōnglĭ Zhèn</v>
      </c>
      <c r="C332" t="str">
        <f>IF(COUNTIF(B:B,B332)&gt;1,_xlfn.CONCAT(A332," (",M332,")"),B332)</f>
        <v>Dōnglĭ Zhèn</v>
      </c>
      <c r="D332" t="s">
        <v>3487</v>
      </c>
      <c r="E332" t="s">
        <v>13</v>
      </c>
      <c r="F332" t="str">
        <f>_xlfn.CONCAT(D332,", ",H332,", ",I332,", ","山东省")</f>
        <v>东里镇, 沂源县, 淄博市, 山东省</v>
      </c>
      <c r="G332">
        <v>50260</v>
      </c>
      <c r="H332" t="s">
        <v>3796</v>
      </c>
      <c r="I332" t="s">
        <v>3791</v>
      </c>
      <c r="J332">
        <f>VLOOKUP(F332,[1]!china_towns_second__2[[Column1]:[Y]],3,FALSE)</f>
        <v>36.021951062295898</v>
      </c>
      <c r="K332">
        <f>VLOOKUP(F332,[1]!china_towns_second__2[[Column1]:[Y]],2,FALSE)</f>
        <v>118.39881</v>
      </c>
      <c r="L332" t="s">
        <v>5169</v>
      </c>
      <c r="M332" t="str">
        <f>VLOOKUP(H332,CHOOSE({1,2},Table17[Native],Table17[Name]),2,0)</f>
        <v>Yíyuán Xiàn</v>
      </c>
      <c r="N332" s="15" t="str">
        <f>VLOOKUP(I332,CHOOSE({1,2},Table17[Native],Table17[Name]),2,0)</f>
        <v>Zībó Shì</v>
      </c>
      <c r="O332" s="15" t="str">
        <f t="shared" si="10"/>
        <v>Dongli Zhen (Zībó Shì)</v>
      </c>
      <c r="P332" s="15" t="str">
        <f t="shared" si="11"/>
        <v>Dongli Zhen (Zībó Shì)</v>
      </c>
    </row>
    <row r="333" spans="1:16" hidden="1" x14ac:dyDescent="0.25">
      <c r="A333" t="s">
        <v>1580</v>
      </c>
      <c r="B333" t="str">
        <f>IF(COUNTIF(A:A,A333)&gt;1,_xlfn.CONCAT(A333," (",N333,")"),A333)</f>
        <v>Dōnglŭ Jiēdào</v>
      </c>
      <c r="C333" t="str">
        <f>IF(COUNTIF(B:B,B333)&gt;1,_xlfn.CONCAT(A333," (",M333,")"),B333)</f>
        <v>Dōnglŭ Jiēdào</v>
      </c>
      <c r="D333" t="s">
        <v>1581</v>
      </c>
      <c r="E333" t="s">
        <v>7</v>
      </c>
      <c r="F333" t="str">
        <f>_xlfn.CONCAT(D333,", ",H333,", ",I333,", ","山东省")</f>
        <v>东鲁街道, 莘县, 聊城市, 山东省</v>
      </c>
      <c r="G333">
        <v>36146</v>
      </c>
      <c r="H333" t="s">
        <v>3707</v>
      </c>
      <c r="I333" t="s">
        <v>3700</v>
      </c>
      <c r="J333">
        <f>VLOOKUP(F333,[1]!china_towns_second__2[[Column1]:[Y]],3,FALSE)</f>
        <v>36.235709161967499</v>
      </c>
      <c r="K333">
        <f>VLOOKUP(F333,[1]!china_towns_second__2[[Column1]:[Y]],2,FALSE)</f>
        <v>115.7069527</v>
      </c>
      <c r="L333" t="s">
        <v>5170</v>
      </c>
      <c r="M333" t="str">
        <f>VLOOKUP(H333,CHOOSE({1,2},Table17[Native],Table17[Name]),2,0)</f>
        <v>Shēn Xiàn</v>
      </c>
      <c r="N333" s="15" t="str">
        <f>VLOOKUP(I333,CHOOSE({1,2},Table17[Native],Table17[Name]),2,0)</f>
        <v>Liáochéng Shì</v>
      </c>
      <c r="O333" s="15" t="str">
        <f t="shared" si="10"/>
        <v>Donglu Jiedao (Liáochéng Shì)</v>
      </c>
      <c r="P333" s="15" t="str">
        <f t="shared" si="11"/>
        <v>Donglu Jiedao (Liáochéng Shì)</v>
      </c>
    </row>
    <row r="334" spans="1:16" hidden="1" x14ac:dyDescent="0.25">
      <c r="A334" t="s">
        <v>1864</v>
      </c>
      <c r="B334" t="str">
        <f>IF(COUNTIF(A:A,A334)&gt;1,_xlfn.CONCAT(A334," (",N334,")"),A334)</f>
        <v>Dōngméng Zhèn [Nánzhāngzhuāng Xiāng]</v>
      </c>
      <c r="C334" t="str">
        <f>IF(COUNTIF(B:B,B334)&gt;1,_xlfn.CONCAT(A334," (",M334,")"),B334)</f>
        <v>Dōngméng Zhèn [Nánzhāngzhuāng Xiāng]</v>
      </c>
      <c r="D334" t="s">
        <v>1865</v>
      </c>
      <c r="E334" t="s">
        <v>13</v>
      </c>
      <c r="F334" t="str">
        <f>_xlfn.CONCAT(D334,", ",H334,", ",I334,", ","山东省")</f>
        <v>东蒙镇, 费县, 临沂市, 山东省</v>
      </c>
      <c r="G334">
        <v>33141</v>
      </c>
      <c r="H334" t="s">
        <v>3711</v>
      </c>
      <c r="I334" t="s">
        <v>3710</v>
      </c>
      <c r="J334">
        <f>VLOOKUP(F334,[1]!china_towns_second__2[[Column1]:[Y]],3,FALSE)</f>
        <v>35.391211177842003</v>
      </c>
      <c r="K334">
        <f>VLOOKUP(F334,[1]!china_towns_second__2[[Column1]:[Y]],2,FALSE)</f>
        <v>118.0117183</v>
      </c>
      <c r="L334" t="s">
        <v>5171</v>
      </c>
      <c r="M334" t="str">
        <f>VLOOKUP(H334,CHOOSE({1,2},Table17[Native],Table17[Name]),2,0)</f>
        <v>Fèi Xiàn</v>
      </c>
      <c r="N334" s="15" t="str">
        <f>VLOOKUP(I334,CHOOSE({1,2},Table17[Native],Table17[Name]),2,0)</f>
        <v>Línyí Shì</v>
      </c>
      <c r="O334" s="15" t="str">
        <f t="shared" si="10"/>
        <v>Dongmeng Zhen [Nanzhangzhuang Xiang] (Línyí Shì)</v>
      </c>
      <c r="P334" s="15" t="str">
        <f t="shared" si="11"/>
        <v>Dongmeng Zhen [Nanzhangzhuang Xiang] (Línyí Shì)</v>
      </c>
    </row>
    <row r="335" spans="1:16" hidden="1" x14ac:dyDescent="0.25">
      <c r="A335" t="s">
        <v>666</v>
      </c>
      <c r="B335" t="str">
        <f>IF(COUNTIF(A:A,A335)&gt;1,_xlfn.CONCAT(A335," (",N335,")"),A335)</f>
        <v>Dōngmíngjí Zhèn</v>
      </c>
      <c r="C335" t="str">
        <f>IF(COUNTIF(B:B,B335)&gt;1,_xlfn.CONCAT(A335," (",M335,")"),B335)</f>
        <v>Dōngmíngjí Zhèn</v>
      </c>
      <c r="D335" t="s">
        <v>667</v>
      </c>
      <c r="E335" t="s">
        <v>13</v>
      </c>
      <c r="F335" t="str">
        <f>_xlfn.CONCAT(D335,", ",H335,", ",I335,", ","山东省")</f>
        <v>东明集镇, 东明县, 菏泽市, 山东省</v>
      </c>
      <c r="G335">
        <v>53132</v>
      </c>
      <c r="H335" t="s">
        <v>3666</v>
      </c>
      <c r="I335" t="s">
        <v>3662</v>
      </c>
      <c r="J335">
        <f>VLOOKUP(F335,[1]!china_towns_second__2[[Column1]:[Y]],3,FALSE)</f>
        <v>35.177561135031198</v>
      </c>
      <c r="K335">
        <f>VLOOKUP(F335,[1]!china_towns_second__2[[Column1]:[Y]],2,FALSE)</f>
        <v>115.1020743</v>
      </c>
      <c r="L335" t="s">
        <v>5172</v>
      </c>
      <c r="M335" t="str">
        <f>VLOOKUP(H335,CHOOSE({1,2},Table17[Native],Table17[Name]),2,0)</f>
        <v>Dōngmíng Xiàn</v>
      </c>
      <c r="N335" s="15" t="str">
        <f>VLOOKUP(I335,CHOOSE({1,2},Table17[Native],Table17[Name]),2,0)</f>
        <v>Hézé Shì</v>
      </c>
      <c r="O335" s="15" t="str">
        <f t="shared" si="10"/>
        <v>Dongmingji Zhen (Hézé Shì)</v>
      </c>
      <c r="P335" s="15" t="str">
        <f t="shared" si="11"/>
        <v>Dongmingji Zhen (Hézé Shì)</v>
      </c>
    </row>
    <row r="336" spans="1:16" hidden="1" x14ac:dyDescent="0.25">
      <c r="A336" t="s">
        <v>2535</v>
      </c>
      <c r="B336" t="str">
        <f>IF(COUNTIF(A:A,A336)&gt;1,_xlfn.CONCAT(A336," (",N336,")"),A336)</f>
        <v>Dōngpíng Jiēdào Dìqū</v>
      </c>
      <c r="C336" t="str">
        <f>IF(COUNTIF(B:B,B336)&gt;1,_xlfn.CONCAT(A336," (",M336,")"),B336)</f>
        <v>Dōngpíng Jiēdào Dìqū</v>
      </c>
      <c r="D336" t="s">
        <v>2536</v>
      </c>
      <c r="E336" t="s">
        <v>7</v>
      </c>
      <c r="F336" t="str">
        <f>_xlfn.CONCAT(D336,", ",H336,", ",I336,", ","山东省")</f>
        <v>东平街道地区, 东平县, 泰安市, 山东省</v>
      </c>
      <c r="G336">
        <v>147097</v>
      </c>
      <c r="H336" t="s">
        <v>3745</v>
      </c>
      <c r="I336" t="s">
        <v>3743</v>
      </c>
      <c r="J336" t="e">
        <f>VLOOKUP(F336,[1]!china_towns_second__2[[Column1]:[Y]],3,FALSE)</f>
        <v>#N/A</v>
      </c>
      <c r="K336" t="e">
        <f>VLOOKUP(F336,[1]!china_towns_second__2[[Column1]:[Y]],2,FALSE)</f>
        <v>#N/A</v>
      </c>
      <c r="L336" t="s">
        <v>5173</v>
      </c>
      <c r="M336" t="str">
        <f>VLOOKUP(H336,CHOOSE({1,2},Table17[Native],Table17[Name]),2,0)</f>
        <v>Dōngpíng Xiàn</v>
      </c>
      <c r="N336" s="15" t="str">
        <f>VLOOKUP(I336,CHOOSE({1,2},Table17[Native],Table17[Name]),2,0)</f>
        <v>Tài'ān Shì</v>
      </c>
      <c r="O336" s="15" t="str">
        <f t="shared" si="10"/>
        <v>Dongping Jiedao Diqu (Tài'ān Shì)</v>
      </c>
      <c r="P336" s="15" t="str">
        <f t="shared" si="11"/>
        <v>Dongping Jiedao Diqu (Tài'ān Shì)</v>
      </c>
    </row>
    <row r="337" spans="1:16" hidden="1" x14ac:dyDescent="0.25">
      <c r="A337" t="s">
        <v>3366</v>
      </c>
      <c r="B337" t="str">
        <f>IF(COUNTIF(A:A,A337)&gt;1,_xlfn.CONCAT(A337," (",N337,")"),A337)</f>
        <v>Dōngshāhé Jiēdào</v>
      </c>
      <c r="C337" t="str">
        <f>IF(COUNTIF(B:B,B337)&gt;1,_xlfn.CONCAT(A337," (",M337,")"),B337)</f>
        <v>Dōngshāhé Jiēdào</v>
      </c>
      <c r="D337" t="s">
        <v>3367</v>
      </c>
      <c r="E337" t="s">
        <v>7</v>
      </c>
      <c r="F337" t="str">
        <f>_xlfn.CONCAT(D337,", ",H337,", ",I337,", ","山东省")</f>
        <v>东沙河街道, 滕州市, 枣庄市, 山东省</v>
      </c>
      <c r="G337">
        <v>49022</v>
      </c>
      <c r="H337" t="s">
        <v>3787</v>
      </c>
      <c r="I337" t="s">
        <v>3784</v>
      </c>
      <c r="J337" t="e">
        <f>VLOOKUP(F337,[1]!china_towns_second__2[[Column1]:[Y]],3,FALSE)</f>
        <v>#N/A</v>
      </c>
      <c r="K337" t="e">
        <f>VLOOKUP(F337,[1]!china_towns_second__2[[Column1]:[Y]],2,FALSE)</f>
        <v>#N/A</v>
      </c>
      <c r="L337" t="s">
        <v>5174</v>
      </c>
      <c r="M337" t="str">
        <f>VLOOKUP(H337,CHOOSE({1,2},Table17[Native],Table17[Name]),2,0)</f>
        <v>Téngzhōu Shì</v>
      </c>
      <c r="N337" s="15" t="str">
        <f>VLOOKUP(I337,CHOOSE({1,2},Table17[Native],Table17[Name]),2,0)</f>
        <v>Zăozhuāng Shì</v>
      </c>
      <c r="O337" s="15" t="str">
        <f t="shared" si="10"/>
        <v>Dongshahe Jiedao (Zăozhuāng Shì)</v>
      </c>
      <c r="P337" s="15" t="str">
        <f t="shared" si="11"/>
        <v>Dongshahe Jiedao (Zăozhuāng Shì)</v>
      </c>
    </row>
    <row r="338" spans="1:16" hidden="1" x14ac:dyDescent="0.25">
      <c r="A338" t="s">
        <v>2924</v>
      </c>
      <c r="B338" t="str">
        <f>IF(COUNTIF(A:A,A338)&gt;1,_xlfn.CONCAT(A338," (",N338,")"),A338)</f>
        <v>Dōngshān Jiēdào (Wēihăi Shì)</v>
      </c>
      <c r="C338" t="str">
        <f>IF(COUNTIF(B:B,B338)&gt;1,_xlfn.CONCAT(A338," (",M338,")"),B338)</f>
        <v>Dōngshān Jiēdào (Wēihăi Shì)</v>
      </c>
      <c r="D338" t="s">
        <v>2925</v>
      </c>
      <c r="E338" t="s">
        <v>7</v>
      </c>
      <c r="F338" t="str">
        <f>_xlfn.CONCAT(D338,", ",H338,", ",I338,", ","山东省")</f>
        <v>东山街道, 荣成市, 威海市, 山东省</v>
      </c>
      <c r="G338">
        <v>17028</v>
      </c>
      <c r="H338" t="s">
        <v>3767</v>
      </c>
      <c r="I338" t="s">
        <v>3765</v>
      </c>
      <c r="J338">
        <f>VLOOKUP(F338,[1]!china_towns_second__2[[Column1]:[Y]],3,FALSE)</f>
        <v>36.990988104866197</v>
      </c>
      <c r="K338">
        <f>VLOOKUP(F338,[1]!china_towns_second__2[[Column1]:[Y]],2,FALSE)</f>
        <v>122.4460727</v>
      </c>
      <c r="L338" t="s">
        <v>5175</v>
      </c>
      <c r="M338" t="str">
        <f>VLOOKUP(H338,CHOOSE({1,2},Table17[Native],Table17[Name]),2,0)</f>
        <v>Róngchéng Shì</v>
      </c>
      <c r="N338" s="15" t="str">
        <f>VLOOKUP(I338,CHOOSE({1,2},Table17[Native],Table17[Name]),2,0)</f>
        <v>Wēihăi Shì</v>
      </c>
      <c r="O338" s="15" t="str">
        <f t="shared" si="10"/>
        <v>Dongshan Jiedao (Weihai Shi) (Wēihăi Shì)</v>
      </c>
      <c r="P338" s="15" t="str">
        <f t="shared" si="11"/>
        <v>Dongshan Jiedao (Weihai Shi) (Wēihăi Shì)</v>
      </c>
    </row>
    <row r="339" spans="1:16" hidden="1" x14ac:dyDescent="0.25">
      <c r="A339" t="s">
        <v>2924</v>
      </c>
      <c r="B339" t="str">
        <f>IF(COUNTIF(A:A,A339)&gt;1,_xlfn.CONCAT(A339," (",N339,")"),A339)</f>
        <v>Dōngshān Jiēdào (Yāntái Shì)</v>
      </c>
      <c r="C339" t="str">
        <f>IF(COUNTIF(B:B,B339)&gt;1,_xlfn.CONCAT(A339," (",M339,")"),B339)</f>
        <v>Dōngshān Jiēdào (Yāntái Shì)</v>
      </c>
      <c r="D339" t="s">
        <v>2925</v>
      </c>
      <c r="E339" t="s">
        <v>7</v>
      </c>
      <c r="F339" t="str">
        <f>_xlfn.CONCAT(D339,", ",H339,", ",I339,", ","山东省")</f>
        <v>东山街道, 芝罘区, 烟台市, 山东省</v>
      </c>
      <c r="G339">
        <v>68227</v>
      </c>
      <c r="H339" t="s">
        <v>3782</v>
      </c>
      <c r="I339" t="s">
        <v>3771</v>
      </c>
      <c r="J339">
        <f>VLOOKUP(F339,[1]!china_towns_second__2[[Column1]:[Y]],3,FALSE)</f>
        <v>37.535775379610499</v>
      </c>
      <c r="K339">
        <f>VLOOKUP(F339,[1]!china_towns_second__2[[Column1]:[Y]],2,FALSE)</f>
        <v>121.4138433</v>
      </c>
      <c r="L339" t="s">
        <v>5176</v>
      </c>
      <c r="M339" t="str">
        <f>VLOOKUP(H339,CHOOSE({1,2},Table17[Native],Table17[Name]),2,0)</f>
        <v>Zhīfú Qū</v>
      </c>
      <c r="N339" s="15" t="str">
        <f>VLOOKUP(I339,CHOOSE({1,2},Table17[Native],Table17[Name]),2,0)</f>
        <v>Yāntái Shì</v>
      </c>
      <c r="O339" s="15" t="str">
        <f t="shared" si="10"/>
        <v>Dongshan Jiedao (Yantai Shi) (Yāntái Shì)</v>
      </c>
      <c r="P339" s="15" t="str">
        <f t="shared" si="11"/>
        <v>Dongshan Jiedao (Yantai Shi) (Yāntái Shì)</v>
      </c>
    </row>
    <row r="340" spans="1:16" hidden="1" x14ac:dyDescent="0.25">
      <c r="A340" t="s">
        <v>2537</v>
      </c>
      <c r="B340" t="str">
        <f>IF(COUNTIF(A:A,A340)&gt;1,_xlfn.CONCAT(A340," (",N340,")"),A340)</f>
        <v>Dōngshū Zhèn</v>
      </c>
      <c r="C340" t="str">
        <f>IF(COUNTIF(B:B,B340)&gt;1,_xlfn.CONCAT(A340," (",M340,")"),B340)</f>
        <v>Dōngshū Zhèn</v>
      </c>
      <c r="D340" t="s">
        <v>2538</v>
      </c>
      <c r="E340" t="s">
        <v>13</v>
      </c>
      <c r="F340" t="str">
        <f>_xlfn.CONCAT(D340,", ",H340,", ",I340,", ","山东省")</f>
        <v>东疏镇, 宁阳县, 泰安市, 山东省</v>
      </c>
      <c r="G340">
        <v>53889</v>
      </c>
      <c r="H340" t="s">
        <v>3747</v>
      </c>
      <c r="I340" t="s">
        <v>3743</v>
      </c>
      <c r="J340">
        <f>VLOOKUP(F340,[1]!china_towns_second__2[[Column1]:[Y]],3,FALSE)</f>
        <v>35.758828143364497</v>
      </c>
      <c r="K340">
        <f>VLOOKUP(F340,[1]!china_towns_second__2[[Column1]:[Y]],2,FALSE)</f>
        <v>116.68026589999999</v>
      </c>
      <c r="L340" t="s">
        <v>5177</v>
      </c>
      <c r="M340" t="str">
        <f>VLOOKUP(H340,CHOOSE({1,2},Table17[Native],Table17[Name]),2,0)</f>
        <v>Níngyáng Xiàn</v>
      </c>
      <c r="N340" s="15" t="str">
        <f>VLOOKUP(I340,CHOOSE({1,2},Table17[Native],Table17[Name]),2,0)</f>
        <v>Tài'ān Shì</v>
      </c>
      <c r="O340" s="15" t="str">
        <f t="shared" si="10"/>
        <v>Dongshu Zhen (Tài'ān Shì)</v>
      </c>
      <c r="P340" s="15" t="str">
        <f t="shared" si="11"/>
        <v>Dongshu Zhen (Tài'ān Shì)</v>
      </c>
    </row>
    <row r="341" spans="1:16" hidden="1" x14ac:dyDescent="0.25">
      <c r="A341" t="s">
        <v>3103</v>
      </c>
      <c r="B341" t="str">
        <f>IF(COUNTIF(A:A,A341)&gt;1,_xlfn.CONCAT(A341," (",N341,")"),A341)</f>
        <v>Dōngtīng Jiēdào</v>
      </c>
      <c r="C341" t="str">
        <f>IF(COUNTIF(B:B,B341)&gt;1,_xlfn.CONCAT(A341," (",M341,")"),B341)</f>
        <v>Dōngtīng Jiēdào</v>
      </c>
      <c r="D341" t="s">
        <v>3104</v>
      </c>
      <c r="E341" t="s">
        <v>7</v>
      </c>
      <c r="F341" t="str">
        <f>_xlfn.CONCAT(D341,", ",H341,", ",I341,", ","山东省")</f>
        <v>东厅街道, 福山区, 烟台市, 山东省</v>
      </c>
      <c r="G341">
        <v>11333</v>
      </c>
      <c r="H341" t="s">
        <v>3772</v>
      </c>
      <c r="I341" t="s">
        <v>3771</v>
      </c>
      <c r="J341">
        <f>VLOOKUP(F341,[1]!china_towns_second__2[[Column1]:[Y]],3,FALSE)</f>
        <v>37.471196312603197</v>
      </c>
      <c r="K341">
        <f>VLOOKUP(F341,[1]!china_towns_second__2[[Column1]:[Y]],2,FALSE)</f>
        <v>121.2042483</v>
      </c>
      <c r="L341" t="s">
        <v>5178</v>
      </c>
      <c r="M341" t="str">
        <f>VLOOKUP(H341,CHOOSE({1,2},Table17[Native],Table17[Name]),2,0)</f>
        <v>Fúshān Qū</v>
      </c>
      <c r="N341" s="15" t="str">
        <f>VLOOKUP(I341,CHOOSE({1,2},Table17[Native],Table17[Name]),2,0)</f>
        <v>Yāntái Shì</v>
      </c>
      <c r="O341" s="15" t="str">
        <f t="shared" si="10"/>
        <v>Dongting Jiedao (Yāntái Shì)</v>
      </c>
      <c r="P341" s="15" t="str">
        <f t="shared" si="11"/>
        <v>Dongting Jiedao (Yāntái Shì)</v>
      </c>
    </row>
    <row r="342" spans="1:16" hidden="1" x14ac:dyDescent="0.25">
      <c r="A342" t="s">
        <v>2709</v>
      </c>
      <c r="B342" t="str">
        <f>IF(COUNTIF(A:A,A342)&gt;1,_xlfn.CONCAT(A342," (",N342,")"),A342)</f>
        <v>Dōngxià Zhèn</v>
      </c>
      <c r="C342" t="str">
        <f>IF(COUNTIF(B:B,B342)&gt;1,_xlfn.CONCAT(A342," (",M342,")"),B342)</f>
        <v>Dōngxià Zhèn</v>
      </c>
      <c r="D342" t="s">
        <v>2710</v>
      </c>
      <c r="E342" t="s">
        <v>13</v>
      </c>
      <c r="F342" t="str">
        <f>_xlfn.CONCAT(D342,", ",H342,", ",I342,", ","山东省")</f>
        <v>东夏镇, 青州市, 潍坊市, 山东省</v>
      </c>
      <c r="G342">
        <v>84083</v>
      </c>
      <c r="H342" t="s">
        <v>3760</v>
      </c>
      <c r="I342" t="s">
        <v>3751</v>
      </c>
      <c r="J342">
        <f>VLOOKUP(F342,[1]!china_towns_second__2[[Column1]:[Y]],3,FALSE)</f>
        <v>36.751732753828499</v>
      </c>
      <c r="K342">
        <f>VLOOKUP(F342,[1]!china_towns_second__2[[Column1]:[Y]],2,FALSE)</f>
        <v>118.6110284</v>
      </c>
      <c r="L342" t="s">
        <v>5179</v>
      </c>
      <c r="M342" t="str">
        <f>VLOOKUP(H342,CHOOSE({1,2},Table17[Native],Table17[Name]),2,0)</f>
        <v>Qīngzhōu Shì</v>
      </c>
      <c r="N342" s="15" t="str">
        <f>VLOOKUP(I342,CHOOSE({1,2},Table17[Native],Table17[Name]),2,0)</f>
        <v>Wéifāng Shì</v>
      </c>
      <c r="O342" s="15" t="str">
        <f t="shared" si="10"/>
        <v>Dongxia Zhen (Wéifāng Shì)</v>
      </c>
      <c r="P342" s="15" t="str">
        <f t="shared" si="11"/>
        <v>Dongxia Zhen (Wéifāng Shì)</v>
      </c>
    </row>
    <row r="343" spans="1:16" hidden="1" x14ac:dyDescent="0.25">
      <c r="A343" t="s">
        <v>255</v>
      </c>
      <c r="B343" t="str">
        <f>IF(COUNTIF(A:A,A343)&gt;1,_xlfn.CONCAT(A343," (",N343,")"),A343)</f>
        <v>Dōngxīndiàn Zhèn</v>
      </c>
      <c r="C343" t="str">
        <f>IF(COUNTIF(B:B,B343)&gt;1,_xlfn.CONCAT(A343," (",M343,")"),B343)</f>
        <v>Dōngxīndiàn Zhèn</v>
      </c>
      <c r="D343" t="s">
        <v>256</v>
      </c>
      <c r="E343" t="s">
        <v>13</v>
      </c>
      <c r="F343" t="str">
        <f>_xlfn.CONCAT(D343,", ",H343,", ",I343,", ","山东省")</f>
        <v>东辛店镇, 庆云县, 德州市, 山东省</v>
      </c>
      <c r="G343">
        <v>19713</v>
      </c>
      <c r="H343" t="s">
        <v>3650</v>
      </c>
      <c r="I343" t="s">
        <v>3642</v>
      </c>
      <c r="J343">
        <f>VLOOKUP(F343,[1]!china_towns_second__2[[Column1]:[Y]],3,FALSE)</f>
        <v>37.765837692208997</v>
      </c>
      <c r="K343">
        <f>VLOOKUP(F343,[1]!china_towns_second__2[[Column1]:[Y]],2,FALSE)</f>
        <v>117.3294235</v>
      </c>
      <c r="L343" t="s">
        <v>5180</v>
      </c>
      <c r="M343" t="str">
        <f>VLOOKUP(H343,CHOOSE({1,2},Table17[Native],Table17[Name]),2,0)</f>
        <v>Qìngyún Xiàn</v>
      </c>
      <c r="N343" s="15" t="str">
        <f>VLOOKUP(I343,CHOOSE({1,2},Table17[Native],Table17[Name]),2,0)</f>
        <v>Dézhōu Shì</v>
      </c>
      <c r="O343" s="15" t="str">
        <f t="shared" si="10"/>
        <v>Dongxindian Zhen (Dézhōu Shì)</v>
      </c>
      <c r="P343" s="15" t="str">
        <f t="shared" si="11"/>
        <v>Dongxindian Zhen (Dézhōu Shì)</v>
      </c>
    </row>
    <row r="344" spans="1:16" hidden="1" x14ac:dyDescent="0.25">
      <c r="A344" t="s">
        <v>497</v>
      </c>
      <c r="B344" t="str">
        <f>IF(COUNTIF(A:A,A344)&gt;1,_xlfn.CONCAT(A344," (",N344,")"),A344)</f>
        <v>Dōngyíng Jīngjì Kāifāqū</v>
      </c>
      <c r="C344" t="str">
        <f>IF(COUNTIF(B:B,B344)&gt;1,_xlfn.CONCAT(A344," (",M344,")"),B344)</f>
        <v>Dōngyíng Jīngjì Kāifāqū</v>
      </c>
      <c r="D344" t="s">
        <v>498</v>
      </c>
      <c r="E344" t="s">
        <v>495</v>
      </c>
      <c r="F344" t="str">
        <f>_xlfn.CONCAT(D344,", ",H344,", ",I344,", ","山东省")</f>
        <v>东营经济开发区, 东营区, 东营市, 山东省</v>
      </c>
      <c r="G344">
        <v>18881</v>
      </c>
      <c r="H344" t="s">
        <v>3656</v>
      </c>
      <c r="I344" t="s">
        <v>3655</v>
      </c>
      <c r="J344" t="e">
        <f>VLOOKUP(F344,[1]!china_towns_second__2[[Column1]:[Y]],3,FALSE)</f>
        <v>#N/A</v>
      </c>
      <c r="K344" t="e">
        <f>VLOOKUP(F344,[1]!china_towns_second__2[[Column1]:[Y]],2,FALSE)</f>
        <v>#N/A</v>
      </c>
      <c r="L344" t="s">
        <v>5181</v>
      </c>
      <c r="M344" t="str">
        <f>VLOOKUP(H344,CHOOSE({1,2},Table17[Native],Table17[Name]),2,0)</f>
        <v>Dōngyíng Qū</v>
      </c>
      <c r="N344" s="15" t="str">
        <f>VLOOKUP(I344,CHOOSE({1,2},Table17[Native],Table17[Name]),2,0)</f>
        <v>Dōngyíng Shì</v>
      </c>
      <c r="O344" s="15" t="str">
        <f t="shared" si="10"/>
        <v>Dongying Jingji Kaifaqu (Dōngyíng Shì)</v>
      </c>
      <c r="P344" s="15" t="str">
        <f t="shared" si="11"/>
        <v>Dongying Jingji Kaifaqu (Dōngyíng Shì)</v>
      </c>
    </row>
    <row r="345" spans="1:16" hidden="1" x14ac:dyDescent="0.25">
      <c r="A345" t="s">
        <v>493</v>
      </c>
      <c r="B345" t="str">
        <f>IF(COUNTIF(A:A,A345)&gt;1,_xlfn.CONCAT(A345," (",N345,")"),A345)</f>
        <v>Dōngyínggăng Jīngjì Kāifāqū</v>
      </c>
      <c r="C345" t="str">
        <f>IF(COUNTIF(B:B,B345)&gt;1,_xlfn.CONCAT(A345," (",M345,")"),B345)</f>
        <v>Dōngyínggăng Jīngjì Kāifāqū</v>
      </c>
      <c r="D345" t="s">
        <v>494</v>
      </c>
      <c r="E345" t="s">
        <v>495</v>
      </c>
      <c r="F345" t="str">
        <f>_xlfn.CONCAT(D345,", ",H345,", ",I345,", ","山东省")</f>
        <v>东营港经济开发区, 河口区, 东营市, 山东省</v>
      </c>
      <c r="G345">
        <v>3898</v>
      </c>
      <c r="H345" t="s">
        <v>3658</v>
      </c>
      <c r="I345" t="s">
        <v>3655</v>
      </c>
      <c r="J345" t="e">
        <f>VLOOKUP(F345,[1]!china_towns_second__2[[Column1]:[Y]],3,FALSE)</f>
        <v>#N/A</v>
      </c>
      <c r="K345" t="e">
        <f>VLOOKUP(F345,[1]!china_towns_second__2[[Column1]:[Y]],2,FALSE)</f>
        <v>#N/A</v>
      </c>
      <c r="L345" t="s">
        <v>5182</v>
      </c>
      <c r="M345" t="str">
        <f>VLOOKUP(H345,CHOOSE({1,2},Table17[Native],Table17[Name]),2,0)</f>
        <v>Hékŏu Qū</v>
      </c>
      <c r="N345" s="15" t="str">
        <f>VLOOKUP(I345,CHOOSE({1,2},Table17[Native],Table17[Name]),2,0)</f>
        <v>Dōngyíng Shì</v>
      </c>
      <c r="O345" s="15" t="str">
        <f t="shared" si="10"/>
        <v>Dongyinggang Jingji Kaifaqu (Dōngyíng Shì)</v>
      </c>
      <c r="P345" s="15" t="str">
        <f t="shared" si="11"/>
        <v>Dongyinggang Jingji Kaifaqu (Dōngyíng Shì)</v>
      </c>
    </row>
    <row r="346" spans="1:16" hidden="1" x14ac:dyDescent="0.25">
      <c r="A346" t="s">
        <v>2539</v>
      </c>
      <c r="B346" t="str">
        <f>IF(COUNTIF(A:A,A346)&gt;1,_xlfn.CONCAT(A346," (",N346,")"),A346)</f>
        <v>Dōngzhuāng Zhèn</v>
      </c>
      <c r="C346" t="str">
        <f>IF(COUNTIF(B:B,B346)&gt;1,_xlfn.CONCAT(A346," (",M346,")"),B346)</f>
        <v>Dōngzhuāng Zhèn</v>
      </c>
      <c r="D346" t="s">
        <v>2540</v>
      </c>
      <c r="E346" t="s">
        <v>13</v>
      </c>
      <c r="F346" t="str">
        <f>_xlfn.CONCAT(D346,", ",H346,", ",I346,", ","山东省")</f>
        <v>东庄镇, 宁阳县, 泰安市, 山东省</v>
      </c>
      <c r="G346">
        <v>53459</v>
      </c>
      <c r="H346" t="s">
        <v>3747</v>
      </c>
      <c r="I346" t="s">
        <v>3743</v>
      </c>
      <c r="J346">
        <f>VLOOKUP(F346,[1]!china_towns_second__2[[Column1]:[Y]],3,FALSE)</f>
        <v>35.8220860406105</v>
      </c>
      <c r="K346">
        <f>VLOOKUP(F346,[1]!china_towns_second__2[[Column1]:[Y]],2,FALSE)</f>
        <v>117.2242827</v>
      </c>
      <c r="L346" t="s">
        <v>5183</v>
      </c>
      <c r="M346" t="str">
        <f>VLOOKUP(H346,CHOOSE({1,2},Table17[Native],Table17[Name]),2,0)</f>
        <v>Níngyáng Xiàn</v>
      </c>
      <c r="N346" s="15" t="str">
        <f>VLOOKUP(I346,CHOOSE({1,2},Table17[Native],Table17[Name]),2,0)</f>
        <v>Tài'ān Shì</v>
      </c>
      <c r="O346" s="15" t="str">
        <f t="shared" si="10"/>
        <v>Dongzhuang Zhen (Tài'ān Shì)</v>
      </c>
      <c r="P346" s="15" t="str">
        <f t="shared" si="11"/>
        <v>Dongzhuang Zhen (Tài'ān Shì)</v>
      </c>
    </row>
    <row r="347" spans="1:16" hidden="1" x14ac:dyDescent="0.25">
      <c r="A347" t="s">
        <v>969</v>
      </c>
      <c r="B347" t="str">
        <f>IF(COUNTIF(A:A,A347)&gt;1,_xlfn.CONCAT(A347," (",N347,")"),A347)</f>
        <v>Dŏugōu Jiēdào</v>
      </c>
      <c r="C347" t="str">
        <f>IF(COUNTIF(B:B,B347)&gt;1,_xlfn.CONCAT(A347," (",M347,")"),B347)</f>
        <v>Dŏugōu Jiēdào</v>
      </c>
      <c r="D347" t="s">
        <v>970</v>
      </c>
      <c r="E347" t="s">
        <v>7</v>
      </c>
      <c r="F347" t="str">
        <f>_xlfn.CONCAT(D347,", ",H347,", ",I347,", ","山东省")</f>
        <v>陡沟街道, 市中区, 济南市, 山东省</v>
      </c>
      <c r="G347">
        <v>27036</v>
      </c>
      <c r="H347" t="s">
        <v>3683</v>
      </c>
      <c r="I347" t="s">
        <v>3673</v>
      </c>
      <c r="J347">
        <f>VLOOKUP(F347,[1]!china_towns_second__2[[Column1]:[Y]],3,FALSE)</f>
        <v>36.604039834228601</v>
      </c>
      <c r="K347">
        <f>VLOOKUP(F347,[1]!china_towns_second__2[[Column1]:[Y]],2,FALSE)</f>
        <v>116.869719</v>
      </c>
      <c r="L347" t="s">
        <v>5184</v>
      </c>
      <c r="M347" t="str">
        <f>VLOOKUP(H347,CHOOSE({1,2},Table17[Native],Table17[Name]),2,0)</f>
        <v>Shìzhōng Qū</v>
      </c>
      <c r="N347" s="15" t="str">
        <f>VLOOKUP(I347,CHOOSE({1,2},Table17[Native],Table17[Name]),2,0)</f>
        <v>Jìnán Shì</v>
      </c>
      <c r="O347" s="15" t="str">
        <f t="shared" si="10"/>
        <v>Dougou Jiedao (Jìnán Shì)</v>
      </c>
      <c r="P347" s="15" t="str">
        <f t="shared" si="11"/>
        <v>Dougou Jiedao (Jìnán Shì)</v>
      </c>
    </row>
    <row r="348" spans="1:16" hidden="1" x14ac:dyDescent="0.25">
      <c r="A348" t="s">
        <v>1582</v>
      </c>
      <c r="B348" t="str">
        <f>IF(COUNTIF(A:A,A348)&gt;1,_xlfn.CONCAT(A348," (",N348,")"),A348)</f>
        <v>Dòuhŭtún Zhèn</v>
      </c>
      <c r="C348" t="str">
        <f>IF(COUNTIF(B:B,B348)&gt;1,_xlfn.CONCAT(A348," (",M348,")"),B348)</f>
        <v>Dòuhŭtún Zhèn</v>
      </c>
      <c r="D348" t="s">
        <v>1583</v>
      </c>
      <c r="E348" t="s">
        <v>13</v>
      </c>
      <c r="F348" t="str">
        <f>_xlfn.CONCAT(D348,", ",H348,", ",I348,", ","山东省")</f>
        <v>斗虎屯镇, 东昌府区, 聊城市, 山东省</v>
      </c>
      <c r="G348">
        <v>40790</v>
      </c>
      <c r="H348" t="s">
        <v>3702</v>
      </c>
      <c r="I348" t="s">
        <v>3700</v>
      </c>
      <c r="J348">
        <f>VLOOKUP(F348,[1]!china_towns_second__2[[Column1]:[Y]],3,FALSE)</f>
        <v>36.665484134779298</v>
      </c>
      <c r="K348">
        <f>VLOOKUP(F348,[1]!china_towns_second__2[[Column1]:[Y]],2,FALSE)</f>
        <v>115.8113455</v>
      </c>
      <c r="L348" t="s">
        <v>5185</v>
      </c>
      <c r="M348" t="str">
        <f>VLOOKUP(H348,CHOOSE({1,2},Table17[Native],Table17[Name]),2,0)</f>
        <v>Dōngchāngfŭ Qū</v>
      </c>
      <c r="N348" s="15" t="str">
        <f>VLOOKUP(I348,CHOOSE({1,2},Table17[Native],Table17[Name]),2,0)</f>
        <v>Liáochéng Shì</v>
      </c>
      <c r="O348" s="15" t="str">
        <f t="shared" si="10"/>
        <v>Douhutun Zhen (Liáochéng Shì)</v>
      </c>
      <c r="P348" s="15" t="str">
        <f t="shared" si="11"/>
        <v>Douhutun Zhen (Liáochéng Shì)</v>
      </c>
    </row>
    <row r="349" spans="1:16" hidden="1" x14ac:dyDescent="0.25">
      <c r="A349" t="s">
        <v>2162</v>
      </c>
      <c r="B349" t="str">
        <f>IF(COUNTIF(A:A,A349)&gt;1,_xlfn.CONCAT(A349," (",N349,")"),A349)</f>
        <v>Duànbólán Zhèn [incl. Liújiāzhuāng Zhèn]</v>
      </c>
      <c r="C349" t="str">
        <f>IF(COUNTIF(B:B,B349)&gt;1,_xlfn.CONCAT(A349," (",M349,")"),B349)</f>
        <v>Duànbólán Zhèn [incl. Liújiāzhuāng Zhèn]</v>
      </c>
      <c r="D349" t="s">
        <v>2163</v>
      </c>
      <c r="E349" t="s">
        <v>13</v>
      </c>
      <c r="F349" t="str">
        <f>_xlfn.CONCAT(D349,", ",H349,", ",I349,", ","山东省")</f>
        <v>段泊岚镇, 即墨区, 青岛市, 山东省</v>
      </c>
      <c r="G349">
        <v>55063</v>
      </c>
      <c r="H349" t="s">
        <v>3728</v>
      </c>
      <c r="I349" t="s">
        <v>3724</v>
      </c>
      <c r="J349">
        <f>VLOOKUP(F349,[1]!china_towns_second__2[[Column1]:[Y]],3,FALSE)</f>
        <v>36.575713621181301</v>
      </c>
      <c r="K349">
        <f>VLOOKUP(F349,[1]!china_towns_second__2[[Column1]:[Y]],2,FALSE)</f>
        <v>120.3295013</v>
      </c>
      <c r="L349" t="s">
        <v>5186</v>
      </c>
      <c r="M349" t="str">
        <f>VLOOKUP(H349,CHOOSE({1,2},Table17[Native],Table17[Name]),2,0)</f>
        <v>Jímò Qū</v>
      </c>
      <c r="N349" s="15" t="str">
        <f>VLOOKUP(I349,CHOOSE({1,2},Table17[Native],Table17[Name]),2,0)</f>
        <v>Qīngdăo Shì</v>
      </c>
      <c r="O349" s="15" t="str">
        <f t="shared" si="10"/>
        <v>Duanbolan Zhen [incl. Liujiazhuang Zhen] (Qīngdăo Shì)</v>
      </c>
      <c r="P349" s="15" t="str">
        <f t="shared" si="11"/>
        <v>Duanbolan Zhen [incl. Liujiazhuang Zhen] (Qīngdăo Shì)</v>
      </c>
    </row>
    <row r="350" spans="1:16" hidden="1" x14ac:dyDescent="0.25">
      <c r="A350" t="s">
        <v>971</v>
      </c>
      <c r="B350" t="str">
        <f>IF(COUNTIF(A:A,A350)&gt;1,_xlfn.CONCAT(A350," (",N350,")"),A350)</f>
        <v>Duàndiàn Bĕilù Jiēdào</v>
      </c>
      <c r="C350" t="str">
        <f>IF(COUNTIF(B:B,B350)&gt;1,_xlfn.CONCAT(A350," (",M350,")"),B350)</f>
        <v>Duàndiàn Bĕilù Jiēdào</v>
      </c>
      <c r="D350" t="s">
        <v>972</v>
      </c>
      <c r="E350" t="s">
        <v>7</v>
      </c>
      <c r="F350" t="str">
        <f>_xlfn.CONCAT(D350,", ",H350,", ",I350,", ","山东省")</f>
        <v>段店北路街道, 槐荫区, 济南市, 山东省</v>
      </c>
      <c r="G350">
        <v>42317</v>
      </c>
      <c r="H350" t="s">
        <v>3676</v>
      </c>
      <c r="I350" t="s">
        <v>3673</v>
      </c>
      <c r="J350">
        <f>VLOOKUP(F350,[1]!china_towns_second__2[[Column1]:[Y]],3,FALSE)</f>
        <v>36.653509785495302</v>
      </c>
      <c r="K350">
        <f>VLOOKUP(F350,[1]!china_towns_second__2[[Column1]:[Y]],2,FALSE)</f>
        <v>116.932581</v>
      </c>
      <c r="L350" t="s">
        <v>5187</v>
      </c>
      <c r="M350" t="str">
        <f>VLOOKUP(H350,CHOOSE({1,2},Table17[Native],Table17[Name]),2,0)</f>
        <v>Huáiyìn Qū</v>
      </c>
      <c r="N350" s="15" t="str">
        <f>VLOOKUP(I350,CHOOSE({1,2},Table17[Native],Table17[Name]),2,0)</f>
        <v>Jìnán Shì</v>
      </c>
      <c r="O350" s="15" t="str">
        <f t="shared" si="10"/>
        <v>Duandian Beilu Jiedao (Jìnán Shì)</v>
      </c>
      <c r="P350" s="15" t="str">
        <f t="shared" si="11"/>
        <v>Duandian Beilu Jiedao (Jìnán Shì)</v>
      </c>
    </row>
    <row r="351" spans="1:16" hidden="1" x14ac:dyDescent="0.25">
      <c r="A351" t="s">
        <v>2712</v>
      </c>
      <c r="B351" t="str">
        <f>IF(COUNTIF(A:A,A351)&gt;1,_xlfn.CONCAT(A351," (",N351,")"),A351)</f>
        <v>Dūchāng Jiēdào</v>
      </c>
      <c r="C351" t="str">
        <f>IF(COUNTIF(B:B,B351)&gt;1,_xlfn.CONCAT(A351," (",M351,")"),B351)</f>
        <v>Dūchāng Jiēdào</v>
      </c>
      <c r="D351" t="s">
        <v>2713</v>
      </c>
      <c r="E351" t="s">
        <v>7</v>
      </c>
      <c r="F351" t="str">
        <f>_xlfn.CONCAT(D351,", ",H351,", ",I351,", ","山东省")</f>
        <v>都昌街道, 昌邑市, 潍坊市, 山东省</v>
      </c>
      <c r="G351">
        <v>99909</v>
      </c>
      <c r="H351" t="s">
        <v>3754</v>
      </c>
      <c r="I351" t="s">
        <v>3751</v>
      </c>
      <c r="J351">
        <f>VLOOKUP(F351,[1]!china_towns_second__2[[Column1]:[Y]],3,FALSE)</f>
        <v>36.843524107735398</v>
      </c>
      <c r="K351">
        <f>VLOOKUP(F351,[1]!china_towns_second__2[[Column1]:[Y]],2,FALSE)</f>
        <v>119.3050767</v>
      </c>
      <c r="L351" t="s">
        <v>5188</v>
      </c>
      <c r="M351" t="str">
        <f>VLOOKUP(H351,CHOOSE({1,2},Table17[Native],Table17[Name]),2,0)</f>
        <v>Chāngyì Shì</v>
      </c>
      <c r="N351" s="15" t="str">
        <f>VLOOKUP(I351,CHOOSE({1,2},Table17[Native],Table17[Name]),2,0)</f>
        <v>Wéifāng Shì</v>
      </c>
      <c r="O351" s="15" t="str">
        <f t="shared" si="10"/>
        <v>Duchang Jiedao (Wéifāng Shì)</v>
      </c>
      <c r="P351" s="15" t="str">
        <f t="shared" si="11"/>
        <v>Duchang Jiedao (Wéifāng Shì)</v>
      </c>
    </row>
    <row r="352" spans="1:16" hidden="1" x14ac:dyDescent="0.25">
      <c r="A352" t="s">
        <v>47</v>
      </c>
      <c r="B352" t="str">
        <f>IF(COUNTIF(A:A,A352)&gt;1,_xlfn.CONCAT(A352," (",N352,")"),A352)</f>
        <v>Dùdiàn Jiēdào</v>
      </c>
      <c r="C352" t="str">
        <f>IF(COUNTIF(B:B,B352)&gt;1,_xlfn.CONCAT(A352," (",M352,")"),B352)</f>
        <v>Dùdiàn Jiēdào</v>
      </c>
      <c r="D352" t="s">
        <v>48</v>
      </c>
      <c r="E352" t="s">
        <v>7</v>
      </c>
      <c r="F352" t="str">
        <f>_xlfn.CONCAT(D352,", ",H352,", ",I352,", ","山东省")</f>
        <v>杜店街道, 滨城区, 滨州市, 山东省</v>
      </c>
      <c r="G352">
        <v>53783</v>
      </c>
      <c r="H352" t="s">
        <v>3632</v>
      </c>
      <c r="I352" t="s">
        <v>3630</v>
      </c>
      <c r="J352">
        <f>VLOOKUP(F352,[1]!china_towns_second__2[[Column1]:[Y]],3,FALSE)</f>
        <v>37.359883654246197</v>
      </c>
      <c r="K352">
        <f>VLOOKUP(F352,[1]!china_towns_second__2[[Column1]:[Y]],2,FALSE)</f>
        <v>117.9276256</v>
      </c>
      <c r="L352" t="s">
        <v>5189</v>
      </c>
      <c r="M352" t="str">
        <f>VLOOKUP(H352,CHOOSE({1,2},Table17[Native],Table17[Name]),2,0)</f>
        <v>Bīnchéng Qū</v>
      </c>
      <c r="N352" s="15" t="str">
        <f>VLOOKUP(I352,CHOOSE({1,2},Table17[Native],Table17[Name]),2,0)</f>
        <v>Bīnzhōu Shì</v>
      </c>
      <c r="O352" s="15" t="str">
        <f t="shared" si="10"/>
        <v>Dudian Jiedao (Bīnzhōu Shì)</v>
      </c>
      <c r="P352" s="15" t="str">
        <f t="shared" si="11"/>
        <v>Dudian Jiedao (Bīnzhōu Shì)</v>
      </c>
    </row>
    <row r="353" spans="1:16" hidden="1" x14ac:dyDescent="0.25">
      <c r="A353" t="s">
        <v>257</v>
      </c>
      <c r="B353" t="str">
        <f>IF(COUNTIF(A:A,A353)&gt;1,_xlfn.CONCAT(A353," (",N353,")"),A353)</f>
        <v>Dùjí Zhèn</v>
      </c>
      <c r="C353" t="str">
        <f>IF(COUNTIF(B:B,B353)&gt;1,_xlfn.CONCAT(A353," (",M353,")"),B353)</f>
        <v>Dùjí Zhèn</v>
      </c>
      <c r="D353" t="s">
        <v>258</v>
      </c>
      <c r="E353" t="s">
        <v>13</v>
      </c>
      <c r="F353" t="str">
        <f>_xlfn.CONCAT(D353,", ",H353,", ",I353,", ","山东省")</f>
        <v>杜集镇, 宁津县, 德州市, 山东省</v>
      </c>
      <c r="G353">
        <v>52229</v>
      </c>
      <c r="H353" t="s">
        <v>3647</v>
      </c>
      <c r="I353" t="s">
        <v>3642</v>
      </c>
      <c r="J353">
        <f>VLOOKUP(F353,[1]!china_towns_second__2[[Column1]:[Y]],3,FALSE)</f>
        <v>37.714303850441098</v>
      </c>
      <c r="K353">
        <f>VLOOKUP(F353,[1]!china_towns_second__2[[Column1]:[Y]],2,FALSE)</f>
        <v>116.9341057</v>
      </c>
      <c r="L353" t="s">
        <v>5190</v>
      </c>
      <c r="M353" t="str">
        <f>VLOOKUP(H353,CHOOSE({1,2},Table17[Native],Table17[Name]),2,0)</f>
        <v>Níngjīn Xiàn</v>
      </c>
      <c r="N353" s="15" t="str">
        <f>VLOOKUP(I353,CHOOSE({1,2},Table17[Native],Table17[Name]),2,0)</f>
        <v>Dézhōu Shì</v>
      </c>
      <c r="O353" s="15" t="str">
        <f t="shared" si="10"/>
        <v>Duji Zhen (Dézhōu Shì)</v>
      </c>
      <c r="P353" s="15" t="str">
        <f t="shared" si="11"/>
        <v>Duji Zhen (Dézhōu Shì)</v>
      </c>
    </row>
    <row r="354" spans="1:16" hidden="1" x14ac:dyDescent="0.25">
      <c r="A354" t="s">
        <v>259</v>
      </c>
      <c r="B354" t="str">
        <f>IF(COUNTIF(A:A,A354)&gt;1,_xlfn.CONCAT(A354," (",N354,")"),A354)</f>
        <v>Dùkŏuyì Xiāng</v>
      </c>
      <c r="C354" t="str">
        <f>IF(COUNTIF(B:B,B354)&gt;1,_xlfn.CONCAT(A354," (",M354,")"),B354)</f>
        <v>Dùkŏuyì Xiāng</v>
      </c>
      <c r="D354" t="s">
        <v>260</v>
      </c>
      <c r="E354" t="s">
        <v>61</v>
      </c>
      <c r="F354" t="str">
        <f>_xlfn.CONCAT(D354,", ",H354,", ",I354,", ","山东省")</f>
        <v>渡口驿乡, 夏津县, 德州市, 山东省</v>
      </c>
      <c r="G354">
        <v>17790</v>
      </c>
      <c r="H354" t="s">
        <v>3652</v>
      </c>
      <c r="I354" t="s">
        <v>3642</v>
      </c>
      <c r="J354" t="e">
        <f>VLOOKUP(F354,[1]!china_towns_second__2[[Column1]:[Y]],3,FALSE)</f>
        <v>#N/A</v>
      </c>
      <c r="K354" t="e">
        <f>VLOOKUP(F354,[1]!china_towns_second__2[[Column1]:[Y]],2,FALSE)</f>
        <v>#N/A</v>
      </c>
      <c r="L354" t="s">
        <v>5191</v>
      </c>
      <c r="M354" t="str">
        <f>VLOOKUP(H354,CHOOSE({1,2},Table17[Native],Table17[Name]),2,0)</f>
        <v>Xiàjīn Xiàn</v>
      </c>
      <c r="N354" s="15" t="str">
        <f>VLOOKUP(I354,CHOOSE({1,2},Table17[Native],Table17[Name]),2,0)</f>
        <v>Dézhōu Shì</v>
      </c>
      <c r="O354" s="15" t="str">
        <f t="shared" si="10"/>
        <v>Dukouyi Xiang (Dézhōu Shì)</v>
      </c>
      <c r="P354" s="15" t="str">
        <f t="shared" si="11"/>
        <v>Dukouyi Xiang (Dézhōu Shì)</v>
      </c>
    </row>
    <row r="355" spans="1:16" hidden="1" x14ac:dyDescent="0.25">
      <c r="A355" t="s">
        <v>1584</v>
      </c>
      <c r="B355" t="str">
        <f>IF(COUNTIF(A:A,A355)&gt;1,_xlfn.CONCAT(A355," (",N355,")"),A355)</f>
        <v>Dùlángkŏu Zhèn</v>
      </c>
      <c r="C355" t="str">
        <f>IF(COUNTIF(B:B,B355)&gt;1,_xlfn.CONCAT(A355," (",M355,")"),B355)</f>
        <v>Dùlángkŏu Zhèn</v>
      </c>
      <c r="D355" t="s">
        <v>1585</v>
      </c>
      <c r="E355" t="s">
        <v>13</v>
      </c>
      <c r="F355" t="str">
        <f>_xlfn.CONCAT(D355,", ",H355,", ",I355,", ","山东省")</f>
        <v>杜郎口镇, 茌平区, 聊城市, 山东省</v>
      </c>
      <c r="G355">
        <v>31201</v>
      </c>
      <c r="H355" t="s">
        <v>3701</v>
      </c>
      <c r="I355" t="s">
        <v>3700</v>
      </c>
      <c r="J355">
        <f>VLOOKUP(F355,[1]!china_towns_second__2[[Column1]:[Y]],3,FALSE)</f>
        <v>36.558158462406801</v>
      </c>
      <c r="K355">
        <f>VLOOKUP(F355,[1]!china_towns_second__2[[Column1]:[Y]],2,FALSE)</f>
        <v>116.34915410000001</v>
      </c>
      <c r="L355" t="s">
        <v>5192</v>
      </c>
      <c r="M355" t="str">
        <f>VLOOKUP(H355,CHOOSE({1,2},Table17[Native],Table17[Name]),2,0)</f>
        <v>Chípíng Qū</v>
      </c>
      <c r="N355" s="15" t="str">
        <f>VLOOKUP(I355,CHOOSE({1,2},Table17[Native],Table17[Name]),2,0)</f>
        <v>Liáochéng Shì</v>
      </c>
      <c r="O355" s="15" t="str">
        <f t="shared" si="10"/>
        <v>Dulangkou Zhen (Liáochéng Shì)</v>
      </c>
      <c r="P355" s="15" t="str">
        <f t="shared" si="11"/>
        <v>Dulangkou Zhen (Liáochéng Shì)</v>
      </c>
    </row>
    <row r="356" spans="1:16" hidden="1" x14ac:dyDescent="0.25">
      <c r="A356" t="s">
        <v>2164</v>
      </c>
      <c r="B356" t="str">
        <f>IF(COUNTIF(A:A,A356)&gt;1,_xlfn.CONCAT(A356," (",N356,")"),A356)</f>
        <v>Dūnhuàlù Jiēdào</v>
      </c>
      <c r="C356" t="str">
        <f>IF(COUNTIF(B:B,B356)&gt;1,_xlfn.CONCAT(A356," (",M356,")"),B356)</f>
        <v>Dūnhuàlù Jiēdào</v>
      </c>
      <c r="D356" t="s">
        <v>2165</v>
      </c>
      <c r="E356" t="s">
        <v>7</v>
      </c>
      <c r="F356" t="str">
        <f>_xlfn.CONCAT(D356,", ",H356,", ",I356,", ","山东省")</f>
        <v>敦化路街道, 市北区, 青岛市, 山东省</v>
      </c>
      <c r="G356">
        <v>43726</v>
      </c>
      <c r="H356" t="s">
        <v>3733</v>
      </c>
      <c r="I356" t="s">
        <v>3724</v>
      </c>
      <c r="J356">
        <f>VLOOKUP(F356,[1]!china_towns_second__2[[Column1]:[Y]],3,FALSE)</f>
        <v>36.092131491298701</v>
      </c>
      <c r="K356">
        <f>VLOOKUP(F356,[1]!china_towns_second__2[[Column1]:[Y]],2,FALSE)</f>
        <v>120.3721529</v>
      </c>
      <c r="L356" t="s">
        <v>5193</v>
      </c>
      <c r="M356" t="str">
        <f>VLOOKUP(H356,CHOOSE({1,2},Table17[Native],Table17[Name]),2,0)</f>
        <v>Shìbĕi Qū</v>
      </c>
      <c r="N356" s="15" t="str">
        <f>VLOOKUP(I356,CHOOSE({1,2},Table17[Native],Table17[Name]),2,0)</f>
        <v>Qīngdăo Shì</v>
      </c>
      <c r="O356" s="15" t="str">
        <f t="shared" si="10"/>
        <v>Dunhualu Jiedao (Qīngdăo Shì)</v>
      </c>
      <c r="P356" s="15" t="str">
        <f t="shared" si="11"/>
        <v>Dunhualu Jiedao (Qīngdăo Shì)</v>
      </c>
    </row>
    <row r="357" spans="1:16" hidden="1" x14ac:dyDescent="0.25">
      <c r="A357" t="s">
        <v>973</v>
      </c>
      <c r="B357" t="str">
        <f>IF(COUNTIF(A:A,A357)&gt;1,_xlfn.CONCAT(A357," (",N357,")"),A357)</f>
        <v>Duŏshí Jiēdào</v>
      </c>
      <c r="C357" t="str">
        <f>IF(COUNTIF(B:B,B357)&gt;1,_xlfn.CONCAT(A357," (",M357,")"),B357)</f>
        <v>Duŏshí Jiēdào</v>
      </c>
      <c r="D357" t="s">
        <v>974</v>
      </c>
      <c r="E357" t="s">
        <v>7</v>
      </c>
      <c r="F357" t="str">
        <f>_xlfn.CONCAT(D357,", ",H357,", ",I357,", ","山东省")</f>
        <v>垛石街道, 济阳区, 济南市, 山东省</v>
      </c>
      <c r="G357">
        <v>67907</v>
      </c>
      <c r="H357" t="s">
        <v>3677</v>
      </c>
      <c r="I357" t="s">
        <v>3673</v>
      </c>
      <c r="J357" t="e">
        <f>VLOOKUP(F357,[1]!china_towns_second__2[[Column1]:[Y]],3,FALSE)</f>
        <v>#N/A</v>
      </c>
      <c r="K357" t="e">
        <f>VLOOKUP(F357,[1]!china_towns_second__2[[Column1]:[Y]],2,FALSE)</f>
        <v>#N/A</v>
      </c>
      <c r="L357" t="s">
        <v>5194</v>
      </c>
      <c r="M357" t="str">
        <f>VLOOKUP(H357,CHOOSE({1,2},Table17[Native],Table17[Name]),2,0)</f>
        <v>Jìyáng Qū</v>
      </c>
      <c r="N357" s="15" t="str">
        <f>VLOOKUP(I357,CHOOSE({1,2},Table17[Native],Table17[Name]),2,0)</f>
        <v>Jìnán Shì</v>
      </c>
      <c r="O357" s="15" t="str">
        <f t="shared" si="10"/>
        <v>Duoshi Jiedao (Jìnán Shì)</v>
      </c>
      <c r="P357" s="15" t="str">
        <f t="shared" si="11"/>
        <v>Duoshi Jiedao (Jìnán Shì)</v>
      </c>
    </row>
    <row r="358" spans="1:16" hidden="1" x14ac:dyDescent="0.25">
      <c r="A358" t="s">
        <v>975</v>
      </c>
      <c r="B358" t="str">
        <f>IF(COUNTIF(A:A,A358)&gt;1,_xlfn.CONCAT(A358," (",N358,")"),A358)</f>
        <v>Duŏzhuāng Zhèn</v>
      </c>
      <c r="C358" t="str">
        <f>IF(COUNTIF(B:B,B358)&gt;1,_xlfn.CONCAT(A358," (",M358,")"),B358)</f>
        <v>Duŏzhuāng Zhèn</v>
      </c>
      <c r="D358" t="s">
        <v>976</v>
      </c>
      <c r="E358" t="s">
        <v>13</v>
      </c>
      <c r="F358" t="str">
        <f>_xlfn.CONCAT(D358,", ",H358,", ",I358,", ","山东省")</f>
        <v>垛庄镇, 章丘区, 济南市, 山东省</v>
      </c>
      <c r="G358">
        <v>28086</v>
      </c>
      <c r="H358" t="s">
        <v>3685</v>
      </c>
      <c r="I358" t="s">
        <v>3673</v>
      </c>
      <c r="J358">
        <f>VLOOKUP(F358,[1]!china_towns_second__2[[Column1]:[Y]],3,FALSE)</f>
        <v>36.498957283446799</v>
      </c>
      <c r="K358">
        <f>VLOOKUP(F358,[1]!china_towns_second__2[[Column1]:[Y]],2,FALSE)</f>
        <v>117.40993690000001</v>
      </c>
      <c r="L358" t="s">
        <v>5195</v>
      </c>
      <c r="M358" t="str">
        <f>VLOOKUP(H358,CHOOSE({1,2},Table17[Native],Table17[Name]),2,0)</f>
        <v>Zhāngqiū Qū</v>
      </c>
      <c r="N358" s="15" t="str">
        <f>VLOOKUP(I358,CHOOSE({1,2},Table17[Native],Table17[Name]),2,0)</f>
        <v>Jìnán Shì</v>
      </c>
      <c r="O358" s="15" t="str">
        <f t="shared" si="10"/>
        <v>Duozhuang Zhen (Jìnán Shì)</v>
      </c>
      <c r="P358" s="15" t="str">
        <f t="shared" si="11"/>
        <v>Duozhuang Zhen (Jìnán Shì)</v>
      </c>
    </row>
    <row r="359" spans="1:16" hidden="1" x14ac:dyDescent="0.25">
      <c r="A359" t="s">
        <v>1866</v>
      </c>
      <c r="B359" t="str">
        <f>IF(COUNTIF(A:A,A359)&gt;1,_xlfn.CONCAT(A359," (",N359,")"),A359)</f>
        <v>Duŏzhuāng Zhèn [incl. Jièpái Zhèn]</v>
      </c>
      <c r="C359" t="str">
        <f>IF(COUNTIF(B:B,B359)&gt;1,_xlfn.CONCAT(A359," (",M359,")"),B359)</f>
        <v>Duŏzhuāng Zhèn [incl. Jièpái Zhèn]</v>
      </c>
      <c r="D359" t="s">
        <v>976</v>
      </c>
      <c r="E359" t="s">
        <v>13</v>
      </c>
      <c r="F359" t="str">
        <f>_xlfn.CONCAT(D359,", ",H359,", ",I359,", ","山东省")</f>
        <v>垛庄镇, 蒙阴县, 临沂市, 山东省</v>
      </c>
      <c r="G359">
        <v>58442</v>
      </c>
      <c r="H359" t="s">
        <v>3718</v>
      </c>
      <c r="I359" t="s">
        <v>3710</v>
      </c>
      <c r="J359">
        <f>VLOOKUP(F359,[1]!china_towns_second__2[[Column1]:[Y]],3,FALSE)</f>
        <v>35.566031223838898</v>
      </c>
      <c r="K359">
        <f>VLOOKUP(F359,[1]!china_towns_second__2[[Column1]:[Y]],2,FALSE)</f>
        <v>118.1062527</v>
      </c>
      <c r="L359" t="s">
        <v>5196</v>
      </c>
      <c r="M359" t="str">
        <f>VLOOKUP(H359,CHOOSE({1,2},Table17[Native],Table17[Name]),2,0)</f>
        <v>Mĕngyīn Xiàn</v>
      </c>
      <c r="N359" s="15" t="str">
        <f>VLOOKUP(I359,CHOOSE({1,2},Table17[Native],Table17[Name]),2,0)</f>
        <v>Línyí Shì</v>
      </c>
      <c r="O359" s="15" t="str">
        <f t="shared" si="10"/>
        <v>Duozhuang Zhen [incl. Jiepai Zhen] (Línyí Shì)</v>
      </c>
      <c r="P359" s="15" t="str">
        <f t="shared" si="11"/>
        <v>Duozhuang Zhen [incl. Jiepai Zhen] (Línyí Shì)</v>
      </c>
    </row>
    <row r="360" spans="1:16" hidden="1" x14ac:dyDescent="0.25">
      <c r="A360" t="s">
        <v>668</v>
      </c>
      <c r="B360" t="str">
        <f>IF(COUNTIF(A:A,A360)&gt;1,_xlfn.CONCAT(A360," (",N360,")"),A360)</f>
        <v>Dúshān Zhèn</v>
      </c>
      <c r="C360" t="str">
        <f>IF(COUNTIF(B:B,B360)&gt;1,_xlfn.CONCAT(A360," (",M360,")"),B360)</f>
        <v>Dúshān Zhèn</v>
      </c>
      <c r="D360" t="s">
        <v>669</v>
      </c>
      <c r="E360" t="s">
        <v>13</v>
      </c>
      <c r="F360" t="str">
        <f>_xlfn.CONCAT(D360,", ",H360,", ",I360,", ","山东省")</f>
        <v>独山镇, 巨野县, 菏泽市, 山东省</v>
      </c>
      <c r="G360">
        <v>55139</v>
      </c>
      <c r="H360" t="s">
        <v>3668</v>
      </c>
      <c r="I360" t="s">
        <v>3662</v>
      </c>
      <c r="J360">
        <f>VLOOKUP(F360,[1]!china_towns_second__2[[Column1]:[Y]],3,FALSE)</f>
        <v>35.280735678871501</v>
      </c>
      <c r="K360">
        <f>VLOOKUP(F360,[1]!china_towns_second__2[[Column1]:[Y]],2,FALSE)</f>
        <v>116.1603705</v>
      </c>
      <c r="L360" t="s">
        <v>5197</v>
      </c>
      <c r="M360" t="str">
        <f>VLOOKUP(H360,CHOOSE({1,2},Table17[Native],Table17[Name]),2,0)</f>
        <v>Jùyĕ Xiàn</v>
      </c>
      <c r="N360" s="15" t="str">
        <f>VLOOKUP(I360,CHOOSE({1,2},Table17[Native],Table17[Name]),2,0)</f>
        <v>Hézé Shì</v>
      </c>
      <c r="O360" s="15" t="str">
        <f t="shared" si="10"/>
        <v>Dushan Zhen (Hézé Shì)</v>
      </c>
      <c r="P360" s="15" t="str">
        <f t="shared" si="11"/>
        <v>Dushan Zhen (Hézé Shì)</v>
      </c>
    </row>
    <row r="361" spans="1:16" hidden="1" x14ac:dyDescent="0.25">
      <c r="A361" t="s">
        <v>670</v>
      </c>
      <c r="B361" t="str">
        <f>IF(COUNTIF(A:A,A361)&gt;1,_xlfn.CONCAT(A361," (",N361,")"),A361)</f>
        <v>Dūsī Zhèn</v>
      </c>
      <c r="C361" t="str">
        <f>IF(COUNTIF(B:B,B361)&gt;1,_xlfn.CONCAT(A361," (",M361,")"),B361)</f>
        <v>Dūsī Zhèn</v>
      </c>
      <c r="D361" t="s">
        <v>671</v>
      </c>
      <c r="E361" t="s">
        <v>13</v>
      </c>
      <c r="F361" t="str">
        <f>_xlfn.CONCAT(D361,", ",H361,", ",I361,", ","山东省")</f>
        <v>都司镇, 牡丹区, 菏泽市, 山东省</v>
      </c>
      <c r="G361">
        <v>31441</v>
      </c>
      <c r="H361" t="s">
        <v>3669</v>
      </c>
      <c r="I361" t="s">
        <v>3662</v>
      </c>
      <c r="J361">
        <f>VLOOKUP(F361,[1]!china_towns_second__2[[Column1]:[Y]],3,FALSE)</f>
        <v>35.3495344216443</v>
      </c>
      <c r="K361">
        <f>VLOOKUP(F361,[1]!china_towns_second__2[[Column1]:[Y]],2,FALSE)</f>
        <v>115.6094496</v>
      </c>
      <c r="L361" t="s">
        <v>5198</v>
      </c>
      <c r="M361" t="str">
        <f>VLOOKUP(H361,CHOOSE({1,2},Table17[Native],Table17[Name]),2,0)</f>
        <v>Mŭdān Qū</v>
      </c>
      <c r="N361" s="15" t="str">
        <f>VLOOKUP(I361,CHOOSE({1,2},Table17[Native],Table17[Name]),2,0)</f>
        <v>Hézé Shì</v>
      </c>
      <c r="O361" s="15" t="str">
        <f t="shared" si="10"/>
        <v>Dusi Zhen (Hézé Shì)</v>
      </c>
      <c r="P361" s="15" t="str">
        <f t="shared" si="11"/>
        <v>Dusi Zhen (Hézé Shì)</v>
      </c>
    </row>
    <row r="362" spans="1:16" hidden="1" x14ac:dyDescent="0.25">
      <c r="A362" t="s">
        <v>672</v>
      </c>
      <c r="B362" t="str">
        <f>IF(COUNTIF(A:A,A362)&gt;1,_xlfn.CONCAT(A362," (",N362,")"),A362)</f>
        <v>Dùtáng Zhèn</v>
      </c>
      <c r="C362" t="str">
        <f>IF(COUNTIF(B:B,B362)&gt;1,_xlfn.CONCAT(A362," (",M362,")"),B362)</f>
        <v>Dùtáng Zhèn</v>
      </c>
      <c r="D362" t="s">
        <v>673</v>
      </c>
      <c r="E362" t="s">
        <v>13</v>
      </c>
      <c r="F362" t="str">
        <f>_xlfn.CONCAT(D362,", ",H362,", ",I362,", ","山东省")</f>
        <v>杜堂镇, 定陶区, 菏泽市, 山东省</v>
      </c>
      <c r="G362">
        <v>26239</v>
      </c>
      <c r="H362" t="s">
        <v>3665</v>
      </c>
      <c r="I362" t="s">
        <v>3662</v>
      </c>
      <c r="J362">
        <f>VLOOKUP(F362,[1]!china_towns_second__2[[Column1]:[Y]],3,FALSE)</f>
        <v>35.137020100268103</v>
      </c>
      <c r="K362">
        <f>VLOOKUP(F362,[1]!china_towns_second__2[[Column1]:[Y]],2,FALSE)</f>
        <v>115.6198988</v>
      </c>
      <c r="L362" t="s">
        <v>5199</v>
      </c>
      <c r="M362" t="str">
        <f>VLOOKUP(H362,CHOOSE({1,2},Table17[Native],Table17[Name]),2,0)</f>
        <v>Dìngtáo Qū</v>
      </c>
      <c r="N362" s="15" t="str">
        <f>VLOOKUP(I362,CHOOSE({1,2},Table17[Native],Table17[Name]),2,0)</f>
        <v>Hézé Shì</v>
      </c>
      <c r="O362" s="15" t="str">
        <f t="shared" si="10"/>
        <v>Dutang Zhen (Hézé Shì)</v>
      </c>
      <c r="P362" s="15" t="str">
        <f t="shared" si="11"/>
        <v>Dutang Zhen (Hézé Shì)</v>
      </c>
    </row>
    <row r="363" spans="1:16" hidden="1" x14ac:dyDescent="0.25">
      <c r="A363" t="s">
        <v>261</v>
      </c>
      <c r="B363" t="str">
        <f>IF(COUNTIF(A:A,A363)&gt;1,_xlfn.CONCAT(A363," (",N363,")"),A363)</f>
        <v>Ēnchéng Zhèn</v>
      </c>
      <c r="C363" t="str">
        <f>IF(COUNTIF(B:B,B363)&gt;1,_xlfn.CONCAT(A363," (",M363,")"),B363)</f>
        <v>Ēnchéng Zhèn</v>
      </c>
      <c r="D363" t="s">
        <v>262</v>
      </c>
      <c r="E363" t="s">
        <v>13</v>
      </c>
      <c r="F363" t="str">
        <f>_xlfn.CONCAT(D363,", ",H363,", ",I363,", ","山东省")</f>
        <v>恩城镇, 平原县, 德州市, 山东省</v>
      </c>
      <c r="G363">
        <v>54104</v>
      </c>
      <c r="H363" t="s">
        <v>3648</v>
      </c>
      <c r="I363" t="s">
        <v>3642</v>
      </c>
      <c r="J363">
        <f>VLOOKUP(F363,[1]!china_towns_second__2[[Column1]:[Y]],3,FALSE)</f>
        <v>37.143691142095101</v>
      </c>
      <c r="K363">
        <f>VLOOKUP(F363,[1]!china_towns_second__2[[Column1]:[Y]],2,FALSE)</f>
        <v>116.2578549</v>
      </c>
      <c r="L363" t="s">
        <v>5200</v>
      </c>
      <c r="M363" t="str">
        <f>VLOOKUP(H363,CHOOSE({1,2},Table17[Native],Table17[Name]),2,0)</f>
        <v>Píngyuán Xiàn</v>
      </c>
      <c r="N363" s="15" t="str">
        <f>VLOOKUP(I363,CHOOSE({1,2},Table17[Native],Table17[Name]),2,0)</f>
        <v>Dézhōu Shì</v>
      </c>
      <c r="O363" s="15" t="str">
        <f t="shared" si="10"/>
        <v>Encheng Zhen (Dézhōu Shì)</v>
      </c>
      <c r="P363" s="15" t="str">
        <f t="shared" si="11"/>
        <v>Encheng Zhen (Dézhōu Shì)</v>
      </c>
    </row>
    <row r="364" spans="1:16" hidden="1" x14ac:dyDescent="0.25">
      <c r="A364" t="s">
        <v>977</v>
      </c>
      <c r="B364" t="str">
        <f>IF(COUNTIF(A:A,A364)&gt;1,_xlfn.CONCAT(A364," (",N364,")"),A364)</f>
        <v>Èrqī Jiēdào</v>
      </c>
      <c r="C364" t="str">
        <f>IF(COUNTIF(B:B,B364)&gt;1,_xlfn.CONCAT(A364," (",M364,")"),B364)</f>
        <v>Èrqī Jiēdào</v>
      </c>
      <c r="D364" t="s">
        <v>978</v>
      </c>
      <c r="E364" t="s">
        <v>7</v>
      </c>
      <c r="F364" t="str">
        <f>_xlfn.CONCAT(D364,", ",H364,", ",I364,", ","山东省")</f>
        <v>二七街道, 市中区, 济南市, 山东省</v>
      </c>
      <c r="G364">
        <v>39006</v>
      </c>
      <c r="H364" t="s">
        <v>3683</v>
      </c>
      <c r="I364" t="s">
        <v>3673</v>
      </c>
      <c r="J364">
        <f>VLOOKUP(F364,[1]!china_towns_second__2[[Column1]:[Y]],3,FALSE)</f>
        <v>36.635476854129998</v>
      </c>
      <c r="K364">
        <f>VLOOKUP(F364,[1]!china_towns_second__2[[Column1]:[Y]],2,FALSE)</f>
        <v>116.9835483</v>
      </c>
      <c r="L364" t="s">
        <v>5201</v>
      </c>
      <c r="M364" t="str">
        <f>VLOOKUP(H364,CHOOSE({1,2},Table17[Native],Table17[Name]),2,0)</f>
        <v>Shìzhōng Qū</v>
      </c>
      <c r="N364" s="15" t="str">
        <f>VLOOKUP(I364,CHOOSE({1,2},Table17[Native],Table17[Name]),2,0)</f>
        <v>Jìnán Shì</v>
      </c>
      <c r="O364" s="15" t="str">
        <f t="shared" si="10"/>
        <v>Erqi Jiedao (Jìnán Shì)</v>
      </c>
      <c r="P364" s="15" t="str">
        <f t="shared" si="11"/>
        <v>Erqi Jiedao (Jìnán Shì)</v>
      </c>
    </row>
    <row r="365" spans="1:16" hidden="1" x14ac:dyDescent="0.25">
      <c r="A365" t="s">
        <v>3105</v>
      </c>
      <c r="B365" t="str">
        <f>IF(COUNTIF(A:A,A365)&gt;1,_xlfn.CONCAT(A365," (",N365,")"),A365)</f>
        <v>Èrshílĭdiàn Zhèn</v>
      </c>
      <c r="C365" t="str">
        <f>IF(COUNTIF(B:B,B365)&gt;1,_xlfn.CONCAT(A365," (",M365,")"),B365)</f>
        <v>Èrshílĭdiàn Zhèn</v>
      </c>
      <c r="D365" t="s">
        <v>3106</v>
      </c>
      <c r="E365" t="s">
        <v>13</v>
      </c>
      <c r="F365" t="str">
        <f>_xlfn.CONCAT(D365,", ",H365,", ",I365,", ","山东省")</f>
        <v>二十里店镇, 海阳市, 烟台市, 山东省</v>
      </c>
      <c r="G365">
        <v>29402</v>
      </c>
      <c r="H365" t="s">
        <v>3773</v>
      </c>
      <c r="I365" t="s">
        <v>3771</v>
      </c>
      <c r="J365">
        <f>VLOOKUP(F365,[1]!china_towns_second__2[[Column1]:[Y]],3,FALSE)</f>
        <v>36.753002986737002</v>
      </c>
      <c r="K365">
        <f>VLOOKUP(F365,[1]!china_towns_second__2[[Column1]:[Y]],2,FALSE)</f>
        <v>121.06895129999999</v>
      </c>
      <c r="L365" t="s">
        <v>5202</v>
      </c>
      <c r="M365" t="str">
        <f>VLOOKUP(H365,CHOOSE({1,2},Table17[Native],Table17[Name]),2,0)</f>
        <v>Hăiyáng Shì</v>
      </c>
      <c r="N365" s="15" t="str">
        <f>VLOOKUP(I365,CHOOSE({1,2},Table17[Native],Table17[Name]),2,0)</f>
        <v>Yāntái Shì</v>
      </c>
      <c r="O365" s="15" t="str">
        <f t="shared" si="10"/>
        <v>Ershilidian Zhen (Yāntái Shì)</v>
      </c>
      <c r="P365" s="15" t="str">
        <f t="shared" si="11"/>
        <v>Ershilidian Zhen (Yāntái Shì)</v>
      </c>
    </row>
    <row r="366" spans="1:16" hidden="1" x14ac:dyDescent="0.25">
      <c r="A366" t="s">
        <v>263</v>
      </c>
      <c r="B366" t="str">
        <f>IF(COUNTIF(A:A,A366)&gt;1,_xlfn.CONCAT(A366," (",N366,")"),A366)</f>
        <v>Èrtún Zhèn</v>
      </c>
      <c r="C366" t="str">
        <f>IF(COUNTIF(B:B,B366)&gt;1,_xlfn.CONCAT(A366," (",M366,")"),B366)</f>
        <v>Èrtún Zhèn</v>
      </c>
      <c r="D366" t="s">
        <v>264</v>
      </c>
      <c r="E366" t="s">
        <v>13</v>
      </c>
      <c r="F366" t="str">
        <f>_xlfn.CONCAT(D366,", ",H366,", ",I366,", ","山东省")</f>
        <v>二屯镇, 德城区, 德州市, 山东省</v>
      </c>
      <c r="G366">
        <v>14698</v>
      </c>
      <c r="H366" t="s">
        <v>3643</v>
      </c>
      <c r="I366" t="s">
        <v>3642</v>
      </c>
      <c r="J366">
        <f>VLOOKUP(F366,[1]!china_towns_second__2[[Column1]:[Y]],3,FALSE)</f>
        <v>37.531056886280602</v>
      </c>
      <c r="K366">
        <f>VLOOKUP(F366,[1]!china_towns_second__2[[Column1]:[Y]],2,FALSE)</f>
        <v>116.3053793</v>
      </c>
      <c r="L366" t="s">
        <v>5203</v>
      </c>
      <c r="M366" t="str">
        <f>VLOOKUP(H366,CHOOSE({1,2},Table17[Native],Table17[Name]),2,0)</f>
        <v>Déchéng Qū</v>
      </c>
      <c r="N366" s="15" t="str">
        <f>VLOOKUP(I366,CHOOSE({1,2},Table17[Native],Table17[Name]),2,0)</f>
        <v>Dézhōu Shì</v>
      </c>
      <c r="O366" s="15" t="str">
        <f t="shared" si="10"/>
        <v>Ertun Zhen (Dézhōu Shì)</v>
      </c>
      <c r="P366" s="15" t="str">
        <f t="shared" si="11"/>
        <v>Ertun Zhen (Dézhōu Shì)</v>
      </c>
    </row>
    <row r="367" spans="1:16" hidden="1" x14ac:dyDescent="0.25">
      <c r="A367" t="s">
        <v>3368</v>
      </c>
      <c r="B367" t="str">
        <f>IF(COUNTIF(A:A,A367)&gt;1,_xlfn.CONCAT(A367," (",N367,")"),A367)</f>
        <v>Éshān Zhèn</v>
      </c>
      <c r="C367" t="str">
        <f>IF(COUNTIF(B:B,B367)&gt;1,_xlfn.CONCAT(A367," (",M367,")"),B367)</f>
        <v>Éshān Zhèn</v>
      </c>
      <c r="D367" t="s">
        <v>3369</v>
      </c>
      <c r="E367" t="s">
        <v>13</v>
      </c>
      <c r="F367" t="str">
        <f>_xlfn.CONCAT(D367,", ",H367,", ",I367,", ","山东省")</f>
        <v>峨山镇, 峄城区, 枣庄市, 山东省</v>
      </c>
      <c r="G367">
        <v>54452</v>
      </c>
      <c r="H367" t="s">
        <v>3789</v>
      </c>
      <c r="I367" t="s">
        <v>3784</v>
      </c>
      <c r="J367">
        <f>VLOOKUP(F367,[1]!china_towns_second__2[[Column1]:[Y]],3,FALSE)</f>
        <v>34.784886393765397</v>
      </c>
      <c r="K367">
        <f>VLOOKUP(F367,[1]!china_towns_second__2[[Column1]:[Y]],2,FALSE)</f>
        <v>117.72853000000001</v>
      </c>
      <c r="L367" t="s">
        <v>5204</v>
      </c>
      <c r="M367" t="str">
        <f>VLOOKUP(H367,CHOOSE({1,2},Table17[Native],Table17[Name]),2,0)</f>
        <v>Yìchéng Qū</v>
      </c>
      <c r="N367" s="15" t="str">
        <f>VLOOKUP(I367,CHOOSE({1,2},Table17[Native],Table17[Name]),2,0)</f>
        <v>Zăozhuāng Shì</v>
      </c>
      <c r="O367" s="15" t="str">
        <f t="shared" si="10"/>
        <v>Eshan Zhen (Zăozhuāng Shì)</v>
      </c>
      <c r="P367" s="15" t="str">
        <f t="shared" si="11"/>
        <v>Eshan Zhen (Zăozhuāng Shì)</v>
      </c>
    </row>
    <row r="368" spans="1:16" hidden="1" x14ac:dyDescent="0.25">
      <c r="A368" t="s">
        <v>3107</v>
      </c>
      <c r="B368" t="str">
        <f>IF(COUNTIF(A:A,A368)&gt;1,_xlfn.CONCAT(A368," (",N368,")"),A368)</f>
        <v>Fāchéng Zhèn</v>
      </c>
      <c r="C368" t="str">
        <f>IF(COUNTIF(B:B,B368)&gt;1,_xlfn.CONCAT(A368," (",M368,")"),B368)</f>
        <v>Fāchéng Zhèn</v>
      </c>
      <c r="D368" t="s">
        <v>3108</v>
      </c>
      <c r="E368" t="s">
        <v>13</v>
      </c>
      <c r="F368" t="str">
        <f>_xlfn.CONCAT(D368,", ",H368,", ",I368,", ","山东省")</f>
        <v>发城镇, 海阳市, 烟台市, 山东省</v>
      </c>
      <c r="G368">
        <v>38677</v>
      </c>
      <c r="H368" t="s">
        <v>3773</v>
      </c>
      <c r="I368" t="s">
        <v>3771</v>
      </c>
      <c r="J368">
        <f>VLOOKUP(F368,[1]!china_towns_second__2[[Column1]:[Y]],3,FALSE)</f>
        <v>36.969595945384697</v>
      </c>
      <c r="K368">
        <f>VLOOKUP(F368,[1]!china_towns_second__2[[Column1]:[Y]],2,FALSE)</f>
        <v>121.0135624</v>
      </c>
      <c r="L368" t="s">
        <v>5205</v>
      </c>
      <c r="M368" t="str">
        <f>VLOOKUP(H368,CHOOSE({1,2},Table17[Native],Table17[Name]),2,0)</f>
        <v>Hăiyáng Shì</v>
      </c>
      <c r="N368" s="15" t="str">
        <f>VLOOKUP(I368,CHOOSE({1,2},Table17[Native],Table17[Name]),2,0)</f>
        <v>Yāntái Shì</v>
      </c>
      <c r="O368" s="15" t="str">
        <f t="shared" si="10"/>
        <v>Facheng Zhen (Yāntái Shì)</v>
      </c>
      <c r="P368" s="15" t="str">
        <f t="shared" si="11"/>
        <v>Facheng Zhen (Yāntái Shì)</v>
      </c>
    </row>
    <row r="369" spans="1:16" hidden="1" x14ac:dyDescent="0.25">
      <c r="A369" t="s">
        <v>2545</v>
      </c>
      <c r="B369" t="str">
        <f>IF(COUNTIF(A:A,A369)&gt;1,_xlfn.CONCAT(A369," (",N369,")"),A369)</f>
        <v>Fàn Zhèn</v>
      </c>
      <c r="C369" t="str">
        <f>IF(COUNTIF(B:B,B369)&gt;1,_xlfn.CONCAT(A369," (",M369,")"),B369)</f>
        <v>Fàn Zhèn</v>
      </c>
      <c r="D369" t="s">
        <v>2546</v>
      </c>
      <c r="E369" t="s">
        <v>13</v>
      </c>
      <c r="F369" t="str">
        <f>_xlfn.CONCAT(D369,", ",H369,", ",I369,", ","山东省")</f>
        <v>范镇, 岱岳区, 泰安市, 山东省</v>
      </c>
      <c r="G369">
        <v>55644</v>
      </c>
      <c r="H369" t="s">
        <v>3744</v>
      </c>
      <c r="I369" t="s">
        <v>3743</v>
      </c>
      <c r="J369">
        <f>VLOOKUP(F369,[1]!china_towns_second__2[[Column1]:[Y]],3,FALSE)</f>
        <v>36.207231158141497</v>
      </c>
      <c r="K369">
        <f>VLOOKUP(F369,[1]!china_towns_second__2[[Column1]:[Y]],2,FALSE)</f>
        <v>117.37874119999999</v>
      </c>
      <c r="L369" t="s">
        <v>5206</v>
      </c>
      <c r="M369" t="str">
        <f>VLOOKUP(H369,CHOOSE({1,2},Table17[Native],Table17[Name]),2,0)</f>
        <v>Dàiyuè Qū</v>
      </c>
      <c r="N369" s="15" t="str">
        <f>VLOOKUP(I369,CHOOSE({1,2},Table17[Native],Table17[Name]),2,0)</f>
        <v>Tài'ān Shì</v>
      </c>
      <c r="O369" s="15" t="str">
        <f t="shared" si="10"/>
        <v>Fan Zhen (Tài'ān Shì)</v>
      </c>
      <c r="P369" s="15" t="str">
        <f t="shared" si="11"/>
        <v>Fan Zhen (Tài'ān Shì)</v>
      </c>
    </row>
    <row r="370" spans="1:16" hidden="1" x14ac:dyDescent="0.25">
      <c r="A370" t="s">
        <v>2714</v>
      </c>
      <c r="B370" t="str">
        <f>IF(COUNTIF(A:A,A370)&gt;1,_xlfn.CONCAT(A370," (",N370,")"),A370)</f>
        <v>Fāng'ān Jiēdào</v>
      </c>
      <c r="C370" t="str">
        <f>IF(COUNTIF(B:B,B370)&gt;1,_xlfn.CONCAT(A370," (",M370,")"),B370)</f>
        <v>Fāng'ān Jiēdào</v>
      </c>
      <c r="D370" t="s">
        <v>2715</v>
      </c>
      <c r="E370" t="s">
        <v>7</v>
      </c>
      <c r="F370" t="str">
        <f>_xlfn.CONCAT(D370,", ",H370,", ",I370,", ","山东省")</f>
        <v>坊安街道, 坊子区, 潍坊市, 山东省</v>
      </c>
      <c r="G370">
        <v>47622</v>
      </c>
      <c r="H370" t="s">
        <v>3755</v>
      </c>
      <c r="I370" t="s">
        <v>3751</v>
      </c>
      <c r="J370">
        <f>VLOOKUP(F370,[1]!china_towns_second__2[[Column1]:[Y]],3,FALSE)</f>
        <v>36.584554729726797</v>
      </c>
      <c r="K370">
        <f>VLOOKUP(F370,[1]!china_towns_second__2[[Column1]:[Y]],2,FALSE)</f>
        <v>119.2571363</v>
      </c>
      <c r="L370" t="s">
        <v>5207</v>
      </c>
      <c r="M370" t="str">
        <f>VLOOKUP(H370,CHOOSE({1,2},Table17[Native],Table17[Name]),2,0)</f>
        <v>Fāngzi Qū</v>
      </c>
      <c r="N370" s="15" t="str">
        <f>VLOOKUP(I370,CHOOSE({1,2},Table17[Native],Table17[Name]),2,0)</f>
        <v>Wéifāng Shì</v>
      </c>
      <c r="O370" s="15" t="str">
        <f t="shared" si="10"/>
        <v>Fang'an Jiedao (Wéifāng Shì)</v>
      </c>
      <c r="P370" s="15" t="str">
        <f t="shared" si="11"/>
        <v>Fang'an Jiedao (Wéifāng Shì)</v>
      </c>
    </row>
    <row r="371" spans="1:16" hidden="1" x14ac:dyDescent="0.25">
      <c r="A371" t="s">
        <v>2717</v>
      </c>
      <c r="B371" t="str">
        <f>IF(COUNTIF(A:A,A371)&gt;1,_xlfn.CONCAT(A371," (",N371,")"),A371)</f>
        <v>Fāngchéng Jiēdào</v>
      </c>
      <c r="C371" t="str">
        <f>IF(COUNTIF(B:B,B371)&gt;1,_xlfn.CONCAT(A371," (",M371,")"),B371)</f>
        <v>Fāngchéng Jiēdào</v>
      </c>
      <c r="D371" t="s">
        <v>2718</v>
      </c>
      <c r="E371" t="s">
        <v>7</v>
      </c>
      <c r="F371" t="str">
        <f>_xlfn.CONCAT(D371,", ",H371,", ",I371,", ","山东省")</f>
        <v>坊城街道, 坊子区, 潍坊市, 山东省</v>
      </c>
      <c r="G371">
        <v>90996</v>
      </c>
      <c r="H371" t="s">
        <v>3755</v>
      </c>
      <c r="I371" t="s">
        <v>3751</v>
      </c>
      <c r="J371">
        <f>VLOOKUP(F371,[1]!china_towns_second__2[[Column1]:[Y]],3,FALSE)</f>
        <v>36.573293854531002</v>
      </c>
      <c r="K371">
        <f>VLOOKUP(F371,[1]!china_towns_second__2[[Column1]:[Y]],2,FALSE)</f>
        <v>119.139257</v>
      </c>
      <c r="L371" t="s">
        <v>5208</v>
      </c>
      <c r="M371" t="str">
        <f>VLOOKUP(H371,CHOOSE({1,2},Table17[Native],Table17[Name]),2,0)</f>
        <v>Fāngzi Qū</v>
      </c>
      <c r="N371" s="15" t="str">
        <f>VLOOKUP(I371,CHOOSE({1,2},Table17[Native],Table17[Name]),2,0)</f>
        <v>Wéifāng Shì</v>
      </c>
      <c r="O371" s="15" t="str">
        <f t="shared" si="10"/>
        <v>Fangcheng Jiedao (Wéifāng Shì)</v>
      </c>
      <c r="P371" s="15" t="str">
        <f t="shared" si="11"/>
        <v>Fangcheng Jiedao (Wéifāng Shì)</v>
      </c>
    </row>
    <row r="372" spans="1:16" hidden="1" x14ac:dyDescent="0.25">
      <c r="A372" t="s">
        <v>2541</v>
      </c>
      <c r="B372" t="str">
        <f>IF(COUNTIF(A:A,A372)&gt;1,_xlfn.CONCAT(A372," (",N372,")"),A372)</f>
        <v>Fàngchéng Zhèn</v>
      </c>
      <c r="C372" t="str">
        <f>IF(COUNTIF(B:B,B372)&gt;1,_xlfn.CONCAT(A372," (",M372,")"),B372)</f>
        <v>Fàngchéng Zhèn</v>
      </c>
      <c r="D372" t="s">
        <v>2542</v>
      </c>
      <c r="E372" t="s">
        <v>13</v>
      </c>
      <c r="F372" t="str">
        <f>_xlfn.CONCAT(D372,", ",H372,", ",I372,", ","山东省")</f>
        <v>放城镇, 新泰市, 泰安市, 山东省</v>
      </c>
      <c r="G372">
        <v>29726</v>
      </c>
      <c r="H372" t="s">
        <v>3749</v>
      </c>
      <c r="I372" t="s">
        <v>3743</v>
      </c>
      <c r="J372">
        <f>VLOOKUP(F372,[1]!china_towns_second__2[[Column1]:[Y]],3,FALSE)</f>
        <v>35.711815404023803</v>
      </c>
      <c r="K372">
        <f>VLOOKUP(F372,[1]!china_towns_second__2[[Column1]:[Y]],2,FALSE)</f>
        <v>117.6189684</v>
      </c>
      <c r="L372" t="s">
        <v>5209</v>
      </c>
      <c r="M372" t="str">
        <f>VLOOKUP(H372,CHOOSE({1,2},Table17[Native],Table17[Name]),2,0)</f>
        <v>Xīntài Shì</v>
      </c>
      <c r="N372" s="15" t="str">
        <f>VLOOKUP(I372,CHOOSE({1,2},Table17[Native],Table17[Name]),2,0)</f>
        <v>Tài'ān Shì</v>
      </c>
      <c r="O372" s="15" t="str">
        <f t="shared" si="10"/>
        <v>Fangcheng Zhen (Tài'ān Shì)</v>
      </c>
      <c r="P372" s="15" t="str">
        <f t="shared" si="11"/>
        <v>Fangcheng Zhen (Tài'ān Shì)</v>
      </c>
    </row>
    <row r="373" spans="1:16" hidden="1" x14ac:dyDescent="0.25">
      <c r="A373" t="s">
        <v>1867</v>
      </c>
      <c r="B373" t="str">
        <f>IF(COUNTIF(A:A,A373)&gt;1,_xlfn.CONCAT(A373," (",N373,")"),A373)</f>
        <v>Fāngchéng Zhèn [incl. Xīnqiáo Zhèn]</v>
      </c>
      <c r="C373" t="str">
        <f>IF(COUNTIF(B:B,B373)&gt;1,_xlfn.CONCAT(A373," (",M373,")"),B373)</f>
        <v>Fāngchéng Zhèn [incl. Xīnqiáo Zhèn]</v>
      </c>
      <c r="D373" t="s">
        <v>1868</v>
      </c>
      <c r="E373" t="s">
        <v>13</v>
      </c>
      <c r="F373" t="str">
        <f>_xlfn.CONCAT(D373,", ",H373,", ",I373,", ","山东省")</f>
        <v>方城镇, 兰山区, 临沂市, 山东省</v>
      </c>
      <c r="G373">
        <v>102901</v>
      </c>
      <c r="H373" t="s">
        <v>3715</v>
      </c>
      <c r="I373" t="s">
        <v>3710</v>
      </c>
      <c r="J373">
        <f>VLOOKUP(F373,[1]!china_towns_second__2[[Column1]:[Y]],3,FALSE)</f>
        <v>35.260303514457398</v>
      </c>
      <c r="K373">
        <f>VLOOKUP(F373,[1]!china_towns_second__2[[Column1]:[Y]],2,FALSE)</f>
        <v>118.17946070000001</v>
      </c>
      <c r="L373" t="s">
        <v>5210</v>
      </c>
      <c r="M373" t="str">
        <f>VLOOKUP(H373,CHOOSE({1,2},Table17[Native],Table17[Name]),2,0)</f>
        <v>Lánshān Qū</v>
      </c>
      <c r="N373" s="15" t="str">
        <f>VLOOKUP(I373,CHOOSE({1,2},Table17[Native],Table17[Name]),2,0)</f>
        <v>Línyí Shì</v>
      </c>
      <c r="O373" s="15" t="str">
        <f t="shared" si="10"/>
        <v>Fangcheng Zhen [incl. Xinqiao Zhen] (Línyí Shì)</v>
      </c>
      <c r="P373" s="15" t="str">
        <f t="shared" si="11"/>
        <v>Fangcheng Zhen [incl. Xinqiao Zhen] (Línyí Shì)</v>
      </c>
    </row>
    <row r="374" spans="1:16" hidden="1" x14ac:dyDescent="0.25">
      <c r="A374" t="s">
        <v>2543</v>
      </c>
      <c r="B374" t="str">
        <f>IF(COUNTIF(A:A,A374)&gt;1,_xlfn.CONCAT(A374," (",N374,")"),A374)</f>
        <v>Fángcūn Zhèn</v>
      </c>
      <c r="C374" t="str">
        <f>IF(COUNTIF(B:B,B374)&gt;1,_xlfn.CONCAT(A374," (",M374,")"),B374)</f>
        <v>Fángcūn Zhèn</v>
      </c>
      <c r="D374" t="s">
        <v>2544</v>
      </c>
      <c r="E374" t="s">
        <v>13</v>
      </c>
      <c r="F374" t="str">
        <f>_xlfn.CONCAT(D374,", ",H374,", ",I374,", ","山东省")</f>
        <v>房村镇, 岱岳区, 泰安市, 山东省</v>
      </c>
      <c r="G374">
        <v>54739</v>
      </c>
      <c r="H374" t="s">
        <v>3744</v>
      </c>
      <c r="I374" t="s">
        <v>3743</v>
      </c>
      <c r="J374">
        <f>VLOOKUP(F374,[1]!china_towns_second__2[[Column1]:[Y]],3,FALSE)</f>
        <v>35.969686617980898</v>
      </c>
      <c r="K374">
        <f>VLOOKUP(F374,[1]!china_towns_second__2[[Column1]:[Y]],2,FALSE)</f>
        <v>117.1959191</v>
      </c>
      <c r="L374" t="s">
        <v>5211</v>
      </c>
      <c r="M374" t="str">
        <f>VLOOKUP(H374,CHOOSE({1,2},Table17[Native],Table17[Name]),2,0)</f>
        <v>Dàiyuè Qū</v>
      </c>
      <c r="N374" s="15" t="str">
        <f>VLOOKUP(I374,CHOOSE({1,2},Table17[Native],Table17[Name]),2,0)</f>
        <v>Tài'ān Shì</v>
      </c>
      <c r="O374" s="15" t="str">
        <f t="shared" si="10"/>
        <v>Fangcun Zhen (Tài'ān Shì)</v>
      </c>
      <c r="P374" s="15" t="str">
        <f t="shared" si="11"/>
        <v>Fangcun Zhen (Tài'ān Shì)</v>
      </c>
    </row>
    <row r="375" spans="1:16" hidden="1" x14ac:dyDescent="0.25">
      <c r="A375" t="s">
        <v>1869</v>
      </c>
      <c r="B375" t="str">
        <f>IF(COUNTIF(A:A,A375)&gt;1,_xlfn.CONCAT(A375," (",N375,")"),A375)</f>
        <v>Fāngqián Zhèn [incl. Xiāngdĭ Zhèn]</v>
      </c>
      <c r="C375" t="str">
        <f>IF(COUNTIF(B:B,B375)&gt;1,_xlfn.CONCAT(A375," (",M375,")"),B375)</f>
        <v>Fāngqián Zhèn [incl. Xiāngdĭ Zhèn]</v>
      </c>
      <c r="D375" t="s">
        <v>1870</v>
      </c>
      <c r="E375" t="s">
        <v>13</v>
      </c>
      <c r="F375" t="str">
        <f>_xlfn.CONCAT(D375,", ",H375,", ",I375,", ","山东省")</f>
        <v>坊前镇, 莒南县, 临沂市, 山东省</v>
      </c>
      <c r="G375">
        <v>68584</v>
      </c>
      <c r="H375" t="s">
        <v>3713</v>
      </c>
      <c r="I375" t="s">
        <v>3710</v>
      </c>
      <c r="J375">
        <f>VLOOKUP(F375,[1]!china_towns_second__2[[Column1]:[Y]],3,FALSE)</f>
        <v>35.1636148019942</v>
      </c>
      <c r="K375">
        <f>VLOOKUP(F375,[1]!china_towns_second__2[[Column1]:[Y]],2,FALSE)</f>
        <v>118.9606612</v>
      </c>
      <c r="L375" t="s">
        <v>5212</v>
      </c>
      <c r="M375" t="str">
        <f>VLOOKUP(H375,CHOOSE({1,2},Table17[Native],Table17[Name]),2,0)</f>
        <v>Jŭnán Xiàn</v>
      </c>
      <c r="N375" s="15" t="str">
        <f>VLOOKUP(I375,CHOOSE({1,2},Table17[Native],Table17[Name]),2,0)</f>
        <v>Línyí Shì</v>
      </c>
      <c r="O375" s="15" t="str">
        <f t="shared" si="10"/>
        <v>Fangqian Zhen [incl. Xiangdi Zhen] (Línyí Shì)</v>
      </c>
      <c r="P375" s="15" t="str">
        <f t="shared" si="11"/>
        <v>Fangqian Zhen [incl. Xiangdi Zhen] (Línyí Shì)</v>
      </c>
    </row>
    <row r="376" spans="1:16" x14ac:dyDescent="0.25">
      <c r="A376" t="s">
        <v>1262</v>
      </c>
      <c r="B376" t="str">
        <f>IF(COUNTIF(A:A,A376)&gt;1,_xlfn.CONCAT(A376," (",N376,")"),A376)</f>
        <v>Fángshān Zhèn</v>
      </c>
      <c r="C376" t="str">
        <f>IF(COUNTIF(B:B,B376)&gt;1,_xlfn.CONCAT(A376," (",M376,")"),B376)</f>
        <v>Fángshān Zhèn</v>
      </c>
      <c r="D376" t="s">
        <v>1263</v>
      </c>
      <c r="E376" t="s">
        <v>13</v>
      </c>
      <c r="F376" t="str">
        <f>_xlfn.CONCAT(D376,", ",H376,", ",I376,", ","山东省")</f>
        <v>防山镇, 曲阜市, 济宁市, 山东省</v>
      </c>
      <c r="G376">
        <v>38286</v>
      </c>
      <c r="H376" t="s">
        <v>3691</v>
      </c>
      <c r="I376" t="s">
        <v>3687</v>
      </c>
      <c r="J376">
        <f>VLOOKUP(F376,[1]!china_towns_second__2[[Column1]:[Y]],3,FALSE)</f>
        <v>35.580776395612702</v>
      </c>
      <c r="K376">
        <f>VLOOKUP(F376,[1]!china_towns_second__2[[Column1]:[Y]],2,FALSE)</f>
        <v>117.1223208</v>
      </c>
      <c r="L376" t="s">
        <v>5213</v>
      </c>
      <c r="M376" t="str">
        <f>VLOOKUP(H376,CHOOSE({1,2},Table17[Native],Table17[Name]),2,0)</f>
        <v>Qŭfù Shì</v>
      </c>
      <c r="N376" s="15" t="str">
        <f>VLOOKUP(I376,CHOOSE({1,2},Table17[Native],Table17[Name]),2,0)</f>
        <v>Jìníng Shì</v>
      </c>
      <c r="O376" s="15" t="str">
        <f t="shared" si="10"/>
        <v>Fangshan Zhen (Jìníng Shì)</v>
      </c>
      <c r="P376" s="15" t="str">
        <f t="shared" si="11"/>
        <v>Fangshan Zhen (Jìníng Shì)</v>
      </c>
    </row>
    <row r="377" spans="1:16" x14ac:dyDescent="0.25">
      <c r="A377" t="s">
        <v>674</v>
      </c>
      <c r="B377" t="str">
        <f>IF(COUNTIF(A:A,A377)&gt;1,_xlfn.CONCAT(A377," (",N377,")"),A377)</f>
        <v>Făngshān Zhèn</v>
      </c>
      <c r="C377" t="str">
        <f>IF(COUNTIF(B:B,B377)&gt;1,_xlfn.CONCAT(A377," (",M377,")"),B377)</f>
        <v>Făngshān Zhèn</v>
      </c>
      <c r="D377" t="s">
        <v>675</v>
      </c>
      <c r="E377" t="s">
        <v>13</v>
      </c>
      <c r="F377" t="str">
        <f>_xlfn.CONCAT(D377,", ",H377,", ",I377,", ","山东省")</f>
        <v>仿山镇, 定陶区, 菏泽市, 山东省</v>
      </c>
      <c r="G377">
        <v>46639</v>
      </c>
      <c r="H377" t="s">
        <v>3665</v>
      </c>
      <c r="I377" t="s">
        <v>3662</v>
      </c>
      <c r="J377">
        <f>VLOOKUP(F377,[1]!china_towns_second__2[[Column1]:[Y]],3,FALSE)</f>
        <v>35.119885942386603</v>
      </c>
      <c r="K377">
        <f>VLOOKUP(F377,[1]!china_towns_second__2[[Column1]:[Y]],2,FALSE)</f>
        <v>115.5171579</v>
      </c>
      <c r="L377" t="s">
        <v>5213</v>
      </c>
      <c r="M377" t="str">
        <f>VLOOKUP(H377,CHOOSE({1,2},Table17[Native],Table17[Name]),2,0)</f>
        <v>Dìngtáo Qū</v>
      </c>
      <c r="N377" s="15" t="str">
        <f>VLOOKUP(I377,CHOOSE({1,2},Table17[Native],Table17[Name]),2,0)</f>
        <v>Hézé Shì</v>
      </c>
      <c r="O377" s="15" t="str">
        <f t="shared" si="10"/>
        <v>Fangshan Zhen (Hézé Shì)</v>
      </c>
      <c r="P377" s="15" t="str">
        <f t="shared" si="11"/>
        <v>Fangshan Zhen (Hézé Shì)</v>
      </c>
    </row>
    <row r="378" spans="1:16" hidden="1" x14ac:dyDescent="0.25">
      <c r="A378" t="s">
        <v>265</v>
      </c>
      <c r="B378" t="str">
        <f>IF(COUNTIF(A:A,A378)&gt;1,_xlfn.CONCAT(A378," (",N378,")"),A378)</f>
        <v>Fángsì Zhèn</v>
      </c>
      <c r="C378" t="str">
        <f>IF(COUNTIF(B:B,B378)&gt;1,_xlfn.CONCAT(A378," (",M378,")"),B378)</f>
        <v>Fángsì Zhèn</v>
      </c>
      <c r="D378" t="s">
        <v>266</v>
      </c>
      <c r="E378" t="s">
        <v>13</v>
      </c>
      <c r="F378" t="str">
        <f>_xlfn.CONCAT(D378,", ",H378,", ",I378,", ","山东省")</f>
        <v>房寺镇, 禹城市, 德州市, 山东省</v>
      </c>
      <c r="G378">
        <v>66695</v>
      </c>
      <c r="H378" t="s">
        <v>3653</v>
      </c>
      <c r="I378" t="s">
        <v>3642</v>
      </c>
      <c r="J378">
        <f>VLOOKUP(F378,[1]!china_towns_second__2[[Column1]:[Y]],3,FALSE)</f>
        <v>36.947718130228999</v>
      </c>
      <c r="K378">
        <f>VLOOKUP(F378,[1]!china_towns_second__2[[Column1]:[Y]],2,FALSE)</f>
        <v>116.5056561</v>
      </c>
      <c r="L378" t="s">
        <v>5214</v>
      </c>
      <c r="M378" t="str">
        <f>VLOOKUP(H378,CHOOSE({1,2},Table17[Native],Table17[Name]),2,0)</f>
        <v>Yŭchéng Shì</v>
      </c>
      <c r="N378" s="15" t="str">
        <f>VLOOKUP(I378,CHOOSE({1,2},Table17[Native],Table17[Name]),2,0)</f>
        <v>Dézhōu Shì</v>
      </c>
      <c r="O378" s="15" t="str">
        <f t="shared" si="10"/>
        <v>Fangsi Zhen (Dézhōu Shì)</v>
      </c>
      <c r="P378" s="15" t="str">
        <f t="shared" si="11"/>
        <v>Fangsi Zhen (Dézhōu Shì)</v>
      </c>
    </row>
    <row r="379" spans="1:16" hidden="1" x14ac:dyDescent="0.25">
      <c r="A379" t="s">
        <v>979</v>
      </c>
      <c r="B379" t="str">
        <f>IF(COUNTIF(A:A,A379)&gt;1,_xlfn.CONCAT(A379," (",N379,")"),A379)</f>
        <v>Fāngxià Jiēdào</v>
      </c>
      <c r="C379" t="str">
        <f>IF(COUNTIF(B:B,B379)&gt;1,_xlfn.CONCAT(A379," (",M379,")"),B379)</f>
        <v>Fāngxià Jiēdào</v>
      </c>
      <c r="D379" t="s">
        <v>980</v>
      </c>
      <c r="E379" t="s">
        <v>7</v>
      </c>
      <c r="F379" t="str">
        <f>_xlfn.CONCAT(D379,", ",H379,", ",I379,", ","山东省")</f>
        <v>方下街道, 莱芜区, 济南市, 山东省</v>
      </c>
      <c r="G379">
        <v>58374</v>
      </c>
      <c r="H379" t="s">
        <v>3678</v>
      </c>
      <c r="I379" t="s">
        <v>3673</v>
      </c>
      <c r="J379" t="e">
        <f>VLOOKUP(F379,[1]!china_towns_second__2[[Column1]:[Y]],3,FALSE)</f>
        <v>#N/A</v>
      </c>
      <c r="K379" t="e">
        <f>VLOOKUP(F379,[1]!china_towns_second__2[[Column1]:[Y]],2,FALSE)</f>
        <v>#N/A</v>
      </c>
      <c r="L379" t="s">
        <v>5215</v>
      </c>
      <c r="M379" t="str">
        <f>VLOOKUP(H379,CHOOSE({1,2},Table17[Native],Table17[Name]),2,0)</f>
        <v>Láiwú Qū</v>
      </c>
      <c r="N379" s="15" t="str">
        <f>VLOOKUP(I379,CHOOSE({1,2},Table17[Native],Table17[Name]),2,0)</f>
        <v>Jìnán Shì</v>
      </c>
      <c r="O379" s="15" t="str">
        <f t="shared" si="10"/>
        <v>Fangxia Jiedao (Jìnán Shì)</v>
      </c>
      <c r="P379" s="15" t="str">
        <f t="shared" si="11"/>
        <v>Fangxia Jiedao (Jìnán Shì)</v>
      </c>
    </row>
    <row r="380" spans="1:16" hidden="1" x14ac:dyDescent="0.25">
      <c r="A380" t="s">
        <v>3109</v>
      </c>
      <c r="B380" t="str">
        <f>IF(COUNTIF(A:A,A380)&gt;1,_xlfn.CONCAT(A380," (",N380,")"),A380)</f>
        <v>Fāngyuán Jiēdào</v>
      </c>
      <c r="C380" t="str">
        <f>IF(COUNTIF(B:B,B380)&gt;1,_xlfn.CONCAT(A380," (",M380,")"),B380)</f>
        <v>Fāngyuán Jiēdào</v>
      </c>
      <c r="D380" t="s">
        <v>3110</v>
      </c>
      <c r="E380" t="s">
        <v>7</v>
      </c>
      <c r="F380" t="str">
        <f>_xlfn.CONCAT(D380,", ",H380,", ",I380,", ","山东省")</f>
        <v>方圆街道, 海阳市, 烟台市, 山东省</v>
      </c>
      <c r="G380">
        <v>74781</v>
      </c>
      <c r="H380" t="s">
        <v>3773</v>
      </c>
      <c r="I380" t="s">
        <v>3771</v>
      </c>
      <c r="J380">
        <f>VLOOKUP(F380,[1]!china_towns_second__2[[Column1]:[Y]],3,FALSE)</f>
        <v>36.812410184798097</v>
      </c>
      <c r="K380">
        <f>VLOOKUP(F380,[1]!china_towns_second__2[[Column1]:[Y]],2,FALSE)</f>
        <v>121.20639920000001</v>
      </c>
      <c r="L380" t="s">
        <v>5216</v>
      </c>
      <c r="M380" t="str">
        <f>VLOOKUP(H380,CHOOSE({1,2},Table17[Native],Table17[Name]),2,0)</f>
        <v>Hăiyáng Shì</v>
      </c>
      <c r="N380" s="15" t="str">
        <f>VLOOKUP(I380,CHOOSE({1,2},Table17[Native],Table17[Name]),2,0)</f>
        <v>Yāntái Shì</v>
      </c>
      <c r="O380" s="15" t="str">
        <f t="shared" si="10"/>
        <v>Fangyuan Jiedao (Yāntái Shì)</v>
      </c>
      <c r="P380" s="15" t="str">
        <f t="shared" si="11"/>
        <v>Fangyuan Jiedao (Yāntái Shì)</v>
      </c>
    </row>
    <row r="381" spans="1:16" hidden="1" x14ac:dyDescent="0.25">
      <c r="A381" t="s">
        <v>3488</v>
      </c>
      <c r="B381" t="str">
        <f>IF(COUNTIF(A:A,A381)&gt;1,_xlfn.CONCAT(A381," (",N381,")"),A381)</f>
        <v>Fángzhèn Zhèn</v>
      </c>
      <c r="C381" t="str">
        <f>IF(COUNTIF(B:B,B381)&gt;1,_xlfn.CONCAT(A381," (",M381,")"),B381)</f>
        <v>Fángzhèn Zhèn</v>
      </c>
      <c r="D381" t="s">
        <v>3489</v>
      </c>
      <c r="E381" t="s">
        <v>13</v>
      </c>
      <c r="F381" t="str">
        <f>_xlfn.CONCAT(D381,", ",H381,", ",I381,", ","山东省")</f>
        <v>房镇镇, 张店区, 淄博市, 山东省</v>
      </c>
      <c r="G381">
        <v>29991</v>
      </c>
      <c r="H381" t="s">
        <v>3797</v>
      </c>
      <c r="I381" t="s">
        <v>3791</v>
      </c>
      <c r="J381">
        <f>VLOOKUP(F381,[1]!china_towns_second__2[[Column1]:[Y]],3,FALSE)</f>
        <v>36.848724387838899</v>
      </c>
      <c r="K381">
        <f>VLOOKUP(F381,[1]!china_towns_second__2[[Column1]:[Y]],2,FALSE)</f>
        <v>117.97309869999999</v>
      </c>
      <c r="L381" t="s">
        <v>5217</v>
      </c>
      <c r="M381" t="str">
        <f>VLOOKUP(H381,CHOOSE({1,2},Table17[Native],Table17[Name]),2,0)</f>
        <v>Zhāngdiàn Qū</v>
      </c>
      <c r="N381" s="15" t="str">
        <f>VLOOKUP(I381,CHOOSE({1,2},Table17[Native],Table17[Name]),2,0)</f>
        <v>Zībó Shì</v>
      </c>
      <c r="O381" s="15" t="str">
        <f t="shared" si="10"/>
        <v>Fangzhen Zhen (Zībó Shì)</v>
      </c>
      <c r="P381" s="15" t="str">
        <f t="shared" si="11"/>
        <v>Fangzhen Zhen (Zībó Shì)</v>
      </c>
    </row>
    <row r="382" spans="1:16" hidden="1" x14ac:dyDescent="0.25">
      <c r="A382" t="s">
        <v>1586</v>
      </c>
      <c r="B382" t="str">
        <f>IF(COUNTIF(A:A,A382)&gt;1,_xlfn.CONCAT(A382," (",N382,")"),A382)</f>
        <v>Fànzhài Zhèn</v>
      </c>
      <c r="C382" t="str">
        <f>IF(COUNTIF(B:B,B382)&gt;1,_xlfn.CONCAT(A382," (",M382,")"),B382)</f>
        <v>Fànzhài Zhèn</v>
      </c>
      <c r="D382" t="s">
        <v>1587</v>
      </c>
      <c r="E382" t="s">
        <v>13</v>
      </c>
      <c r="F382" t="str">
        <f>_xlfn.CONCAT(D382,", ",H382,", ",I382,", ","山东省")</f>
        <v>范寨镇, 冠县, 聊城市, 山东省</v>
      </c>
      <c r="G382">
        <v>32359</v>
      </c>
      <c r="H382" t="s">
        <v>3705</v>
      </c>
      <c r="I382" t="s">
        <v>3700</v>
      </c>
      <c r="J382">
        <f>VLOOKUP(F382,[1]!china_towns_second__2[[Column1]:[Y]],3,FALSE)</f>
        <v>36.593460590204202</v>
      </c>
      <c r="K382">
        <f>VLOOKUP(F382,[1]!china_towns_second__2[[Column1]:[Y]],2,FALSE)</f>
        <v>115.7070062</v>
      </c>
      <c r="L382" t="s">
        <v>5218</v>
      </c>
      <c r="M382" t="str">
        <f>VLOOKUP(H382,CHOOSE({1,2},Table17[Native],Table17[Name]),2,0)</f>
        <v>Guān Xiàn</v>
      </c>
      <c r="N382" s="15" t="str">
        <f>VLOOKUP(I382,CHOOSE({1,2},Table17[Native],Table17[Name]),2,0)</f>
        <v>Liáochéng Shì</v>
      </c>
      <c r="O382" s="15" t="str">
        <f t="shared" si="10"/>
        <v>Fanzhai Zhen (Liáochéng Shì)</v>
      </c>
      <c r="P382" s="15" t="str">
        <f t="shared" si="11"/>
        <v>Fanzhai Zhen (Liáochéng Shì)</v>
      </c>
    </row>
    <row r="383" spans="1:16" hidden="1" x14ac:dyDescent="0.25">
      <c r="A383" t="s">
        <v>1871</v>
      </c>
      <c r="B383" t="str">
        <f>IF(COUNTIF(A:A,A383)&gt;1,_xlfn.CONCAT(A383," (",N383,")"),A383)</f>
        <v>Fèichéng Jiēdào [incl. Chéngbĕi Zhèn]</v>
      </c>
      <c r="C383" t="str">
        <f>IF(COUNTIF(B:B,B383)&gt;1,_xlfn.CONCAT(A383," (",M383,")"),B383)</f>
        <v>Fèichéng Jiēdào [incl. Chéngbĕi Zhèn]</v>
      </c>
      <c r="D383" t="s">
        <v>1872</v>
      </c>
      <c r="E383" t="s">
        <v>7</v>
      </c>
      <c r="F383" t="str">
        <f>_xlfn.CONCAT(D383,", ",H383,", ",I383,", ","山东省")</f>
        <v>费城街道, 费县, 临沂市, 山东省</v>
      </c>
      <c r="G383">
        <v>212213</v>
      </c>
      <c r="H383" t="s">
        <v>3711</v>
      </c>
      <c r="I383" t="s">
        <v>3710</v>
      </c>
      <c r="J383">
        <f>VLOOKUP(F383,[1]!china_towns_second__2[[Column1]:[Y]],3,FALSE)</f>
        <v>35.259738635634598</v>
      </c>
      <c r="K383">
        <f>VLOOKUP(F383,[1]!china_towns_second__2[[Column1]:[Y]],2,FALSE)</f>
        <v>117.938963</v>
      </c>
      <c r="L383" t="s">
        <v>5219</v>
      </c>
      <c r="M383" t="str">
        <f>VLOOKUP(H383,CHOOSE({1,2},Table17[Native],Table17[Name]),2,0)</f>
        <v>Fèi Xiàn</v>
      </c>
      <c r="N383" s="15" t="str">
        <f>VLOOKUP(I383,CHOOSE({1,2},Table17[Native],Table17[Name]),2,0)</f>
        <v>Línyí Shì</v>
      </c>
      <c r="O383" s="15" t="str">
        <f t="shared" si="10"/>
        <v>Feicheng Jiedao [incl. Chengbei Zhen] (Línyí Shì)</v>
      </c>
      <c r="P383" s="15" t="str">
        <f t="shared" si="11"/>
        <v>Feicheng Jiedao [incl. Chengbei Zhen] (Línyí Shì)</v>
      </c>
    </row>
    <row r="384" spans="1:16" hidden="1" x14ac:dyDescent="0.25">
      <c r="A384" t="s">
        <v>981</v>
      </c>
      <c r="B384" t="str">
        <f>IF(COUNTIF(A:A,A384)&gt;1,_xlfn.CONCAT(A384," (",N384,")"),A384)</f>
        <v>Fèngchéng Jiēdào (Jìnán Shì)</v>
      </c>
      <c r="C384" t="str">
        <f>IF(COUNTIF(B:B,B384)&gt;1,_xlfn.CONCAT(A384," (",M384,")"),B384)</f>
        <v>Fèngchéng Jiēdào (Jìnán Shì)</v>
      </c>
      <c r="D384" t="s">
        <v>982</v>
      </c>
      <c r="E384" t="s">
        <v>7</v>
      </c>
      <c r="F384" t="str">
        <f>_xlfn.CONCAT(D384,", ",H384,", ",I384,", ","山东省")</f>
        <v>凤城街道, 莱芜区, 济南市, 山东省</v>
      </c>
      <c r="G384">
        <v>206688</v>
      </c>
      <c r="H384" t="s">
        <v>3678</v>
      </c>
      <c r="I384" t="s">
        <v>3673</v>
      </c>
      <c r="J384" t="e">
        <f>VLOOKUP(F384,[1]!china_towns_second__2[[Column1]:[Y]],3,FALSE)</f>
        <v>#N/A</v>
      </c>
      <c r="K384" t="e">
        <f>VLOOKUP(F384,[1]!china_towns_second__2[[Column1]:[Y]],2,FALSE)</f>
        <v>#N/A</v>
      </c>
      <c r="L384" t="s">
        <v>5220</v>
      </c>
      <c r="M384" t="str">
        <f>VLOOKUP(H384,CHOOSE({1,2},Table17[Native],Table17[Name]),2,0)</f>
        <v>Láiwú Qū</v>
      </c>
      <c r="N384" s="15" t="str">
        <f>VLOOKUP(I384,CHOOSE({1,2},Table17[Native],Table17[Name]),2,0)</f>
        <v>Jìnán Shì</v>
      </c>
      <c r="O384" s="15" t="str">
        <f t="shared" si="10"/>
        <v>Fengcheng Jiedao (Jinan Shi) (Jìnán Shì)</v>
      </c>
      <c r="P384" s="15" t="str">
        <f t="shared" si="11"/>
        <v>Fengcheng Jiedao (Jinan Shi) (Jìnán Shì)</v>
      </c>
    </row>
    <row r="385" spans="1:16" hidden="1" x14ac:dyDescent="0.25">
      <c r="A385" t="s">
        <v>981</v>
      </c>
      <c r="B385" t="str">
        <f>IF(COUNTIF(A:A,A385)&gt;1,_xlfn.CONCAT(A385," (",N385,")"),A385)</f>
        <v>Fèngchéng Jiēdào (Yāntái Shì)</v>
      </c>
      <c r="C385" t="str">
        <f>IF(COUNTIF(B:B,B385)&gt;1,_xlfn.CONCAT(A385," (",M385,")"),B385)</f>
        <v>Fèngchéng Jiēdào (Yāntái Shì)</v>
      </c>
      <c r="D385" t="s">
        <v>982</v>
      </c>
      <c r="E385" t="s">
        <v>7</v>
      </c>
      <c r="F385" t="str">
        <f>_xlfn.CONCAT(D385,", ",H385,", ",I385,", ","山东省")</f>
        <v>凤城街道, 海阳市, 烟台市, 山东省</v>
      </c>
      <c r="G385">
        <v>37777</v>
      </c>
      <c r="H385" t="s">
        <v>3773</v>
      </c>
      <c r="I385" t="s">
        <v>3771</v>
      </c>
      <c r="J385">
        <f>VLOOKUP(F385,[1]!china_towns_second__2[[Column1]:[Y]],3,FALSE)</f>
        <v>36.714687281693898</v>
      </c>
      <c r="K385">
        <f>VLOOKUP(F385,[1]!china_towns_second__2[[Column1]:[Y]],2,FALSE)</f>
        <v>121.243469</v>
      </c>
      <c r="L385" t="s">
        <v>5221</v>
      </c>
      <c r="M385" t="str">
        <f>VLOOKUP(H385,CHOOSE({1,2},Table17[Native],Table17[Name]),2,0)</f>
        <v>Hăiyáng Shì</v>
      </c>
      <c r="N385" s="15" t="str">
        <f>VLOOKUP(I385,CHOOSE({1,2},Table17[Native],Table17[Name]),2,0)</f>
        <v>Yāntái Shì</v>
      </c>
      <c r="O385" s="15" t="str">
        <f t="shared" si="10"/>
        <v>Fengcheng Jiedao (Yantai Shi) (Yāntái Shì)</v>
      </c>
      <c r="P385" s="15" t="str">
        <f t="shared" si="11"/>
        <v>Fengcheng Jiedao (Yantai Shi) (Yāntái Shì)</v>
      </c>
    </row>
    <row r="386" spans="1:16" hidden="1" x14ac:dyDescent="0.25">
      <c r="A386" t="s">
        <v>3111</v>
      </c>
      <c r="B386" t="str">
        <f>IF(COUNTIF(A:A,A386)&gt;1,_xlfn.CONCAT(A386," (",N386,")"),A386)</f>
        <v>Fénggézhuāng Jiēdào</v>
      </c>
      <c r="C386" t="str">
        <f>IF(COUNTIF(B:B,B386)&gt;1,_xlfn.CONCAT(A386," (",M386,")"),B386)</f>
        <v>Fénggézhuāng Jiēdào</v>
      </c>
      <c r="D386" t="s">
        <v>3112</v>
      </c>
      <c r="E386" t="s">
        <v>7</v>
      </c>
      <c r="F386" t="str">
        <f>_xlfn.CONCAT(D386,", ",H386,", ",I386,", ","山东省")</f>
        <v>冯格庄街道, 莱阳市, 烟台市, 山东省</v>
      </c>
      <c r="G386">
        <v>32555</v>
      </c>
      <c r="H386" t="s">
        <v>3775</v>
      </c>
      <c r="I386" t="s">
        <v>3771</v>
      </c>
      <c r="J386">
        <f>VLOOKUP(F386,[1]!china_towns_second__2[[Column1]:[Y]],3,FALSE)</f>
        <v>36.941824535462999</v>
      </c>
      <c r="K386">
        <f>VLOOKUP(F386,[1]!china_towns_second__2[[Column1]:[Y]],2,FALSE)</f>
        <v>120.6080675</v>
      </c>
      <c r="L386" t="s">
        <v>5222</v>
      </c>
      <c r="M386" t="str">
        <f>VLOOKUP(H386,CHOOSE({1,2},Table17[Native],Table17[Name]),2,0)</f>
        <v>Láiyáng Shì</v>
      </c>
      <c r="N386" s="15" t="str">
        <f>VLOOKUP(I386,CHOOSE({1,2},Table17[Native],Table17[Name]),2,0)</f>
        <v>Yāntái Shì</v>
      </c>
      <c r="O386" s="15" t="str">
        <f t="shared" ref="O386:O449" si="12">_xlfn.CONCAT(L386," (",N386,")")</f>
        <v>Fenggezhuang Jiedao (Yāntái Shì)</v>
      </c>
      <c r="P386" s="15" t="str">
        <f t="shared" ref="P386:P449" si="13">IF(COUNTIF(O:O,O386)&gt;1,_xlfn.CONCAT(L386," (",M386,")"),O386)</f>
        <v>Fenggezhuang Jiedao (Yāntái Shì)</v>
      </c>
    </row>
    <row r="387" spans="1:16" hidden="1" x14ac:dyDescent="0.25">
      <c r="A387" t="s">
        <v>1588</v>
      </c>
      <c r="B387" t="str">
        <f>IF(COUNTIF(A:A,A387)&gt;1,_xlfn.CONCAT(A387," (",N387,")"),A387)</f>
        <v>Féngguāntún Zhèn</v>
      </c>
      <c r="C387" t="str">
        <f>IF(COUNTIF(B:B,B387)&gt;1,_xlfn.CONCAT(A387," (",M387,")"),B387)</f>
        <v>Féngguāntún Zhèn</v>
      </c>
      <c r="D387" t="s">
        <v>1589</v>
      </c>
      <c r="E387" t="s">
        <v>13</v>
      </c>
      <c r="F387" t="str">
        <f>_xlfn.CONCAT(D387,", ",H387,", ",I387,", ","山东省")</f>
        <v>冯官屯镇, 茌平区, 聊城市, 山东省</v>
      </c>
      <c r="G387">
        <v>42210</v>
      </c>
      <c r="H387" t="s">
        <v>3701</v>
      </c>
      <c r="I387" t="s">
        <v>3700</v>
      </c>
      <c r="J387">
        <f>VLOOKUP(F387,[1]!china_towns_second__2[[Column1]:[Y]],3,FALSE)</f>
        <v>36.644174774209503</v>
      </c>
      <c r="K387">
        <f>VLOOKUP(F387,[1]!china_towns_second__2[[Column1]:[Y]],2,FALSE)</f>
        <v>116.3199585</v>
      </c>
      <c r="L387" t="s">
        <v>5223</v>
      </c>
      <c r="M387" t="str">
        <f>VLOOKUP(H387,CHOOSE({1,2},Table17[Native],Table17[Name]),2,0)</f>
        <v>Chípíng Qū</v>
      </c>
      <c r="N387" s="15" t="str">
        <f>VLOOKUP(I387,CHOOSE({1,2},Table17[Native],Table17[Name]),2,0)</f>
        <v>Liáochéng Shì</v>
      </c>
      <c r="O387" s="15" t="str">
        <f t="shared" si="12"/>
        <v>Fengguantun Zhen (Liáochéng Shì)</v>
      </c>
      <c r="P387" s="15" t="str">
        <f t="shared" si="13"/>
        <v>Fengguantun Zhen (Liáochéng Shì)</v>
      </c>
    </row>
    <row r="388" spans="1:16" hidden="1" x14ac:dyDescent="0.25">
      <c r="A388" t="s">
        <v>676</v>
      </c>
      <c r="B388" t="str">
        <f>IF(COUNTIF(A:A,A388)&gt;1,_xlfn.CONCAT(A388," (",N388,")"),A388)</f>
        <v>Fènghuáng Jiēdào (Hézé Shì)</v>
      </c>
      <c r="C388" t="str">
        <f>IF(COUNTIF(B:B,B388)&gt;1,_xlfn.CONCAT(A388," (",M388,")"),B388)</f>
        <v>Fènghuáng Jiēdào (Hézé Shì)</v>
      </c>
      <c r="D388" t="s">
        <v>677</v>
      </c>
      <c r="E388" t="s">
        <v>7</v>
      </c>
      <c r="F388" t="str">
        <f>_xlfn.CONCAT(D388,", ",H388,", ",I388,", ","山东省")</f>
        <v>凤凰街道, 巨野县, 菏泽市, 山东省</v>
      </c>
      <c r="G388">
        <v>65039</v>
      </c>
      <c r="H388" t="s">
        <v>3668</v>
      </c>
      <c r="I388" t="s">
        <v>3662</v>
      </c>
      <c r="J388">
        <f>VLOOKUP(F388,[1]!china_towns_second__2[[Column1]:[Y]],3,FALSE)</f>
        <v>35.405934323485802</v>
      </c>
      <c r="K388">
        <f>VLOOKUP(F388,[1]!china_towns_second__2[[Column1]:[Y]],2,FALSE)</f>
        <v>116.0454186</v>
      </c>
      <c r="L388" t="s">
        <v>5224</v>
      </c>
      <c r="M388" t="str">
        <f>VLOOKUP(H388,CHOOSE({1,2},Table17[Native],Table17[Name]),2,0)</f>
        <v>Jùyĕ Xiàn</v>
      </c>
      <c r="N388" s="15" t="str">
        <f>VLOOKUP(I388,CHOOSE({1,2},Table17[Native],Table17[Name]),2,0)</f>
        <v>Hézé Shì</v>
      </c>
      <c r="O388" s="15" t="str">
        <f t="shared" si="12"/>
        <v>Fenghuang Jiedao (Heze Shi) (Hézé Shì)</v>
      </c>
      <c r="P388" s="15" t="str">
        <f t="shared" si="13"/>
        <v>Fenghuang Jiedao (Heze Shi) (Hézé Shì)</v>
      </c>
    </row>
    <row r="389" spans="1:16" hidden="1" x14ac:dyDescent="0.25">
      <c r="A389" t="s">
        <v>676</v>
      </c>
      <c r="B389" t="str">
        <f>IF(COUNTIF(A:A,A389)&gt;1,_xlfn.CONCAT(A389," (",N389,")"),A389)</f>
        <v>Fènghuáng Jiēdào (Liáochéng Shì)</v>
      </c>
      <c r="C389" t="str">
        <f>IF(COUNTIF(B:B,B389)&gt;1,_xlfn.CONCAT(A389," (",M389,")"),B389)</f>
        <v>Fènghuáng Jiēdào (Liáochéng Shì)</v>
      </c>
      <c r="D389" t="s">
        <v>677</v>
      </c>
      <c r="E389" t="s">
        <v>7</v>
      </c>
      <c r="F389" t="str">
        <f>_xlfn.CONCAT(D389,", ",H389,", ",I389,", ","山东省")</f>
        <v>凤凰街道, 东昌府区, 聊城市, 山东省</v>
      </c>
      <c r="G389">
        <v>37789</v>
      </c>
      <c r="H389" t="s">
        <v>3702</v>
      </c>
      <c r="I389" t="s">
        <v>3700</v>
      </c>
      <c r="J389">
        <f>VLOOKUP(F389,[1]!china_towns_second__2[[Column1]:[Y]],3,FALSE)</f>
        <v>36.354555334301097</v>
      </c>
      <c r="K389">
        <f>VLOOKUP(F389,[1]!china_towns_second__2[[Column1]:[Y]],2,FALSE)</f>
        <v>115.99745679999999</v>
      </c>
      <c r="L389" t="s">
        <v>5225</v>
      </c>
      <c r="M389" t="str">
        <f>VLOOKUP(H389,CHOOSE({1,2},Table17[Native],Table17[Name]),2,0)</f>
        <v>Dōngchāngfŭ Qū</v>
      </c>
      <c r="N389" s="15" t="str">
        <f>VLOOKUP(I389,CHOOSE({1,2},Table17[Native],Table17[Name]),2,0)</f>
        <v>Liáochéng Shì</v>
      </c>
      <c r="O389" s="15" t="str">
        <f t="shared" si="12"/>
        <v>Fenghuang Jiedao (Liaocheng Shi) (Liáochéng Shì)</v>
      </c>
      <c r="P389" s="15" t="str">
        <f t="shared" si="13"/>
        <v>Fenghuang Jiedao (Liaocheng Shi) (Liáochéng Shì)</v>
      </c>
    </row>
    <row r="390" spans="1:16" hidden="1" x14ac:dyDescent="0.25">
      <c r="A390" t="s">
        <v>676</v>
      </c>
      <c r="B390" t="str">
        <f>IF(COUNTIF(A:A,A390)&gt;1,_xlfn.CONCAT(A390," (",N390,")"),A390)</f>
        <v>Fènghuáng Jiēdào (Wéifāng Shì)</v>
      </c>
      <c r="C390" t="str">
        <f>IF(COUNTIF(B:B,B390)&gt;1,_xlfn.CONCAT(A390," (",M390,")"),B390)</f>
        <v>Fènghuáng Jiēdào (Wéifāng Shì)</v>
      </c>
      <c r="D390" t="s">
        <v>677</v>
      </c>
      <c r="E390" t="s">
        <v>7</v>
      </c>
      <c r="F390" t="str">
        <f>_xlfn.CONCAT(D390,", ",H390,", ",I390,", ","山东省")</f>
        <v>凤凰街道, 坊子区, 潍坊市, 山东省</v>
      </c>
      <c r="G390">
        <v>56183</v>
      </c>
      <c r="H390" t="s">
        <v>3755</v>
      </c>
      <c r="I390" t="s">
        <v>3751</v>
      </c>
      <c r="J390">
        <f>VLOOKUP(F390,[1]!china_towns_second__2[[Column1]:[Y]],3,FALSE)</f>
        <v>36.643560816358303</v>
      </c>
      <c r="K390">
        <f>VLOOKUP(F390,[1]!china_towns_second__2[[Column1]:[Y]],2,FALSE)</f>
        <v>119.1748674</v>
      </c>
      <c r="L390" t="s">
        <v>5226</v>
      </c>
      <c r="M390" t="str">
        <f>VLOOKUP(H390,CHOOSE({1,2},Table17[Native],Table17[Name]),2,0)</f>
        <v>Fāngzi Qū</v>
      </c>
      <c r="N390" s="15" t="str">
        <f>VLOOKUP(I390,CHOOSE({1,2},Table17[Native],Table17[Name]),2,0)</f>
        <v>Wéifāng Shì</v>
      </c>
      <c r="O390" s="15" t="str">
        <f t="shared" si="12"/>
        <v>Fenghuang Jiedao (Weifang Shi) (Wéifāng Shì)</v>
      </c>
      <c r="P390" s="15" t="str">
        <f t="shared" si="13"/>
        <v>Fenghuang Jiedao (Weifang Shi) (Wéifāng Shì)</v>
      </c>
    </row>
    <row r="391" spans="1:16" hidden="1" x14ac:dyDescent="0.25">
      <c r="A391" t="s">
        <v>678</v>
      </c>
      <c r="B391" t="str">
        <f>IF(COUNTIF(A:A,A391)&gt;1,_xlfn.CONCAT(A391," (",N391,")"),A391)</f>
        <v>Fènghuáng Zhèn</v>
      </c>
      <c r="C391" t="str">
        <f>IF(COUNTIF(B:B,B391)&gt;1,_xlfn.CONCAT(A391," (",M391,")"),B391)</f>
        <v>Fènghuáng Zhèn</v>
      </c>
      <c r="D391" t="s">
        <v>679</v>
      </c>
      <c r="E391" t="s">
        <v>13</v>
      </c>
      <c r="F391" t="str">
        <f>_xlfn.CONCAT(D391,", ",H391,", ",I391,", ","山东省")</f>
        <v>凤凰镇, 鄄城县, 菏泽市, 山东省</v>
      </c>
      <c r="G391">
        <v>34758</v>
      </c>
      <c r="H391" t="s">
        <v>3667</v>
      </c>
      <c r="I391" t="s">
        <v>3662</v>
      </c>
      <c r="J391">
        <f>VLOOKUP(F391,[1]!china_towns_second__2[[Column1]:[Y]],3,FALSE)</f>
        <v>35.568047488208101</v>
      </c>
      <c r="K391">
        <f>VLOOKUP(F391,[1]!china_towns_second__2[[Column1]:[Y]],2,FALSE)</f>
        <v>115.5914611</v>
      </c>
      <c r="L391" t="s">
        <v>5227</v>
      </c>
      <c r="M391" t="str">
        <f>VLOOKUP(H391,CHOOSE({1,2},Table17[Native],Table17[Name]),2,0)</f>
        <v>Juànchéng Xiàn</v>
      </c>
      <c r="N391" s="15" t="str">
        <f>VLOOKUP(I391,CHOOSE({1,2},Table17[Native],Table17[Name]),2,0)</f>
        <v>Hézé Shì</v>
      </c>
      <c r="O391" s="15" t="str">
        <f t="shared" si="12"/>
        <v>Fenghuang Zhen (Hézé Shì)</v>
      </c>
      <c r="P391" s="15" t="str">
        <f t="shared" si="13"/>
        <v>Fenghuang Zhen (Hézé Shì)</v>
      </c>
    </row>
    <row r="392" spans="1:16" hidden="1" x14ac:dyDescent="0.25">
      <c r="A392" t="s">
        <v>3490</v>
      </c>
      <c r="B392" t="str">
        <f>IF(COUNTIF(A:A,A392)&gt;1,_xlfn.CONCAT(A392," (",N392,")"),A392)</f>
        <v>Fènghuáng Zhèn [incl. Wútái Zhèn]</v>
      </c>
      <c r="C392" t="str">
        <f>IF(COUNTIF(B:B,B392)&gt;1,_xlfn.CONCAT(A392," (",M392,")"),B392)</f>
        <v>Fènghuáng Zhèn [incl. Wútái Zhèn]</v>
      </c>
      <c r="D392" t="s">
        <v>679</v>
      </c>
      <c r="E392" t="s">
        <v>13</v>
      </c>
      <c r="F392" t="str">
        <f>_xlfn.CONCAT(D392,", ",H392,", ",I392,", ","山东省")</f>
        <v>凤凰镇, 临淄区, 淄博市, 山东省</v>
      </c>
      <c r="G392">
        <v>74674</v>
      </c>
      <c r="H392" t="s">
        <v>3795</v>
      </c>
      <c r="I392" t="s">
        <v>3791</v>
      </c>
      <c r="J392">
        <f>VLOOKUP(F392,[1]!china_towns_second__2[[Column1]:[Y]],3,FALSE)</f>
        <v>36.882426462075202</v>
      </c>
      <c r="K392">
        <f>VLOOKUP(F392,[1]!china_towns_second__2[[Column1]:[Y]],2,FALSE)</f>
        <v>118.2389218</v>
      </c>
      <c r="L392" t="s">
        <v>5228</v>
      </c>
      <c r="M392" t="str">
        <f>VLOOKUP(H392,CHOOSE({1,2},Table17[Native],Table17[Name]),2,0)</f>
        <v>Línzī Qū</v>
      </c>
      <c r="N392" s="15" t="str">
        <f>VLOOKUP(I392,CHOOSE({1,2},Table17[Native],Table17[Name]),2,0)</f>
        <v>Zībó Shì</v>
      </c>
      <c r="O392" s="15" t="str">
        <f t="shared" si="12"/>
        <v>Fenghuang Zhen [incl. Wutai Zhen] (Zībó Shì)</v>
      </c>
      <c r="P392" s="15" t="str">
        <f t="shared" si="13"/>
        <v>Fenghuang Zhen [incl. Wutai Zhen] (Zībó Shì)</v>
      </c>
    </row>
    <row r="393" spans="1:16" hidden="1" x14ac:dyDescent="0.25">
      <c r="A393" t="s">
        <v>499</v>
      </c>
      <c r="B393" t="str">
        <f>IF(COUNTIF(A:A,A393)&gt;1,_xlfn.CONCAT(A393," (",N393,")"),A393)</f>
        <v>Fènghuángchéng Jiēdào</v>
      </c>
      <c r="C393" t="str">
        <f>IF(COUNTIF(B:B,B393)&gt;1,_xlfn.CONCAT(A393," (",M393,")"),B393)</f>
        <v>Fènghuángchéng Jiēdào</v>
      </c>
      <c r="D393" t="s">
        <v>500</v>
      </c>
      <c r="E393" t="s">
        <v>7</v>
      </c>
      <c r="F393" t="str">
        <f>_xlfn.CONCAT(D393,", ",H393,", ",I393,", ","山东省")</f>
        <v>凤凰城街道, 利津县, 东营市, 山东省</v>
      </c>
      <c r="G393">
        <v>21198</v>
      </c>
      <c r="H393" t="s">
        <v>3660</v>
      </c>
      <c r="I393" t="s">
        <v>3655</v>
      </c>
      <c r="J393">
        <f>VLOOKUP(F393,[1]!china_towns_second__2[[Column1]:[Y]],3,FALSE)</f>
        <v>37.506261484706698</v>
      </c>
      <c r="K393">
        <f>VLOOKUP(F393,[1]!china_towns_second__2[[Column1]:[Y]],2,FALSE)</f>
        <v>118.1966967</v>
      </c>
      <c r="L393" t="s">
        <v>5229</v>
      </c>
      <c r="M393" t="str">
        <f>VLOOKUP(H393,CHOOSE({1,2},Table17[Native],Table17[Name]),2,0)</f>
        <v>Lìjīn Xiàn</v>
      </c>
      <c r="N393" s="15" t="str">
        <f>VLOOKUP(I393,CHOOSE({1,2},Table17[Native],Table17[Name]),2,0)</f>
        <v>Dōngyíng Shì</v>
      </c>
      <c r="O393" s="15" t="str">
        <f t="shared" si="12"/>
        <v>Fenghuangcheng Jiedao (Dōngyíng Shì)</v>
      </c>
      <c r="P393" s="15" t="str">
        <f t="shared" si="13"/>
        <v>Fenghuangcheng Jiedao (Dōngyíng Shì)</v>
      </c>
    </row>
    <row r="394" spans="1:16" hidden="1" x14ac:dyDescent="0.25">
      <c r="A394" t="s">
        <v>1873</v>
      </c>
      <c r="B394" t="str">
        <f>IF(COUNTIF(A:A,A394)&gt;1,_xlfn.CONCAT(A394," (",N394,")"),A394)</f>
        <v>Fènghuánglĭng Jiēdào</v>
      </c>
      <c r="C394" t="str">
        <f>IF(COUNTIF(B:B,B394)&gt;1,_xlfn.CONCAT(A394," (",M394,")"),B394)</f>
        <v>Fènghuánglĭng Jiēdào</v>
      </c>
      <c r="D394" t="s">
        <v>1874</v>
      </c>
      <c r="E394" t="s">
        <v>7</v>
      </c>
      <c r="F394" t="str">
        <f>_xlfn.CONCAT(D394,", ",H394,", ",I394,", ","山东省")</f>
        <v>凤凰岭街道, 河东区, 临沂市, 山东省</v>
      </c>
      <c r="G394">
        <v>36917</v>
      </c>
      <c r="H394" t="s">
        <v>3712</v>
      </c>
      <c r="I394" t="s">
        <v>3710</v>
      </c>
      <c r="J394">
        <f>VLOOKUP(F394,[1]!china_towns_second__2[[Column1]:[Y]],3,FALSE)</f>
        <v>35.0653603111937</v>
      </c>
      <c r="K394">
        <f>VLOOKUP(F394,[1]!china_towns_second__2[[Column1]:[Y]],2,FALSE)</f>
        <v>118.4754935</v>
      </c>
      <c r="L394" t="s">
        <v>5230</v>
      </c>
      <c r="M394" t="str">
        <f>VLOOKUP(H394,CHOOSE({1,2},Table17[Native],Table17[Name]),2,0)</f>
        <v>Hédōng Qū</v>
      </c>
      <c r="N394" s="15" t="str">
        <f>VLOOKUP(I394,CHOOSE({1,2},Table17[Native],Table17[Name]),2,0)</f>
        <v>Línyí Shì</v>
      </c>
      <c r="O394" s="15" t="str">
        <f t="shared" si="12"/>
        <v>Fenghuangling Jiedao (Línyí Shì)</v>
      </c>
      <c r="P394" s="15" t="str">
        <f t="shared" si="13"/>
        <v>Fenghuangling Jiedao (Línyí Shì)</v>
      </c>
    </row>
    <row r="395" spans="1:16" hidden="1" x14ac:dyDescent="0.25">
      <c r="A395" t="s">
        <v>3113</v>
      </c>
      <c r="B395" t="str">
        <f>IF(COUNTIF(A:A,A395)&gt;1,_xlfn.CONCAT(A395," (",N395,")"),A395)</f>
        <v>Fènghuángtái Jiēdào</v>
      </c>
      <c r="C395" t="str">
        <f>IF(COUNTIF(B:B,B395)&gt;1,_xlfn.CONCAT(A395," (",M395,")"),B395)</f>
        <v>Fènghuángtái Jiēdào</v>
      </c>
      <c r="D395" t="s">
        <v>3114</v>
      </c>
      <c r="E395" t="s">
        <v>7</v>
      </c>
      <c r="F395" t="str">
        <f>_xlfn.CONCAT(D395,", ",H395,", ",I395,", ","山东省")</f>
        <v>凤凰台街道, 芝罘区, 烟台市, 山东省</v>
      </c>
      <c r="G395">
        <v>59598</v>
      </c>
      <c r="H395" t="s">
        <v>3782</v>
      </c>
      <c r="I395" t="s">
        <v>3771</v>
      </c>
      <c r="J395">
        <f>VLOOKUP(F395,[1]!china_towns_second__2[[Column1]:[Y]],3,FALSE)</f>
        <v>37.5447494516605</v>
      </c>
      <c r="K395">
        <f>VLOOKUP(F395,[1]!china_towns_second__2[[Column1]:[Y]],2,FALSE)</f>
        <v>121.3329401</v>
      </c>
      <c r="L395" t="s">
        <v>5231</v>
      </c>
      <c r="M395" t="str">
        <f>VLOOKUP(H395,CHOOSE({1,2},Table17[Native],Table17[Name]),2,0)</f>
        <v>Zhīfú Qū</v>
      </c>
      <c r="N395" s="15" t="str">
        <f>VLOOKUP(I395,CHOOSE({1,2},Table17[Native],Table17[Name]),2,0)</f>
        <v>Yāntái Shì</v>
      </c>
      <c r="O395" s="15" t="str">
        <f t="shared" si="12"/>
        <v>Fenghuangtai Jiedao (Yāntái Shì)</v>
      </c>
      <c r="P395" s="15" t="str">
        <f t="shared" si="13"/>
        <v>Fenghuangtai Jiedao (Yāntái Shì)</v>
      </c>
    </row>
    <row r="396" spans="1:16" hidden="1" x14ac:dyDescent="0.25">
      <c r="A396" t="s">
        <v>49</v>
      </c>
      <c r="B396" t="str">
        <f>IF(COUNTIF(A:A,A396)&gt;1,_xlfn.CONCAT(A396," (",N396,")"),A396)</f>
        <v>Féngjiā Zhèn (Bīnzhōu Shì)</v>
      </c>
      <c r="C396" t="str">
        <f>IF(COUNTIF(B:B,B396)&gt;1,_xlfn.CONCAT(A396," (",M396,")"),B396)</f>
        <v>Féngjiā Zhèn (Bīnzhōu Shì)</v>
      </c>
      <c r="D396" t="s">
        <v>50</v>
      </c>
      <c r="E396" t="s">
        <v>13</v>
      </c>
      <c r="F396" t="str">
        <f>_xlfn.CONCAT(D396,", ",H396,", ",I396,", ","山东省")</f>
        <v>冯家镇, 沾化区, 滨州市, 山东省</v>
      </c>
      <c r="G396">
        <v>51426</v>
      </c>
      <c r="H396" t="s">
        <v>3638</v>
      </c>
      <c r="I396" t="s">
        <v>3630</v>
      </c>
      <c r="J396">
        <f>VLOOKUP(F396,[1]!china_towns_second__2[[Column1]:[Y]],3,FALSE)</f>
        <v>37.815946665786697</v>
      </c>
      <c r="K396">
        <f>VLOOKUP(F396,[1]!china_towns_second__2[[Column1]:[Y]],2,FALSE)</f>
        <v>118.0232644</v>
      </c>
      <c r="L396" t="s">
        <v>5232</v>
      </c>
      <c r="M396" t="str">
        <f>VLOOKUP(H396,CHOOSE({1,2},Table17[Native],Table17[Name]),2,0)</f>
        <v>Zhānhuà Qū</v>
      </c>
      <c r="N396" s="15" t="str">
        <f>VLOOKUP(I396,CHOOSE({1,2},Table17[Native],Table17[Name]),2,0)</f>
        <v>Bīnzhōu Shì</v>
      </c>
      <c r="O396" s="15" t="str">
        <f t="shared" si="12"/>
        <v>Fengjia Zhen (Binzhou Shi) (Bīnzhōu Shì)</v>
      </c>
      <c r="P396" s="15" t="str">
        <f t="shared" si="13"/>
        <v>Fengjia Zhen (Binzhou Shi) (Bīnzhōu Shì)</v>
      </c>
    </row>
    <row r="397" spans="1:16" hidden="1" x14ac:dyDescent="0.25">
      <c r="A397" t="s">
        <v>49</v>
      </c>
      <c r="B397" t="str">
        <f>IF(COUNTIF(A:A,A397)&gt;1,_xlfn.CONCAT(A397," (",N397,")"),A397)</f>
        <v>Féngjiā Zhèn (Wēihăi Shì)</v>
      </c>
      <c r="C397" t="str">
        <f>IF(COUNTIF(B:B,B397)&gt;1,_xlfn.CONCAT(A397," (",M397,")"),B397)</f>
        <v>Féngjiā Zhèn (Wēihăi Shì)</v>
      </c>
      <c r="D397" t="s">
        <v>50</v>
      </c>
      <c r="E397" t="s">
        <v>13</v>
      </c>
      <c r="F397" t="str">
        <f>_xlfn.CONCAT(D397,", ",H397,", ",I397,", ","山东省")</f>
        <v>冯家镇, 乳山市, 威海市, 山东省</v>
      </c>
      <c r="G397">
        <v>29786</v>
      </c>
      <c r="H397" t="s">
        <v>3768</v>
      </c>
      <c r="I397" t="s">
        <v>3765</v>
      </c>
      <c r="J397">
        <f>VLOOKUP(F397,[1]!china_towns_second__2[[Column1]:[Y]],3,FALSE)</f>
        <v>37.057816855330898</v>
      </c>
      <c r="K397">
        <f>VLOOKUP(F397,[1]!china_towns_second__2[[Column1]:[Y]],2,FALSE)</f>
        <v>121.69821260000001</v>
      </c>
      <c r="L397" t="s">
        <v>5233</v>
      </c>
      <c r="M397" t="str">
        <f>VLOOKUP(H397,CHOOSE({1,2},Table17[Native],Table17[Name]),2,0)</f>
        <v>Rŭshān Shì</v>
      </c>
      <c r="N397" s="15" t="str">
        <f>VLOOKUP(I397,CHOOSE({1,2},Table17[Native],Table17[Name]),2,0)</f>
        <v>Wēihăi Shì</v>
      </c>
      <c r="O397" s="15" t="str">
        <f t="shared" si="12"/>
        <v>Fengjia Zhen (Weihai Shi) (Wēihăi Shì)</v>
      </c>
      <c r="P397" s="15" t="str">
        <f t="shared" si="13"/>
        <v>Fengjia Zhen (Weihai Shi) (Wēihăi Shì)</v>
      </c>
    </row>
    <row r="398" spans="1:16" hidden="1" x14ac:dyDescent="0.25">
      <c r="A398" t="s">
        <v>2926</v>
      </c>
      <c r="B398" t="str">
        <f>IF(COUNTIF(A:A,A398)&gt;1,_xlfn.CONCAT(A398," (",N398,")"),A398)</f>
        <v>Fènglín Jiēdào</v>
      </c>
      <c r="C398" t="str">
        <f>IF(COUNTIF(B:B,B398)&gt;1,_xlfn.CONCAT(A398," (",M398,")"),B398)</f>
        <v>Fènglín Jiēdào</v>
      </c>
      <c r="D398" t="s">
        <v>2927</v>
      </c>
      <c r="E398" t="s">
        <v>7</v>
      </c>
      <c r="F398" t="str">
        <f>_xlfn.CONCAT(D398,", ",H398,", ",I398,", ","山东省")</f>
        <v>凤林街道, 环翠区, 威海市, 山东省</v>
      </c>
      <c r="G398">
        <v>51857</v>
      </c>
      <c r="H398" t="s">
        <v>3766</v>
      </c>
      <c r="I398" t="s">
        <v>3765</v>
      </c>
      <c r="J398">
        <f>VLOOKUP(F398,[1]!china_towns_second__2[[Column1]:[Y]],3,FALSE)</f>
        <v>37.390719990869698</v>
      </c>
      <c r="K398">
        <f>VLOOKUP(F398,[1]!china_towns_second__2[[Column1]:[Y]],2,FALSE)</f>
        <v>122.14303940000001</v>
      </c>
      <c r="L398" t="s">
        <v>5234</v>
      </c>
      <c r="M398" t="str">
        <f>VLOOKUP(H398,CHOOSE({1,2},Table17[Native],Table17[Name]),2,0)</f>
        <v>Huáncuì Qū</v>
      </c>
      <c r="N398" s="15" t="str">
        <f>VLOOKUP(I398,CHOOSE({1,2},Table17[Native],Table17[Name]),2,0)</f>
        <v>Wēihăi Shì</v>
      </c>
      <c r="O398" s="15" t="str">
        <f t="shared" si="12"/>
        <v>Fenglin Jiedao (Wēihăi Shì)</v>
      </c>
      <c r="P398" s="15" t="str">
        <f t="shared" si="13"/>
        <v>Fenglin Jiedao (Wēihăi Shì)</v>
      </c>
    </row>
    <row r="399" spans="1:16" hidden="1" x14ac:dyDescent="0.25">
      <c r="A399" t="s">
        <v>3370</v>
      </c>
      <c r="B399" t="str">
        <f>IF(COUNTIF(A:A,A399)&gt;1,_xlfn.CONCAT(A399," (",N399,")"),A399)</f>
        <v>Féngmăo Zhèn</v>
      </c>
      <c r="C399" t="str">
        <f>IF(COUNTIF(B:B,B399)&gt;1,_xlfn.CONCAT(A399," (",M399,")"),B399)</f>
        <v>Féngmăo Zhèn</v>
      </c>
      <c r="D399" t="s">
        <v>3371</v>
      </c>
      <c r="E399" t="s">
        <v>13</v>
      </c>
      <c r="F399" t="str">
        <f>_xlfn.CONCAT(D399,", ",H399,", ",I399,", ","山东省")</f>
        <v>冯卯镇, 山亭区, 枣庄市, 山东省</v>
      </c>
      <c r="G399">
        <v>51235</v>
      </c>
      <c r="H399" t="s">
        <v>3785</v>
      </c>
      <c r="I399" t="s">
        <v>3784</v>
      </c>
      <c r="J399">
        <f>VLOOKUP(F399,[1]!china_towns_second__2[[Column1]:[Y]],3,FALSE)</f>
        <v>35.212705736926203</v>
      </c>
      <c r="K399">
        <f>VLOOKUP(F399,[1]!china_towns_second__2[[Column1]:[Y]],2,FALSE)</f>
        <v>117.36443</v>
      </c>
      <c r="L399" t="s">
        <v>5235</v>
      </c>
      <c r="M399" t="str">
        <f>VLOOKUP(H399,CHOOSE({1,2},Table17[Native],Table17[Name]),2,0)</f>
        <v>Shāntíng Qū</v>
      </c>
      <c r="N399" s="15" t="str">
        <f>VLOOKUP(I399,CHOOSE({1,2},Table17[Native],Table17[Name]),2,0)</f>
        <v>Zăozhuāng Shì</v>
      </c>
      <c r="O399" s="15" t="str">
        <f t="shared" si="12"/>
        <v>Fengmao Zhen (Zăozhuāng Shì)</v>
      </c>
      <c r="P399" s="15" t="str">
        <f t="shared" si="13"/>
        <v>Fengmao Zhen (Zăozhuāng Shì)</v>
      </c>
    </row>
    <row r="400" spans="1:16" hidden="1" x14ac:dyDescent="0.25">
      <c r="A400" t="s">
        <v>3492</v>
      </c>
      <c r="B400" t="str">
        <f>IF(COUNTIF(A:A,A400)&gt;1,_xlfn.CONCAT(A400," (",N400,")"),A400)</f>
        <v>Fēngshuĭ Zhèn</v>
      </c>
      <c r="C400" t="str">
        <f>IF(COUNTIF(B:B,B400)&gt;1,_xlfn.CONCAT(A400," (",M400,")"),B400)</f>
        <v>Fēngshuĭ Zhèn</v>
      </c>
      <c r="D400" t="s">
        <v>3493</v>
      </c>
      <c r="E400" t="s">
        <v>13</v>
      </c>
      <c r="F400" t="str">
        <f>_xlfn.CONCAT(D400,", ",H400,", ",I400,", ","山东省")</f>
        <v>沣水镇, 张店区, 淄博市, 山东省</v>
      </c>
      <c r="G400">
        <v>36434</v>
      </c>
      <c r="H400" t="s">
        <v>3797</v>
      </c>
      <c r="I400" t="s">
        <v>3791</v>
      </c>
      <c r="J400">
        <f>VLOOKUP(F400,[1]!china_towns_second__2[[Column1]:[Y]],3,FALSE)</f>
        <v>36.7489705656524</v>
      </c>
      <c r="K400">
        <f>VLOOKUP(F400,[1]!china_towns_second__2[[Column1]:[Y]],2,FALSE)</f>
        <v>118.10668339999999</v>
      </c>
      <c r="L400" t="s">
        <v>5236</v>
      </c>
      <c r="M400" t="str">
        <f>VLOOKUP(H400,CHOOSE({1,2},Table17[Native],Table17[Name]),2,0)</f>
        <v>Zhāngdiàn Qū</v>
      </c>
      <c r="N400" s="15" t="str">
        <f>VLOOKUP(I400,CHOOSE({1,2},Table17[Native],Table17[Name]),2,0)</f>
        <v>Zībó Shì</v>
      </c>
      <c r="O400" s="15" t="str">
        <f t="shared" si="12"/>
        <v>Fengshui Zhen (Zībó Shì)</v>
      </c>
      <c r="P400" s="15" t="str">
        <f t="shared" si="13"/>
        <v>Fengshui Zhen (Zībó Shì)</v>
      </c>
    </row>
    <row r="401" spans="1:16" hidden="1" x14ac:dyDescent="0.25">
      <c r="A401" t="s">
        <v>1875</v>
      </c>
      <c r="B401" t="str">
        <f>IF(COUNTIF(A:A,A401)&gt;1,_xlfn.CONCAT(A401," (",N401,")"),A401)</f>
        <v>Fēngyáng Zhèn</v>
      </c>
      <c r="C401" t="str">
        <f>IF(COUNTIF(B:B,B401)&gt;1,_xlfn.CONCAT(A401," (",M401,")"),B401)</f>
        <v>Fēngyáng Zhèn</v>
      </c>
      <c r="D401" t="s">
        <v>1876</v>
      </c>
      <c r="E401" t="s">
        <v>13</v>
      </c>
      <c r="F401" t="str">
        <f>_xlfn.CONCAT(D401,", ",H401,", ",I401,", ","山东省")</f>
        <v>丰阳镇, 平邑县, 临沂市, 山东省</v>
      </c>
      <c r="G401">
        <v>31440</v>
      </c>
      <c r="H401" t="s">
        <v>3719</v>
      </c>
      <c r="I401" t="s">
        <v>3710</v>
      </c>
      <c r="J401">
        <f>VLOOKUP(F401,[1]!china_towns_second__2[[Column1]:[Y]],3,FALSE)</f>
        <v>35.462354738939197</v>
      </c>
      <c r="K401">
        <f>VLOOKUP(F401,[1]!china_towns_second__2[[Column1]:[Y]],2,FALSE)</f>
        <v>117.50071579999999</v>
      </c>
      <c r="L401" t="s">
        <v>5237</v>
      </c>
      <c r="M401" t="str">
        <f>VLOOKUP(H401,CHOOSE({1,2},Table17[Native],Table17[Name]),2,0)</f>
        <v>Píngyì Xiàn</v>
      </c>
      <c r="N401" s="15" t="str">
        <f>VLOOKUP(I401,CHOOSE({1,2},Table17[Native],Table17[Name]),2,0)</f>
        <v>Línyí Shì</v>
      </c>
      <c r="O401" s="15" t="str">
        <f t="shared" si="12"/>
        <v>Fengyang Zhen (Línyí Shì)</v>
      </c>
      <c r="P401" s="15" t="str">
        <f t="shared" si="13"/>
        <v>Fengyang Zhen (Línyí Shì)</v>
      </c>
    </row>
    <row r="402" spans="1:16" hidden="1" x14ac:dyDescent="0.25">
      <c r="A402" t="s">
        <v>2166</v>
      </c>
      <c r="B402" t="str">
        <f>IF(COUNTIF(A:A,A402)&gt;1,_xlfn.CONCAT(A402," (",N402,")"),A402)</f>
        <v>Fù'ān Jiēdào</v>
      </c>
      <c r="C402" t="str">
        <f>IF(COUNTIF(B:B,B402)&gt;1,_xlfn.CONCAT(A402," (",M402,")"),B402)</f>
        <v>Fù'ān Jiēdào</v>
      </c>
      <c r="D402" t="s">
        <v>2167</v>
      </c>
      <c r="E402" t="s">
        <v>7</v>
      </c>
      <c r="F402" t="str">
        <f>_xlfn.CONCAT(D402,", ",H402,", ",I402,", ","山东省")</f>
        <v>阜安街道, 胶州市, 青岛市, 山东省</v>
      </c>
      <c r="G402">
        <v>92754</v>
      </c>
      <c r="H402" t="s">
        <v>3727</v>
      </c>
      <c r="I402" t="s">
        <v>3724</v>
      </c>
      <c r="J402">
        <f>VLOOKUP(F402,[1]!china_towns_second__2[[Column1]:[Y]],3,FALSE)</f>
        <v>36.290554276638602</v>
      </c>
      <c r="K402">
        <f>VLOOKUP(F402,[1]!china_towns_second__2[[Column1]:[Y]],2,FALSE)</f>
        <v>120.0219816</v>
      </c>
      <c r="L402" t="s">
        <v>5238</v>
      </c>
      <c r="M402" t="str">
        <f>VLOOKUP(H402,CHOOSE({1,2},Table17[Native],Table17[Name]),2,0)</f>
        <v>Jiāozhōu Shì</v>
      </c>
      <c r="N402" s="15" t="str">
        <f>VLOOKUP(I402,CHOOSE({1,2},Table17[Native],Table17[Name]),2,0)</f>
        <v>Qīngdăo Shì</v>
      </c>
      <c r="O402" s="15" t="str">
        <f t="shared" si="12"/>
        <v>Fu'an Jiedao (Qīngdăo Shì)</v>
      </c>
      <c r="P402" s="15" t="str">
        <f t="shared" si="13"/>
        <v>Fu'an Jiedao (Qīngdăo Shì)</v>
      </c>
    </row>
    <row r="403" spans="1:16" hidden="1" x14ac:dyDescent="0.25">
      <c r="A403" t="s">
        <v>3372</v>
      </c>
      <c r="B403" t="str">
        <f>IF(COUNTIF(A:A,A403)&gt;1,_xlfn.CONCAT(A403," (",N403,")"),A403)</f>
        <v>Fúchéng Zhèn</v>
      </c>
      <c r="C403" t="str">
        <f>IF(COUNTIF(B:B,B403)&gt;1,_xlfn.CONCAT(A403," (",M403,")"),B403)</f>
        <v>Fúchéng Zhèn</v>
      </c>
      <c r="D403" t="s">
        <v>3373</v>
      </c>
      <c r="E403" t="s">
        <v>13</v>
      </c>
      <c r="F403" t="str">
        <f>_xlfn.CONCAT(D403,", ",H403,", ",I403,", ","山东省")</f>
        <v>凫城镇, 山亭区, 枣庄市, 山东省</v>
      </c>
      <c r="G403">
        <v>27978</v>
      </c>
      <c r="H403" t="s">
        <v>3785</v>
      </c>
      <c r="I403" t="s">
        <v>3784</v>
      </c>
      <c r="J403">
        <f>VLOOKUP(F403,[1]!china_towns_second__2[[Column1]:[Y]],3,FALSE)</f>
        <v>34.986027726132299</v>
      </c>
      <c r="K403">
        <f>VLOOKUP(F403,[1]!china_towns_second__2[[Column1]:[Y]],2,FALSE)</f>
        <v>117.51081929999999</v>
      </c>
      <c r="L403" t="s">
        <v>5239</v>
      </c>
      <c r="M403" t="str">
        <f>VLOOKUP(H403,CHOOSE({1,2},Table17[Native],Table17[Name]),2,0)</f>
        <v>Shāntíng Qū</v>
      </c>
      <c r="N403" s="15" t="str">
        <f>VLOOKUP(I403,CHOOSE({1,2},Table17[Native],Table17[Name]),2,0)</f>
        <v>Zăozhuāng Shì</v>
      </c>
      <c r="O403" s="15" t="str">
        <f t="shared" si="12"/>
        <v>Fucheng Zhen (Zăozhuāng Shì)</v>
      </c>
      <c r="P403" s="15" t="str">
        <f t="shared" si="13"/>
        <v>Fucheng Zhen (Zăozhuāng Shì)</v>
      </c>
    </row>
    <row r="404" spans="1:16" hidden="1" x14ac:dyDescent="0.25">
      <c r="A404" t="s">
        <v>680</v>
      </c>
      <c r="B404" t="str">
        <f>IF(COUNTIF(A:A,A404)&gt;1,_xlfn.CONCAT(A404," (",N404,")"),A404)</f>
        <v>Fùchūn Zhèn</v>
      </c>
      <c r="C404" t="str">
        <f>IF(COUNTIF(B:B,B404)&gt;1,_xlfn.CONCAT(A404," (",M404,")"),B404)</f>
        <v>Fùchūn Zhèn</v>
      </c>
      <c r="D404" t="s">
        <v>681</v>
      </c>
      <c r="E404" t="s">
        <v>13</v>
      </c>
      <c r="F404" t="str">
        <f>_xlfn.CONCAT(D404,", ",H404,", ",I404,", ","山东省")</f>
        <v>富春镇, 鄄城县, 菏泽市, 山东省</v>
      </c>
      <c r="G404">
        <v>31410</v>
      </c>
      <c r="H404" t="s">
        <v>3667</v>
      </c>
      <c r="I404" t="s">
        <v>3662</v>
      </c>
      <c r="J404">
        <f>VLOOKUP(F404,[1]!china_towns_second__2[[Column1]:[Y]],3,FALSE)</f>
        <v>35.500811811063201</v>
      </c>
      <c r="K404">
        <f>VLOOKUP(F404,[1]!china_towns_second__2[[Column1]:[Y]],2,FALSE)</f>
        <v>115.47644459999999</v>
      </c>
      <c r="L404" t="s">
        <v>5240</v>
      </c>
      <c r="M404" t="str">
        <f>VLOOKUP(H404,CHOOSE({1,2},Table17[Native],Table17[Name]),2,0)</f>
        <v>Juànchéng Xiàn</v>
      </c>
      <c r="N404" s="15" t="str">
        <f>VLOOKUP(I404,CHOOSE({1,2},Table17[Native],Table17[Name]),2,0)</f>
        <v>Hézé Shì</v>
      </c>
      <c r="O404" s="15" t="str">
        <f t="shared" si="12"/>
        <v>Fuchun Zhen (Hézé Shì)</v>
      </c>
      <c r="P404" s="15" t="str">
        <f t="shared" si="13"/>
        <v>Fuchun Zhen (Hézé Shì)</v>
      </c>
    </row>
    <row r="405" spans="1:16" hidden="1" x14ac:dyDescent="0.25">
      <c r="A405" t="s">
        <v>1265</v>
      </c>
      <c r="B405" t="str">
        <f>IF(COUNTIF(A:A,A405)&gt;1,_xlfn.CONCAT(A405," (",N405,")"),A405)</f>
        <v>Fùcūn Jiēdào</v>
      </c>
      <c r="C405" t="str">
        <f>IF(COUNTIF(B:B,B405)&gt;1,_xlfn.CONCAT(A405," (",M405,")"),B405)</f>
        <v>Fùcūn Jiēdào</v>
      </c>
      <c r="D405" t="s">
        <v>1266</v>
      </c>
      <c r="E405" t="s">
        <v>7</v>
      </c>
      <c r="F405" t="str">
        <f>_xlfn.CONCAT(D405,", ",H405,", ",I405,", ","山东省")</f>
        <v>傅村街道, 微山县, 济宁市, 山东省</v>
      </c>
      <c r="G405">
        <v>41049</v>
      </c>
      <c r="H405" t="s">
        <v>3694</v>
      </c>
      <c r="I405" t="s">
        <v>3687</v>
      </c>
      <c r="J405">
        <f>VLOOKUP(F405,[1]!china_towns_second__2[[Column1]:[Y]],3,FALSE)</f>
        <v>34.840052335867199</v>
      </c>
      <c r="K405">
        <f>VLOOKUP(F405,[1]!china_towns_second__2[[Column1]:[Y]],2,FALSE)</f>
        <v>117.05555510000001</v>
      </c>
      <c r="L405" t="s">
        <v>5241</v>
      </c>
      <c r="M405" t="str">
        <f>VLOOKUP(H405,CHOOSE({1,2},Table17[Native],Table17[Name]),2,0)</f>
        <v>Wēishān Xiàn</v>
      </c>
      <c r="N405" s="15" t="str">
        <f>VLOOKUP(I405,CHOOSE({1,2},Table17[Native],Table17[Name]),2,0)</f>
        <v>Jìníng Shì</v>
      </c>
      <c r="O405" s="15" t="str">
        <f t="shared" si="12"/>
        <v>Fucun Jiedao (Jìníng Shì)</v>
      </c>
      <c r="P405" s="15" t="str">
        <f t="shared" si="13"/>
        <v>Fucun Jiedao (Jìníng Shì)</v>
      </c>
    </row>
    <row r="406" spans="1:16" hidden="1" x14ac:dyDescent="0.25">
      <c r="A406" t="s">
        <v>682</v>
      </c>
      <c r="B406" t="str">
        <f>IF(COUNTIF(A:A,A406)&gt;1,_xlfn.CONCAT(A406," (",N406,")"),A406)</f>
        <v>Fúgăng Zhèn</v>
      </c>
      <c r="C406" t="str">
        <f>IF(COUNTIF(B:B,B406)&gt;1,_xlfn.CONCAT(A406," (",M406,")"),B406)</f>
        <v>Fúgăng Zhèn</v>
      </c>
      <c r="D406" t="s">
        <v>683</v>
      </c>
      <c r="E406" t="s">
        <v>13</v>
      </c>
      <c r="F406" t="str">
        <f>_xlfn.CONCAT(D406,", ",H406,", ",I406,", ","山东省")</f>
        <v>浮岗镇, 单县, 菏泽市, 山东省</v>
      </c>
      <c r="G406">
        <v>55092</v>
      </c>
      <c r="H406" t="s">
        <v>3670</v>
      </c>
      <c r="I406" t="s">
        <v>3662</v>
      </c>
      <c r="J406">
        <f>VLOOKUP(F406,[1]!china_towns_second__2[[Column1]:[Y]],3,FALSE)</f>
        <v>34.629999890245699</v>
      </c>
      <c r="K406">
        <f>VLOOKUP(F406,[1]!china_towns_second__2[[Column1]:[Y]],2,FALSE)</f>
        <v>115.9363379</v>
      </c>
      <c r="L406" t="s">
        <v>5242</v>
      </c>
      <c r="M406" t="str">
        <f>VLOOKUP(H406,CHOOSE({1,2},Table17[Native],Table17[Name]),2,0)</f>
        <v>Shàn Xiàn</v>
      </c>
      <c r="N406" s="15" t="str">
        <f>VLOOKUP(I406,CHOOSE({1,2},Table17[Native],Table17[Name]),2,0)</f>
        <v>Hézé Shì</v>
      </c>
      <c r="O406" s="15" t="str">
        <f t="shared" si="12"/>
        <v>Fugang Zhen (Hézé Shì)</v>
      </c>
      <c r="P406" s="15" t="str">
        <f t="shared" si="13"/>
        <v>Fugang Zhen (Hézé Shì)</v>
      </c>
    </row>
    <row r="407" spans="1:16" hidden="1" x14ac:dyDescent="0.25">
      <c r="A407" t="s">
        <v>1877</v>
      </c>
      <c r="B407" t="str">
        <f>IF(COUNTIF(A:A,A407)&gt;1,_xlfn.CONCAT(A407," (",N407,")"),A407)</f>
        <v>Fùguānzhuāng Zhèn</v>
      </c>
      <c r="C407" t="str">
        <f>IF(COUNTIF(B:B,B407)&gt;1,_xlfn.CONCAT(A407," (",M407,")"),B407)</f>
        <v>Fùguānzhuāng Zhèn</v>
      </c>
      <c r="D407" t="s">
        <v>1878</v>
      </c>
      <c r="E407" t="s">
        <v>13</v>
      </c>
      <c r="F407" t="str">
        <f>_xlfn.CONCAT(D407,", ",H407,", ",I407,", ","山东省")</f>
        <v>富官庄镇, 沂水县, 临沂市, 山东省</v>
      </c>
      <c r="G407">
        <v>35092</v>
      </c>
      <c r="H407" t="s">
        <v>3722</v>
      </c>
      <c r="I407" t="s">
        <v>3710</v>
      </c>
      <c r="J407">
        <f>VLOOKUP(F407,[1]!china_towns_second__2[[Column1]:[Y]],3,FALSE)</f>
        <v>36.060202938271601</v>
      </c>
      <c r="K407">
        <f>VLOOKUP(F407,[1]!china_towns_second__2[[Column1]:[Y]],2,FALSE)</f>
        <v>118.9587875</v>
      </c>
      <c r="L407" t="s">
        <v>5243</v>
      </c>
      <c r="M407" t="str">
        <f>VLOOKUP(H407,CHOOSE({1,2},Table17[Native],Table17[Name]),2,0)</f>
        <v>Yíshuĭ Xiàn</v>
      </c>
      <c r="N407" s="15" t="str">
        <f>VLOOKUP(I407,CHOOSE({1,2},Table17[Native],Table17[Name]),2,0)</f>
        <v>Línyí Shì</v>
      </c>
      <c r="O407" s="15" t="str">
        <f t="shared" si="12"/>
        <v>Fuguanzhuang Zhen (Línyí Shì)</v>
      </c>
      <c r="P407" s="15" t="str">
        <f t="shared" si="13"/>
        <v>Fuguanzhuang Zhen (Línyí Shì)</v>
      </c>
    </row>
    <row r="408" spans="1:16" hidden="1" x14ac:dyDescent="0.25">
      <c r="A408" t="s">
        <v>51</v>
      </c>
      <c r="B408" t="str">
        <f>IF(COUNTIF(A:A,A408)&gt;1,_xlfn.CONCAT(A408," (",N408,")"),A408)</f>
        <v>Fùguó Jiēdào</v>
      </c>
      <c r="C408" t="str">
        <f>IF(COUNTIF(B:B,B408)&gt;1,_xlfn.CONCAT(A408," (",M408,")"),B408)</f>
        <v>Fùguó Jiēdào</v>
      </c>
      <c r="D408" t="s">
        <v>52</v>
      </c>
      <c r="E408" t="s">
        <v>7</v>
      </c>
      <c r="F408" t="str">
        <f>_xlfn.CONCAT(D408,", ",H408,", ",I408,", ","山东省")</f>
        <v>富国街道, 沾化区, 滨州市, 山东省</v>
      </c>
      <c r="G408">
        <v>63964</v>
      </c>
      <c r="H408" t="s">
        <v>3638</v>
      </c>
      <c r="I408" t="s">
        <v>3630</v>
      </c>
      <c r="J408">
        <f>VLOOKUP(F408,[1]!china_towns_second__2[[Column1]:[Y]],3,FALSE)</f>
        <v>37.720302326407598</v>
      </c>
      <c r="K408">
        <f>VLOOKUP(F408,[1]!china_towns_second__2[[Column1]:[Y]],2,FALSE)</f>
        <v>118.08985389999999</v>
      </c>
      <c r="L408" t="s">
        <v>5244</v>
      </c>
      <c r="M408" t="str">
        <f>VLOOKUP(H408,CHOOSE({1,2},Table17[Native],Table17[Name]),2,0)</f>
        <v>Zhānhuà Qū</v>
      </c>
      <c r="N408" s="15" t="str">
        <f>VLOOKUP(I408,CHOOSE({1,2},Table17[Native],Table17[Name]),2,0)</f>
        <v>Bīnzhōu Shì</v>
      </c>
      <c r="O408" s="15" t="str">
        <f t="shared" si="12"/>
        <v>Fuguo Jiedao (Bīnzhōu Shì)</v>
      </c>
      <c r="P408" s="15" t="str">
        <f t="shared" si="13"/>
        <v>Fuguo Jiedao (Bīnzhōu Shì)</v>
      </c>
    </row>
    <row r="409" spans="1:16" hidden="1" x14ac:dyDescent="0.25">
      <c r="A409" t="s">
        <v>3494</v>
      </c>
      <c r="B409" t="str">
        <f>IF(COUNTIF(A:A,A409)&gt;1,_xlfn.CONCAT(A409," (",N409,")"),A409)</f>
        <v>Fùjiā Zhèn</v>
      </c>
      <c r="C409" t="str">
        <f>IF(COUNTIF(B:B,B409)&gt;1,_xlfn.CONCAT(A409," (",M409,")"),B409)</f>
        <v>Fùjiā Zhèn</v>
      </c>
      <c r="D409" t="s">
        <v>3495</v>
      </c>
      <c r="E409" t="s">
        <v>13</v>
      </c>
      <c r="F409" t="str">
        <f>_xlfn.CONCAT(D409,", ",H409,", ",I409,", ","山东省")</f>
        <v>傅家镇, 张店区, 淄博市, 山东省</v>
      </c>
      <c r="G409">
        <v>67652</v>
      </c>
      <c r="H409" t="s">
        <v>3797</v>
      </c>
      <c r="I409" t="s">
        <v>3791</v>
      </c>
      <c r="J409">
        <f>VLOOKUP(F409,[1]!china_towns_second__2[[Column1]:[Y]],3,FALSE)</f>
        <v>36.763404008840197</v>
      </c>
      <c r="K409">
        <f>VLOOKUP(F409,[1]!china_towns_second__2[[Column1]:[Y]],2,FALSE)</f>
        <v>117.99947299999999</v>
      </c>
      <c r="L409" t="s">
        <v>5245</v>
      </c>
      <c r="M409" t="str">
        <f>VLOOKUP(H409,CHOOSE({1,2},Table17[Native],Table17[Name]),2,0)</f>
        <v>Zhāngdiàn Qū</v>
      </c>
      <c r="N409" s="15" t="str">
        <f>VLOOKUP(I409,CHOOSE({1,2},Table17[Native],Table17[Name]),2,0)</f>
        <v>Zībó Shì</v>
      </c>
      <c r="O409" s="15" t="str">
        <f t="shared" si="12"/>
        <v>Fujia Zhen (Zībó Shì)</v>
      </c>
      <c r="P409" s="15" t="str">
        <f t="shared" si="13"/>
        <v>Fujia Zhen (Zībó Shì)</v>
      </c>
    </row>
    <row r="410" spans="1:16" hidden="1" x14ac:dyDescent="0.25">
      <c r="A410" t="s">
        <v>2410</v>
      </c>
      <c r="B410" t="str">
        <f>IF(COUNTIF(A:A,A410)&gt;1,_xlfn.CONCAT(A410," (",N410,")"),A410)</f>
        <v>Fúláishān Jiēdào</v>
      </c>
      <c r="C410" t="str">
        <f>IF(COUNTIF(B:B,B410)&gt;1,_xlfn.CONCAT(A410," (",M410,")"),B410)</f>
        <v>Fúláishān Jiēdào</v>
      </c>
      <c r="D410" t="s">
        <v>2411</v>
      </c>
      <c r="E410" t="s">
        <v>7</v>
      </c>
      <c r="F410" t="str">
        <f>_xlfn.CONCAT(D410,", ",H410,", ",I410,", ","山东省")</f>
        <v>浮来山街道, 莒县, 日照市, 山东省</v>
      </c>
      <c r="G410">
        <v>51435</v>
      </c>
      <c r="H410" t="s">
        <v>3739</v>
      </c>
      <c r="I410" t="s">
        <v>3736</v>
      </c>
      <c r="J410" t="e">
        <f>VLOOKUP(F410,[1]!china_towns_second__2[[Column1]:[Y]],3,FALSE)</f>
        <v>#N/A</v>
      </c>
      <c r="K410" t="e">
        <f>VLOOKUP(F410,[1]!china_towns_second__2[[Column1]:[Y]],2,FALSE)</f>
        <v>#N/A</v>
      </c>
      <c r="L410" t="s">
        <v>5246</v>
      </c>
      <c r="M410" t="str">
        <f>VLOOKUP(H410,CHOOSE({1,2},Table17[Native],Table17[Name]),2,0)</f>
        <v>Jŭ Xiàn</v>
      </c>
      <c r="N410" s="15" t="str">
        <f>VLOOKUP(I410,CHOOSE({1,2},Table17[Native],Table17[Name]),2,0)</f>
        <v>Rìzhào Shì</v>
      </c>
      <c r="O410" s="15" t="str">
        <f t="shared" si="12"/>
        <v>Fulaishan Jiedao (Rìzhào Shì)</v>
      </c>
      <c r="P410" s="15" t="str">
        <f t="shared" si="13"/>
        <v>Fulaishan Jiedao (Rìzhào Shì)</v>
      </c>
    </row>
    <row r="411" spans="1:16" hidden="1" x14ac:dyDescent="0.25">
      <c r="A411" t="s">
        <v>3115</v>
      </c>
      <c r="B411" t="str">
        <f>IF(COUNTIF(A:A,A411)&gt;1,_xlfn.CONCAT(A411," (",N411,")"),A411)</f>
        <v>Fúláishān Jiēdào [incl. Hăihé Shèqū, Chángjiāng Shèqū]</v>
      </c>
      <c r="C411" t="str">
        <f>IF(COUNTIF(B:B,B411)&gt;1,_xlfn.CONCAT(A411," (",M411,")"),B411)</f>
        <v>Fúláishān Jiēdào [incl. Hăihé Shèqū, Chángjiāng Shèqū]</v>
      </c>
      <c r="D411" t="s">
        <v>3116</v>
      </c>
      <c r="E411" t="s">
        <v>7</v>
      </c>
      <c r="F411" t="str">
        <f>_xlfn.CONCAT(D411,", ",H411,", ",I411,", ","山东省")</f>
        <v>福莱山街道, 福山区, 烟台市, 山东省</v>
      </c>
      <c r="G411">
        <v>164825</v>
      </c>
      <c r="H411" t="s">
        <v>3772</v>
      </c>
      <c r="I411" t="s">
        <v>3771</v>
      </c>
      <c r="J411">
        <f>VLOOKUP(F411,[1]!china_towns_second__2[[Column1]:[Y]],3,FALSE)</f>
        <v>37.560021579551801</v>
      </c>
      <c r="K411">
        <f>VLOOKUP(F411,[1]!china_towns_second__2[[Column1]:[Y]],2,FALSE)</f>
        <v>121.2406378</v>
      </c>
      <c r="L411" t="s">
        <v>5247</v>
      </c>
      <c r="M411" t="str">
        <f>VLOOKUP(H411,CHOOSE({1,2},Table17[Native],Table17[Name]),2,0)</f>
        <v>Fúshān Qū</v>
      </c>
      <c r="N411" s="15" t="str">
        <f>VLOOKUP(I411,CHOOSE({1,2},Table17[Native],Table17[Name]),2,0)</f>
        <v>Yāntái Shì</v>
      </c>
      <c r="O411" s="15" t="str">
        <f t="shared" si="12"/>
        <v>Fulaishan Jiedao [incl. Haihe Shequ, Changjiang Shequ] (Yāntái Shì)</v>
      </c>
      <c r="P411" s="15" t="str">
        <f t="shared" si="13"/>
        <v>Fulaishan Jiedao [incl. Haihe Shequ, Changjiang Shequ] (Yāntái Shì)</v>
      </c>
    </row>
    <row r="412" spans="1:16" hidden="1" x14ac:dyDescent="0.25">
      <c r="A412" t="s">
        <v>1268</v>
      </c>
      <c r="B412" t="str">
        <f>IF(COUNTIF(A:A,A412)&gt;1,_xlfn.CONCAT(A412," (",N412,")"),A412)</f>
        <v>Fùqiáo Jiēdào</v>
      </c>
      <c r="C412" t="str">
        <f>IF(COUNTIF(B:B,B412)&gt;1,_xlfn.CONCAT(A412," (",M412,")"),B412)</f>
        <v>Fùqiáo Jiēdào</v>
      </c>
      <c r="D412" t="s">
        <v>1269</v>
      </c>
      <c r="E412" t="s">
        <v>7</v>
      </c>
      <c r="F412" t="str">
        <f>_xlfn.CONCAT(D412,", ",H412,", ",I412,", ","山东省")</f>
        <v>阜桥街道, 任城区, 济宁市, 山东省</v>
      </c>
      <c r="G412">
        <v>124926</v>
      </c>
      <c r="H412" t="s">
        <v>3692</v>
      </c>
      <c r="I412" t="s">
        <v>3687</v>
      </c>
      <c r="J412">
        <f>VLOOKUP(F412,[1]!china_towns_second__2[[Column1]:[Y]],3,FALSE)</f>
        <v>35.410339104277</v>
      </c>
      <c r="K412">
        <f>VLOOKUP(F412,[1]!china_towns_second__2[[Column1]:[Y]],2,FALSE)</f>
        <v>116.5982882</v>
      </c>
      <c r="L412" t="s">
        <v>5248</v>
      </c>
      <c r="M412" t="str">
        <f>VLOOKUP(H412,CHOOSE({1,2},Table17[Native],Table17[Name]),2,0)</f>
        <v>Rènchéng Qū</v>
      </c>
      <c r="N412" s="15" t="str">
        <f>VLOOKUP(I412,CHOOSE({1,2},Table17[Native],Table17[Name]),2,0)</f>
        <v>Jìníng Shì</v>
      </c>
      <c r="O412" s="15" t="str">
        <f t="shared" si="12"/>
        <v>Fuqiao Jiedao (Jìníng Shì)</v>
      </c>
      <c r="P412" s="15" t="str">
        <f t="shared" si="13"/>
        <v>Fuqiao Jiedao (Jìníng Shì)</v>
      </c>
    </row>
    <row r="413" spans="1:16" hidden="1" x14ac:dyDescent="0.25">
      <c r="A413" t="s">
        <v>1270</v>
      </c>
      <c r="B413" t="str">
        <f>IF(COUNTIF(A:A,A413)&gt;1,_xlfn.CONCAT(A413," (",N413,")"),A413)</f>
        <v>Fúshān Jiēdào</v>
      </c>
      <c r="C413" t="str">
        <f>IF(COUNTIF(B:B,B413)&gt;1,_xlfn.CONCAT(A413," (",M413,")"),B413)</f>
        <v>Fúshān Jiēdào</v>
      </c>
      <c r="D413" t="s">
        <v>1271</v>
      </c>
      <c r="E413" t="s">
        <v>7</v>
      </c>
      <c r="F413" t="str">
        <f>_xlfn.CONCAT(D413,", ",H413,", ",I413,", ","山东省")</f>
        <v>凫山街道, 邹城市, 济宁市, 山东省</v>
      </c>
      <c r="G413">
        <v>62766</v>
      </c>
      <c r="H413" t="s">
        <v>3698</v>
      </c>
      <c r="I413" t="s">
        <v>3687</v>
      </c>
      <c r="J413">
        <f>VLOOKUP(F413,[1]!china_towns_second__2[[Column1]:[Y]],3,FALSE)</f>
        <v>35.3984690507557</v>
      </c>
      <c r="K413">
        <f>VLOOKUP(F413,[1]!china_towns_second__2[[Column1]:[Y]],2,FALSE)</f>
        <v>116.9419549</v>
      </c>
      <c r="L413" t="s">
        <v>5249</v>
      </c>
      <c r="M413" t="str">
        <f>VLOOKUP(H413,CHOOSE({1,2},Table17[Native],Table17[Name]),2,0)</f>
        <v>Zōuchéng Shì</v>
      </c>
      <c r="N413" s="15" t="str">
        <f>VLOOKUP(I413,CHOOSE({1,2},Table17[Native],Table17[Name]),2,0)</f>
        <v>Jìníng Shì</v>
      </c>
      <c r="O413" s="15" t="str">
        <f t="shared" si="12"/>
        <v>Fushan Jiedao (Jìníng Shì)</v>
      </c>
      <c r="P413" s="15" t="str">
        <f t="shared" si="13"/>
        <v>Fushan Jiedao (Jìníng Shì)</v>
      </c>
    </row>
    <row r="414" spans="1:16" hidden="1" x14ac:dyDescent="0.25">
      <c r="A414" t="s">
        <v>2170</v>
      </c>
      <c r="B414" t="str">
        <f>IF(COUNTIF(A:A,A414)&gt;1,_xlfn.CONCAT(A414," (",N414,")"),A414)</f>
        <v>Fúshān Xīnqū Jiēdào [incl. Tóng'ānlù Jiēdào]</v>
      </c>
      <c r="C414" t="str">
        <f>IF(COUNTIF(B:B,B414)&gt;1,_xlfn.CONCAT(A414," (",M414,")"),B414)</f>
        <v>Fúshān Xīnqū Jiēdào [incl. Tóng'ānlù Jiēdào]</v>
      </c>
      <c r="D414" t="s">
        <v>2171</v>
      </c>
      <c r="E414" t="s">
        <v>7</v>
      </c>
      <c r="F414" t="str">
        <f>_xlfn.CONCAT(D414,", ",H414,", ",I414,", ","山东省")</f>
        <v>浮山新区街道, 市北区, 青岛市, 山东省</v>
      </c>
      <c r="G414">
        <v>55625</v>
      </c>
      <c r="H414" t="s">
        <v>3733</v>
      </c>
      <c r="I414" t="s">
        <v>3724</v>
      </c>
      <c r="J414">
        <f>VLOOKUP(F414,[1]!china_towns_second__2[[Column1]:[Y]],3,FALSE)</f>
        <v>36.103003140344597</v>
      </c>
      <c r="K414">
        <f>VLOOKUP(F414,[1]!china_towns_second__2[[Column1]:[Y]],2,FALSE)</f>
        <v>120.41788630000001</v>
      </c>
      <c r="L414" t="s">
        <v>5250</v>
      </c>
      <c r="M414" t="str">
        <f>VLOOKUP(H414,CHOOSE({1,2},Table17[Native],Table17[Name]),2,0)</f>
        <v>Shìbĕi Qū</v>
      </c>
      <c r="N414" s="15" t="str">
        <f>VLOOKUP(I414,CHOOSE({1,2},Table17[Native],Table17[Name]),2,0)</f>
        <v>Qīngdăo Shì</v>
      </c>
      <c r="O414" s="15" t="str">
        <f t="shared" si="12"/>
        <v>Fushan Xinqu Jiedao [incl. Tong'anlu Jiedao] (Qīngdăo Shì)</v>
      </c>
      <c r="P414" s="15" t="str">
        <f t="shared" si="13"/>
        <v>Fushan Xinqu Jiedao [incl. Tong'anlu Jiedao] (Qīngdăo Shì)</v>
      </c>
    </row>
    <row r="415" spans="1:16" x14ac:dyDescent="0.25">
      <c r="A415" t="s">
        <v>2547</v>
      </c>
      <c r="B415" t="str">
        <f>IF(COUNTIF(A:A,A415)&gt;1,_xlfn.CONCAT(A415," (",N415,")"),A415)</f>
        <v>Fúshān Zhèn</v>
      </c>
      <c r="C415" t="str">
        <f>IF(COUNTIF(B:B,B415)&gt;1,_xlfn.CONCAT(A415," (",M415,")"),B415)</f>
        <v>Fúshān Zhèn</v>
      </c>
      <c r="D415" t="s">
        <v>2548</v>
      </c>
      <c r="E415" t="s">
        <v>13</v>
      </c>
      <c r="F415" t="str">
        <f>_xlfn.CONCAT(D415,", ",H415,", ",I415,", ","山东省")</f>
        <v>伏山镇, 宁阳县, 泰安市, 山东省</v>
      </c>
      <c r="G415">
        <v>57306</v>
      </c>
      <c r="H415" t="s">
        <v>3747</v>
      </c>
      <c r="I415" t="s">
        <v>3743</v>
      </c>
      <c r="J415">
        <f>VLOOKUP(F415,[1]!china_towns_second__2[[Column1]:[Y]],3,FALSE)</f>
        <v>35.841330677164699</v>
      </c>
      <c r="K415">
        <f>VLOOKUP(F415,[1]!china_towns_second__2[[Column1]:[Y]],2,FALSE)</f>
        <v>116.7728285</v>
      </c>
      <c r="L415" t="s">
        <v>5251</v>
      </c>
      <c r="M415" t="str">
        <f>VLOOKUP(H415,CHOOSE({1,2},Table17[Native],Table17[Name]),2,0)</f>
        <v>Níngyáng Xiàn</v>
      </c>
      <c r="N415" s="15" t="str">
        <f>VLOOKUP(I415,CHOOSE({1,2},Table17[Native],Table17[Name]),2,0)</f>
        <v>Tài'ān Shì</v>
      </c>
      <c r="O415" s="15" t="str">
        <f t="shared" si="12"/>
        <v>Fushan Zhen (Tài'ān Shì)</v>
      </c>
      <c r="P415" s="15" t="str">
        <f t="shared" si="13"/>
        <v>Fushan Zhen (Tài'ān Shì)</v>
      </c>
    </row>
    <row r="416" spans="1:16" x14ac:dyDescent="0.25">
      <c r="A416" t="s">
        <v>3117</v>
      </c>
      <c r="B416" t="str">
        <f>IF(COUNTIF(A:A,A416)&gt;1,_xlfn.CONCAT(A416," (",N416,")"),A416)</f>
        <v>Fùshān Zhèn</v>
      </c>
      <c r="C416" t="str">
        <f>IF(COUNTIF(B:B,B416)&gt;1,_xlfn.CONCAT(A416," (",M416,")"),B416)</f>
        <v>Fùshān Zhèn</v>
      </c>
      <c r="D416" t="s">
        <v>3118</v>
      </c>
      <c r="E416" t="s">
        <v>13</v>
      </c>
      <c r="F416" t="str">
        <f>_xlfn.CONCAT(D416,", ",H416,", ",I416,", ","山东省")</f>
        <v>阜山镇, 招远市, 烟台市, 山东省</v>
      </c>
      <c r="G416">
        <v>49749</v>
      </c>
      <c r="H416" t="s">
        <v>3781</v>
      </c>
      <c r="I416" t="s">
        <v>3771</v>
      </c>
      <c r="J416">
        <f>VLOOKUP(F416,[1]!china_towns_second__2[[Column1]:[Y]],3,FALSE)</f>
        <v>37.351842658538203</v>
      </c>
      <c r="K416">
        <f>VLOOKUP(F416,[1]!china_towns_second__2[[Column1]:[Y]],2,FALSE)</f>
        <v>120.5499635</v>
      </c>
      <c r="L416" t="s">
        <v>5251</v>
      </c>
      <c r="M416" t="str">
        <f>VLOOKUP(H416,CHOOSE({1,2},Table17[Native],Table17[Name]),2,0)</f>
        <v>Zhāoyuăn Shì</v>
      </c>
      <c r="N416" s="15" t="str">
        <f>VLOOKUP(I416,CHOOSE({1,2},Table17[Native],Table17[Name]),2,0)</f>
        <v>Yāntái Shì</v>
      </c>
      <c r="O416" s="15" t="str">
        <f t="shared" si="12"/>
        <v>Fushan Zhen (Yāntái Shì)</v>
      </c>
      <c r="P416" s="15" t="str">
        <f t="shared" si="13"/>
        <v>Fushan Zhen (Yāntái Shì)</v>
      </c>
    </row>
    <row r="417" spans="1:16" hidden="1" x14ac:dyDescent="0.25">
      <c r="A417" t="s">
        <v>2168</v>
      </c>
      <c r="B417" t="str">
        <f>IF(COUNTIF(A:A,A417)&gt;1,_xlfn.CONCAT(A417," (",N417,")"),A417)</f>
        <v>Fúshānlù Jiēdào</v>
      </c>
      <c r="C417" t="str">
        <f>IF(COUNTIF(B:B,B417)&gt;1,_xlfn.CONCAT(A417," (",M417,")"),B417)</f>
        <v>Fúshānlù Jiēdào</v>
      </c>
      <c r="D417" t="s">
        <v>2169</v>
      </c>
      <c r="E417" t="s">
        <v>7</v>
      </c>
      <c r="F417" t="str">
        <f>_xlfn.CONCAT(D417,", ",H417,", ",I417,", ","山东省")</f>
        <v>浮山路街道, 李沧区, 青岛市, 山东省</v>
      </c>
      <c r="G417">
        <v>60756</v>
      </c>
      <c r="H417" t="s">
        <v>3731</v>
      </c>
      <c r="I417" t="s">
        <v>3724</v>
      </c>
      <c r="J417">
        <f>VLOOKUP(F417,[1]!china_towns_second__2[[Column1]:[Y]],3,FALSE)</f>
        <v>36.149107722327003</v>
      </c>
      <c r="K417">
        <f>VLOOKUP(F417,[1]!china_towns_second__2[[Column1]:[Y]],2,FALSE)</f>
        <v>120.4264833</v>
      </c>
      <c r="L417" t="s">
        <v>5252</v>
      </c>
      <c r="M417" t="str">
        <f>VLOOKUP(H417,CHOOSE({1,2},Table17[Native],Table17[Name]),2,0)</f>
        <v>Lĭcāng Qū</v>
      </c>
      <c r="N417" s="15" t="str">
        <f>VLOOKUP(I417,CHOOSE({1,2},Table17[Native],Table17[Name]),2,0)</f>
        <v>Qīngdăo Shì</v>
      </c>
      <c r="O417" s="15" t="str">
        <f t="shared" si="12"/>
        <v>Fushanlu Jiedao (Qīngdăo Shì)</v>
      </c>
      <c r="P417" s="15" t="str">
        <f t="shared" si="13"/>
        <v>Fushanlu Jiedao (Qīngdăo Shì)</v>
      </c>
    </row>
    <row r="418" spans="1:16" hidden="1" x14ac:dyDescent="0.25">
      <c r="A418" t="s">
        <v>3119</v>
      </c>
      <c r="B418" t="str">
        <f>IF(COUNTIF(A:A,A418)&gt;1,_xlfn.CONCAT(A418," (",N418,")"),A418)</f>
        <v>Fúxīn Jiēdào</v>
      </c>
      <c r="C418" t="str">
        <f>IF(COUNTIF(B:B,B418)&gt;1,_xlfn.CONCAT(A418," (",M418,")"),B418)</f>
        <v>Fúxīn Jiēdào</v>
      </c>
      <c r="D418" t="s">
        <v>3120</v>
      </c>
      <c r="E418" t="s">
        <v>7</v>
      </c>
      <c r="F418" t="str">
        <f>_xlfn.CONCAT(D418,", ",H418,", ",I418,", ","山东省")</f>
        <v>福新街道, 福山区, 烟台市, 山东省</v>
      </c>
      <c r="G418">
        <v>59633</v>
      </c>
      <c r="H418" t="s">
        <v>3772</v>
      </c>
      <c r="I418" t="s">
        <v>3771</v>
      </c>
      <c r="J418">
        <f>VLOOKUP(F418,[1]!china_towns_second__2[[Column1]:[Y]],3,FALSE)</f>
        <v>37.524781646961301</v>
      </c>
      <c r="K418">
        <f>VLOOKUP(F418,[1]!china_towns_second__2[[Column1]:[Y]],2,FALSE)</f>
        <v>121.2200965</v>
      </c>
      <c r="L418" t="s">
        <v>5253</v>
      </c>
      <c r="M418" t="str">
        <f>VLOOKUP(H418,CHOOSE({1,2},Table17[Native],Table17[Name]),2,0)</f>
        <v>Fúshān Qū</v>
      </c>
      <c r="N418" s="15" t="str">
        <f>VLOOKUP(I418,CHOOSE({1,2},Table17[Native],Table17[Name]),2,0)</f>
        <v>Yāntái Shì</v>
      </c>
      <c r="O418" s="15" t="str">
        <f t="shared" si="12"/>
        <v>Fuxin Jiedao (Yāntái Shì)</v>
      </c>
      <c r="P418" s="15" t="str">
        <f t="shared" si="13"/>
        <v>Fuxin Jiedao (Yāntái Shì)</v>
      </c>
    </row>
    <row r="419" spans="1:16" hidden="1" x14ac:dyDescent="0.25">
      <c r="A419" t="s">
        <v>2172</v>
      </c>
      <c r="B419" t="str">
        <f>IF(COUNTIF(A:A,A419)&gt;1,_xlfn.CONCAT(A419," (",N419,")"),A419)</f>
        <v>Fùxīnlù Jiēdào</v>
      </c>
      <c r="C419" t="str">
        <f>IF(COUNTIF(B:B,B419)&gt;1,_xlfn.CONCAT(A419," (",M419,")"),B419)</f>
        <v>Fùxīnlù Jiēdào</v>
      </c>
      <c r="D419" t="s">
        <v>2173</v>
      </c>
      <c r="E419" t="s">
        <v>7</v>
      </c>
      <c r="F419" t="str">
        <f>_xlfn.CONCAT(D419,", ",H419,", ",I419,", ","山东省")</f>
        <v>阜新路街道, 市北区, 青岛市, 山东省</v>
      </c>
      <c r="G419">
        <v>94170</v>
      </c>
      <c r="H419" t="s">
        <v>3733</v>
      </c>
      <c r="I419" t="s">
        <v>3724</v>
      </c>
      <c r="J419">
        <f>VLOOKUP(F419,[1]!china_towns_second__2[[Column1]:[Y]],3,FALSE)</f>
        <v>36.099433377700201</v>
      </c>
      <c r="K419">
        <f>VLOOKUP(F419,[1]!china_towns_second__2[[Column1]:[Y]],2,FALSE)</f>
        <v>120.3588529</v>
      </c>
      <c r="L419" t="s">
        <v>5254</v>
      </c>
      <c r="M419" t="str">
        <f>VLOOKUP(H419,CHOOSE({1,2},Table17[Native],Table17[Name]),2,0)</f>
        <v>Shìbĕi Qū</v>
      </c>
      <c r="N419" s="15" t="str">
        <f>VLOOKUP(I419,CHOOSE({1,2},Table17[Native],Table17[Name]),2,0)</f>
        <v>Qīngdăo Shì</v>
      </c>
      <c r="O419" s="15" t="str">
        <f t="shared" si="12"/>
        <v>Fuxinlu Jiedao (Qīngdăo Shì)</v>
      </c>
      <c r="P419" s="15" t="str">
        <f t="shared" si="13"/>
        <v>Fuxinlu Jiedao (Qīngdăo Shì)</v>
      </c>
    </row>
    <row r="420" spans="1:16" hidden="1" x14ac:dyDescent="0.25">
      <c r="A420" t="s">
        <v>53</v>
      </c>
      <c r="B420" t="str">
        <f>IF(COUNTIF(A:A,A420)&gt;1,_xlfn.CONCAT(A420," (",N420,")"),A420)</f>
        <v>Fùyuán Jiēdào</v>
      </c>
      <c r="C420" t="str">
        <f>IF(COUNTIF(B:B,B420)&gt;1,_xlfn.CONCAT(A420," (",M420,")"),B420)</f>
        <v>Fùyuán Jiēdào</v>
      </c>
      <c r="D420" t="s">
        <v>54</v>
      </c>
      <c r="E420" t="s">
        <v>7</v>
      </c>
      <c r="F420" t="str">
        <f>_xlfn.CONCAT(D420,", ",H420,", ",I420,", ","山东省")</f>
        <v>富源街道, 沾化区, 滨州市, 山东省</v>
      </c>
      <c r="G420">
        <v>42358</v>
      </c>
      <c r="H420" t="s">
        <v>3638</v>
      </c>
      <c r="I420" t="s">
        <v>3630</v>
      </c>
      <c r="J420">
        <f>VLOOKUP(F420,[1]!china_towns_second__2[[Column1]:[Y]],3,FALSE)</f>
        <v>37.7362623872189</v>
      </c>
      <c r="K420">
        <f>VLOOKUP(F420,[1]!china_towns_second__2[[Column1]:[Y]],2,FALSE)</f>
        <v>118.1814882</v>
      </c>
      <c r="L420" t="s">
        <v>5255</v>
      </c>
      <c r="M420" t="str">
        <f>VLOOKUP(H420,CHOOSE({1,2},Table17[Native],Table17[Name]),2,0)</f>
        <v>Zhānhuà Qū</v>
      </c>
      <c r="N420" s="15" t="str">
        <f>VLOOKUP(I420,CHOOSE({1,2},Table17[Native],Table17[Name]),2,0)</f>
        <v>Bīnzhōu Shì</v>
      </c>
      <c r="O420" s="15" t="str">
        <f t="shared" si="12"/>
        <v>Fuyuan Jiedao (Bīnzhōu Shì)</v>
      </c>
      <c r="P420" s="15" t="str">
        <f t="shared" si="13"/>
        <v>Fuyuan Jiedao (Bīnzhōu Shì)</v>
      </c>
    </row>
    <row r="421" spans="1:16" hidden="1" x14ac:dyDescent="0.25">
      <c r="A421" t="s">
        <v>1879</v>
      </c>
      <c r="B421" t="str">
        <f>IF(COUNTIF(A:A,A421)&gt;1,_xlfn.CONCAT(A421," (",N421,")"),A421)</f>
        <v>Fùzhuāng Jiēdào [incl. Tāngzhuāng Jiēdào]</v>
      </c>
      <c r="C421" t="str">
        <f>IF(COUNTIF(B:B,B421)&gt;1,_xlfn.CONCAT(A421," (",M421,")"),B421)</f>
        <v>Fùzhuāng Jiēdào [incl. Tāngzhuāng Jiēdào]</v>
      </c>
      <c r="D421" t="s">
        <v>1880</v>
      </c>
      <c r="E421" t="s">
        <v>7</v>
      </c>
      <c r="F421" t="str">
        <f>_xlfn.CONCAT(D421,", ",H421,", ",I421,", ","山东省")</f>
        <v>傅庄街道, 罗庄区, 临沂市, 山东省</v>
      </c>
      <c r="G421">
        <v>71023</v>
      </c>
      <c r="H421" t="s">
        <v>3717</v>
      </c>
      <c r="I421" t="s">
        <v>3710</v>
      </c>
      <c r="J421">
        <f>VLOOKUP(F421,[1]!china_towns_second__2[[Column1]:[Y]],3,FALSE)</f>
        <v>34.896158937124603</v>
      </c>
      <c r="K421">
        <f>VLOOKUP(F421,[1]!china_towns_second__2[[Column1]:[Y]],2,FALSE)</f>
        <v>118.25865349999999</v>
      </c>
      <c r="L421" t="s">
        <v>5256</v>
      </c>
      <c r="M421" t="str">
        <f>VLOOKUP(H421,CHOOSE({1,2},Table17[Native],Table17[Name]),2,0)</f>
        <v>Luózhuāng Qū</v>
      </c>
      <c r="N421" s="15" t="str">
        <f>VLOOKUP(I421,CHOOSE({1,2},Table17[Native],Table17[Name]),2,0)</f>
        <v>Línyí Shì</v>
      </c>
      <c r="O421" s="15" t="str">
        <f t="shared" si="12"/>
        <v>Fuzhuang Jiedao [incl. Tangzhuang Jiedao] (Línyí Shì)</v>
      </c>
      <c r="P421" s="15" t="str">
        <f t="shared" si="13"/>
        <v>Fuzhuang Jiedao [incl. Tangzhuang Jiedao] (Línyí Shì)</v>
      </c>
    </row>
    <row r="422" spans="1:16" hidden="1" x14ac:dyDescent="0.25">
      <c r="A422" t="s">
        <v>2549</v>
      </c>
      <c r="B422" t="str">
        <f>IF(COUNTIF(A:A,A422)&gt;1,_xlfn.CONCAT(A422," (",N422,")"),A422)</f>
        <v>Gāngchéng Zhèn</v>
      </c>
      <c r="C422" t="str">
        <f>IF(COUNTIF(B:B,B422)&gt;1,_xlfn.CONCAT(A422," (",M422,")"),B422)</f>
        <v>Gāngchéng Zhèn</v>
      </c>
      <c r="D422" t="s">
        <v>2550</v>
      </c>
      <c r="E422" t="s">
        <v>13</v>
      </c>
      <c r="F422" t="str">
        <f>_xlfn.CONCAT(D422,", ",H422,", ",I422,", ","山东省")</f>
        <v>堽城镇, 宁阳县, 泰安市, 山东省</v>
      </c>
      <c r="G422">
        <v>70864</v>
      </c>
      <c r="H422" t="s">
        <v>3747</v>
      </c>
      <c r="I422" t="s">
        <v>3743</v>
      </c>
      <c r="J422">
        <f>VLOOKUP(F422,[1]!china_towns_second__2[[Column1]:[Y]],3,FALSE)</f>
        <v>35.867558232853803</v>
      </c>
      <c r="K422">
        <f>VLOOKUP(F422,[1]!china_towns_second__2[[Column1]:[Y]],2,FALSE)</f>
        <v>116.87146559999999</v>
      </c>
      <c r="L422" t="s">
        <v>5257</v>
      </c>
      <c r="M422" t="str">
        <f>VLOOKUP(H422,CHOOSE({1,2},Table17[Native],Table17[Name]),2,0)</f>
        <v>Níngyáng Xiàn</v>
      </c>
      <c r="N422" s="15" t="str">
        <f>VLOOKUP(I422,CHOOSE({1,2},Table17[Native],Table17[Name]),2,0)</f>
        <v>Tài'ān Shì</v>
      </c>
      <c r="O422" s="15" t="str">
        <f t="shared" si="12"/>
        <v>Gangcheng Zhen (Tài'ān Shì)</v>
      </c>
      <c r="P422" s="15" t="str">
        <f t="shared" si="13"/>
        <v>Gangcheng Zhen (Tài'ān Shì)</v>
      </c>
    </row>
    <row r="423" spans="1:16" hidden="1" x14ac:dyDescent="0.25">
      <c r="A423" t="s">
        <v>983</v>
      </c>
      <c r="B423" t="str">
        <f>IF(COUNTIF(A:A,A423)&gt;1,_xlfn.CONCAT(A423," (",N423,")"),A423)</f>
        <v>Gănggōu Jiēdào</v>
      </c>
      <c r="C423" t="str">
        <f>IF(COUNTIF(B:B,B423)&gt;1,_xlfn.CONCAT(A423," (",M423,")"),B423)</f>
        <v>Gănggōu Jiēdào</v>
      </c>
      <c r="D423" t="s">
        <v>984</v>
      </c>
      <c r="E423" t="s">
        <v>7</v>
      </c>
      <c r="F423" t="str">
        <f>_xlfn.CONCAT(D423,", ",H423,", ",I423,", ","山东省")</f>
        <v>港沟街道, 历城区, 济南市, 山东省</v>
      </c>
      <c r="G423">
        <v>66856</v>
      </c>
      <c r="H423" t="s">
        <v>3679</v>
      </c>
      <c r="I423" t="s">
        <v>3673</v>
      </c>
      <c r="J423">
        <f>VLOOKUP(F423,[1]!china_towns_second__2[[Column1]:[Y]],3,FALSE)</f>
        <v>36.618321515665102</v>
      </c>
      <c r="K423">
        <f>VLOOKUP(F423,[1]!china_towns_second__2[[Column1]:[Y]],2,FALSE)</f>
        <v>117.18350049999999</v>
      </c>
      <c r="L423" t="s">
        <v>5258</v>
      </c>
      <c r="M423" t="str">
        <f>VLOOKUP(H423,CHOOSE({1,2},Table17[Native],Table17[Name]),2,0)</f>
        <v>Lìchéng Qū</v>
      </c>
      <c r="N423" s="15" t="str">
        <f>VLOOKUP(I423,CHOOSE({1,2},Table17[Native],Table17[Name]),2,0)</f>
        <v>Jìnán Shì</v>
      </c>
      <c r="O423" s="15" t="str">
        <f t="shared" si="12"/>
        <v>Ganggou Jiedao (Jìnán Shì)</v>
      </c>
      <c r="P423" s="15" t="str">
        <f t="shared" si="13"/>
        <v>Ganggou Jiedao (Jìnán Shì)</v>
      </c>
    </row>
    <row r="424" spans="1:16" hidden="1" x14ac:dyDescent="0.25">
      <c r="A424" t="s">
        <v>1272</v>
      </c>
      <c r="B424" t="str">
        <f>IF(COUNTIF(A:A,A424)&gt;1,_xlfn.CONCAT(A424," (",N424,")"),A424)</f>
        <v>Gāngshān Jiēdào</v>
      </c>
      <c r="C424" t="str">
        <f>IF(COUNTIF(B:B,B424)&gt;1,_xlfn.CONCAT(A424," (",M424,")"),B424)</f>
        <v>Gāngshān Jiēdào</v>
      </c>
      <c r="D424" t="s">
        <v>1273</v>
      </c>
      <c r="E424" t="s">
        <v>7</v>
      </c>
      <c r="F424" t="str">
        <f>_xlfn.CONCAT(D424,", ",H424,", ",I424,", ","山东省")</f>
        <v>钢山街道, 邹城市, 济宁市, 山东省</v>
      </c>
      <c r="G424">
        <v>123014</v>
      </c>
      <c r="H424" t="s">
        <v>3698</v>
      </c>
      <c r="I424" t="s">
        <v>3687</v>
      </c>
      <c r="J424">
        <f>VLOOKUP(F424,[1]!china_towns_second__2[[Column1]:[Y]],3,FALSE)</f>
        <v>35.423276681905101</v>
      </c>
      <c r="K424">
        <f>VLOOKUP(F424,[1]!china_towns_second__2[[Column1]:[Y]],2,FALSE)</f>
        <v>116.983513</v>
      </c>
      <c r="L424" t="s">
        <v>5259</v>
      </c>
      <c r="M424" t="str">
        <f>VLOOKUP(H424,CHOOSE({1,2},Table17[Native],Table17[Name]),2,0)</f>
        <v>Zōuchéng Shì</v>
      </c>
      <c r="N424" s="15" t="str">
        <f>VLOOKUP(I424,CHOOSE({1,2},Table17[Native],Table17[Name]),2,0)</f>
        <v>Jìníng Shì</v>
      </c>
      <c r="O424" s="15" t="str">
        <f t="shared" si="12"/>
        <v>Gangshan Jiedao (Jìníng Shì)</v>
      </c>
      <c r="P424" s="15" t="str">
        <f t="shared" si="13"/>
        <v>Gangshan Jiedao (Jìníng Shì)</v>
      </c>
    </row>
    <row r="425" spans="1:16" hidden="1" x14ac:dyDescent="0.25">
      <c r="A425" t="s">
        <v>1881</v>
      </c>
      <c r="B425" t="str">
        <f>IF(COUNTIF(A:A,A425)&gt;1,_xlfn.CONCAT(A425," (",N425,")"),A425)</f>
        <v>Găngshàng Zhèn</v>
      </c>
      <c r="C425" t="str">
        <f>IF(COUNTIF(B:B,B425)&gt;1,_xlfn.CONCAT(A425," (",M425,")"),B425)</f>
        <v>Găngshàng Zhèn</v>
      </c>
      <c r="D425" t="s">
        <v>1882</v>
      </c>
      <c r="E425" t="s">
        <v>13</v>
      </c>
      <c r="F425" t="str">
        <f>_xlfn.CONCAT(D425,", ",H425,", ",I425,", ","山东省")</f>
        <v>港上镇, 郯城县, 临沂市, 山东省</v>
      </c>
      <c r="G425">
        <v>39669</v>
      </c>
      <c r="H425" t="s">
        <v>3720</v>
      </c>
      <c r="I425" t="s">
        <v>3710</v>
      </c>
      <c r="J425">
        <f>VLOOKUP(F425,[1]!china_towns_second__2[[Column1]:[Y]],3,FALSE)</f>
        <v>34.596045176796402</v>
      </c>
      <c r="K425">
        <f>VLOOKUP(F425,[1]!china_towns_second__2[[Column1]:[Y]],2,FALSE)</f>
        <v>118.2093624</v>
      </c>
      <c r="L425" t="s">
        <v>5260</v>
      </c>
      <c r="M425" t="str">
        <f>VLOOKUP(H425,CHOOSE({1,2},Table17[Native],Table17[Name]),2,0)</f>
        <v>Tánchéng Xiàn</v>
      </c>
      <c r="N425" s="15" t="str">
        <f>VLOOKUP(I425,CHOOSE({1,2},Table17[Native],Table17[Name]),2,0)</f>
        <v>Línyí Shì</v>
      </c>
      <c r="O425" s="15" t="str">
        <f t="shared" si="12"/>
        <v>Gangshang Zhen (Línyí Shì)</v>
      </c>
      <c r="P425" s="15" t="str">
        <f t="shared" si="13"/>
        <v>Gangshang Zhen (Línyí Shì)</v>
      </c>
    </row>
    <row r="426" spans="1:16" hidden="1" x14ac:dyDescent="0.25">
      <c r="A426" t="s">
        <v>1590</v>
      </c>
      <c r="B426" t="str">
        <f>IF(COUNTIF(A:A,A426)&gt;1,_xlfn.CONCAT(A426," (",N426,")"),A426)</f>
        <v>Gānguāntún Zhèn</v>
      </c>
      <c r="C426" t="str">
        <f>IF(COUNTIF(B:B,B426)&gt;1,_xlfn.CONCAT(A426," (",M426,")"),B426)</f>
        <v>Gānguāntún Zhèn</v>
      </c>
      <c r="D426" t="s">
        <v>1591</v>
      </c>
      <c r="E426" t="s">
        <v>13</v>
      </c>
      <c r="F426" t="str">
        <f>_xlfn.CONCAT(D426,", ",H426,", ",I426,", ","山东省")</f>
        <v>甘官屯镇, 冠县, 聊城市, 山东省</v>
      </c>
      <c r="G426">
        <v>42119</v>
      </c>
      <c r="H426" t="s">
        <v>3705</v>
      </c>
      <c r="I426" t="s">
        <v>3700</v>
      </c>
      <c r="J426">
        <f>VLOOKUP(F426,[1]!china_towns_second__2[[Column1]:[Y]],3,FALSE)</f>
        <v>36.632382981286398</v>
      </c>
      <c r="K426">
        <f>VLOOKUP(F426,[1]!china_towns_second__2[[Column1]:[Y]],2,FALSE)</f>
        <v>115.6023016</v>
      </c>
      <c r="L426" t="s">
        <v>5261</v>
      </c>
      <c r="M426" t="str">
        <f>VLOOKUP(H426,CHOOSE({1,2},Table17[Native],Table17[Name]),2,0)</f>
        <v>Guān Xiàn</v>
      </c>
      <c r="N426" s="15" t="str">
        <f>VLOOKUP(I426,CHOOSE({1,2},Table17[Native],Table17[Name]),2,0)</f>
        <v>Liáochéng Shì</v>
      </c>
      <c r="O426" s="15" t="str">
        <f t="shared" si="12"/>
        <v>Ganguantun Zhen (Liáochéng Shì)</v>
      </c>
      <c r="P426" s="15" t="str">
        <f t="shared" si="13"/>
        <v>Ganguantun Zhen (Liáochéng Shì)</v>
      </c>
    </row>
    <row r="427" spans="1:16" hidden="1" x14ac:dyDescent="0.25">
      <c r="A427" t="s">
        <v>2928</v>
      </c>
      <c r="B427" t="str">
        <f>IF(COUNTIF(A:A,A427)&gt;1,_xlfn.CONCAT(A427," (",N427,")"),A427)</f>
        <v>Găngwān Jiēdào</v>
      </c>
      <c r="C427" t="str">
        <f>IF(COUNTIF(B:B,B427)&gt;1,_xlfn.CONCAT(A427," (",M427,")"),B427)</f>
        <v>Găngwān Jiēdào</v>
      </c>
      <c r="D427" t="s">
        <v>2929</v>
      </c>
      <c r="E427" t="s">
        <v>7</v>
      </c>
      <c r="F427" t="str">
        <f>_xlfn.CONCAT(D427,", ",H427,", ",I427,", ","山东省")</f>
        <v>港湾街道, 荣成市, 威海市, 山东省</v>
      </c>
      <c r="G427">
        <v>64345</v>
      </c>
      <c r="H427" t="s">
        <v>3767</v>
      </c>
      <c r="I427" t="s">
        <v>3765</v>
      </c>
      <c r="J427">
        <f>VLOOKUP(F427,[1]!china_towns_second__2[[Column1]:[Y]],3,FALSE)</f>
        <v>36.881528973869301</v>
      </c>
      <c r="K427">
        <f>VLOOKUP(F427,[1]!china_towns_second__2[[Column1]:[Y]],2,FALSE)</f>
        <v>122.39933569999999</v>
      </c>
      <c r="L427" t="s">
        <v>5262</v>
      </c>
      <c r="M427" t="str">
        <f>VLOOKUP(H427,CHOOSE({1,2},Table17[Native],Table17[Name]),2,0)</f>
        <v>Róngchéng Shì</v>
      </c>
      <c r="N427" s="15" t="str">
        <f>VLOOKUP(I427,CHOOSE({1,2},Table17[Native],Table17[Name]),2,0)</f>
        <v>Wēihăi Shì</v>
      </c>
      <c r="O427" s="15" t="str">
        <f t="shared" si="12"/>
        <v>Gangwan Jiedao (Wēihăi Shì)</v>
      </c>
      <c r="P427" s="15" t="str">
        <f t="shared" si="13"/>
        <v>Gangwan Jiedao (Wēihăi Shì)</v>
      </c>
    </row>
    <row r="428" spans="1:16" hidden="1" x14ac:dyDescent="0.25">
      <c r="A428" t="s">
        <v>2930</v>
      </c>
      <c r="B428" t="str">
        <f>IF(COUNTIF(A:A,A428)&gt;1,_xlfn.CONCAT(A428," (",N428,")"),A428)</f>
        <v>Găngxī Zhèn</v>
      </c>
      <c r="C428" t="str">
        <f>IF(COUNTIF(B:B,B428)&gt;1,_xlfn.CONCAT(A428," (",M428,")"),B428)</f>
        <v>Găngxī Zhèn</v>
      </c>
      <c r="D428" t="s">
        <v>2931</v>
      </c>
      <c r="E428" t="s">
        <v>13</v>
      </c>
      <c r="F428" t="str">
        <f>_xlfn.CONCAT(D428,", ",H428,", ",I428,", ","山东省")</f>
        <v>港西镇, 荣成市, 威海市, 山东省</v>
      </c>
      <c r="G428">
        <v>19246</v>
      </c>
      <c r="H428" t="s">
        <v>3767</v>
      </c>
      <c r="I428" t="s">
        <v>3765</v>
      </c>
      <c r="J428">
        <f>VLOOKUP(F428,[1]!china_towns_second__2[[Column1]:[Y]],3,FALSE)</f>
        <v>37.3909186214022</v>
      </c>
      <c r="K428">
        <f>VLOOKUP(F428,[1]!china_towns_second__2[[Column1]:[Y]],2,FALSE)</f>
        <v>122.44019299999999</v>
      </c>
      <c r="L428" t="s">
        <v>5263</v>
      </c>
      <c r="M428" t="str">
        <f>VLOOKUP(H428,CHOOSE({1,2},Table17[Native],Table17[Name]),2,0)</f>
        <v>Róngchéng Shì</v>
      </c>
      <c r="N428" s="15" t="str">
        <f>VLOOKUP(I428,CHOOSE({1,2},Table17[Native],Table17[Name]),2,0)</f>
        <v>Wēihăi Shì</v>
      </c>
      <c r="O428" s="15" t="str">
        <f t="shared" si="12"/>
        <v>Gangxi Zhen (Wēihăi Shì)</v>
      </c>
      <c r="P428" s="15" t="str">
        <f t="shared" si="13"/>
        <v>Gangxi Zhen (Wēihăi Shì)</v>
      </c>
    </row>
    <row r="429" spans="1:16" hidden="1" x14ac:dyDescent="0.25">
      <c r="A429" t="s">
        <v>985</v>
      </c>
      <c r="B429" t="str">
        <f>IF(COUNTIF(A:A,A429)&gt;1,_xlfn.CONCAT(A429," (",N429,")"),A429)</f>
        <v>Gānshíqiáo Jiēdào</v>
      </c>
      <c r="C429" t="str">
        <f>IF(COUNTIF(B:B,B429)&gt;1,_xlfn.CONCAT(A429," (",M429,")"),B429)</f>
        <v>Gānshíqiáo Jiēdào</v>
      </c>
      <c r="D429" t="s">
        <v>986</v>
      </c>
      <c r="E429" t="s">
        <v>7</v>
      </c>
      <c r="F429" t="str">
        <f>_xlfn.CONCAT(D429,", ",H429,", ",I429,", ","山东省")</f>
        <v>杆石桥街道, 市中区, 济南市, 山东省</v>
      </c>
      <c r="G429">
        <v>44318</v>
      </c>
      <c r="H429" t="s">
        <v>3683</v>
      </c>
      <c r="I429" t="s">
        <v>3673</v>
      </c>
      <c r="J429">
        <f>VLOOKUP(F429,[1]!china_towns_second__2[[Column1]:[Y]],3,FALSE)</f>
        <v>36.653062469677302</v>
      </c>
      <c r="K429">
        <f>VLOOKUP(F429,[1]!china_towns_second__2[[Column1]:[Y]],2,FALSE)</f>
        <v>116.99277170000001</v>
      </c>
      <c r="L429" t="s">
        <v>5264</v>
      </c>
      <c r="M429" t="str">
        <f>VLOOKUP(H429,CHOOSE({1,2},Table17[Native],Table17[Name]),2,0)</f>
        <v>Shìzhōng Qū</v>
      </c>
      <c r="N429" s="15" t="str">
        <f>VLOOKUP(I429,CHOOSE({1,2},Table17[Native],Table17[Name]),2,0)</f>
        <v>Jìnán Shì</v>
      </c>
      <c r="O429" s="15" t="str">
        <f t="shared" si="12"/>
        <v>Ganshiqiao Jiedao (Jìnán Shì)</v>
      </c>
      <c r="P429" s="15" t="str">
        <f t="shared" si="13"/>
        <v>Ganshiqiao Jiedao (Jìnán Shì)</v>
      </c>
    </row>
    <row r="430" spans="1:16" hidden="1" x14ac:dyDescent="0.25">
      <c r="A430" t="s">
        <v>3496</v>
      </c>
      <c r="B430" t="str">
        <f>IF(COUNTIF(A:A,A430)&gt;1,_xlfn.CONCAT(A430," (",N430,")"),A430)</f>
        <v>Gāochéng Zhèn</v>
      </c>
      <c r="C430" t="str">
        <f>IF(COUNTIF(B:B,B430)&gt;1,_xlfn.CONCAT(A430," (",M430,")"),B430)</f>
        <v>Gāochéng Zhèn</v>
      </c>
      <c r="D430" t="s">
        <v>3497</v>
      </c>
      <c r="E430" t="s">
        <v>13</v>
      </c>
      <c r="F430" t="str">
        <f>_xlfn.CONCAT(D430,", ",H430,", ",I430,", ","山东省")</f>
        <v>高城镇, 高青县, 淄博市, 山东省</v>
      </c>
      <c r="G430">
        <v>38121</v>
      </c>
      <c r="H430" t="s">
        <v>3793</v>
      </c>
      <c r="I430" t="s">
        <v>3791</v>
      </c>
      <c r="J430">
        <f>VLOOKUP(F430,[1]!china_towns_second__2[[Column1]:[Y]],3,FALSE)</f>
        <v>37.1103825004217</v>
      </c>
      <c r="K430">
        <f>VLOOKUP(F430,[1]!china_towns_second__2[[Column1]:[Y]],2,FALSE)</f>
        <v>117.9504838</v>
      </c>
      <c r="L430" t="s">
        <v>5265</v>
      </c>
      <c r="M430" t="str">
        <f>VLOOKUP(H430,CHOOSE({1,2},Table17[Native],Table17[Name]),2,0)</f>
        <v>Gāoqīng Xiàn</v>
      </c>
      <c r="N430" s="15" t="str">
        <f>VLOOKUP(I430,CHOOSE({1,2},Table17[Native],Table17[Name]),2,0)</f>
        <v>Zībó Shì</v>
      </c>
      <c r="O430" s="15" t="str">
        <f t="shared" si="12"/>
        <v>Gaocheng Zhen (Zībó Shì)</v>
      </c>
      <c r="P430" s="15" t="str">
        <f t="shared" si="13"/>
        <v>Gaocheng Zhen (Zībó Shì)</v>
      </c>
    </row>
    <row r="431" spans="1:16" hidden="1" x14ac:dyDescent="0.25">
      <c r="A431" t="s">
        <v>2932</v>
      </c>
      <c r="B431" t="str">
        <f>IF(COUNTIF(A:A,A431)&gt;1,_xlfn.CONCAT(A431," (",N431,")"),A431)</f>
        <v>Gāocūn Zhèn</v>
      </c>
      <c r="C431" t="str">
        <f>IF(COUNTIF(B:B,B431)&gt;1,_xlfn.CONCAT(A431," (",M431,")"),B431)</f>
        <v>Gāocūn Zhèn</v>
      </c>
      <c r="D431" t="s">
        <v>2933</v>
      </c>
      <c r="E431" t="s">
        <v>13</v>
      </c>
      <c r="F431" t="str">
        <f>_xlfn.CONCAT(D431,", ",H431,", ",I431,", ","山东省")</f>
        <v>高村镇, 文登区, 威海市, 山东省</v>
      </c>
      <c r="G431">
        <v>26603</v>
      </c>
      <c r="H431" t="s">
        <v>3769</v>
      </c>
      <c r="I431" t="s">
        <v>3765</v>
      </c>
      <c r="J431">
        <f>VLOOKUP(F431,[1]!china_towns_second__2[[Column1]:[Y]],3,FALSE)</f>
        <v>37.092846809966701</v>
      </c>
      <c r="K431">
        <f>VLOOKUP(F431,[1]!china_towns_second__2[[Column1]:[Y]],2,FALSE)</f>
        <v>122.1956931</v>
      </c>
      <c r="L431" t="s">
        <v>5266</v>
      </c>
      <c r="M431" t="str">
        <f>VLOOKUP(H431,CHOOSE({1,2},Table17[Native],Table17[Name]),2,0)</f>
        <v>Wéndēng Qū</v>
      </c>
      <c r="N431" s="15" t="str">
        <f>VLOOKUP(I431,CHOOSE({1,2},Table17[Native],Table17[Name]),2,0)</f>
        <v>Wēihăi Shì</v>
      </c>
      <c r="O431" s="15" t="str">
        <f t="shared" si="12"/>
        <v>Gaocun Zhen (Wēihăi Shì)</v>
      </c>
      <c r="P431" s="15" t="str">
        <f t="shared" si="13"/>
        <v>Gaocun Zhen (Wēihăi Shì)</v>
      </c>
    </row>
    <row r="432" spans="1:16" hidden="1" x14ac:dyDescent="0.25">
      <c r="A432" t="s">
        <v>1883</v>
      </c>
      <c r="B432" t="str">
        <f>IF(COUNTIF(A:A,A432)&gt;1,_xlfn.CONCAT(A432," (",N432,")"),A432)</f>
        <v>Gāodū Jiēdào</v>
      </c>
      <c r="C432" t="str">
        <f>IF(COUNTIF(B:B,B432)&gt;1,_xlfn.CONCAT(A432," (",M432,")"),B432)</f>
        <v>Gāodū Jiēdào</v>
      </c>
      <c r="D432" t="s">
        <v>1884</v>
      </c>
      <c r="E432" t="s">
        <v>7</v>
      </c>
      <c r="F432" t="str">
        <f>_xlfn.CONCAT(D432,", ",H432,", ",I432,", ","山东省")</f>
        <v>高都街道, 罗庄区, 临沂市, 山东省</v>
      </c>
      <c r="G432">
        <v>48159</v>
      </c>
      <c r="H432" t="s">
        <v>3717</v>
      </c>
      <c r="I432" t="s">
        <v>3710</v>
      </c>
      <c r="J432">
        <f>VLOOKUP(F432,[1]!china_towns_second__2[[Column1]:[Y]],3,FALSE)</f>
        <v>34.958673188676698</v>
      </c>
      <c r="K432">
        <f>VLOOKUP(F432,[1]!china_towns_second__2[[Column1]:[Y]],2,FALSE)</f>
        <v>118.3766703</v>
      </c>
      <c r="L432" t="s">
        <v>5267</v>
      </c>
      <c r="M432" t="str">
        <f>VLOOKUP(H432,CHOOSE({1,2},Table17[Native],Table17[Name]),2,0)</f>
        <v>Luózhuāng Qū</v>
      </c>
      <c r="N432" s="15" t="str">
        <f>VLOOKUP(I432,CHOOSE({1,2},Table17[Native],Table17[Name]),2,0)</f>
        <v>Línyí Shì</v>
      </c>
      <c r="O432" s="15" t="str">
        <f t="shared" si="12"/>
        <v>Gaodu Jiedao (Línyí Shì)</v>
      </c>
      <c r="P432" s="15" t="str">
        <f t="shared" si="13"/>
        <v>Gaodu Jiedao (Línyí Shì)</v>
      </c>
    </row>
    <row r="433" spans="1:16" hidden="1" x14ac:dyDescent="0.25">
      <c r="A433" t="s">
        <v>1885</v>
      </c>
      <c r="B433" t="str">
        <f>IF(COUNTIF(A:A,A433)&gt;1,_xlfn.CONCAT(A433," (",N433,")"),A433)</f>
        <v>Gāodū Zhèn</v>
      </c>
      <c r="C433" t="str">
        <f>IF(COUNTIF(B:B,B433)&gt;1,_xlfn.CONCAT(A433," (",M433,")"),B433)</f>
        <v>Gāodū Zhèn</v>
      </c>
      <c r="D433" t="s">
        <v>1886</v>
      </c>
      <c r="E433" t="s">
        <v>13</v>
      </c>
      <c r="F433" t="str">
        <f>_xlfn.CONCAT(D433,", ",H433,", ",I433,", ","山东省")</f>
        <v>高都镇, 蒙阴县, 临沂市, 山东省</v>
      </c>
      <c r="G433">
        <v>28412</v>
      </c>
      <c r="H433" t="s">
        <v>3718</v>
      </c>
      <c r="I433" t="s">
        <v>3710</v>
      </c>
      <c r="J433">
        <f>VLOOKUP(F433,[1]!china_towns_second__2[[Column1]:[Y]],3,FALSE)</f>
        <v>35.827153405866099</v>
      </c>
      <c r="K433">
        <f>VLOOKUP(F433,[1]!china_towns_second__2[[Column1]:[Y]],2,FALSE)</f>
        <v>117.9418768</v>
      </c>
      <c r="L433" t="s">
        <v>5268</v>
      </c>
      <c r="M433" t="str">
        <f>VLOOKUP(H433,CHOOSE({1,2},Table17[Native],Table17[Name]),2,0)</f>
        <v>Mĕngyīn Xiàn</v>
      </c>
      <c r="N433" s="15" t="str">
        <f>VLOOKUP(I433,CHOOSE({1,2},Table17[Native],Table17[Name]),2,0)</f>
        <v>Línyí Shì</v>
      </c>
      <c r="O433" s="15" t="str">
        <f t="shared" si="12"/>
        <v>Gaodu Zhen (Línyí Shì)</v>
      </c>
      <c r="P433" s="15" t="str">
        <f t="shared" si="13"/>
        <v>Gaodu Zhen (Línyí Shì)</v>
      </c>
    </row>
    <row r="434" spans="1:16" hidden="1" x14ac:dyDescent="0.25">
      <c r="A434" t="s">
        <v>1887</v>
      </c>
      <c r="B434" t="str">
        <f>IF(COUNTIF(A:A,A434)&gt;1,_xlfn.CONCAT(A434," (",N434,")"),A434)</f>
        <v>Gāofēngtóu Zhèn</v>
      </c>
      <c r="C434" t="str">
        <f>IF(COUNTIF(B:B,B434)&gt;1,_xlfn.CONCAT(A434," (",M434,")"),B434)</f>
        <v>Gāofēngtóu Zhèn</v>
      </c>
      <c r="D434" t="s">
        <v>1888</v>
      </c>
      <c r="E434" t="s">
        <v>13</v>
      </c>
      <c r="F434" t="str">
        <f>_xlfn.CONCAT(D434,", ",H434,", ",I434,", ","山东省")</f>
        <v>高峰头镇, 郯城县, 临沂市, 山东省</v>
      </c>
      <c r="G434">
        <v>42688</v>
      </c>
      <c r="H434" t="s">
        <v>3720</v>
      </c>
      <c r="I434" t="s">
        <v>3710</v>
      </c>
      <c r="J434">
        <f>VLOOKUP(F434,[1]!china_towns_second__2[[Column1]:[Y]],3,FALSE)</f>
        <v>34.546199901974397</v>
      </c>
      <c r="K434">
        <f>VLOOKUP(F434,[1]!china_towns_second__2[[Column1]:[Y]],2,FALSE)</f>
        <v>118.36861879999999</v>
      </c>
      <c r="L434" t="s">
        <v>5269</v>
      </c>
      <c r="M434" t="str">
        <f>VLOOKUP(H434,CHOOSE({1,2},Table17[Native],Table17[Name]),2,0)</f>
        <v>Tánchéng Xiàn</v>
      </c>
      <c r="N434" s="15" t="str">
        <f>VLOOKUP(I434,CHOOSE({1,2},Table17[Native],Table17[Name]),2,0)</f>
        <v>Línyí Shì</v>
      </c>
      <c r="O434" s="15" t="str">
        <f t="shared" si="12"/>
        <v>Gaofengtou Zhen (Línyí Shì)</v>
      </c>
      <c r="P434" s="15" t="str">
        <f t="shared" si="13"/>
        <v>Gaofengtou Zhen (Línyí Shì)</v>
      </c>
    </row>
    <row r="435" spans="1:16" hidden="1" x14ac:dyDescent="0.25">
      <c r="A435" t="s">
        <v>3121</v>
      </c>
      <c r="B435" t="str">
        <f>IF(COUNTIF(A:A,A435)&gt;1,_xlfn.CONCAT(A435," (",N435,")"),A435)</f>
        <v>Gāogézhuāng Zhèn</v>
      </c>
      <c r="C435" t="str">
        <f>IF(COUNTIF(B:B,B435)&gt;1,_xlfn.CONCAT(A435," (",M435,")"),B435)</f>
        <v>Gāogézhuāng Zhèn</v>
      </c>
      <c r="D435" t="s">
        <v>3122</v>
      </c>
      <c r="E435" t="s">
        <v>13</v>
      </c>
      <c r="F435" t="str">
        <f>_xlfn.CONCAT(D435,", ",H435,", ",I435,", ","山东省")</f>
        <v>高格庄镇, 莱阳市, 烟台市, 山东省</v>
      </c>
      <c r="G435">
        <v>29922</v>
      </c>
      <c r="H435" t="s">
        <v>3775</v>
      </c>
      <c r="I435" t="s">
        <v>3771</v>
      </c>
      <c r="J435">
        <f>VLOOKUP(F435,[1]!china_towns_second__2[[Column1]:[Y]],3,FALSE)</f>
        <v>36.720066936867298</v>
      </c>
      <c r="K435">
        <f>VLOOKUP(F435,[1]!china_towns_second__2[[Column1]:[Y]],2,FALSE)</f>
        <v>120.7755322</v>
      </c>
      <c r="L435" t="s">
        <v>5270</v>
      </c>
      <c r="M435" t="str">
        <f>VLOOKUP(H435,CHOOSE({1,2},Table17[Native],Table17[Name]),2,0)</f>
        <v>Láiyáng Shì</v>
      </c>
      <c r="N435" s="15" t="str">
        <f>VLOOKUP(I435,CHOOSE({1,2},Table17[Native],Table17[Name]),2,0)</f>
        <v>Yāntái Shì</v>
      </c>
      <c r="O435" s="15" t="str">
        <f t="shared" si="12"/>
        <v>Gaogezhuang Zhen (Yāntái Shì)</v>
      </c>
      <c r="P435" s="15" t="str">
        <f t="shared" si="13"/>
        <v>Gaogezhuang Zhen (Yāntái Shì)</v>
      </c>
    </row>
    <row r="436" spans="1:16" hidden="1" x14ac:dyDescent="0.25">
      <c r="A436" t="s">
        <v>987</v>
      </c>
      <c r="B436" t="str">
        <f>IF(COUNTIF(A:A,A436)&gt;1,_xlfn.CONCAT(A436," (",N436,")"),A436)</f>
        <v>Gāoguānzhài Jiēdào</v>
      </c>
      <c r="C436" t="str">
        <f>IF(COUNTIF(B:B,B436)&gt;1,_xlfn.CONCAT(A436," (",M436,")"),B436)</f>
        <v>Gāoguānzhài Jiēdào</v>
      </c>
      <c r="D436" t="s">
        <v>988</v>
      </c>
      <c r="E436" t="s">
        <v>7</v>
      </c>
      <c r="F436" t="str">
        <f>_xlfn.CONCAT(D436,", ",H436,", ",I436,", ","山东省")</f>
        <v>高官寨街道, 章丘区, 济南市, 山东省</v>
      </c>
      <c r="G436">
        <v>49512</v>
      </c>
      <c r="H436" t="s">
        <v>3685</v>
      </c>
      <c r="I436" t="s">
        <v>3673</v>
      </c>
      <c r="J436" t="e">
        <f>VLOOKUP(F436,[1]!china_towns_second__2[[Column1]:[Y]],3,FALSE)</f>
        <v>#N/A</v>
      </c>
      <c r="K436" t="e">
        <f>VLOOKUP(F436,[1]!china_towns_second__2[[Column1]:[Y]],2,FALSE)</f>
        <v>#N/A</v>
      </c>
      <c r="L436" t="s">
        <v>5271</v>
      </c>
      <c r="M436" t="str">
        <f>VLOOKUP(H436,CHOOSE({1,2},Table17[Native],Table17[Name]),2,0)</f>
        <v>Zhāngqiū Qū</v>
      </c>
      <c r="N436" s="15" t="str">
        <f>VLOOKUP(I436,CHOOSE({1,2},Table17[Native],Table17[Name]),2,0)</f>
        <v>Jìnán Shì</v>
      </c>
      <c r="O436" s="15" t="str">
        <f t="shared" si="12"/>
        <v>Gaoguanzhai Jiedao (Jìnán Shì)</v>
      </c>
      <c r="P436" s="15" t="str">
        <f t="shared" si="13"/>
        <v>Gaoguanzhai Jiedao (Jìnán Shì)</v>
      </c>
    </row>
    <row r="437" spans="1:16" hidden="1" x14ac:dyDescent="0.25">
      <c r="A437" t="s">
        <v>1274</v>
      </c>
      <c r="B437" t="str">
        <f>IF(COUNTIF(A:A,A437)&gt;1,_xlfn.CONCAT(A437," (",N437,")"),A437)</f>
        <v>Gāohé Jiēdào</v>
      </c>
      <c r="C437" t="str">
        <f>IF(COUNTIF(B:B,B437)&gt;1,_xlfn.CONCAT(A437," (",M437,")"),B437)</f>
        <v>Gāohé Jiēdào</v>
      </c>
      <c r="D437" t="s">
        <v>1275</v>
      </c>
      <c r="E437" t="s">
        <v>7</v>
      </c>
      <c r="F437" t="str">
        <f>_xlfn.CONCAT(D437,", ",H437,", ",I437,", ","山东省")</f>
        <v>高河街道, 金乡县, 济宁市, 山东省</v>
      </c>
      <c r="G437">
        <v>32246</v>
      </c>
      <c r="H437" t="s">
        <v>3689</v>
      </c>
      <c r="I437" t="s">
        <v>3687</v>
      </c>
      <c r="J437">
        <f>VLOOKUP(F437,[1]!china_towns_second__2[[Column1]:[Y]],3,FALSE)</f>
        <v>35.079619717931998</v>
      </c>
      <c r="K437">
        <f>VLOOKUP(F437,[1]!china_towns_second__2[[Column1]:[Y]],2,FALSE)</f>
        <v>116.3727021</v>
      </c>
      <c r="L437" t="s">
        <v>5272</v>
      </c>
      <c r="M437" t="str">
        <f>VLOOKUP(H437,CHOOSE({1,2},Table17[Native],Table17[Name]),2,0)</f>
        <v>Jīnxiāng Xiàn</v>
      </c>
      <c r="N437" s="15" t="str">
        <f>VLOOKUP(I437,CHOOSE({1,2},Table17[Native],Table17[Name]),2,0)</f>
        <v>Jìníng Shì</v>
      </c>
      <c r="O437" s="15" t="str">
        <f t="shared" si="12"/>
        <v>Gaohe Jiedao (Jìníng Shì)</v>
      </c>
      <c r="P437" s="15" t="str">
        <f t="shared" si="13"/>
        <v>Gaohe Jiedao (Jìníng Shì)</v>
      </c>
    </row>
    <row r="438" spans="1:16" hidden="1" x14ac:dyDescent="0.25">
      <c r="A438" t="s">
        <v>1592</v>
      </c>
      <c r="B438" t="str">
        <f>IF(COUNTIF(A:A,A438)&gt;1,_xlfn.CONCAT(A438," (",N438,")"),A438)</f>
        <v>Gāojí Zhèn</v>
      </c>
      <c r="C438" t="str">
        <f>IF(COUNTIF(B:B,B438)&gt;1,_xlfn.CONCAT(A438," (",M438,")"),B438)</f>
        <v>Gāojí Zhèn</v>
      </c>
      <c r="D438" t="s">
        <v>1593</v>
      </c>
      <c r="E438" t="s">
        <v>13</v>
      </c>
      <c r="F438" t="str">
        <f>_xlfn.CONCAT(D438,", ",H438,", ",I438,", ","山东省")</f>
        <v>高集镇, 东阿县, 聊城市, 山东省</v>
      </c>
      <c r="G438">
        <v>21769</v>
      </c>
      <c r="H438" t="s">
        <v>3703</v>
      </c>
      <c r="I438" t="s">
        <v>3700</v>
      </c>
      <c r="J438">
        <f>VLOOKUP(F438,[1]!china_towns_second__2[[Column1]:[Y]],3,FALSE)</f>
        <v>36.472143855574501</v>
      </c>
      <c r="K438">
        <f>VLOOKUP(F438,[1]!china_towns_second__2[[Column1]:[Y]],2,FALSE)</f>
        <v>116.3975344</v>
      </c>
      <c r="L438" t="s">
        <v>5273</v>
      </c>
      <c r="M438" t="str">
        <f>VLOOKUP(H438,CHOOSE({1,2},Table17[Native],Table17[Name]),2,0)</f>
        <v>Dōng'ē Xiàn</v>
      </c>
      <c r="N438" s="15" t="str">
        <f>VLOOKUP(I438,CHOOSE({1,2},Table17[Native],Table17[Name]),2,0)</f>
        <v>Liáochéng Shì</v>
      </c>
      <c r="O438" s="15" t="str">
        <f t="shared" si="12"/>
        <v>Gaoji Zhen (Liáochéng Shì)</v>
      </c>
      <c r="P438" s="15" t="str">
        <f t="shared" si="13"/>
        <v>Gaoji Zhen (Liáochéng Shì)</v>
      </c>
    </row>
    <row r="439" spans="1:16" hidden="1" x14ac:dyDescent="0.25">
      <c r="A439" t="s">
        <v>684</v>
      </c>
      <c r="B439" t="str">
        <f>IF(COUNTIF(A:A,A439)&gt;1,_xlfn.CONCAT(A439," (",N439,")"),A439)</f>
        <v>Gāolăojiā Xiāng</v>
      </c>
      <c r="C439" t="str">
        <f>IF(COUNTIF(B:B,B439)&gt;1,_xlfn.CONCAT(A439," (",M439,")"),B439)</f>
        <v>Gāolăojiā Xiāng</v>
      </c>
      <c r="D439" t="s">
        <v>685</v>
      </c>
      <c r="E439" t="s">
        <v>61</v>
      </c>
      <c r="F439" t="str">
        <f>_xlfn.CONCAT(D439,", ",H439,", ",I439,", ","山东省")</f>
        <v>高老家乡, 单县, 菏泽市, 山东省</v>
      </c>
      <c r="G439">
        <v>52459</v>
      </c>
      <c r="H439" t="s">
        <v>3670</v>
      </c>
      <c r="I439" t="s">
        <v>3662</v>
      </c>
      <c r="J439" t="e">
        <f>VLOOKUP(F439,[1]!china_towns_second__2[[Column1]:[Y]],3,FALSE)</f>
        <v>#N/A</v>
      </c>
      <c r="K439" t="e">
        <f>VLOOKUP(F439,[1]!china_towns_second__2[[Column1]:[Y]],2,FALSE)</f>
        <v>#N/A</v>
      </c>
      <c r="L439" t="s">
        <v>5274</v>
      </c>
      <c r="M439" t="str">
        <f>VLOOKUP(H439,CHOOSE({1,2},Table17[Native],Table17[Name]),2,0)</f>
        <v>Shàn Xiàn</v>
      </c>
      <c r="N439" s="15" t="str">
        <f>VLOOKUP(I439,CHOOSE({1,2},Table17[Native],Table17[Name]),2,0)</f>
        <v>Hézé Shì</v>
      </c>
      <c r="O439" s="15" t="str">
        <f t="shared" si="12"/>
        <v>Gaolaojia Xiang (Hézé Shì)</v>
      </c>
      <c r="P439" s="15" t="str">
        <f t="shared" si="13"/>
        <v>Gaolaojia Xiang (Hézé Shì)</v>
      </c>
    </row>
    <row r="440" spans="1:16" hidden="1" x14ac:dyDescent="0.25">
      <c r="A440" t="s">
        <v>2719</v>
      </c>
      <c r="B440" t="str">
        <f>IF(COUNTIF(A:A,A440)&gt;1,_xlfn.CONCAT(A440," (",N440,")"),A440)</f>
        <v>Gāolĭ Jiēdào</v>
      </c>
      <c r="C440" t="str">
        <f>IF(COUNTIF(B:B,B440)&gt;1,_xlfn.CONCAT(A440," (",M440,")"),B440)</f>
        <v>Gāolĭ Jiēdào</v>
      </c>
      <c r="D440" t="s">
        <v>2720</v>
      </c>
      <c r="E440" t="s">
        <v>7</v>
      </c>
      <c r="F440" t="str">
        <f>_xlfn.CONCAT(D440,", ",H440,", ",I440,", ","山东省")</f>
        <v>高里街道, 寒亭区, 潍坊市, 山东省</v>
      </c>
      <c r="G440">
        <v>82861</v>
      </c>
      <c r="H440" t="s">
        <v>3757</v>
      </c>
      <c r="I440" t="s">
        <v>3751</v>
      </c>
      <c r="J440">
        <f>VLOOKUP(F440,[1]!china_towns_second__2[[Column1]:[Y]],3,FALSE)</f>
        <v>36.8764221665717</v>
      </c>
      <c r="K440">
        <f>VLOOKUP(F440,[1]!china_towns_second__2[[Column1]:[Y]],2,FALSE)</f>
        <v>119.0528997</v>
      </c>
      <c r="L440" t="s">
        <v>5275</v>
      </c>
      <c r="M440" t="str">
        <f>VLOOKUP(H440,CHOOSE({1,2},Table17[Native],Table17[Name]),2,0)</f>
        <v>Hántíng Qū</v>
      </c>
      <c r="N440" s="15" t="str">
        <f>VLOOKUP(I440,CHOOSE({1,2},Table17[Native],Table17[Name]),2,0)</f>
        <v>Wéifāng Shì</v>
      </c>
      <c r="O440" s="15" t="str">
        <f t="shared" si="12"/>
        <v>Gaoli Jiedao (Wéifāng Shì)</v>
      </c>
      <c r="P440" s="15" t="str">
        <f t="shared" si="13"/>
        <v>Gaoli Jiedao (Wéifāng Shì)</v>
      </c>
    </row>
    <row r="441" spans="1:16" hidden="1" x14ac:dyDescent="0.25">
      <c r="A441" t="s">
        <v>3123</v>
      </c>
      <c r="B441" t="str">
        <f>IF(COUNTIF(A:A,A441)&gt;1,_xlfn.CONCAT(A441," (",N441,")"),A441)</f>
        <v>Gāolíng Zhèn</v>
      </c>
      <c r="C441" t="str">
        <f>IF(COUNTIF(B:B,B441)&gt;1,_xlfn.CONCAT(A441," (",M441,")"),B441)</f>
        <v>Gāolíng Zhèn</v>
      </c>
      <c r="D441" t="s">
        <v>3124</v>
      </c>
      <c r="E441" t="s">
        <v>13</v>
      </c>
      <c r="F441" t="str">
        <f>_xlfn.CONCAT(D441,", ",H441,", ",I441,", ","山东省")</f>
        <v>高陵镇, 牟平区, 烟台市, 山东省</v>
      </c>
      <c r="G441">
        <v>32905</v>
      </c>
      <c r="H441" t="s">
        <v>3778</v>
      </c>
      <c r="I441" t="s">
        <v>3771</v>
      </c>
      <c r="J441">
        <f>VLOOKUP(F441,[1]!china_towns_second__2[[Column1]:[Y]],3,FALSE)</f>
        <v>37.273599511781697</v>
      </c>
      <c r="K441">
        <f>VLOOKUP(F441,[1]!china_towns_second__2[[Column1]:[Y]],2,FALSE)</f>
        <v>121.4983958</v>
      </c>
      <c r="L441" t="s">
        <v>5276</v>
      </c>
      <c r="M441" t="str">
        <f>VLOOKUP(H441,CHOOSE({1,2},Table17[Native],Table17[Name]),2,0)</f>
        <v>Mùpíng Qū</v>
      </c>
      <c r="N441" s="15" t="str">
        <f>VLOOKUP(I441,CHOOSE({1,2},Table17[Native],Table17[Name]),2,0)</f>
        <v>Yāntái Shì</v>
      </c>
      <c r="O441" s="15" t="str">
        <f t="shared" si="12"/>
        <v>Gaoling Zhen (Yāntái Shì)</v>
      </c>
      <c r="P441" s="15" t="str">
        <f t="shared" si="13"/>
        <v>Gaoling Zhen (Yāntái Shì)</v>
      </c>
    </row>
    <row r="442" spans="1:16" hidden="1" x14ac:dyDescent="0.25">
      <c r="A442" t="s">
        <v>2721</v>
      </c>
      <c r="B442" t="str">
        <f>IF(COUNTIF(A:A,A442)&gt;1,_xlfn.CONCAT(A442," (",N442,")"),A442)</f>
        <v>Gāoliŭ Zhèn</v>
      </c>
      <c r="C442" t="str">
        <f>IF(COUNTIF(B:B,B442)&gt;1,_xlfn.CONCAT(A442," (",M442,")"),B442)</f>
        <v>Gāoliŭ Zhèn</v>
      </c>
      <c r="D442" t="s">
        <v>2722</v>
      </c>
      <c r="E442" t="s">
        <v>13</v>
      </c>
      <c r="F442" t="str">
        <f>_xlfn.CONCAT(D442,", ",H442,", ",I442,", ","山东省")</f>
        <v>高柳镇, 青州市, 潍坊市, 山东省</v>
      </c>
      <c r="G442">
        <v>67339</v>
      </c>
      <c r="H442" t="s">
        <v>3760</v>
      </c>
      <c r="I442" t="s">
        <v>3751</v>
      </c>
      <c r="J442">
        <f>VLOOKUP(F442,[1]!china_towns_second__2[[Column1]:[Y]],3,FALSE)</f>
        <v>36.877487161104497</v>
      </c>
      <c r="K442">
        <f>VLOOKUP(F442,[1]!china_towns_second__2[[Column1]:[Y]],2,FALSE)</f>
        <v>118.50298359999999</v>
      </c>
      <c r="L442" t="s">
        <v>5277</v>
      </c>
      <c r="M442" t="str">
        <f>VLOOKUP(H442,CHOOSE({1,2},Table17[Native],Table17[Name]),2,0)</f>
        <v>Qīngzhōu Shì</v>
      </c>
      <c r="N442" s="15" t="str">
        <f>VLOOKUP(I442,CHOOSE({1,2},Table17[Native],Table17[Name]),2,0)</f>
        <v>Wéifāng Shì</v>
      </c>
      <c r="O442" s="15" t="str">
        <f t="shared" si="12"/>
        <v>Gaoliu Zhen (Wéifāng Shì)</v>
      </c>
      <c r="P442" s="15" t="str">
        <f t="shared" si="13"/>
        <v>Gaoliu Zhen (Wéifāng Shì)</v>
      </c>
    </row>
    <row r="443" spans="1:16" hidden="1" x14ac:dyDescent="0.25">
      <c r="A443" t="s">
        <v>1276</v>
      </c>
      <c r="B443" t="str">
        <f>IF(COUNTIF(A:A,A443)&gt;1,_xlfn.CONCAT(A443," (",N443,")"),A443)</f>
        <v>Gāolóu Xiāng</v>
      </c>
      <c r="C443" t="str">
        <f>IF(COUNTIF(B:B,B443)&gt;1,_xlfn.CONCAT(A443," (",M443,")"),B443)</f>
        <v>Gāolóu Xiāng</v>
      </c>
      <c r="D443" t="s">
        <v>1277</v>
      </c>
      <c r="E443" t="s">
        <v>61</v>
      </c>
      <c r="F443" t="str">
        <f>_xlfn.CONCAT(D443,", ",H443,", ",I443,", ","山东省")</f>
        <v>高楼乡, 微山县, 济宁市, 山东省</v>
      </c>
      <c r="G443">
        <v>16371</v>
      </c>
      <c r="H443" t="s">
        <v>3694</v>
      </c>
      <c r="I443" t="s">
        <v>3687</v>
      </c>
      <c r="J443" t="e">
        <f>VLOOKUP(F443,[1]!china_towns_second__2[[Column1]:[Y]],3,FALSE)</f>
        <v>#N/A</v>
      </c>
      <c r="K443" t="e">
        <f>VLOOKUP(F443,[1]!china_towns_second__2[[Column1]:[Y]],2,FALSE)</f>
        <v>#N/A</v>
      </c>
      <c r="L443" t="s">
        <v>5278</v>
      </c>
      <c r="M443" t="str">
        <f>VLOOKUP(H443,CHOOSE({1,2},Table17[Native],Table17[Name]),2,0)</f>
        <v>Wēishān Xiàn</v>
      </c>
      <c r="N443" s="15" t="str">
        <f>VLOOKUP(I443,CHOOSE({1,2},Table17[Native],Table17[Name]),2,0)</f>
        <v>Jìníng Shì</v>
      </c>
      <c r="O443" s="15" t="str">
        <f t="shared" si="12"/>
        <v>Gaolou Xiang (Jìníng Shì)</v>
      </c>
      <c r="P443" s="15" t="str">
        <f t="shared" si="13"/>
        <v>Gaolou Xiang (Jìníng Shì)</v>
      </c>
    </row>
    <row r="444" spans="1:16" hidden="1" x14ac:dyDescent="0.25">
      <c r="A444" t="s">
        <v>2723</v>
      </c>
      <c r="B444" t="str">
        <f>IF(COUNTIF(A:A,A444)&gt;1,_xlfn.CONCAT(A444," (",N444,")"),A444)</f>
        <v>Gāomì Shì Cháoyáng Jiēdào</v>
      </c>
      <c r="C444" t="str">
        <f>IF(COUNTIF(B:B,B444)&gt;1,_xlfn.CONCAT(A444," (",M444,")"),B444)</f>
        <v>Gāomì Shì Cháoyáng Jiēdào</v>
      </c>
      <c r="D444" t="s">
        <v>2724</v>
      </c>
      <c r="E444" t="s">
        <v>7</v>
      </c>
      <c r="F444" t="str">
        <f>_xlfn.CONCAT(D444,", ",H444,", ",I444,", ","山东省")</f>
        <v>高密市朝阳街道, 高密市, 潍坊市, 山东省</v>
      </c>
      <c r="G444">
        <v>118320</v>
      </c>
      <c r="H444" t="s">
        <v>3756</v>
      </c>
      <c r="I444" t="s">
        <v>3751</v>
      </c>
      <c r="J444">
        <f>VLOOKUP(F444,[1]!china_towns_second__2[[Column1]:[Y]],3,FALSE)</f>
        <v>36.368070196334003</v>
      </c>
      <c r="K444">
        <f>VLOOKUP(F444,[1]!china_towns_second__2[[Column1]:[Y]],2,FALSE)</f>
        <v>119.8439011</v>
      </c>
      <c r="L444" t="s">
        <v>5279</v>
      </c>
      <c r="M444" t="str">
        <f>VLOOKUP(H444,CHOOSE({1,2},Table17[Native],Table17[Name]),2,0)</f>
        <v>Gāomì Shì</v>
      </c>
      <c r="N444" s="15" t="str">
        <f>VLOOKUP(I444,CHOOSE({1,2},Table17[Native],Table17[Name]),2,0)</f>
        <v>Wéifāng Shì</v>
      </c>
      <c r="O444" s="15" t="str">
        <f t="shared" si="12"/>
        <v>Gaomi Shi Chaoyang Jiedao (Wéifāng Shì)</v>
      </c>
      <c r="P444" s="15" t="str">
        <f t="shared" si="13"/>
        <v>Gaomi Shi Chaoyang Jiedao (Wéifāng Shì)</v>
      </c>
    </row>
    <row r="445" spans="1:16" hidden="1" x14ac:dyDescent="0.25">
      <c r="A445" t="s">
        <v>2725</v>
      </c>
      <c r="B445" t="str">
        <f>IF(COUNTIF(A:A,A445)&gt;1,_xlfn.CONCAT(A445," (",N445,")"),A445)</f>
        <v>Gāomì Shì Lĭquán Jiēdào</v>
      </c>
      <c r="C445" t="str">
        <f>IF(COUNTIF(B:B,B445)&gt;1,_xlfn.CONCAT(A445," (",M445,")"),B445)</f>
        <v>Gāomì Shì Lĭquán Jiēdào</v>
      </c>
      <c r="D445" t="s">
        <v>2726</v>
      </c>
      <c r="E445" t="s">
        <v>7</v>
      </c>
      <c r="F445" t="str">
        <f>_xlfn.CONCAT(D445,", ",H445,", ",I445,", ","山东省")</f>
        <v>高密市醴泉街道, 高密市, 潍坊市, 山东省</v>
      </c>
      <c r="G445">
        <v>112360</v>
      </c>
      <c r="H445" t="s">
        <v>3756</v>
      </c>
      <c r="I445" t="s">
        <v>3751</v>
      </c>
      <c r="J445">
        <f>VLOOKUP(F445,[1]!china_towns_second__2[[Column1]:[Y]],3,FALSE)</f>
        <v>36.426686971393202</v>
      </c>
      <c r="K445">
        <f>VLOOKUP(F445,[1]!china_towns_second__2[[Column1]:[Y]],2,FALSE)</f>
        <v>119.6765156</v>
      </c>
      <c r="L445" t="s">
        <v>5280</v>
      </c>
      <c r="M445" t="str">
        <f>VLOOKUP(H445,CHOOSE({1,2},Table17[Native],Table17[Name]),2,0)</f>
        <v>Gāomì Shì</v>
      </c>
      <c r="N445" s="15" t="str">
        <f>VLOOKUP(I445,CHOOSE({1,2},Table17[Native],Table17[Name]),2,0)</f>
        <v>Wéifāng Shì</v>
      </c>
      <c r="O445" s="15" t="str">
        <f t="shared" si="12"/>
        <v>Gaomi Shi Liquan Jiedao (Wéifāng Shì)</v>
      </c>
      <c r="P445" s="15" t="str">
        <f t="shared" si="13"/>
        <v>Gaomi Shi Liquan Jiedao (Wéifāng Shì)</v>
      </c>
    </row>
    <row r="446" spans="1:16" hidden="1" x14ac:dyDescent="0.25">
      <c r="A446" t="s">
        <v>2727</v>
      </c>
      <c r="B446" t="str">
        <f>IF(COUNTIF(A:A,A446)&gt;1,_xlfn.CONCAT(A446," (",N446,")"),A446)</f>
        <v>Gāomì Shì Mìshuĭ Jiēdào</v>
      </c>
      <c r="C446" t="str">
        <f>IF(COUNTIF(B:B,B446)&gt;1,_xlfn.CONCAT(A446," (",M446,")"),B446)</f>
        <v>Gāomì Shì Mìshuĭ Jiēdào</v>
      </c>
      <c r="D446" t="s">
        <v>2728</v>
      </c>
      <c r="E446" t="s">
        <v>7</v>
      </c>
      <c r="F446" t="str">
        <f>_xlfn.CONCAT(D446,", ",H446,", ",I446,", ","山东省")</f>
        <v>高密市密水街道, 高密市, 潍坊市, 山东省</v>
      </c>
      <c r="G446">
        <v>161306</v>
      </c>
      <c r="H446" t="s">
        <v>3756</v>
      </c>
      <c r="I446" t="s">
        <v>3751</v>
      </c>
      <c r="J446">
        <f>VLOOKUP(F446,[1]!china_towns_second__2[[Column1]:[Y]],3,FALSE)</f>
        <v>36.300881299064798</v>
      </c>
      <c r="K446">
        <f>VLOOKUP(F446,[1]!china_towns_second__2[[Column1]:[Y]],2,FALSE)</f>
        <v>119.71844369999999</v>
      </c>
      <c r="L446" t="s">
        <v>5281</v>
      </c>
      <c r="M446" t="str">
        <f>VLOOKUP(H446,CHOOSE({1,2},Table17[Native],Table17[Name]),2,0)</f>
        <v>Gāomì Shì</v>
      </c>
      <c r="N446" s="15" t="str">
        <f>VLOOKUP(I446,CHOOSE({1,2},Table17[Native],Table17[Name]),2,0)</f>
        <v>Wéifāng Shì</v>
      </c>
      <c r="O446" s="15" t="str">
        <f t="shared" si="12"/>
        <v>Gaomi Shi Mishui Jiedao (Wéifāng Shì)</v>
      </c>
      <c r="P446" s="15" t="str">
        <f t="shared" si="13"/>
        <v>Gaomi Shi Mishui Jiedao (Wéifāng Shì)</v>
      </c>
    </row>
    <row r="447" spans="1:16" hidden="1" x14ac:dyDescent="0.25">
      <c r="A447" t="s">
        <v>1594</v>
      </c>
      <c r="B447" t="str">
        <f>IF(COUNTIF(A:A,A447)&gt;1,_xlfn.CONCAT(A447," (",N447,")"),A447)</f>
        <v>Gāomiàowáng Zhèn</v>
      </c>
      <c r="C447" t="str">
        <f>IF(COUNTIF(B:B,B447)&gt;1,_xlfn.CONCAT(A447," (",M447,")"),B447)</f>
        <v>Gāomiàowáng Zhèn</v>
      </c>
      <c r="D447" t="s">
        <v>1595</v>
      </c>
      <c r="E447" t="s">
        <v>13</v>
      </c>
      <c r="F447" t="str">
        <f>_xlfn.CONCAT(D447,", ",H447,", ",I447,", ","山东省")</f>
        <v>高庙王镇, 阳谷县, 聊城市, 山东省</v>
      </c>
      <c r="G447">
        <v>37933</v>
      </c>
      <c r="H447" t="s">
        <v>3708</v>
      </c>
      <c r="I447" t="s">
        <v>3700</v>
      </c>
      <c r="J447">
        <f>VLOOKUP(F447,[1]!china_towns_second__2[[Column1]:[Y]],3,FALSE)</f>
        <v>36.042345434748199</v>
      </c>
      <c r="K447">
        <f>VLOOKUP(F447,[1]!china_towns_second__2[[Column1]:[Y]],2,FALSE)</f>
        <v>115.72452749999999</v>
      </c>
      <c r="L447" t="s">
        <v>5282</v>
      </c>
      <c r="M447" t="str">
        <f>VLOOKUP(H447,CHOOSE({1,2},Table17[Native],Table17[Name]),2,0)</f>
        <v>Yánggŭ Xiàn</v>
      </c>
      <c r="N447" s="15" t="str">
        <f>VLOOKUP(I447,CHOOSE({1,2},Table17[Native],Table17[Name]),2,0)</f>
        <v>Liáochéng Shì</v>
      </c>
      <c r="O447" s="15" t="str">
        <f t="shared" si="12"/>
        <v>Gaomiaowang Zhen (Liáochéng Shì)</v>
      </c>
      <c r="P447" s="15" t="str">
        <f t="shared" si="13"/>
        <v>Gaomiaowang Zhen (Liáochéng Shì)</v>
      </c>
    </row>
    <row r="448" spans="1:16" hidden="1" x14ac:dyDescent="0.25">
      <c r="A448" t="s">
        <v>1889</v>
      </c>
      <c r="B448" t="str">
        <f>IF(COUNTIF(A:A,A448)&gt;1,_xlfn.CONCAT(A448," (",N448,")"),A448)</f>
        <v>Gāoqiáo Zhèn</v>
      </c>
      <c r="C448" t="str">
        <f>IF(COUNTIF(B:B,B448)&gt;1,_xlfn.CONCAT(A448," (",M448,")"),B448)</f>
        <v>Gāoqiáo Zhèn</v>
      </c>
      <c r="D448" t="s">
        <v>1890</v>
      </c>
      <c r="E448" t="s">
        <v>13</v>
      </c>
      <c r="F448" t="str">
        <f>_xlfn.CONCAT(D448,", ",H448,", ",I448,", ","山东省")</f>
        <v>高桥镇, 沂水县, 临沂市, 山东省</v>
      </c>
      <c r="G448">
        <v>56033</v>
      </c>
      <c r="H448" t="s">
        <v>3722</v>
      </c>
      <c r="I448" t="s">
        <v>3710</v>
      </c>
      <c r="J448">
        <f>VLOOKUP(F448,[1]!china_towns_second__2[[Column1]:[Y]],3,FALSE)</f>
        <v>35.966402023069499</v>
      </c>
      <c r="K448">
        <f>VLOOKUP(F448,[1]!china_towns_second__2[[Column1]:[Y]],2,FALSE)</f>
        <v>118.6963822</v>
      </c>
      <c r="L448" t="s">
        <v>5283</v>
      </c>
      <c r="M448" t="str">
        <f>VLOOKUP(H448,CHOOSE({1,2},Table17[Native],Table17[Name]),2,0)</f>
        <v>Yíshuĭ Xiàn</v>
      </c>
      <c r="N448" s="15" t="str">
        <f>VLOOKUP(I448,CHOOSE({1,2},Table17[Native],Table17[Name]),2,0)</f>
        <v>Línyí Shì</v>
      </c>
      <c r="O448" s="15" t="str">
        <f t="shared" si="12"/>
        <v>Gaoqiao Zhen (Línyí Shì)</v>
      </c>
      <c r="P448" s="15" t="str">
        <f t="shared" si="13"/>
        <v>Gaoqiao Zhen (Línyí Shì)</v>
      </c>
    </row>
    <row r="449" spans="1:16" hidden="1" x14ac:dyDescent="0.25">
      <c r="A449" t="s">
        <v>3125</v>
      </c>
      <c r="B449" t="str">
        <f>IF(COUNTIF(A:A,A449)&gt;1,_xlfn.CONCAT(A449," (",N449,")"),A449)</f>
        <v>Gāotuăn Zhèn</v>
      </c>
      <c r="C449" t="str">
        <f>IF(COUNTIF(B:B,B449)&gt;1,_xlfn.CONCAT(A449," (",M449,")"),B449)</f>
        <v>Gāotuăn Zhèn</v>
      </c>
      <c r="D449" t="s">
        <v>3126</v>
      </c>
      <c r="E449" t="s">
        <v>13</v>
      </c>
      <c r="F449" t="str">
        <f>_xlfn.CONCAT(D449,", ",H449,", ",I449,", ","山东省")</f>
        <v>高疃镇, 福山区, 烟台市, 山东省</v>
      </c>
      <c r="G449">
        <v>21159</v>
      </c>
      <c r="H449" t="s">
        <v>3772</v>
      </c>
      <c r="I449" t="s">
        <v>3771</v>
      </c>
      <c r="J449">
        <f>VLOOKUP(F449,[1]!china_towns_second__2[[Column1]:[Y]],3,FALSE)</f>
        <v>37.4863642833486</v>
      </c>
      <c r="K449">
        <f>VLOOKUP(F449,[1]!china_towns_second__2[[Column1]:[Y]],2,FALSE)</f>
        <v>121.116519</v>
      </c>
      <c r="L449" t="s">
        <v>5284</v>
      </c>
      <c r="M449" t="str">
        <f>VLOOKUP(H449,CHOOSE({1,2},Table17[Native],Table17[Name]),2,0)</f>
        <v>Fúshān Qū</v>
      </c>
      <c r="N449" s="15" t="str">
        <f>VLOOKUP(I449,CHOOSE({1,2},Table17[Native],Table17[Name]),2,0)</f>
        <v>Yāntái Shì</v>
      </c>
      <c r="O449" s="15" t="str">
        <f t="shared" si="12"/>
        <v>Gaotuan Zhen (Yāntái Shì)</v>
      </c>
      <c r="P449" s="15" t="str">
        <f t="shared" si="13"/>
        <v>Gaotuan Zhen (Yāntái Shì)</v>
      </c>
    </row>
    <row r="450" spans="1:16" hidden="1" x14ac:dyDescent="0.25">
      <c r="A450" t="s">
        <v>686</v>
      </c>
      <c r="B450" t="str">
        <f>IF(COUNTIF(A:A,A450)&gt;1,_xlfn.CONCAT(A450," (",N450,")"),A450)</f>
        <v>Gāowéizhuāng Zhèn</v>
      </c>
      <c r="C450" t="str">
        <f>IF(COUNTIF(B:B,B450)&gt;1,_xlfn.CONCAT(A450," (",M450,")"),B450)</f>
        <v>Gāowéizhuāng Zhèn</v>
      </c>
      <c r="D450" t="s">
        <v>687</v>
      </c>
      <c r="E450" t="s">
        <v>13</v>
      </c>
      <c r="F450" t="str">
        <f>_xlfn.CONCAT(D450,", ",H450,", ",I450,", ","山东省")</f>
        <v>高韦庄镇, 单县, 菏泽市, 山东省</v>
      </c>
      <c r="G450">
        <v>37750</v>
      </c>
      <c r="H450" t="s">
        <v>3670</v>
      </c>
      <c r="I450" t="s">
        <v>3662</v>
      </c>
      <c r="J450">
        <f>VLOOKUP(F450,[1]!china_towns_second__2[[Column1]:[Y]],3,FALSE)</f>
        <v>34.609260866525098</v>
      </c>
      <c r="K450">
        <f>VLOOKUP(F450,[1]!china_towns_second__2[[Column1]:[Y]],2,FALSE)</f>
        <v>115.8302515</v>
      </c>
      <c r="L450" t="s">
        <v>5285</v>
      </c>
      <c r="M450" t="str">
        <f>VLOOKUP(H450,CHOOSE({1,2},Table17[Native],Table17[Name]),2,0)</f>
        <v>Shàn Xiàn</v>
      </c>
      <c r="N450" s="15" t="str">
        <f>VLOOKUP(I450,CHOOSE({1,2},Table17[Native],Table17[Name]),2,0)</f>
        <v>Hézé Shì</v>
      </c>
      <c r="O450" s="15" t="str">
        <f t="shared" ref="O450:O513" si="14">_xlfn.CONCAT(L450," (",N450,")")</f>
        <v>Gaoweizhuang Zhen (Hézé Shì)</v>
      </c>
      <c r="P450" s="15" t="str">
        <f t="shared" ref="P450:P513" si="15">IF(COUNTIF(O:O,O450)&gt;1,_xlfn.CONCAT(L450," (",M450,")"),O450)</f>
        <v>Gaoweizhuang Zhen (Hézé Shì)</v>
      </c>
    </row>
    <row r="451" spans="1:16" hidden="1" x14ac:dyDescent="0.25">
      <c r="A451" t="s">
        <v>55</v>
      </c>
      <c r="B451" t="str">
        <f>IF(COUNTIF(A:A,A451)&gt;1,_xlfn.CONCAT(A451," (",N451,")"),A451)</f>
        <v>Gāoxīn Jiēdào</v>
      </c>
      <c r="C451" t="str">
        <f>IF(COUNTIF(B:B,B451)&gt;1,_xlfn.CONCAT(A451," (",M451,")"),B451)</f>
        <v>Gāoxīn Jiēdào</v>
      </c>
      <c r="D451" t="s">
        <v>56</v>
      </c>
      <c r="E451" t="s">
        <v>7</v>
      </c>
      <c r="F451" t="str">
        <f>_xlfn.CONCAT(D451,", ",H451,", ",I451,", ","山东省")</f>
        <v>高新街道, 邹平市, 滨州市, 山东省</v>
      </c>
      <c r="G451">
        <v>98549</v>
      </c>
      <c r="H451" t="s">
        <v>3640</v>
      </c>
      <c r="I451" t="s">
        <v>3630</v>
      </c>
      <c r="J451">
        <f>VLOOKUP(F451,[1]!china_towns_second__2[[Column1]:[Y]],3,FALSE)</f>
        <v>36.886391811535098</v>
      </c>
      <c r="K451">
        <f>VLOOKUP(F451,[1]!china_towns_second__2[[Column1]:[Y]],2,FALSE)</f>
        <v>117.801284</v>
      </c>
      <c r="L451" t="s">
        <v>5286</v>
      </c>
      <c r="M451" t="str">
        <f>VLOOKUP(H451,CHOOSE({1,2},Table17[Native],Table17[Name]),2,0)</f>
        <v>Zōupíng Shì</v>
      </c>
      <c r="N451" s="15" t="str">
        <f>VLOOKUP(I451,CHOOSE({1,2},Table17[Native],Table17[Name]),2,0)</f>
        <v>Bīnzhōu Shì</v>
      </c>
      <c r="O451" s="15" t="str">
        <f t="shared" si="14"/>
        <v>Gaoxin Jiedao (Bīnzhōu Shì)</v>
      </c>
      <c r="P451" s="15" t="str">
        <f t="shared" si="15"/>
        <v>Gaoxin Jiedao (Bīnzhōu Shì)</v>
      </c>
    </row>
    <row r="452" spans="1:16" hidden="1" x14ac:dyDescent="0.25">
      <c r="A452" t="s">
        <v>2412</v>
      </c>
      <c r="B452" t="str">
        <f>IF(COUNTIF(A:A,A452)&gt;1,_xlfn.CONCAT(A452," (",N452,")"),A452)</f>
        <v>Gāoxīng Zhèn</v>
      </c>
      <c r="C452" t="str">
        <f>IF(COUNTIF(B:B,B452)&gt;1,_xlfn.CONCAT(A452," (",M452,")"),B452)</f>
        <v>Gāoxīng Zhèn</v>
      </c>
      <c r="D452" t="s">
        <v>2413</v>
      </c>
      <c r="E452" t="s">
        <v>13</v>
      </c>
      <c r="F452" t="str">
        <f>_xlfn.CONCAT(D452,", ",H452,", ",I452,", ","山东省")</f>
        <v>高兴镇, 岚山区, 日照市, 山东省</v>
      </c>
      <c r="G452">
        <v>32875</v>
      </c>
      <c r="H452" t="s">
        <v>3740</v>
      </c>
      <c r="I452" t="s">
        <v>3736</v>
      </c>
      <c r="J452">
        <f>VLOOKUP(F452,[1]!china_towns_second__2[[Column1]:[Y]],3,FALSE)</f>
        <v>35.335723944469201</v>
      </c>
      <c r="K452">
        <f>VLOOKUP(F452,[1]!china_towns_second__2[[Column1]:[Y]],2,FALSE)</f>
        <v>119.3401348</v>
      </c>
      <c r="L452" t="s">
        <v>5287</v>
      </c>
      <c r="M452" t="str">
        <f>VLOOKUP(H452,CHOOSE({1,2},Table17[Native],Table17[Name]),2,0)</f>
        <v>Lánshān Qū</v>
      </c>
      <c r="N452" s="15" t="str">
        <f>VLOOKUP(I452,CHOOSE({1,2},Table17[Native],Table17[Name]),2,0)</f>
        <v>Rìzhào Shì</v>
      </c>
      <c r="O452" s="15" t="str">
        <f t="shared" si="14"/>
        <v>Gaoxing Zhen (Rìzhào Shì)</v>
      </c>
      <c r="P452" s="15" t="str">
        <f t="shared" si="15"/>
        <v>Gaoxing Zhen (Rìzhào Shì)</v>
      </c>
    </row>
    <row r="453" spans="1:16" hidden="1" x14ac:dyDescent="0.25">
      <c r="A453" t="s">
        <v>1278</v>
      </c>
      <c r="B453" t="str">
        <f>IF(COUNTIF(A:A,A453)&gt;1,_xlfn.CONCAT(A453," (",N453,")"),A453)</f>
        <v>Gāoyù Zhèn</v>
      </c>
      <c r="C453" t="str">
        <f>IF(COUNTIF(B:B,B453)&gt;1,_xlfn.CONCAT(A453," (",M453,")"),B453)</f>
        <v>Gāoyù Zhèn</v>
      </c>
      <c r="D453" t="s">
        <v>1279</v>
      </c>
      <c r="E453" t="s">
        <v>13</v>
      </c>
      <c r="F453" t="str">
        <f>_xlfn.CONCAT(D453,", ",H453,", ",I453,", ","山东省")</f>
        <v>高峪镇, 泗水县, 济宁市, 山东省</v>
      </c>
      <c r="G453">
        <v>37414</v>
      </c>
      <c r="H453" t="s">
        <v>3693</v>
      </c>
      <c r="I453" t="s">
        <v>3687</v>
      </c>
      <c r="J453">
        <f>VLOOKUP(F453,[1]!china_towns_second__2[[Column1]:[Y]],3,FALSE)</f>
        <v>35.739068896408199</v>
      </c>
      <c r="K453">
        <f>VLOOKUP(F453,[1]!china_towns_second__2[[Column1]:[Y]],2,FALSE)</f>
        <v>117.3165916</v>
      </c>
      <c r="L453" t="s">
        <v>5288</v>
      </c>
      <c r="M453" t="str">
        <f>VLOOKUP(H453,CHOOSE({1,2},Table17[Native],Table17[Name]),2,0)</f>
        <v>Sìshuĭ Xiàn</v>
      </c>
      <c r="N453" s="15" t="str">
        <f>VLOOKUP(I453,CHOOSE({1,2},Table17[Native],Table17[Name]),2,0)</f>
        <v>Jìníng Shì</v>
      </c>
      <c r="O453" s="15" t="str">
        <f t="shared" si="14"/>
        <v>Gaoyu Zhen (Jìníng Shì)</v>
      </c>
      <c r="P453" s="15" t="str">
        <f t="shared" si="15"/>
        <v>Gaoyu Zhen (Jìníng Shì)</v>
      </c>
    </row>
    <row r="454" spans="1:16" hidden="1" x14ac:dyDescent="0.25">
      <c r="A454" t="s">
        <v>2414</v>
      </c>
      <c r="B454" t="str">
        <f>IF(COUNTIF(A:A,A454)&gt;1,_xlfn.CONCAT(A454," (",N454,")"),A454)</f>
        <v>Gāozé Jiēdào</v>
      </c>
      <c r="C454" t="str">
        <f>IF(COUNTIF(B:B,B454)&gt;1,_xlfn.CONCAT(A454," (",M454,")"),B454)</f>
        <v>Gāozé Jiēdào</v>
      </c>
      <c r="D454" t="s">
        <v>2415</v>
      </c>
      <c r="E454" t="s">
        <v>7</v>
      </c>
      <c r="F454" t="str">
        <f>_xlfn.CONCAT(D454,", ",H454,", ",I454,", ","山东省")</f>
        <v>高泽街道, 五莲县, 日照市, 山东省</v>
      </c>
      <c r="G454">
        <v>30804</v>
      </c>
      <c r="H454" t="s">
        <v>3741</v>
      </c>
      <c r="I454" t="s">
        <v>3736</v>
      </c>
      <c r="J454" t="e">
        <f>VLOOKUP(F454,[1]!china_towns_second__2[[Column1]:[Y]],3,FALSE)</f>
        <v>#N/A</v>
      </c>
      <c r="K454" t="e">
        <f>VLOOKUP(F454,[1]!china_towns_second__2[[Column1]:[Y]],2,FALSE)</f>
        <v>#N/A</v>
      </c>
      <c r="L454" t="s">
        <v>5289</v>
      </c>
      <c r="M454" t="str">
        <f>VLOOKUP(H454,CHOOSE({1,2},Table17[Native],Table17[Name]),2,0)</f>
        <v>Wŭlián Xiàn</v>
      </c>
      <c r="N454" s="15" t="str">
        <f>VLOOKUP(I454,CHOOSE({1,2},Table17[Native],Table17[Name]),2,0)</f>
        <v>Rìzhào Shì</v>
      </c>
      <c r="O454" s="15" t="str">
        <f t="shared" si="14"/>
        <v>Gaoze Jiedao (Rìzhào Shì)</v>
      </c>
      <c r="P454" s="15" t="str">
        <f t="shared" si="15"/>
        <v>Gaoze Jiedao (Rìzhào Shì)</v>
      </c>
    </row>
    <row r="455" spans="1:16" hidden="1" x14ac:dyDescent="0.25">
      <c r="A455" t="s">
        <v>989</v>
      </c>
      <c r="B455" t="str">
        <f>IF(COUNTIF(A:A,A455)&gt;1,_xlfn.CONCAT(A455," (",N455,")"),A455)</f>
        <v>Gāozhuāng Jiēdào</v>
      </c>
      <c r="C455" t="str">
        <f>IF(COUNTIF(B:B,B455)&gt;1,_xlfn.CONCAT(A455," (",M455,")"),B455)</f>
        <v>Gāozhuāng Jiēdào</v>
      </c>
      <c r="D455" t="s">
        <v>990</v>
      </c>
      <c r="E455" t="s">
        <v>7</v>
      </c>
      <c r="F455" t="str">
        <f>_xlfn.CONCAT(D455,", ",H455,", ",I455,", ","山东省")</f>
        <v>高庄街道, 莱芜区, 济南市, 山东省</v>
      </c>
      <c r="G455">
        <v>83349</v>
      </c>
      <c r="H455" t="s">
        <v>3678</v>
      </c>
      <c r="I455" t="s">
        <v>3673</v>
      </c>
      <c r="J455" t="e">
        <f>VLOOKUP(F455,[1]!china_towns_second__2[[Column1]:[Y]],3,FALSE)</f>
        <v>#N/A</v>
      </c>
      <c r="K455" t="e">
        <f>VLOOKUP(F455,[1]!china_towns_second__2[[Column1]:[Y]],2,FALSE)</f>
        <v>#N/A</v>
      </c>
      <c r="L455" t="s">
        <v>5290</v>
      </c>
      <c r="M455" t="str">
        <f>VLOOKUP(H455,CHOOSE({1,2},Table17[Native],Table17[Name]),2,0)</f>
        <v>Láiwú Qū</v>
      </c>
      <c r="N455" s="15" t="str">
        <f>VLOOKUP(I455,CHOOSE({1,2},Table17[Native],Table17[Name]),2,0)</f>
        <v>Jìnán Shì</v>
      </c>
      <c r="O455" s="15" t="str">
        <f t="shared" si="14"/>
        <v>Gaozhuang Jiedao (Jìnán Shì)</v>
      </c>
      <c r="P455" s="15" t="str">
        <f t="shared" si="15"/>
        <v>Gaozhuang Jiedao (Jìnán Shì)</v>
      </c>
    </row>
    <row r="456" spans="1:16" hidden="1" x14ac:dyDescent="0.25">
      <c r="A456" t="s">
        <v>688</v>
      </c>
      <c r="B456" t="str">
        <f>IF(COUNTIF(A:A,A456)&gt;1,_xlfn.CONCAT(A456," (",N456,")"),A456)</f>
        <v>Gāozhuāng Zhèn (Hézé Shì)</v>
      </c>
      <c r="C456" t="str">
        <f>IF(COUNTIF(B:B,B456)&gt;1,_xlfn.CONCAT(A456," (",M456,")"),B456)</f>
        <v>Gāozhuāng Zhèn (Hézé Shì)</v>
      </c>
      <c r="D456" t="s">
        <v>689</v>
      </c>
      <c r="E456" t="s">
        <v>13</v>
      </c>
      <c r="F456" t="str">
        <f>_xlfn.CONCAT(D456,", ",H456,", ",I456,", ","山东省")</f>
        <v>高庄镇, 牡丹区, 菏泽市, 山东省</v>
      </c>
      <c r="G456">
        <v>56476</v>
      </c>
      <c r="H456" t="s">
        <v>3669</v>
      </c>
      <c r="I456" t="s">
        <v>3662</v>
      </c>
      <c r="J456">
        <f>VLOOKUP(F456,[1]!china_towns_second__2[[Column1]:[Y]],3,FALSE)</f>
        <v>35.376006380608601</v>
      </c>
      <c r="K456">
        <f>VLOOKUP(F456,[1]!china_towns_second__2[[Column1]:[Y]],2,FALSE)</f>
        <v>115.3282316</v>
      </c>
      <c r="L456" t="s">
        <v>5291</v>
      </c>
      <c r="M456" t="str">
        <f>VLOOKUP(H456,CHOOSE({1,2},Table17[Native],Table17[Name]),2,0)</f>
        <v>Mŭdān Qū</v>
      </c>
      <c r="N456" s="15" t="str">
        <f>VLOOKUP(I456,CHOOSE({1,2},Table17[Native],Table17[Name]),2,0)</f>
        <v>Hézé Shì</v>
      </c>
      <c r="O456" s="15" t="str">
        <f t="shared" si="14"/>
        <v>Gaozhuang Zhen (Heze Shi) (Hézé Shì)</v>
      </c>
      <c r="P456" s="15" t="str">
        <f t="shared" si="15"/>
        <v>Gaozhuang Zhen (Heze Shi) (Hézé Shì)</v>
      </c>
    </row>
    <row r="457" spans="1:16" hidden="1" x14ac:dyDescent="0.25">
      <c r="A457" t="s">
        <v>688</v>
      </c>
      <c r="B457" t="str">
        <f>IF(COUNTIF(A:A,A457)&gt;1,_xlfn.CONCAT(A457," (",N457,")"),A457)</f>
        <v>Gāozhuāng Zhèn (Línyí Shì)</v>
      </c>
      <c r="C457" t="str">
        <f>IF(COUNTIF(B:B,B457)&gt;1,_xlfn.CONCAT(A457," (",M457,")"),B457)</f>
        <v>Gāozhuāng Zhèn (Línyí Shì)</v>
      </c>
      <c r="D457" t="s">
        <v>689</v>
      </c>
      <c r="E457" t="s">
        <v>13</v>
      </c>
      <c r="F457" t="str">
        <f>_xlfn.CONCAT(D457,", ",H457,", ",I457,", ","山东省")</f>
        <v>高庄镇, 沂水县, 临沂市, 山东省</v>
      </c>
      <c r="G457">
        <v>43522</v>
      </c>
      <c r="H457" t="s">
        <v>3722</v>
      </c>
      <c r="I457" t="s">
        <v>3710</v>
      </c>
      <c r="J457">
        <f>VLOOKUP(F457,[1]!china_towns_second__2[[Column1]:[Y]],3,FALSE)</f>
        <v>35.834216102618498</v>
      </c>
      <c r="K457">
        <f>VLOOKUP(F457,[1]!china_towns_second__2[[Column1]:[Y]],2,FALSE)</f>
        <v>118.2544106</v>
      </c>
      <c r="L457" t="s">
        <v>5292</v>
      </c>
      <c r="M457" t="str">
        <f>VLOOKUP(H457,CHOOSE({1,2},Table17[Native],Table17[Name]),2,0)</f>
        <v>Yíshuĭ Xiàn</v>
      </c>
      <c r="N457" s="15" t="str">
        <f>VLOOKUP(I457,CHOOSE({1,2},Table17[Native],Table17[Name]),2,0)</f>
        <v>Línyí Shì</v>
      </c>
      <c r="O457" s="15" t="str">
        <f t="shared" si="14"/>
        <v>Gaozhuang Zhen (Linyi Shi) (Línyí Shì)</v>
      </c>
      <c r="P457" s="15" t="str">
        <f t="shared" si="15"/>
        <v>Gaozhuang Zhen (Linyi Shi) (Línyí Shì)</v>
      </c>
    </row>
    <row r="458" spans="1:16" hidden="1" x14ac:dyDescent="0.25">
      <c r="A458" t="s">
        <v>2934</v>
      </c>
      <c r="B458" t="str">
        <f>IF(COUNTIF(A:A,A458)&gt;1,_xlfn.CONCAT(A458," (",N458,")"),A458)</f>
        <v>Gĕjiā Zhèn</v>
      </c>
      <c r="C458" t="str">
        <f>IF(COUNTIF(B:B,B458)&gt;1,_xlfn.CONCAT(A458," (",M458,")"),B458)</f>
        <v>Gĕjiā Zhèn</v>
      </c>
      <c r="D458" t="s">
        <v>2935</v>
      </c>
      <c r="E458" t="s">
        <v>13</v>
      </c>
      <c r="F458" t="str">
        <f>_xlfn.CONCAT(D458,", ",H458,", ",I458,", ","山东省")</f>
        <v>葛家镇, 文登区, 威海市, 山东省</v>
      </c>
      <c r="G458">
        <v>50354</v>
      </c>
      <c r="H458" t="s">
        <v>3769</v>
      </c>
      <c r="I458" t="s">
        <v>3765</v>
      </c>
      <c r="J458">
        <f>VLOOKUP(F458,[1]!china_towns_second__2[[Column1]:[Y]],3,FALSE)</f>
        <v>37.130146731034401</v>
      </c>
      <c r="K458">
        <f>VLOOKUP(F458,[1]!china_towns_second__2[[Column1]:[Y]],2,FALSE)</f>
        <v>121.81045659999999</v>
      </c>
      <c r="L458" t="s">
        <v>5293</v>
      </c>
      <c r="M458" t="str">
        <f>VLOOKUP(H458,CHOOSE({1,2},Table17[Native],Table17[Name]),2,0)</f>
        <v>Wéndēng Qū</v>
      </c>
      <c r="N458" s="15" t="str">
        <f>VLOOKUP(I458,CHOOSE({1,2},Table17[Native],Table17[Name]),2,0)</f>
        <v>Wēihăi Shì</v>
      </c>
      <c r="O458" s="15" t="str">
        <f t="shared" si="14"/>
        <v>Gejia Zhen (Wēihăi Shì)</v>
      </c>
      <c r="P458" s="15" t="str">
        <f t="shared" si="15"/>
        <v>Gejia Zhen (Wēihăi Shì)</v>
      </c>
    </row>
    <row r="459" spans="1:16" hidden="1" x14ac:dyDescent="0.25">
      <c r="A459" t="s">
        <v>2551</v>
      </c>
      <c r="B459" t="str">
        <f>IF(COUNTIF(A:A,A459)&gt;1,_xlfn.CONCAT(A459," (",N459,")"),A459)</f>
        <v>Gĕshí Zhèn</v>
      </c>
      <c r="C459" t="str">
        <f>IF(COUNTIF(B:B,B459)&gt;1,_xlfn.CONCAT(A459," (",M459,")"),B459)</f>
        <v>Gĕshí Zhèn</v>
      </c>
      <c r="D459" t="s">
        <v>2552</v>
      </c>
      <c r="E459" t="s">
        <v>13</v>
      </c>
      <c r="F459" t="str">
        <f>_xlfn.CONCAT(D459,", ",H459,", ",I459,", ","山东省")</f>
        <v>葛石镇, 宁阳县, 泰安市, 山东省</v>
      </c>
      <c r="G459">
        <v>56115</v>
      </c>
      <c r="H459" t="s">
        <v>3747</v>
      </c>
      <c r="I459" t="s">
        <v>3743</v>
      </c>
      <c r="J459">
        <f>VLOOKUP(F459,[1]!china_towns_second__2[[Column1]:[Y]],3,FALSE)</f>
        <v>35.802749910614899</v>
      </c>
      <c r="K459">
        <f>VLOOKUP(F459,[1]!china_towns_second__2[[Column1]:[Y]],2,FALSE)</f>
        <v>116.92898340000001</v>
      </c>
      <c r="L459" t="s">
        <v>5294</v>
      </c>
      <c r="M459" t="str">
        <f>VLOOKUP(H459,CHOOSE({1,2},Table17[Native],Table17[Name]),2,0)</f>
        <v>Níngyáng Xiàn</v>
      </c>
      <c r="N459" s="15" t="str">
        <f>VLOOKUP(I459,CHOOSE({1,2},Table17[Native],Table17[Name]),2,0)</f>
        <v>Tài'ān Shì</v>
      </c>
      <c r="O459" s="15" t="str">
        <f t="shared" si="14"/>
        <v>Geshi Zhen (Tài'ān Shì)</v>
      </c>
      <c r="P459" s="15" t="str">
        <f t="shared" si="15"/>
        <v>Geshi Zhen (Tài'ān Shì)</v>
      </c>
    </row>
    <row r="460" spans="1:16" hidden="1" x14ac:dyDescent="0.25">
      <c r="A460" t="s">
        <v>3374</v>
      </c>
      <c r="B460" t="str">
        <f>IF(COUNTIF(A:A,A460)&gt;1,_xlfn.CONCAT(A460," (",N460,")"),A460)</f>
        <v>Gètăbù Jiēdào</v>
      </c>
      <c r="C460" t="str">
        <f>IF(COUNTIF(B:B,B460)&gt;1,_xlfn.CONCAT(A460," (",M460,")"),B460)</f>
        <v>Gètăbù Jiēdào</v>
      </c>
      <c r="D460" t="s">
        <v>3375</v>
      </c>
      <c r="E460" t="s">
        <v>7</v>
      </c>
      <c r="F460" t="str">
        <f>_xlfn.CONCAT(D460,", ",H460,", ",I460,", ","山东省")</f>
        <v>各塔埠街道, 市中区, 济南市, 山东省</v>
      </c>
      <c r="G460">
        <v>50816</v>
      </c>
      <c r="H460" t="s">
        <v>3683</v>
      </c>
      <c r="I460" t="s">
        <v>3673</v>
      </c>
      <c r="J460" t="e">
        <f>VLOOKUP(F460,[1]!china_towns_second__2[[Column1]:[Y]],3,FALSE)</f>
        <v>#N/A</v>
      </c>
      <c r="K460" t="e">
        <f>VLOOKUP(F460,[1]!china_towns_second__2[[Column1]:[Y]],2,FALSE)</f>
        <v>#N/A</v>
      </c>
      <c r="L460" t="s">
        <v>5295</v>
      </c>
      <c r="M460" t="str">
        <f>VLOOKUP(H460,CHOOSE({1,2},Table17[Native],Table17[Name]),2,0)</f>
        <v>Shìzhōng Qū</v>
      </c>
      <c r="N460" s="15" t="str">
        <f>VLOOKUP(I460,CHOOSE({1,2},Table17[Native],Table17[Name]),2,0)</f>
        <v>Jìnán Shì</v>
      </c>
      <c r="O460" s="15" t="str">
        <f t="shared" si="14"/>
        <v>Getabu Jiedao (Jìnán Shì)</v>
      </c>
      <c r="P460" s="15" t="str">
        <f t="shared" si="15"/>
        <v>Getabu Jiedao (Jìnán Shì)</v>
      </c>
    </row>
    <row r="461" spans="1:16" hidden="1" x14ac:dyDescent="0.25">
      <c r="A461" t="s">
        <v>2553</v>
      </c>
      <c r="B461" t="str">
        <f>IF(COUNTIF(A:A,A461)&gt;1,_xlfn.CONCAT(A461," (",N461,")"),A461)</f>
        <v>Gōnglĭ Zhèn</v>
      </c>
      <c r="C461" t="str">
        <f>IF(COUNTIF(B:B,B461)&gt;1,_xlfn.CONCAT(A461," (",M461,")"),B461)</f>
        <v>Gōnglĭ Zhèn</v>
      </c>
      <c r="D461" t="s">
        <v>2554</v>
      </c>
      <c r="E461" t="s">
        <v>13</v>
      </c>
      <c r="F461" t="str">
        <f>_xlfn.CONCAT(D461,", ",H461,", ",I461,", ","山东省")</f>
        <v>宫里镇, 新泰市, 泰安市, 山东省</v>
      </c>
      <c r="G461">
        <v>51160</v>
      </c>
      <c r="H461" t="s">
        <v>3749</v>
      </c>
      <c r="I461" t="s">
        <v>3743</v>
      </c>
      <c r="J461">
        <f>VLOOKUP(F461,[1]!china_towns_second__2[[Column1]:[Y]],3,FALSE)</f>
        <v>35.885674878432098</v>
      </c>
      <c r="K461">
        <f>VLOOKUP(F461,[1]!china_towns_second__2[[Column1]:[Y]],2,FALSE)</f>
        <v>117.426832</v>
      </c>
      <c r="L461" t="s">
        <v>5296</v>
      </c>
      <c r="M461" t="str">
        <f>VLOOKUP(H461,CHOOSE({1,2},Table17[Native],Table17[Name]),2,0)</f>
        <v>Xīntài Shì</v>
      </c>
      <c r="N461" s="15" t="str">
        <f>VLOOKUP(I461,CHOOSE({1,2},Table17[Native],Table17[Name]),2,0)</f>
        <v>Tài'ān Shì</v>
      </c>
      <c r="O461" s="15" t="str">
        <f t="shared" si="14"/>
        <v>Gongli Zhen (Tài'ān Shì)</v>
      </c>
      <c r="P461" s="15" t="str">
        <f t="shared" si="15"/>
        <v>Gongli Zhen (Tài'ān Shì)</v>
      </c>
    </row>
    <row r="462" spans="1:16" hidden="1" x14ac:dyDescent="0.25">
      <c r="A462" t="s">
        <v>3498</v>
      </c>
      <c r="B462" t="str">
        <f>IF(COUNTIF(A:A,A462)&gt;1,_xlfn.CONCAT(A462," (",N462,")"),A462)</f>
        <v>Gōngyuán Jiēdào</v>
      </c>
      <c r="C462" t="str">
        <f>IF(COUNTIF(B:B,B462)&gt;1,_xlfn.CONCAT(A462," (",M462,")"),B462)</f>
        <v>Gōngyuán Jiēdào</v>
      </c>
      <c r="D462" t="s">
        <v>3499</v>
      </c>
      <c r="E462" t="s">
        <v>7</v>
      </c>
      <c r="F462" t="str">
        <f>_xlfn.CONCAT(D462,", ",H462,", ",I462,", ","山东省")</f>
        <v>公园街道, 张店区, 淄博市, 山东省</v>
      </c>
      <c r="G462">
        <v>58890</v>
      </c>
      <c r="H462" t="s">
        <v>3797</v>
      </c>
      <c r="I462" t="s">
        <v>3791</v>
      </c>
      <c r="J462">
        <f>VLOOKUP(F462,[1]!china_towns_second__2[[Column1]:[Y]],3,FALSE)</f>
        <v>36.8082420686859</v>
      </c>
      <c r="K462">
        <f>VLOOKUP(F462,[1]!china_towns_second__2[[Column1]:[Y]],2,FALSE)</f>
        <v>118.0379504</v>
      </c>
      <c r="L462" t="s">
        <v>5297</v>
      </c>
      <c r="M462" t="str">
        <f>VLOOKUP(H462,CHOOSE({1,2},Table17[Native],Table17[Name]),2,0)</f>
        <v>Zhāngdiàn Qū</v>
      </c>
      <c r="N462" s="15" t="str">
        <f>VLOOKUP(I462,CHOOSE({1,2},Table17[Native],Table17[Name]),2,0)</f>
        <v>Zībó Shì</v>
      </c>
      <c r="O462" s="15" t="str">
        <f t="shared" si="14"/>
        <v>Gongyuan Jiedao (Zībó Shì)</v>
      </c>
      <c r="P462" s="15" t="str">
        <f t="shared" si="15"/>
        <v>Gongyuan Jiedao (Zībó Shì)</v>
      </c>
    </row>
    <row r="463" spans="1:16" hidden="1" x14ac:dyDescent="0.25">
      <c r="A463" t="s">
        <v>1596</v>
      </c>
      <c r="B463" t="str">
        <f>IF(COUNTIF(A:A,A463)&gt;1,_xlfn.CONCAT(A463," (",N463,")"),A463)</f>
        <v>Guānchéng Zhèn</v>
      </c>
      <c r="C463" t="str">
        <f>IF(COUNTIF(B:B,B463)&gt;1,_xlfn.CONCAT(A463," (",M463,")"),B463)</f>
        <v>Guānchéng Zhèn</v>
      </c>
      <c r="D463" t="s">
        <v>1597</v>
      </c>
      <c r="E463" t="s">
        <v>13</v>
      </c>
      <c r="F463" t="str">
        <f>_xlfn.CONCAT(D463,", ",H463,", ",I463,", ","山东省")</f>
        <v>观城镇, 莘县, 聊城市, 山东省</v>
      </c>
      <c r="G463">
        <v>33742</v>
      </c>
      <c r="H463" t="s">
        <v>3707</v>
      </c>
      <c r="I463" t="s">
        <v>3700</v>
      </c>
      <c r="J463">
        <f>VLOOKUP(F463,[1]!china_towns_second__2[[Column1]:[Y]],3,FALSE)</f>
        <v>35.948602768412798</v>
      </c>
      <c r="K463">
        <f>VLOOKUP(F463,[1]!china_towns_second__2[[Column1]:[Y]],2,FALSE)</f>
        <v>115.39941709999999</v>
      </c>
      <c r="L463" t="s">
        <v>5298</v>
      </c>
      <c r="M463" t="str">
        <f>VLOOKUP(H463,CHOOSE({1,2},Table17[Native],Table17[Name]),2,0)</f>
        <v>Shēn Xiàn</v>
      </c>
      <c r="N463" s="15" t="str">
        <f>VLOOKUP(I463,CHOOSE({1,2},Table17[Native],Table17[Name]),2,0)</f>
        <v>Liáochéng Shì</v>
      </c>
      <c r="O463" s="15" t="str">
        <f t="shared" si="14"/>
        <v>Guancheng Zhen (Liáochéng Shì)</v>
      </c>
      <c r="P463" s="15" t="str">
        <f t="shared" si="15"/>
        <v>Guancheng Zhen (Liáochéng Shì)</v>
      </c>
    </row>
    <row r="464" spans="1:16" hidden="1" x14ac:dyDescent="0.25">
      <c r="A464" t="s">
        <v>3127</v>
      </c>
      <c r="B464" t="str">
        <f>IF(COUNTIF(A:A,A464)&gt;1,_xlfn.CONCAT(A464," (",N464,")"),A464)</f>
        <v>Guāndào Zhèn</v>
      </c>
      <c r="C464" t="str">
        <f>IF(COUNTIF(B:B,B464)&gt;1,_xlfn.CONCAT(A464," (",M464,")"),B464)</f>
        <v>Guāndào Zhèn</v>
      </c>
      <c r="D464" t="s">
        <v>3128</v>
      </c>
      <c r="E464" t="s">
        <v>13</v>
      </c>
      <c r="F464" t="str">
        <f>_xlfn.CONCAT(D464,", ",H464,", ",I464,", ","山东省")</f>
        <v>官道镇, 栖霞市, 烟台市, 山东省</v>
      </c>
      <c r="G464">
        <v>28440</v>
      </c>
      <c r="H464" t="s">
        <v>3780</v>
      </c>
      <c r="I464" t="s">
        <v>3771</v>
      </c>
      <c r="J464">
        <f>VLOOKUP(F464,[1]!china_towns_second__2[[Column1]:[Y]],3,FALSE)</f>
        <v>37.214650503177303</v>
      </c>
      <c r="K464">
        <f>VLOOKUP(F464,[1]!china_towns_second__2[[Column1]:[Y]],2,FALSE)</f>
        <v>120.6161319</v>
      </c>
      <c r="L464" t="s">
        <v>5299</v>
      </c>
      <c r="M464" t="str">
        <f>VLOOKUP(H464,CHOOSE({1,2},Table17[Native],Table17[Name]),2,0)</f>
        <v>Qīxiá Shì</v>
      </c>
      <c r="N464" s="15" t="str">
        <f>VLOOKUP(I464,CHOOSE({1,2},Table17[Native],Table17[Name]),2,0)</f>
        <v>Yāntái Shì</v>
      </c>
      <c r="O464" s="15" t="str">
        <f t="shared" si="14"/>
        <v>Guandao Zhen (Yāntái Shì)</v>
      </c>
      <c r="P464" s="15" t="str">
        <f t="shared" si="15"/>
        <v>Guandao Zhen (Yāntái Shì)</v>
      </c>
    </row>
    <row r="465" spans="1:16" hidden="1" x14ac:dyDescent="0.25">
      <c r="A465" t="s">
        <v>501</v>
      </c>
      <c r="B465" t="str">
        <f>IF(COUNTIF(A:A,A465)&gt;1,_xlfn.CONCAT(A465," (",N465,")"),A465)</f>
        <v>Guăngbĕi Nóngchăng Zŏngchăng</v>
      </c>
      <c r="C465" t="str">
        <f>IF(COUNTIF(B:B,B465)&gt;1,_xlfn.CONCAT(A465," (",M465,")"),B465)</f>
        <v>Guăngbĕi Nóngchăng Zŏngchăng</v>
      </c>
      <c r="D465" t="s">
        <v>502</v>
      </c>
      <c r="E465" t="s">
        <v>495</v>
      </c>
      <c r="F465" t="str">
        <f>_xlfn.CONCAT(D465,", ",H465,", ",I465,", ","山东省")</f>
        <v>广北农场总厂, 广饶县, 东营市, 山东省</v>
      </c>
      <c r="G465">
        <v>4962</v>
      </c>
      <c r="H465" t="s">
        <v>3657</v>
      </c>
      <c r="I465" t="s">
        <v>3655</v>
      </c>
      <c r="J465" t="e">
        <f>VLOOKUP(F465,[1]!china_towns_second__2[[Column1]:[Y]],3,FALSE)</f>
        <v>#N/A</v>
      </c>
      <c r="K465" t="e">
        <f>VLOOKUP(F465,[1]!china_towns_second__2[[Column1]:[Y]],2,FALSE)</f>
        <v>#N/A</v>
      </c>
      <c r="L465" t="s">
        <v>5300</v>
      </c>
      <c r="M465" t="str">
        <f>VLOOKUP(H465,CHOOSE({1,2},Table17[Native],Table17[Name]),2,0)</f>
        <v>Guăngráo Xiàn</v>
      </c>
      <c r="N465" s="15" t="str">
        <f>VLOOKUP(I465,CHOOSE({1,2},Table17[Native],Table17[Name]),2,0)</f>
        <v>Dōngyíng Shì</v>
      </c>
      <c r="O465" s="15" t="str">
        <f t="shared" si="14"/>
        <v>Guangbei Nongchang Zongchang (Dōngyíng Shì)</v>
      </c>
      <c r="P465" s="15" t="str">
        <f t="shared" si="15"/>
        <v>Guangbei Nongchang Zongchang (Dōngyíng Shì)</v>
      </c>
    </row>
    <row r="466" spans="1:16" hidden="1" x14ac:dyDescent="0.25">
      <c r="A466" t="s">
        <v>267</v>
      </c>
      <c r="B466" t="str">
        <f>IF(COUNTIF(A:A,A466)&gt;1,_xlfn.CONCAT(A466," (",N466,")"),A466)</f>
        <v>Guăngchuān Jiēdào</v>
      </c>
      <c r="C466" t="str">
        <f>IF(COUNTIF(B:B,B466)&gt;1,_xlfn.CONCAT(A466," (",M466,")"),B466)</f>
        <v>Guăngchuān Jiēdào</v>
      </c>
      <c r="D466" t="s">
        <v>268</v>
      </c>
      <c r="E466" t="s">
        <v>7</v>
      </c>
      <c r="F466" t="str">
        <f>_xlfn.CONCAT(D466,", ",H466,", ",I466,", ","山东省")</f>
        <v>广川街道, 德城区, 德州市, 山东省</v>
      </c>
      <c r="G466">
        <v>99731</v>
      </c>
      <c r="H466" t="s">
        <v>3643</v>
      </c>
      <c r="I466" t="s">
        <v>3642</v>
      </c>
      <c r="J466">
        <f>VLOOKUP(F466,[1]!china_towns_second__2[[Column1]:[Y]],3,FALSE)</f>
        <v>37.455413523538503</v>
      </c>
      <c r="K466">
        <f>VLOOKUP(F466,[1]!china_towns_second__2[[Column1]:[Y]],2,FALSE)</f>
        <v>116.3166804</v>
      </c>
      <c r="L466" t="s">
        <v>5301</v>
      </c>
      <c r="M466" t="str">
        <f>VLOOKUP(H466,CHOOSE({1,2},Table17[Native],Table17[Name]),2,0)</f>
        <v>Déchéng Qū</v>
      </c>
      <c r="N466" s="15" t="str">
        <f>VLOOKUP(I466,CHOOSE({1,2},Table17[Native],Table17[Name]),2,0)</f>
        <v>Dézhōu Shì</v>
      </c>
      <c r="O466" s="15" t="str">
        <f t="shared" si="14"/>
        <v>Guangchuan Jiedao (Dézhōu Shì)</v>
      </c>
      <c r="P466" s="15" t="str">
        <f t="shared" si="15"/>
        <v>Guangchuan Jiedao (Dézhōu Shì)</v>
      </c>
    </row>
    <row r="467" spans="1:16" hidden="1" x14ac:dyDescent="0.25">
      <c r="A467" t="s">
        <v>1281</v>
      </c>
      <c r="B467" t="str">
        <f>IF(COUNTIF(A:A,A467)&gt;1,_xlfn.CONCAT(A467," (",N467,")"),A467)</f>
        <v>Guānghé Jiēdào</v>
      </c>
      <c r="C467" t="str">
        <f>IF(COUNTIF(B:B,B467)&gt;1,_xlfn.CONCAT(A467," (",M467,")"),B467)</f>
        <v>Guānghé Jiēdào</v>
      </c>
      <c r="D467" t="s">
        <v>1282</v>
      </c>
      <c r="E467" t="s">
        <v>7</v>
      </c>
      <c r="F467" t="str">
        <f>_xlfn.CONCAT(D467,", ",H467,", ",I467,", ","山东省")</f>
        <v>洸河街道, 任城区, 济宁市, 山东省</v>
      </c>
      <c r="G467">
        <v>30852</v>
      </c>
      <c r="H467" t="s">
        <v>3692</v>
      </c>
      <c r="I467" t="s">
        <v>3687</v>
      </c>
      <c r="J467">
        <f>VLOOKUP(F467,[1]!china_towns_second__2[[Column1]:[Y]],3,FALSE)</f>
        <v>35.4299952551007</v>
      </c>
      <c r="K467">
        <f>VLOOKUP(F467,[1]!china_towns_second__2[[Column1]:[Y]],2,FALSE)</f>
        <v>116.61723859999999</v>
      </c>
      <c r="L467" t="s">
        <v>5302</v>
      </c>
      <c r="M467" t="str">
        <f>VLOOKUP(H467,CHOOSE({1,2},Table17[Native],Table17[Name]),2,0)</f>
        <v>Rènchéng Qū</v>
      </c>
      <c r="N467" s="15" t="str">
        <f>VLOOKUP(I467,CHOOSE({1,2},Table17[Native],Table17[Name]),2,0)</f>
        <v>Jìníng Shì</v>
      </c>
      <c r="O467" s="15" t="str">
        <f t="shared" si="14"/>
        <v>Guanghe Jiedao (Jìníng Shì)</v>
      </c>
      <c r="P467" s="15" t="str">
        <f t="shared" si="15"/>
        <v>Guanghe Jiedao (Jìníng Shì)</v>
      </c>
    </row>
    <row r="468" spans="1:16" hidden="1" x14ac:dyDescent="0.25">
      <c r="A468" t="s">
        <v>3376</v>
      </c>
      <c r="B468" t="str">
        <f>IF(COUNTIF(A:A,A468)&gt;1,_xlfn.CONCAT(A468," (",N468,")"),A468)</f>
        <v>Guāngmínglù Jiēdào</v>
      </c>
      <c r="C468" t="str">
        <f>IF(COUNTIF(B:B,B468)&gt;1,_xlfn.CONCAT(A468," (",M468,")"),B468)</f>
        <v>Guāngmínglù Jiēdào</v>
      </c>
      <c r="D468" t="s">
        <v>3377</v>
      </c>
      <c r="E468" t="s">
        <v>7</v>
      </c>
      <c r="F468" t="str">
        <f>_xlfn.CONCAT(D468,", ",H468,", ",I468,", ","山东省")</f>
        <v>光明路街道, 市中区, 济南市, 山东省</v>
      </c>
      <c r="G468">
        <v>60848</v>
      </c>
      <c r="H468" t="s">
        <v>3683</v>
      </c>
      <c r="I468" t="s">
        <v>3673</v>
      </c>
      <c r="J468" t="e">
        <f>VLOOKUP(F468,[1]!china_towns_second__2[[Column1]:[Y]],3,FALSE)</f>
        <v>#N/A</v>
      </c>
      <c r="K468" t="e">
        <f>VLOOKUP(F468,[1]!china_towns_second__2[[Column1]:[Y]],2,FALSE)</f>
        <v>#N/A</v>
      </c>
      <c r="L468" t="s">
        <v>5303</v>
      </c>
      <c r="M468" t="str">
        <f>VLOOKUP(H468,CHOOSE({1,2},Table17[Native],Table17[Name]),2,0)</f>
        <v>Shìzhōng Qū</v>
      </c>
      <c r="N468" s="15" t="str">
        <f>VLOOKUP(I468,CHOOSE({1,2},Table17[Native],Table17[Name]),2,0)</f>
        <v>Jìnán Shì</v>
      </c>
      <c r="O468" s="15" t="str">
        <f t="shared" si="14"/>
        <v>Guangminglu Jiedao (Jìnán Shì)</v>
      </c>
      <c r="P468" s="15" t="str">
        <f t="shared" si="15"/>
        <v>Guangminglu Jiedao (Jìnán Shì)</v>
      </c>
    </row>
    <row r="469" spans="1:16" hidden="1" x14ac:dyDescent="0.25">
      <c r="A469" t="s">
        <v>1598</v>
      </c>
      <c r="B469" t="str">
        <f>IF(COUNTIF(A:A,A469)&gt;1,_xlfn.CONCAT(A469," (",N469,")"),A469)</f>
        <v>Guăngpíng Zhèn</v>
      </c>
      <c r="C469" t="str">
        <f>IF(COUNTIF(B:B,B469)&gt;1,_xlfn.CONCAT(A469," (",M469,")"),B469)</f>
        <v>Guăngpíng Zhèn</v>
      </c>
      <c r="D469" t="s">
        <v>1599</v>
      </c>
      <c r="E469" t="s">
        <v>13</v>
      </c>
      <c r="F469" t="str">
        <f>_xlfn.CONCAT(D469,", ",H469,", ",I469,", ","山东省")</f>
        <v>广平镇, 东昌府区, 聊城市, 山东省</v>
      </c>
      <c r="G469">
        <v>28883</v>
      </c>
      <c r="H469" t="s">
        <v>3702</v>
      </c>
      <c r="I469" t="s">
        <v>3700</v>
      </c>
      <c r="J469">
        <f>VLOOKUP(F469,[1]!china_towns_second__2[[Column1]:[Y]],3,FALSE)</f>
        <v>36.476748354557898</v>
      </c>
      <c r="K469">
        <f>VLOOKUP(F469,[1]!china_towns_second__2[[Column1]:[Y]],2,FALSE)</f>
        <v>116.169999</v>
      </c>
      <c r="L469" t="s">
        <v>5304</v>
      </c>
      <c r="M469" t="str">
        <f>VLOOKUP(H469,CHOOSE({1,2},Table17[Native],Table17[Name]),2,0)</f>
        <v>Dōngchāngfŭ Qū</v>
      </c>
      <c r="N469" s="15" t="str">
        <f>VLOOKUP(I469,CHOOSE({1,2},Table17[Native],Table17[Name]),2,0)</f>
        <v>Liáochéng Shì</v>
      </c>
      <c r="O469" s="15" t="str">
        <f t="shared" si="14"/>
        <v>Guangping Zhen (Liáochéng Shì)</v>
      </c>
      <c r="P469" s="15" t="str">
        <f t="shared" si="15"/>
        <v>Guangping Zhen (Liáochéng Shì)</v>
      </c>
    </row>
    <row r="470" spans="1:16" hidden="1" x14ac:dyDescent="0.25">
      <c r="A470" t="s">
        <v>503</v>
      </c>
      <c r="B470" t="str">
        <f>IF(COUNTIF(A:A,A470)&gt;1,_xlfn.CONCAT(A470," (",N470,")"),A470)</f>
        <v>Guăngráo Jiēdào</v>
      </c>
      <c r="C470" t="str">
        <f>IF(COUNTIF(B:B,B470)&gt;1,_xlfn.CONCAT(A470," (",M470,")"),B470)</f>
        <v>Guăngráo Jiēdào</v>
      </c>
      <c r="D470" t="s">
        <v>504</v>
      </c>
      <c r="E470" t="s">
        <v>7</v>
      </c>
      <c r="F470" t="str">
        <f>_xlfn.CONCAT(D470,", ",H470,", ",I470,", ","山东省")</f>
        <v>广饶街道, 广饶县, 东营市, 山东省</v>
      </c>
      <c r="G470">
        <v>102022</v>
      </c>
      <c r="H470" t="s">
        <v>3657</v>
      </c>
      <c r="I470" t="s">
        <v>3655</v>
      </c>
      <c r="J470">
        <f>VLOOKUP(F470,[1]!china_towns_second__2[[Column1]:[Y]],3,FALSE)</f>
        <v>37.065078943038898</v>
      </c>
      <c r="K470">
        <f>VLOOKUP(F470,[1]!china_towns_second__2[[Column1]:[Y]],2,FALSE)</f>
        <v>118.43770619999999</v>
      </c>
      <c r="L470" t="s">
        <v>5305</v>
      </c>
      <c r="M470" t="str">
        <f>VLOOKUP(H470,CHOOSE({1,2},Table17[Native],Table17[Name]),2,0)</f>
        <v>Guăngráo Xiàn</v>
      </c>
      <c r="N470" s="15" t="str">
        <f>VLOOKUP(I470,CHOOSE({1,2},Table17[Native],Table17[Name]),2,0)</f>
        <v>Dōngyíng Shì</v>
      </c>
      <c r="O470" s="15" t="str">
        <f t="shared" si="14"/>
        <v>Guangrao Jiedao (Dōngyíng Shì)</v>
      </c>
      <c r="P470" s="15" t="str">
        <f t="shared" si="15"/>
        <v>Guangrao Jiedao (Dōngyíng Shì)</v>
      </c>
    </row>
    <row r="471" spans="1:16" hidden="1" x14ac:dyDescent="0.25">
      <c r="A471" t="s">
        <v>2729</v>
      </c>
      <c r="B471" t="str">
        <f>IF(COUNTIF(A:A,A471)&gt;1,_xlfn.CONCAT(A471," (",N471,")"),A471)</f>
        <v>Guăngwén Jiēdào</v>
      </c>
      <c r="C471" t="str">
        <f>IF(COUNTIF(B:B,B471)&gt;1,_xlfn.CONCAT(A471," (",M471,")"),B471)</f>
        <v>Guăngwén Jiēdào</v>
      </c>
      <c r="D471" t="s">
        <v>2730</v>
      </c>
      <c r="E471" t="s">
        <v>7</v>
      </c>
      <c r="F471" t="str">
        <f>_xlfn.CONCAT(D471,", ",H471,", ",I471,", ","山东省")</f>
        <v>广文街道, 奎文区, 潍坊市, 山东省</v>
      </c>
      <c r="G471">
        <v>70051</v>
      </c>
      <c r="H471" t="s">
        <v>3758</v>
      </c>
      <c r="I471" t="s">
        <v>3751</v>
      </c>
      <c r="J471">
        <f>VLOOKUP(F471,[1]!china_towns_second__2[[Column1]:[Y]],3,FALSE)</f>
        <v>36.702411629689998</v>
      </c>
      <c r="K471">
        <f>VLOOKUP(F471,[1]!china_towns_second__2[[Column1]:[Y]],2,FALSE)</f>
        <v>119.1342276</v>
      </c>
      <c r="L471" t="s">
        <v>5306</v>
      </c>
      <c r="M471" t="str">
        <f>VLOOKUP(H471,CHOOSE({1,2},Table17[Native],Table17[Name]),2,0)</f>
        <v>Kuíwén Qū</v>
      </c>
      <c r="N471" s="15" t="str">
        <f>VLOOKUP(I471,CHOOSE({1,2},Table17[Native],Table17[Name]),2,0)</f>
        <v>Wéifāng Shì</v>
      </c>
      <c r="O471" s="15" t="str">
        <f t="shared" si="14"/>
        <v>Guangwen Jiedao (Wéifāng Shì)</v>
      </c>
      <c r="P471" s="15" t="str">
        <f t="shared" si="15"/>
        <v>Guangwen Jiedao (Wéifāng Shì)</v>
      </c>
    </row>
    <row r="472" spans="1:16" hidden="1" x14ac:dyDescent="0.25">
      <c r="A472" t="s">
        <v>269</v>
      </c>
      <c r="B472" t="str">
        <f>IF(COUNTIF(A:A,A472)&gt;1,_xlfn.CONCAT(A472," (",N472,")"),A472)</f>
        <v>Guăngyùn Jiēdào</v>
      </c>
      <c r="C472" t="str">
        <f>IF(COUNTIF(B:B,B472)&gt;1,_xlfn.CONCAT(A472," (",M472,")"),B472)</f>
        <v>Guăngyùn Jiēdào</v>
      </c>
      <c r="D472" t="s">
        <v>270</v>
      </c>
      <c r="E472" t="s">
        <v>7</v>
      </c>
      <c r="F472" t="str">
        <f>_xlfn.CONCAT(D472,", ",H472,", ",I472,", ","山东省")</f>
        <v>广运街道, 武城县, 德州市, 山东省</v>
      </c>
      <c r="G472">
        <v>73278</v>
      </c>
      <c r="H472" t="s">
        <v>3651</v>
      </c>
      <c r="I472" t="s">
        <v>3642</v>
      </c>
      <c r="J472">
        <f>VLOOKUP(F472,[1]!china_towns_second__2[[Column1]:[Y]],3,FALSE)</f>
        <v>37.217454767554003</v>
      </c>
      <c r="K472">
        <f>VLOOKUP(F472,[1]!china_towns_second__2[[Column1]:[Y]],2,FALSE)</f>
        <v>116.08370789999999</v>
      </c>
      <c r="L472" t="s">
        <v>5307</v>
      </c>
      <c r="M472" t="str">
        <f>VLOOKUP(H472,CHOOSE({1,2},Table17[Native],Table17[Name]),2,0)</f>
        <v>Wŭchéng Xiàn</v>
      </c>
      <c r="N472" s="15" t="str">
        <f>VLOOKUP(I472,CHOOSE({1,2},Table17[Native],Table17[Name]),2,0)</f>
        <v>Dézhōu Shì</v>
      </c>
      <c r="O472" s="15" t="str">
        <f t="shared" si="14"/>
        <v>Guangyun Jiedao (Dézhōu Shì)</v>
      </c>
      <c r="P472" s="15" t="str">
        <f t="shared" si="15"/>
        <v>Guangyun Jiedao (Dézhōu Shì)</v>
      </c>
    </row>
    <row r="473" spans="1:16" hidden="1" x14ac:dyDescent="0.25">
      <c r="A473" t="s">
        <v>2174</v>
      </c>
      <c r="B473" t="str">
        <f>IF(COUNTIF(A:A,A473)&gt;1,_xlfn.CONCAT(A473," (",N473,")"),A473)</f>
        <v>Guānhăilù Jiēdào</v>
      </c>
      <c r="C473" t="str">
        <f>IF(COUNTIF(B:B,B473)&gt;1,_xlfn.CONCAT(A473," (",M473,")"),B473)</f>
        <v>Guānhăilù Jiēdào</v>
      </c>
      <c r="D473" t="s">
        <v>2175</v>
      </c>
      <c r="E473" t="s">
        <v>7</v>
      </c>
      <c r="F473" t="str">
        <f>_xlfn.CONCAT(D473,", ",H473,", ",I473,", ","山东省")</f>
        <v>观海路街道, 市南区, 青岛市, 山东省</v>
      </c>
      <c r="G473">
        <v>17284</v>
      </c>
      <c r="H473" t="s">
        <v>3734</v>
      </c>
      <c r="I473" t="s">
        <v>3724</v>
      </c>
      <c r="J473" t="e">
        <f>VLOOKUP(F473,[1]!china_towns_second__2[[Column1]:[Y]],3,FALSE)</f>
        <v>#N/A</v>
      </c>
      <c r="K473" t="e">
        <f>VLOOKUP(F473,[1]!china_towns_second__2[[Column1]:[Y]],2,FALSE)</f>
        <v>#N/A</v>
      </c>
      <c r="L473" t="s">
        <v>5308</v>
      </c>
      <c r="M473" t="str">
        <f>VLOOKUP(H473,CHOOSE({1,2},Table17[Native],Table17[Name]),2,0)</f>
        <v>Shìnán Qū</v>
      </c>
      <c r="N473" s="15" t="str">
        <f>VLOOKUP(I473,CHOOSE({1,2},Table17[Native],Table17[Name]),2,0)</f>
        <v>Qīngdăo Shì</v>
      </c>
      <c r="O473" s="15" t="str">
        <f t="shared" si="14"/>
        <v>Guanhailu Jiedao (Qīngdăo Shì)</v>
      </c>
      <c r="P473" s="15" t="str">
        <f t="shared" si="15"/>
        <v>Guanhailu Jiedao (Qīngdăo Shì)</v>
      </c>
    </row>
    <row r="474" spans="1:16" hidden="1" x14ac:dyDescent="0.25">
      <c r="A474" t="s">
        <v>3129</v>
      </c>
      <c r="B474" t="str">
        <f>IF(COUNTIF(A:A,A474)&gt;1,_xlfn.CONCAT(A474," (",N474,")"),A474)</f>
        <v>Guānlĭ Zhèn</v>
      </c>
      <c r="C474" t="str">
        <f>IF(COUNTIF(B:B,B474)&gt;1,_xlfn.CONCAT(A474," (",M474,")"),B474)</f>
        <v>Guānlĭ Zhèn</v>
      </c>
      <c r="D474" t="s">
        <v>3130</v>
      </c>
      <c r="E474" t="s">
        <v>13</v>
      </c>
      <c r="F474" t="str">
        <f>_xlfn.CONCAT(D474,", ",H474,", ",I474,", ","山东省")</f>
        <v>观里镇, 栖霞市, 烟台市, 山东省</v>
      </c>
      <c r="G474">
        <v>33022</v>
      </c>
      <c r="H474" t="s">
        <v>3780</v>
      </c>
      <c r="I474" t="s">
        <v>3771</v>
      </c>
      <c r="J474">
        <f>VLOOKUP(F474,[1]!china_towns_second__2[[Column1]:[Y]],3,FALSE)</f>
        <v>37.201698901592302</v>
      </c>
      <c r="K474">
        <f>VLOOKUP(F474,[1]!china_towns_second__2[[Column1]:[Y]],2,FALSE)</f>
        <v>120.7023299</v>
      </c>
      <c r="L474" t="s">
        <v>5309</v>
      </c>
      <c r="M474" t="str">
        <f>VLOOKUP(H474,CHOOSE({1,2},Table17[Native],Table17[Name]),2,0)</f>
        <v>Qīxiá Shì</v>
      </c>
      <c r="N474" s="15" t="str">
        <f>VLOOKUP(I474,CHOOSE({1,2},Table17[Native],Table17[Name]),2,0)</f>
        <v>Yāntái Shì</v>
      </c>
      <c r="O474" s="15" t="str">
        <f t="shared" si="14"/>
        <v>Guanli Zhen (Yāntái Shì)</v>
      </c>
      <c r="P474" s="15" t="str">
        <f t="shared" si="15"/>
        <v>Guanli Zhen (Yāntái Shì)</v>
      </c>
    </row>
    <row r="475" spans="1:16" hidden="1" x14ac:dyDescent="0.25">
      <c r="A475" t="s">
        <v>3378</v>
      </c>
      <c r="B475" t="str">
        <f>IF(COUNTIF(A:A,A475)&gt;1,_xlfn.CONCAT(A475," (",N475,")"),A475)</f>
        <v>Guānqiáo Zhèn</v>
      </c>
      <c r="C475" t="str">
        <f>IF(COUNTIF(B:B,B475)&gt;1,_xlfn.CONCAT(A475," (",M475,")"),B475)</f>
        <v>Guānqiáo Zhèn</v>
      </c>
      <c r="D475" t="s">
        <v>3379</v>
      </c>
      <c r="E475" t="s">
        <v>13</v>
      </c>
      <c r="F475" t="str">
        <f>_xlfn.CONCAT(D475,", ",H475,", ",I475,", ","山东省")</f>
        <v>官桥镇, 滕州市, 枣庄市, 山东省</v>
      </c>
      <c r="G475">
        <v>62303</v>
      </c>
      <c r="H475" t="s">
        <v>3787</v>
      </c>
      <c r="I475" t="s">
        <v>3784</v>
      </c>
      <c r="J475">
        <f>VLOOKUP(F475,[1]!china_towns_second__2[[Column1]:[Y]],3,FALSE)</f>
        <v>34.937749522880402</v>
      </c>
      <c r="K475">
        <f>VLOOKUP(F475,[1]!china_towns_second__2[[Column1]:[Y]],2,FALSE)</f>
        <v>117.2326197</v>
      </c>
      <c r="L475" t="s">
        <v>5310</v>
      </c>
      <c r="M475" t="str">
        <f>VLOOKUP(H475,CHOOSE({1,2},Table17[Native],Table17[Name]),2,0)</f>
        <v>Téngzhōu Shì</v>
      </c>
      <c r="N475" s="15" t="str">
        <f>VLOOKUP(I475,CHOOSE({1,2},Table17[Native],Table17[Name]),2,0)</f>
        <v>Zăozhuāng Shì</v>
      </c>
      <c r="O475" s="15" t="str">
        <f t="shared" si="14"/>
        <v>Guanqiao Zhen (Zăozhuāng Shì)</v>
      </c>
      <c r="P475" s="15" t="str">
        <f t="shared" si="15"/>
        <v>Guanqiao Zhen (Zăozhuāng Shì)</v>
      </c>
    </row>
    <row r="476" spans="1:16" hidden="1" x14ac:dyDescent="0.25">
      <c r="A476" t="s">
        <v>3131</v>
      </c>
      <c r="B476" t="str">
        <f>IF(COUNTIF(A:A,A476)&gt;1,_xlfn.CONCAT(A476," (",N476,")"),A476)</f>
        <v>Guānshuĭ Zhèn</v>
      </c>
      <c r="C476" t="str">
        <f>IF(COUNTIF(B:B,B476)&gt;1,_xlfn.CONCAT(A476," (",M476,")"),B476)</f>
        <v>Guānshuĭ Zhèn</v>
      </c>
      <c r="D476" t="s">
        <v>3132</v>
      </c>
      <c r="E476" t="s">
        <v>13</v>
      </c>
      <c r="F476" t="str">
        <f>_xlfn.CONCAT(D476,", ",H476,", ",I476,", ","山东省")</f>
        <v>观水镇, 牟平区, 烟台市, 山东省</v>
      </c>
      <c r="G476">
        <v>50377</v>
      </c>
      <c r="H476" t="s">
        <v>3778</v>
      </c>
      <c r="I476" t="s">
        <v>3771</v>
      </c>
      <c r="J476">
        <f>VLOOKUP(F476,[1]!china_towns_second__2[[Column1]:[Y]],3,FALSE)</f>
        <v>37.177550157169797</v>
      </c>
      <c r="K476">
        <f>VLOOKUP(F476,[1]!china_towns_second__2[[Column1]:[Y]],2,FALSE)</f>
        <v>121.2552148</v>
      </c>
      <c r="L476" t="s">
        <v>5311</v>
      </c>
      <c r="M476" t="str">
        <f>VLOOKUP(H476,CHOOSE({1,2},Table17[Native],Table17[Name]),2,0)</f>
        <v>Mùpíng Qū</v>
      </c>
      <c r="N476" s="15" t="str">
        <f>VLOOKUP(I476,CHOOSE({1,2},Table17[Native],Table17[Name]),2,0)</f>
        <v>Yāntái Shì</v>
      </c>
      <c r="O476" s="15" t="str">
        <f t="shared" si="14"/>
        <v>Guanshui Zhen (Yāntái Shì)</v>
      </c>
      <c r="P476" s="15" t="str">
        <f t="shared" si="15"/>
        <v>Guanshui Zhen (Yāntái Shì)</v>
      </c>
    </row>
    <row r="477" spans="1:16" hidden="1" x14ac:dyDescent="0.25">
      <c r="A477" t="s">
        <v>1285</v>
      </c>
      <c r="B477" t="str">
        <f>IF(COUNTIF(A:A,A477)&gt;1,_xlfn.CONCAT(A477," (",N477,")"),A477)</f>
        <v>Guănyì Zhèn</v>
      </c>
      <c r="C477" t="str">
        <f>IF(COUNTIF(B:B,B477)&gt;1,_xlfn.CONCAT(A477," (",M477,")"),B477)</f>
        <v>Guănyì Zhèn</v>
      </c>
      <c r="D477" t="s">
        <v>1286</v>
      </c>
      <c r="E477" t="s">
        <v>13</v>
      </c>
      <c r="F477" t="str">
        <f>_xlfn.CONCAT(D477,", ",H477,", ",I477,", ","山东省")</f>
        <v>馆驿镇, 梁山县, 济宁市, 山东省</v>
      </c>
      <c r="G477">
        <v>46913</v>
      </c>
      <c r="H477" t="s">
        <v>3690</v>
      </c>
      <c r="I477" t="s">
        <v>3687</v>
      </c>
      <c r="J477">
        <f>VLOOKUP(F477,[1]!china_towns_second__2[[Column1]:[Y]],3,FALSE)</f>
        <v>35.7846172424643</v>
      </c>
      <c r="K477">
        <f>VLOOKUP(F477,[1]!china_towns_second__2[[Column1]:[Y]],2,FALSE)</f>
        <v>116.2152913</v>
      </c>
      <c r="L477" t="s">
        <v>5312</v>
      </c>
      <c r="M477" t="str">
        <f>VLOOKUP(H477,CHOOSE({1,2},Table17[Native],Table17[Name]),2,0)</f>
        <v>Liángshān Xiàn</v>
      </c>
      <c r="N477" s="15" t="str">
        <f>VLOOKUP(I477,CHOOSE({1,2},Table17[Native],Table17[Name]),2,0)</f>
        <v>Jìníng Shì</v>
      </c>
      <c r="O477" s="15" t="str">
        <f t="shared" si="14"/>
        <v>Guanyi Zhen (Jìníng Shì)</v>
      </c>
      <c r="P477" s="15" t="str">
        <f t="shared" si="15"/>
        <v>Guanyi Zhen (Jìníng Shì)</v>
      </c>
    </row>
    <row r="478" spans="1:16" hidden="1" x14ac:dyDescent="0.25">
      <c r="A478" t="s">
        <v>1283</v>
      </c>
      <c r="B478" t="str">
        <f>IF(COUNTIF(A:A,A478)&gt;1,_xlfn.CONCAT(A478," (",N478,")"),A478)</f>
        <v>Guānyīngé Jiēdào</v>
      </c>
      <c r="C478" t="str">
        <f>IF(COUNTIF(B:B,B478)&gt;1,_xlfn.CONCAT(A478," (",M478,")"),B478)</f>
        <v>Guānyīngé Jiēdào</v>
      </c>
      <c r="D478" t="s">
        <v>1284</v>
      </c>
      <c r="E478" t="s">
        <v>7</v>
      </c>
      <c r="F478" t="str">
        <f>_xlfn.CONCAT(D478,", ",H478,", ",I478,", ","山东省")</f>
        <v>观音阁街道, 任城区, 济宁市, 山东省</v>
      </c>
      <c r="G478">
        <v>65600</v>
      </c>
      <c r="H478" t="s">
        <v>3692</v>
      </c>
      <c r="I478" t="s">
        <v>3687</v>
      </c>
      <c r="J478">
        <f>VLOOKUP(F478,[1]!china_towns_second__2[[Column1]:[Y]],3,FALSE)</f>
        <v>35.400933631831499</v>
      </c>
      <c r="K478">
        <f>VLOOKUP(F478,[1]!china_towns_second__2[[Column1]:[Y]],2,FALSE)</f>
        <v>116.612853</v>
      </c>
      <c r="L478" t="s">
        <v>5313</v>
      </c>
      <c r="M478" t="str">
        <f>VLOOKUP(H478,CHOOSE({1,2},Table17[Native],Table17[Name]),2,0)</f>
        <v>Rènchéng Qū</v>
      </c>
      <c r="N478" s="15" t="str">
        <f>VLOOKUP(I478,CHOOSE({1,2},Table17[Native],Table17[Name]),2,0)</f>
        <v>Jìníng Shì</v>
      </c>
      <c r="O478" s="15" t="str">
        <f t="shared" si="14"/>
        <v>Guanyinge Jiedao (Jìníng Shì)</v>
      </c>
      <c r="P478" s="15" t="str">
        <f t="shared" si="15"/>
        <v>Guanyinge Jiedao (Jìníng Shì)</v>
      </c>
    </row>
    <row r="479" spans="1:16" hidden="1" x14ac:dyDescent="0.25">
      <c r="A479" t="s">
        <v>991</v>
      </c>
      <c r="B479" t="str">
        <f>IF(COUNTIF(A:A,A479)&gt;1,_xlfn.CONCAT(A479," (",N479,")"),A479)</f>
        <v>Guānzhāyíng Jiēdào</v>
      </c>
      <c r="C479" t="str">
        <f>IF(COUNTIF(B:B,B479)&gt;1,_xlfn.CONCAT(A479," (",M479,")"),B479)</f>
        <v>Guānzhāyíng Jiēdào</v>
      </c>
      <c r="D479" t="s">
        <v>992</v>
      </c>
      <c r="E479" t="s">
        <v>7</v>
      </c>
      <c r="F479" t="str">
        <f>_xlfn.CONCAT(D479,", ",H479,", ",I479,", ","山东省")</f>
        <v>官扎营街道, 天桥区, 济南市, 山东省</v>
      </c>
      <c r="G479">
        <v>10058</v>
      </c>
      <c r="H479" t="s">
        <v>3684</v>
      </c>
      <c r="I479" t="s">
        <v>3673</v>
      </c>
      <c r="J479">
        <f>VLOOKUP(F479,[1]!china_towns_second__2[[Column1]:[Y]],3,FALSE)</f>
        <v>36.678052123957698</v>
      </c>
      <c r="K479">
        <f>VLOOKUP(F479,[1]!china_towns_second__2[[Column1]:[Y]],2,FALSE)</f>
        <v>116.98719130000001</v>
      </c>
      <c r="L479" t="s">
        <v>5314</v>
      </c>
      <c r="M479" t="str">
        <f>VLOOKUP(H479,CHOOSE({1,2},Table17[Native],Table17[Name]),2,0)</f>
        <v>Tiānqiáo Qū</v>
      </c>
      <c r="N479" s="15" t="str">
        <f>VLOOKUP(I479,CHOOSE({1,2},Table17[Native],Table17[Name]),2,0)</f>
        <v>Jìnán Shì</v>
      </c>
      <c r="O479" s="15" t="str">
        <f t="shared" si="14"/>
        <v>Guanzhaying Jiedao (Jìnán Shì)</v>
      </c>
      <c r="P479" s="15" t="str">
        <f t="shared" si="15"/>
        <v>Guanzhaying Jiedao (Jìnán Shì)</v>
      </c>
    </row>
    <row r="480" spans="1:16" hidden="1" x14ac:dyDescent="0.25">
      <c r="A480" t="s">
        <v>993</v>
      </c>
      <c r="B480" t="str">
        <f>IF(COUNTIF(A:A,A480)&gt;1,_xlfn.CONCAT(A480," (",N480,")"),A480)</f>
        <v>Guānzhuāng Jiēdào</v>
      </c>
      <c r="C480" t="str">
        <f>IF(COUNTIF(B:B,B480)&gt;1,_xlfn.CONCAT(A480," (",M480,")"),B480)</f>
        <v>Guānzhuāng Jiēdào</v>
      </c>
      <c r="D480" t="s">
        <v>994</v>
      </c>
      <c r="E480" t="s">
        <v>7</v>
      </c>
      <c r="F480" t="str">
        <f>_xlfn.CONCAT(D480,", ",H480,", ",I480,", ","山东省")</f>
        <v>官庄街道, 章丘区, 济南市, 山东省</v>
      </c>
      <c r="G480">
        <v>47091</v>
      </c>
      <c r="H480" t="s">
        <v>3685</v>
      </c>
      <c r="I480" t="s">
        <v>3673</v>
      </c>
      <c r="J480" t="e">
        <f>VLOOKUP(F480,[1]!china_towns_second__2[[Column1]:[Y]],3,FALSE)</f>
        <v>#N/A</v>
      </c>
      <c r="K480" t="e">
        <f>VLOOKUP(F480,[1]!china_towns_second__2[[Column1]:[Y]],2,FALSE)</f>
        <v>#N/A</v>
      </c>
      <c r="L480" t="s">
        <v>5315</v>
      </c>
      <c r="M480" t="str">
        <f>VLOOKUP(H480,CHOOSE({1,2},Table17[Native],Table17[Name]),2,0)</f>
        <v>Zhāngqiū Qū</v>
      </c>
      <c r="N480" s="15" t="str">
        <f>VLOOKUP(I480,CHOOSE({1,2},Table17[Native],Table17[Name]),2,0)</f>
        <v>Jìnán Shì</v>
      </c>
      <c r="O480" s="15" t="str">
        <f t="shared" si="14"/>
        <v>Guanzhuang Jiedao (Jìnán Shì)</v>
      </c>
      <c r="P480" s="15" t="str">
        <f t="shared" si="15"/>
        <v>Guanzhuang Jiedao (Jìnán Shì)</v>
      </c>
    </row>
    <row r="481" spans="1:16" hidden="1" x14ac:dyDescent="0.25">
      <c r="A481" t="s">
        <v>2731</v>
      </c>
      <c r="B481" t="str">
        <f>IF(COUNTIF(A:A,A481)&gt;1,_xlfn.CONCAT(A481," (",N481,")"),A481)</f>
        <v>Guānzhuāng Zhèn</v>
      </c>
      <c r="C481" t="str">
        <f>IF(COUNTIF(B:B,B481)&gt;1,_xlfn.CONCAT(A481," (",M481,")"),B481)</f>
        <v>Guānzhuāng Zhèn</v>
      </c>
      <c r="D481" t="s">
        <v>2732</v>
      </c>
      <c r="E481" t="s">
        <v>13</v>
      </c>
      <c r="F481" t="str">
        <f>_xlfn.CONCAT(D481,", ",H481,", ",I481,", ","山东省")</f>
        <v>官庄镇, 安丘市, 潍坊市, 山东省</v>
      </c>
      <c r="G481">
        <v>50826</v>
      </c>
      <c r="H481" t="s">
        <v>3752</v>
      </c>
      <c r="I481" t="s">
        <v>3751</v>
      </c>
      <c r="J481">
        <f>VLOOKUP(F481,[1]!china_towns_second__2[[Column1]:[Y]],3,FALSE)</f>
        <v>36.246893793978003</v>
      </c>
      <c r="K481">
        <f>VLOOKUP(F481,[1]!china_towns_second__2[[Column1]:[Y]],2,FALSE)</f>
        <v>119.1717258</v>
      </c>
      <c r="L481" t="s">
        <v>5316</v>
      </c>
      <c r="M481" t="str">
        <f>VLOOKUP(H481,CHOOSE({1,2},Table17[Native],Table17[Name]),2,0)</f>
        <v>Ānqiū Shì</v>
      </c>
      <c r="N481" s="15" t="str">
        <f>VLOOKUP(I481,CHOOSE({1,2},Table17[Native],Table17[Name]),2,0)</f>
        <v>Wéifāng Shì</v>
      </c>
      <c r="O481" s="15" t="str">
        <f t="shared" si="14"/>
        <v>Guanzhuang Zhen (Wéifāng Shì)</v>
      </c>
      <c r="P481" s="15" t="str">
        <f t="shared" si="15"/>
        <v>Guanzhuang Zhen (Wéifāng Shì)</v>
      </c>
    </row>
    <row r="482" spans="1:16" hidden="1" x14ac:dyDescent="0.25">
      <c r="A482" t="s">
        <v>2733</v>
      </c>
      <c r="B482" t="str">
        <f>IF(COUNTIF(A:A,A482)&gt;1,_xlfn.CONCAT(A482," (",N482,")"),A482)</f>
        <v>Gŭchéng Jiēdào</v>
      </c>
      <c r="C482" t="str">
        <f>IF(COUNTIF(B:B,B482)&gt;1,_xlfn.CONCAT(A482," (",M482,")"),B482)</f>
        <v>Gŭchéng Jiēdào</v>
      </c>
      <c r="D482" t="s">
        <v>2734</v>
      </c>
      <c r="E482" t="s">
        <v>7</v>
      </c>
      <c r="F482" t="str">
        <f>_xlfn.CONCAT(D482,", ",H482,", ",I482,", ","山东省")</f>
        <v>古城街道, 寿光市, 潍坊市, 山东省</v>
      </c>
      <c r="G482">
        <v>60149</v>
      </c>
      <c r="H482" t="s">
        <v>3761</v>
      </c>
      <c r="I482" t="s">
        <v>3751</v>
      </c>
      <c r="J482">
        <f>VLOOKUP(F482,[1]!china_towns_second__2[[Column1]:[Y]],3,FALSE)</f>
        <v>36.939124696028401</v>
      </c>
      <c r="K482">
        <f>VLOOKUP(F482,[1]!china_towns_second__2[[Column1]:[Y]],2,FALSE)</f>
        <v>118.765171</v>
      </c>
      <c r="L482" t="s">
        <v>5317</v>
      </c>
      <c r="M482" t="str">
        <f>VLOOKUP(H482,CHOOSE({1,2},Table17[Native],Table17[Name]),2,0)</f>
        <v>Shòuguāng Shì</v>
      </c>
      <c r="N482" s="15" t="str">
        <f>VLOOKUP(I482,CHOOSE({1,2},Table17[Native],Table17[Name]),2,0)</f>
        <v>Wéifāng Shì</v>
      </c>
      <c r="O482" s="15" t="str">
        <f t="shared" si="14"/>
        <v>Gucheng Jiedao (Wéifāng Shì)</v>
      </c>
      <c r="P482" s="15" t="str">
        <f t="shared" si="15"/>
        <v>Gucheng Jiedao (Wéifāng Shì)</v>
      </c>
    </row>
    <row r="483" spans="1:16" hidden="1" x14ac:dyDescent="0.25">
      <c r="A483" t="s">
        <v>57</v>
      </c>
      <c r="B483" t="str">
        <f>IF(COUNTIF(A:A,A483)&gt;1,_xlfn.CONCAT(A483," (",N483,")"),A483)</f>
        <v>Gŭchéng Zhèn (Bīnzhōu Shì)</v>
      </c>
      <c r="C483" t="str">
        <f>IF(COUNTIF(B:B,B483)&gt;1,_xlfn.CONCAT(A483," (",M483,")"),B483)</f>
        <v>Gŭchéng Zhèn (Bīnzhōu Shì)</v>
      </c>
      <c r="D483" t="s">
        <v>58</v>
      </c>
      <c r="E483" t="s">
        <v>13</v>
      </c>
      <c r="F483" t="str">
        <f>_xlfn.CONCAT(D483,", ",H483,", ",I483,", ","山东省")</f>
        <v>古城镇, 沾化区, 滨州市, 山东省</v>
      </c>
      <c r="G483">
        <v>24098</v>
      </c>
      <c r="H483" t="s">
        <v>3638</v>
      </c>
      <c r="I483" t="s">
        <v>3630</v>
      </c>
      <c r="J483">
        <f>VLOOKUP(F483,[1]!china_towns_second__2[[Column1]:[Y]],3,FALSE)</f>
        <v>37.699715213128499</v>
      </c>
      <c r="K483">
        <f>VLOOKUP(F483,[1]!china_towns_second__2[[Column1]:[Y]],2,FALSE)</f>
        <v>117.7839453</v>
      </c>
      <c r="L483" t="s">
        <v>5318</v>
      </c>
      <c r="M483" t="str">
        <f>VLOOKUP(H483,CHOOSE({1,2},Table17[Native],Table17[Name]),2,0)</f>
        <v>Zhānhuà Qū</v>
      </c>
      <c r="N483" s="15" t="str">
        <f>VLOOKUP(I483,CHOOSE({1,2},Table17[Native],Table17[Name]),2,0)</f>
        <v>Bīnzhōu Shì</v>
      </c>
      <c r="O483" s="15" t="str">
        <f t="shared" si="14"/>
        <v>Gucheng Zhen (Binzhou Shi) (Bīnzhōu Shì)</v>
      </c>
      <c r="P483" s="15" t="str">
        <f t="shared" si="15"/>
        <v>Gucheng Zhen (Binzhou Shi) (Bīnzhōu Shì)</v>
      </c>
    </row>
    <row r="484" spans="1:16" hidden="1" x14ac:dyDescent="0.25">
      <c r="A484" t="s">
        <v>57</v>
      </c>
      <c r="B484" t="str">
        <f>IF(COUNTIF(A:A,A484)&gt;1,_xlfn.CONCAT(A484," (",N484,")"),A484)</f>
        <v>Gŭchéng Zhèn (Liáochéng Shì)</v>
      </c>
      <c r="C484" t="str">
        <f>IF(COUNTIF(B:B,B484)&gt;1,_xlfn.CONCAT(A484," (",M484,")"),B484)</f>
        <v>Gŭchéng Zhèn (Liáochéng Shì)</v>
      </c>
      <c r="D484" t="s">
        <v>58</v>
      </c>
      <c r="E484" t="s">
        <v>13</v>
      </c>
      <c r="F484" t="str">
        <f>_xlfn.CONCAT(D484,", ",H484,", ",I484,", ","山东省")</f>
        <v>古城镇, 莘县, 聊城市, 山东省</v>
      </c>
      <c r="G484">
        <v>49650</v>
      </c>
      <c r="H484" t="s">
        <v>3707</v>
      </c>
      <c r="I484" t="s">
        <v>3700</v>
      </c>
      <c r="J484">
        <f>VLOOKUP(F484,[1]!china_towns_second__2[[Column1]:[Y]],3,FALSE)</f>
        <v>35.963929405200403</v>
      </c>
      <c r="K484">
        <f>VLOOKUP(F484,[1]!china_towns_second__2[[Column1]:[Y]],2,FALSE)</f>
        <v>115.624923</v>
      </c>
      <c r="L484" t="s">
        <v>5319</v>
      </c>
      <c r="M484" t="str">
        <f>VLOOKUP(H484,CHOOSE({1,2},Table17[Native],Table17[Name]),2,0)</f>
        <v>Shēn Xiàn</v>
      </c>
      <c r="N484" s="15" t="str">
        <f>VLOOKUP(I484,CHOOSE({1,2},Table17[Native],Table17[Name]),2,0)</f>
        <v>Liáochéng Shì</v>
      </c>
      <c r="O484" s="15" t="str">
        <f t="shared" si="14"/>
        <v>Gucheng Zhen (Liaocheng Shi) (Liáochéng Shì)</v>
      </c>
      <c r="P484" s="15" t="str">
        <f t="shared" si="15"/>
        <v>Gucheng Zhen (Liaocheng Shi) (Liáochéng Shì)</v>
      </c>
    </row>
    <row r="485" spans="1:16" hidden="1" x14ac:dyDescent="0.25">
      <c r="A485" t="s">
        <v>505</v>
      </c>
      <c r="B485" t="str">
        <f>IF(COUNTIF(A:A,A485)&gt;1,_xlfn.CONCAT(A485," (",N485,")"),A485)</f>
        <v>Gūdăo Zhèn</v>
      </c>
      <c r="C485" t="str">
        <f>IF(COUNTIF(B:B,B485)&gt;1,_xlfn.CONCAT(A485," (",M485,")"),B485)</f>
        <v>Gūdăo Zhèn</v>
      </c>
      <c r="D485" t="s">
        <v>506</v>
      </c>
      <c r="E485" t="s">
        <v>13</v>
      </c>
      <c r="F485" t="str">
        <f>_xlfn.CONCAT(D485,", ",H485,", ",I485,", ","山东省")</f>
        <v>孤岛镇, 河口区, 东营市, 山东省</v>
      </c>
      <c r="G485">
        <v>46068</v>
      </c>
      <c r="H485" t="s">
        <v>3658</v>
      </c>
      <c r="I485" t="s">
        <v>3655</v>
      </c>
      <c r="J485">
        <f>VLOOKUP(F485,[1]!china_towns_second__2[[Column1]:[Y]],3,FALSE)</f>
        <v>37.848770003928003</v>
      </c>
      <c r="K485">
        <f>VLOOKUP(F485,[1]!china_towns_second__2[[Column1]:[Y]],2,FALSE)</f>
        <v>118.7715615</v>
      </c>
      <c r="L485" t="s">
        <v>5320</v>
      </c>
      <c r="M485" t="str">
        <f>VLOOKUP(H485,CHOOSE({1,2},Table17[Native],Table17[Name]),2,0)</f>
        <v>Hékŏu Qū</v>
      </c>
      <c r="N485" s="15" t="str">
        <f>VLOOKUP(I485,CHOOSE({1,2},Table17[Native],Table17[Name]),2,0)</f>
        <v>Dōngyíng Shì</v>
      </c>
      <c r="O485" s="15" t="str">
        <f t="shared" si="14"/>
        <v>Gudao Zhen (Dōngyíng Shì)</v>
      </c>
      <c r="P485" s="15" t="str">
        <f t="shared" si="15"/>
        <v>Gudao Zhen (Dōngyíng Shì)</v>
      </c>
    </row>
    <row r="486" spans="1:16" hidden="1" x14ac:dyDescent="0.25">
      <c r="A486" t="s">
        <v>2735</v>
      </c>
      <c r="B486" t="str">
        <f>IF(COUNTIF(A:A,A486)&gt;1,_xlfn.CONCAT(A486," (",N486,")"),A486)</f>
        <v>Gùdī Jiēdào</v>
      </c>
      <c r="C486" t="str">
        <f>IF(COUNTIF(B:B,B486)&gt;1,_xlfn.CONCAT(A486," (",M486,")"),B486)</f>
        <v>Gùdī Jiēdào</v>
      </c>
      <c r="D486" t="s">
        <v>2736</v>
      </c>
      <c r="E486" t="s">
        <v>7</v>
      </c>
      <c r="F486" t="str">
        <f>_xlfn.CONCAT(D486,", ",H486,", ",I486,", ","山东省")</f>
        <v>固堤街道, 寒亭区, 潍坊市, 山东省</v>
      </c>
      <c r="G486">
        <v>54053</v>
      </c>
      <c r="H486" t="s">
        <v>3757</v>
      </c>
      <c r="I486" t="s">
        <v>3751</v>
      </c>
      <c r="J486">
        <f>VLOOKUP(F486,[1]!china_towns_second__2[[Column1]:[Y]],3,FALSE)</f>
        <v>36.908185850284802</v>
      </c>
      <c r="K486">
        <f>VLOOKUP(F486,[1]!china_towns_second__2[[Column1]:[Y]],2,FALSE)</f>
        <v>119.1686818</v>
      </c>
      <c r="L486" t="s">
        <v>5321</v>
      </c>
      <c r="M486" t="str">
        <f>VLOOKUP(H486,CHOOSE({1,2},Table17[Native],Table17[Name]),2,0)</f>
        <v>Hántíng Qū</v>
      </c>
      <c r="N486" s="15" t="str">
        <f>VLOOKUP(I486,CHOOSE({1,2},Table17[Native],Table17[Name]),2,0)</f>
        <v>Wéifāng Shì</v>
      </c>
      <c r="O486" s="15" t="str">
        <f t="shared" si="14"/>
        <v>Gudi Jiedao (Wéifāng Shì)</v>
      </c>
      <c r="P486" s="15" t="str">
        <f t="shared" si="15"/>
        <v>Gudi Jiedao (Wéifāng Shì)</v>
      </c>
    </row>
    <row r="487" spans="1:16" hidden="1" x14ac:dyDescent="0.25">
      <c r="A487" t="s">
        <v>1600</v>
      </c>
      <c r="B487" t="str">
        <f>IF(COUNTIF(A:A,A487)&gt;1,_xlfn.CONCAT(A487," (",N487,")"),A487)</f>
        <v>Gùguāntún Zhèn</v>
      </c>
      <c r="C487" t="str">
        <f>IF(COUNTIF(B:B,B487)&gt;1,_xlfn.CONCAT(A487," (",M487,")"),B487)</f>
        <v>Gùguāntún Zhèn</v>
      </c>
      <c r="D487" t="s">
        <v>1601</v>
      </c>
      <c r="E487" t="s">
        <v>13</v>
      </c>
      <c r="F487" t="str">
        <f>_xlfn.CONCAT(D487,", ",H487,", ",I487,", ","山东省")</f>
        <v>顾官屯镇, 东昌府区, 聊城市, 山东省</v>
      </c>
      <c r="G487">
        <v>35209</v>
      </c>
      <c r="H487" t="s">
        <v>3702</v>
      </c>
      <c r="I487" t="s">
        <v>3700</v>
      </c>
      <c r="J487">
        <f>VLOOKUP(F487,[1]!china_towns_second__2[[Column1]:[Y]],3,FALSE)</f>
        <v>36.334817892328701</v>
      </c>
      <c r="K487">
        <f>VLOOKUP(F487,[1]!china_towns_second__2[[Column1]:[Y]],2,FALSE)</f>
        <v>116.1456452</v>
      </c>
      <c r="L487" t="s">
        <v>5322</v>
      </c>
      <c r="M487" t="str">
        <f>VLOOKUP(H487,CHOOSE({1,2},Table17[Native],Table17[Name]),2,0)</f>
        <v>Dōngchāngfŭ Qū</v>
      </c>
      <c r="N487" s="15" t="str">
        <f>VLOOKUP(I487,CHOOSE({1,2},Table17[Native],Table17[Name]),2,0)</f>
        <v>Liáochéng Shì</v>
      </c>
      <c r="O487" s="15" t="str">
        <f t="shared" si="14"/>
        <v>Guguantun Zhen (Liáochéng Shì)</v>
      </c>
      <c r="P487" s="15" t="str">
        <f t="shared" si="15"/>
        <v>Guguantun Zhen (Liáochéng Shì)</v>
      </c>
    </row>
    <row r="488" spans="1:16" hidden="1" x14ac:dyDescent="0.25">
      <c r="A488" t="s">
        <v>2176</v>
      </c>
      <c r="B488" t="str">
        <f>IF(COUNTIF(A:A,A488)&gt;1,_xlfn.CONCAT(A488," (",N488,")"),A488)</f>
        <v>Gūhé Jiēdào [incl. Sūnshòu Zhèn]</v>
      </c>
      <c r="C488" t="str">
        <f>IF(COUNTIF(B:B,B488)&gt;1,_xlfn.CONCAT(A488," (",M488,")"),B488)</f>
        <v>Gūhé Jiēdào [incl. Sūnshòu Zhèn]</v>
      </c>
      <c r="D488" t="s">
        <v>2177</v>
      </c>
      <c r="E488" t="s">
        <v>7</v>
      </c>
      <c r="F488" t="str">
        <f>_xlfn.CONCAT(D488,", ",H488,", ",I488,", ","山东省")</f>
        <v>沽河街道, 莱西市, 青岛市, 山东省</v>
      </c>
      <c r="G488">
        <v>72496</v>
      </c>
      <c r="H488" t="s">
        <v>3729</v>
      </c>
      <c r="I488" t="s">
        <v>3724</v>
      </c>
      <c r="J488">
        <f>VLOOKUP(F488,[1]!china_towns_second__2[[Column1]:[Y]],3,FALSE)</f>
        <v>36.819086466853697</v>
      </c>
      <c r="K488">
        <f>VLOOKUP(F488,[1]!china_towns_second__2[[Column1]:[Y]],2,FALSE)</f>
        <v>120.4122359</v>
      </c>
      <c r="L488" t="s">
        <v>5323</v>
      </c>
      <c r="M488" t="str">
        <f>VLOOKUP(H488,CHOOSE({1,2},Table17[Native],Table17[Name]),2,0)</f>
        <v>Láixī Shì</v>
      </c>
      <c r="N488" s="15" t="str">
        <f>VLOOKUP(I488,CHOOSE({1,2},Table17[Native],Table17[Name]),2,0)</f>
        <v>Qīngdăo Shì</v>
      </c>
      <c r="O488" s="15" t="str">
        <f t="shared" si="14"/>
        <v>Guhe Jiedao [incl. Sunshou Zhen] (Qīngdăo Shì)</v>
      </c>
      <c r="P488" s="15" t="str">
        <f t="shared" si="15"/>
        <v>Guhe Jiedao [incl. Sunshou Zhen] (Qīngdăo Shì)</v>
      </c>
    </row>
    <row r="489" spans="1:16" hidden="1" x14ac:dyDescent="0.25">
      <c r="A489" t="s">
        <v>1602</v>
      </c>
      <c r="B489" t="str">
        <f>IF(COUNTIF(A:A,A489)&gt;1,_xlfn.CONCAT(A489," (",N489,")"),A489)</f>
        <v>Gùhé Zhèn</v>
      </c>
      <c r="C489" t="str">
        <f>IF(COUNTIF(B:B,B489)&gt;1,_xlfn.CONCAT(A489," (",M489,")"),B489)</f>
        <v>Gùhé Zhèn</v>
      </c>
      <c r="D489" t="s">
        <v>1603</v>
      </c>
      <c r="E489" t="s">
        <v>13</v>
      </c>
      <c r="F489" t="str">
        <f>_xlfn.CONCAT(D489,", ",H489,", ",I489,", ","山东省")</f>
        <v>固河镇, 高唐县, 聊城市, 山东省</v>
      </c>
      <c r="G489">
        <v>34741</v>
      </c>
      <c r="H489" t="s">
        <v>3704</v>
      </c>
      <c r="I489" t="s">
        <v>3700</v>
      </c>
      <c r="J489">
        <f>VLOOKUP(F489,[1]!china_towns_second__2[[Column1]:[Y]],3,FALSE)</f>
        <v>36.9028736524713</v>
      </c>
      <c r="K489">
        <f>VLOOKUP(F489,[1]!china_towns_second__2[[Column1]:[Y]],2,FALSE)</f>
        <v>116.3955749</v>
      </c>
      <c r="L489" t="s">
        <v>5324</v>
      </c>
      <c r="M489" t="str">
        <f>VLOOKUP(H489,CHOOSE({1,2},Table17[Native],Table17[Name]),2,0)</f>
        <v>Gāotáng Xiàn</v>
      </c>
      <c r="N489" s="15" t="str">
        <f>VLOOKUP(I489,CHOOSE({1,2},Table17[Native],Table17[Name]),2,0)</f>
        <v>Liáochéng Shì</v>
      </c>
      <c r="O489" s="15" t="str">
        <f t="shared" si="14"/>
        <v>Guhe Zhen (Liáochéng Shì)</v>
      </c>
      <c r="P489" s="15" t="str">
        <f t="shared" si="15"/>
        <v>Guhe Zhen (Liáochéng Shì)</v>
      </c>
    </row>
    <row r="490" spans="1:16" hidden="1" x14ac:dyDescent="0.25">
      <c r="A490" t="s">
        <v>1287</v>
      </c>
      <c r="B490" t="str">
        <f>IF(COUNTIF(A:A,A490)&gt;1,_xlfn.CONCAT(A490," (",N490,")"),A490)</f>
        <v>Gŭhuái Jiēdào</v>
      </c>
      <c r="C490" t="str">
        <f>IF(COUNTIF(B:B,B490)&gt;1,_xlfn.CONCAT(A490," (",M490,")"),B490)</f>
        <v>Gŭhuái Jiēdào</v>
      </c>
      <c r="D490" t="s">
        <v>1288</v>
      </c>
      <c r="E490" t="s">
        <v>7</v>
      </c>
      <c r="F490" t="str">
        <f>_xlfn.CONCAT(D490,", ",H490,", ",I490,", ","山东省")</f>
        <v>古槐街道, 任城区, 济宁市, 山东省</v>
      </c>
      <c r="G490">
        <v>62130</v>
      </c>
      <c r="H490" t="s">
        <v>3692</v>
      </c>
      <c r="I490" t="s">
        <v>3687</v>
      </c>
      <c r="J490" t="e">
        <f>VLOOKUP(F490,[1]!china_towns_second__2[[Column1]:[Y]],3,FALSE)</f>
        <v>#N/A</v>
      </c>
      <c r="K490" t="e">
        <f>VLOOKUP(F490,[1]!china_towns_second__2[[Column1]:[Y]],2,FALSE)</f>
        <v>#N/A</v>
      </c>
      <c r="L490" t="s">
        <v>5325</v>
      </c>
      <c r="M490" t="str">
        <f>VLOOKUP(H490,CHOOSE({1,2},Table17[Native],Table17[Name]),2,0)</f>
        <v>Rènchéng Qū</v>
      </c>
      <c r="N490" s="15" t="str">
        <f>VLOOKUP(I490,CHOOSE({1,2},Table17[Native],Table17[Name]),2,0)</f>
        <v>Jìníng Shì</v>
      </c>
      <c r="O490" s="15" t="str">
        <f t="shared" si="14"/>
        <v>Guhuai Jiedao (Jìníng Shì)</v>
      </c>
      <c r="P490" s="15" t="str">
        <f t="shared" si="15"/>
        <v>Guhuai Jiedao (Jìníng Shì)</v>
      </c>
    </row>
    <row r="491" spans="1:16" hidden="1" x14ac:dyDescent="0.25">
      <c r="A491" t="s">
        <v>1891</v>
      </c>
      <c r="B491" t="str">
        <f>IF(COUNTIF(A:A,A491)&gt;1,_xlfn.CONCAT(A491," (",N491,")"),A491)</f>
        <v>Guīchāng Xiāng</v>
      </c>
      <c r="C491" t="str">
        <f>IF(COUNTIF(B:B,B491)&gt;1,_xlfn.CONCAT(A491," (",M491,")"),B491)</f>
        <v>Guīchāng Xiāng</v>
      </c>
      <c r="D491" t="s">
        <v>1892</v>
      </c>
      <c r="E491" t="s">
        <v>61</v>
      </c>
      <c r="F491" t="str">
        <f>_xlfn.CONCAT(D491,", ",H491,", ",I491,", ","山东省")</f>
        <v>归昌乡, 郯城县, 临沂市, 山东省</v>
      </c>
      <c r="G491">
        <v>33132</v>
      </c>
      <c r="H491" t="s">
        <v>3720</v>
      </c>
      <c r="I491" t="s">
        <v>3710</v>
      </c>
      <c r="J491" t="e">
        <f>VLOOKUP(F491,[1]!china_towns_second__2[[Column1]:[Y]],3,FALSE)</f>
        <v>#N/A</v>
      </c>
      <c r="K491" t="e">
        <f>VLOOKUP(F491,[1]!china_towns_second__2[[Column1]:[Y]],2,FALSE)</f>
        <v>#N/A</v>
      </c>
      <c r="L491" t="s">
        <v>5326</v>
      </c>
      <c r="M491" t="str">
        <f>VLOOKUP(H491,CHOOSE({1,2},Table17[Native],Table17[Name]),2,0)</f>
        <v>Tánchéng Xiàn</v>
      </c>
      <c r="N491" s="15" t="str">
        <f>VLOOKUP(I491,CHOOSE({1,2},Table17[Native],Table17[Name]),2,0)</f>
        <v>Línyí Shì</v>
      </c>
      <c r="O491" s="15" t="str">
        <f t="shared" si="14"/>
        <v>Guichang Xiang (Línyí Shì)</v>
      </c>
      <c r="P491" s="15" t="str">
        <f t="shared" si="15"/>
        <v>Guichang Xiang (Línyí Shì)</v>
      </c>
    </row>
    <row r="492" spans="1:16" hidden="1" x14ac:dyDescent="0.25">
      <c r="A492" t="s">
        <v>995</v>
      </c>
      <c r="B492" t="str">
        <f>IF(COUNTIF(A:A,A492)&gt;1,_xlfn.CONCAT(A492," (",N492,")"),A492)</f>
        <v>Guīdé Jiēdào</v>
      </c>
      <c r="C492" t="str">
        <f>IF(COUNTIF(B:B,B492)&gt;1,_xlfn.CONCAT(A492," (",M492,")"),B492)</f>
        <v>Guīdé Jiēdào</v>
      </c>
      <c r="D492" t="s">
        <v>996</v>
      </c>
      <c r="E492" t="s">
        <v>7</v>
      </c>
      <c r="F492" t="str">
        <f>_xlfn.CONCAT(D492,", ",H492,", ",I492,", ","山东省")</f>
        <v>归德街道, 长清区, 济南市, 山东省</v>
      </c>
      <c r="G492">
        <v>66395</v>
      </c>
      <c r="H492" t="s">
        <v>3674</v>
      </c>
      <c r="I492" t="s">
        <v>3673</v>
      </c>
      <c r="J492" t="e">
        <f>VLOOKUP(F492,[1]!china_towns_second__2[[Column1]:[Y]],3,FALSE)</f>
        <v>#N/A</v>
      </c>
      <c r="K492" t="e">
        <f>VLOOKUP(F492,[1]!china_towns_second__2[[Column1]:[Y]],2,FALSE)</f>
        <v>#N/A</v>
      </c>
      <c r="L492" t="s">
        <v>5327</v>
      </c>
      <c r="M492" t="str">
        <f>VLOOKUP(H492,CHOOSE({1,2},Table17[Native],Table17[Name]),2,0)</f>
        <v>Chángqīng Qū</v>
      </c>
      <c r="N492" s="15" t="str">
        <f>VLOOKUP(I492,CHOOSE({1,2},Table17[Native],Table17[Name]),2,0)</f>
        <v>Jìnán Shì</v>
      </c>
      <c r="O492" s="15" t="str">
        <f t="shared" si="14"/>
        <v>Guide Jiedao (Jìnán Shì)</v>
      </c>
      <c r="P492" s="15" t="str">
        <f t="shared" si="15"/>
        <v>Guide Jiedao (Jìnán Shì)</v>
      </c>
    </row>
    <row r="493" spans="1:16" hidden="1" x14ac:dyDescent="0.25">
      <c r="A493" t="s">
        <v>2555</v>
      </c>
      <c r="B493" t="str">
        <f>IF(COUNTIF(A:A,A493)&gt;1,_xlfn.CONCAT(A493," (",N493,")"),A493)</f>
        <v>Gŭlĭ Zhèn</v>
      </c>
      <c r="C493" t="str">
        <f>IF(COUNTIF(B:B,B493)&gt;1,_xlfn.CONCAT(A493," (",M493,")"),B493)</f>
        <v>Gŭlĭ Zhèn</v>
      </c>
      <c r="D493" t="s">
        <v>2556</v>
      </c>
      <c r="E493" t="s">
        <v>13</v>
      </c>
      <c r="F493" t="str">
        <f>_xlfn.CONCAT(D493,", ",H493,", ",I493,", ","山东省")</f>
        <v>谷里镇, 新泰市, 泰安市, 山东省</v>
      </c>
      <c r="G493">
        <v>49080</v>
      </c>
      <c r="H493" t="s">
        <v>3749</v>
      </c>
      <c r="I493" t="s">
        <v>3743</v>
      </c>
      <c r="J493">
        <f>VLOOKUP(F493,[1]!china_towns_second__2[[Column1]:[Y]],3,FALSE)</f>
        <v>35.884492598735903</v>
      </c>
      <c r="K493">
        <f>VLOOKUP(F493,[1]!china_towns_second__2[[Column1]:[Y]],2,FALSE)</f>
        <v>117.5011603</v>
      </c>
      <c r="L493" t="s">
        <v>5328</v>
      </c>
      <c r="M493" t="str">
        <f>VLOOKUP(H493,CHOOSE({1,2},Table17[Native],Table17[Name]),2,0)</f>
        <v>Xīntài Shì</v>
      </c>
      <c r="N493" s="15" t="str">
        <f>VLOOKUP(I493,CHOOSE({1,2},Table17[Native],Table17[Name]),2,0)</f>
        <v>Tài'ān Shì</v>
      </c>
      <c r="O493" s="15" t="str">
        <f t="shared" si="14"/>
        <v>Guli Zhen (Tài'ān Shì)</v>
      </c>
      <c r="P493" s="15" t="str">
        <f t="shared" si="15"/>
        <v>Guli Zhen (Tài'ān Shì)</v>
      </c>
    </row>
    <row r="494" spans="1:16" hidden="1" x14ac:dyDescent="0.25">
      <c r="A494" t="s">
        <v>3133</v>
      </c>
      <c r="B494" t="str">
        <f>IF(COUNTIF(A:A,A494)&gt;1,_xlfn.CONCAT(A494," (",N494,")"),A494)</f>
        <v>Gŭliŭ Jiēdào</v>
      </c>
      <c r="C494" t="str">
        <f>IF(COUNTIF(B:B,B494)&gt;1,_xlfn.CONCAT(A494," (",M494,")"),B494)</f>
        <v>Gŭliŭ Jiēdào</v>
      </c>
      <c r="D494" t="s">
        <v>3134</v>
      </c>
      <c r="E494" t="s">
        <v>7</v>
      </c>
      <c r="F494" t="str">
        <f>_xlfn.CONCAT(D494,", ",H494,", ",I494,", ","山东省")</f>
        <v>古柳街道, 莱阳市, 烟台市, 山东省</v>
      </c>
      <c r="G494">
        <v>52224</v>
      </c>
      <c r="H494" t="s">
        <v>3775</v>
      </c>
      <c r="I494" t="s">
        <v>3771</v>
      </c>
      <c r="J494">
        <f>VLOOKUP(F494,[1]!china_towns_second__2[[Column1]:[Y]],3,FALSE)</f>
        <v>36.914650415198601</v>
      </c>
      <c r="K494">
        <f>VLOOKUP(F494,[1]!china_towns_second__2[[Column1]:[Y]],2,FALSE)</f>
        <v>120.6919886</v>
      </c>
      <c r="L494" t="s">
        <v>5329</v>
      </c>
      <c r="M494" t="str">
        <f>VLOOKUP(H494,CHOOSE({1,2},Table17[Native],Table17[Name]),2,0)</f>
        <v>Láiyáng Shì</v>
      </c>
      <c r="N494" s="15" t="str">
        <f>VLOOKUP(I494,CHOOSE({1,2},Table17[Native],Table17[Name]),2,0)</f>
        <v>Yāntái Shì</v>
      </c>
      <c r="O494" s="15" t="str">
        <f t="shared" si="14"/>
        <v>Guliu Jiedao (Yāntái Shì)</v>
      </c>
      <c r="P494" s="15" t="str">
        <f t="shared" si="15"/>
        <v>Guliu Jiedao (Yāntái Shì)</v>
      </c>
    </row>
    <row r="495" spans="1:16" hidden="1" x14ac:dyDescent="0.25">
      <c r="A495" t="s">
        <v>1289</v>
      </c>
      <c r="B495" t="str">
        <f>IF(COUNTIF(A:A,A495)&gt;1,_xlfn.CONCAT(A495," (",N495,")"),A495)</f>
        <v>Gŭlóu Jiēdào (Jìníng Shì)</v>
      </c>
      <c r="C495" t="str">
        <f>IF(COUNTIF(B:B,B495)&gt;1,_xlfn.CONCAT(A495," (",M495,")"),B495)</f>
        <v>Gŭlóu Jiēdào (Jìníng Shì)</v>
      </c>
      <c r="D495" t="s">
        <v>1290</v>
      </c>
      <c r="E495" t="s">
        <v>7</v>
      </c>
      <c r="F495" t="str">
        <f>_xlfn.CONCAT(D495,", ",H495,", ",I495,", ","山东省")</f>
        <v>鼓楼街道, 兖州区, 济宁市, 山东省</v>
      </c>
      <c r="G495">
        <v>98636</v>
      </c>
      <c r="H495" t="s">
        <v>3696</v>
      </c>
      <c r="I495" t="s">
        <v>3687</v>
      </c>
      <c r="J495">
        <f>VLOOKUP(F495,[1]!china_towns_second__2[[Column1]:[Y]],3,FALSE)</f>
        <v>35.551246003660701</v>
      </c>
      <c r="K495">
        <f>VLOOKUP(F495,[1]!china_towns_second__2[[Column1]:[Y]],2,FALSE)</f>
        <v>116.8218797</v>
      </c>
      <c r="L495" t="s">
        <v>5330</v>
      </c>
      <c r="M495" t="str">
        <f>VLOOKUP(H495,CHOOSE({1,2},Table17[Native],Table17[Name]),2,0)</f>
        <v>Yănzhōu Qū</v>
      </c>
      <c r="N495" s="15" t="str">
        <f>VLOOKUP(I495,CHOOSE({1,2},Table17[Native],Table17[Name]),2,0)</f>
        <v>Jìníng Shì</v>
      </c>
      <c r="O495" s="15" t="str">
        <f t="shared" si="14"/>
        <v>Gulou Jiedao (Jining Shi) (Jìníng Shì)</v>
      </c>
      <c r="P495" s="15" t="str">
        <f t="shared" si="15"/>
        <v>Gulou Jiedao (Jining Shi) (Jìníng Shì)</v>
      </c>
    </row>
    <row r="496" spans="1:16" hidden="1" x14ac:dyDescent="0.25">
      <c r="A496" t="s">
        <v>1289</v>
      </c>
      <c r="B496" t="str">
        <f>IF(COUNTIF(A:A,A496)&gt;1,_xlfn.CONCAT(A496," (",N496,")"),A496)</f>
        <v>Gŭlóu Jiēdào (Liáochéng Shì)</v>
      </c>
      <c r="C496" t="str">
        <f>IF(COUNTIF(B:B,B496)&gt;1,_xlfn.CONCAT(A496," (",M496,")"),B496)</f>
        <v>Gŭlóu Jiēdào (Liáochéng Shì)</v>
      </c>
      <c r="D496" t="s">
        <v>1605</v>
      </c>
      <c r="E496" t="s">
        <v>7</v>
      </c>
      <c r="F496" t="str">
        <f>_xlfn.CONCAT(D496,", ",H496,", ",I496,", ","山东省")</f>
        <v>古楼街道, 东昌府区, 聊城市, 山东省</v>
      </c>
      <c r="G496">
        <v>113862</v>
      </c>
      <c r="H496" t="s">
        <v>3702</v>
      </c>
      <c r="I496" t="s">
        <v>3700</v>
      </c>
      <c r="J496">
        <f>VLOOKUP(F496,[1]!china_towns_second__2[[Column1]:[Y]],3,FALSE)</f>
        <v>36.444680815417499</v>
      </c>
      <c r="K496">
        <f>VLOOKUP(F496,[1]!china_towns_second__2[[Column1]:[Y]],2,FALSE)</f>
        <v>115.9620753</v>
      </c>
      <c r="L496" t="s">
        <v>5331</v>
      </c>
      <c r="M496" t="str">
        <f>VLOOKUP(H496,CHOOSE({1,2},Table17[Native],Table17[Name]),2,0)</f>
        <v>Dōngchāngfŭ Qū</v>
      </c>
      <c r="N496" s="15" t="str">
        <f>VLOOKUP(I496,CHOOSE({1,2},Table17[Native],Table17[Name]),2,0)</f>
        <v>Liáochéng Shì</v>
      </c>
      <c r="O496" s="15" t="str">
        <f t="shared" si="14"/>
        <v>Gulou Jiedao (Liaocheng Shi) (Liáochéng Shì)</v>
      </c>
      <c r="P496" s="15" t="str">
        <f t="shared" si="15"/>
        <v>Gulou Jiedao (Liaocheng Shi) (Liáochéng Shì)</v>
      </c>
    </row>
    <row r="497" spans="1:16" hidden="1" x14ac:dyDescent="0.25">
      <c r="A497" t="s">
        <v>1291</v>
      </c>
      <c r="B497" t="str">
        <f>IF(COUNTIF(A:A,A497)&gt;1,_xlfn.CONCAT(A497," (",N497,")"),A497)</f>
        <v>Guōcāng Zhèn</v>
      </c>
      <c r="C497" t="str">
        <f>IF(COUNTIF(B:B,B497)&gt;1,_xlfn.CONCAT(A497," (",M497,")"),B497)</f>
        <v>Guōcāng Zhèn</v>
      </c>
      <c r="D497" t="s">
        <v>1292</v>
      </c>
      <c r="E497" t="s">
        <v>13</v>
      </c>
      <c r="F497" t="str">
        <f>_xlfn.CONCAT(D497,", ",H497,", ",I497,", ","山东省")</f>
        <v>郭仓镇, 汶上县, 济宁市, 山东省</v>
      </c>
      <c r="G497">
        <v>31067</v>
      </c>
      <c r="H497" t="s">
        <v>3695</v>
      </c>
      <c r="I497" t="s">
        <v>3687</v>
      </c>
      <c r="J497">
        <f>VLOOKUP(F497,[1]!china_towns_second__2[[Column1]:[Y]],3,FALSE)</f>
        <v>35.8021157459901</v>
      </c>
      <c r="K497">
        <f>VLOOKUP(F497,[1]!china_towns_second__2[[Column1]:[Y]],2,FALSE)</f>
        <v>116.4833024</v>
      </c>
      <c r="L497" t="s">
        <v>5332</v>
      </c>
      <c r="M497" t="str">
        <f>VLOOKUP(H497,CHOOSE({1,2},Table17[Native],Table17[Name]),2,0)</f>
        <v>Wènshàng Xiàn</v>
      </c>
      <c r="N497" s="15" t="str">
        <f>VLOOKUP(I497,CHOOSE({1,2},Table17[Native],Table17[Name]),2,0)</f>
        <v>Jìníng Shì</v>
      </c>
      <c r="O497" s="15" t="str">
        <f t="shared" si="14"/>
        <v>Guocang Zhen (Jìníng Shì)</v>
      </c>
      <c r="P497" s="15" t="str">
        <f t="shared" si="15"/>
        <v>Guocang Zhen (Jìníng Shì)</v>
      </c>
    </row>
    <row r="498" spans="1:16" hidden="1" x14ac:dyDescent="0.25">
      <c r="A498" t="s">
        <v>3135</v>
      </c>
      <c r="B498" t="str">
        <f>IF(COUNTIF(A:A,A498)&gt;1,_xlfn.CONCAT(A498," (",N498,")"),A498)</f>
        <v>Guōchéng Zhèn</v>
      </c>
      <c r="C498" t="str">
        <f>IF(COUNTIF(B:B,B498)&gt;1,_xlfn.CONCAT(A498," (",M498,")"),B498)</f>
        <v>Guōchéng Zhèn</v>
      </c>
      <c r="D498" t="s">
        <v>3136</v>
      </c>
      <c r="E498" t="s">
        <v>13</v>
      </c>
      <c r="F498" t="str">
        <f>_xlfn.CONCAT(D498,", ",H498,", ",I498,", ","山东省")</f>
        <v>郭城镇, 海阳市, 烟台市, 山东省</v>
      </c>
      <c r="G498">
        <v>32892</v>
      </c>
      <c r="H498" t="s">
        <v>3773</v>
      </c>
      <c r="I498" t="s">
        <v>3771</v>
      </c>
      <c r="J498">
        <f>VLOOKUP(F498,[1]!china_towns_second__2[[Column1]:[Y]],3,FALSE)</f>
        <v>37.0466019412546</v>
      </c>
      <c r="K498">
        <f>VLOOKUP(F498,[1]!china_towns_second__2[[Column1]:[Y]],2,FALSE)</f>
        <v>121.1231248</v>
      </c>
      <c r="L498" t="s">
        <v>5333</v>
      </c>
      <c r="M498" t="str">
        <f>VLOOKUP(H498,CHOOSE({1,2},Table17[Native],Table17[Name]),2,0)</f>
        <v>Hăiyáng Shì</v>
      </c>
      <c r="N498" s="15" t="str">
        <f>VLOOKUP(I498,CHOOSE({1,2},Table17[Native],Table17[Name]),2,0)</f>
        <v>Yāntái Shì</v>
      </c>
      <c r="O498" s="15" t="str">
        <f t="shared" si="14"/>
        <v>Guocheng Zhen (Yāntái Shì)</v>
      </c>
      <c r="P498" s="15" t="str">
        <f t="shared" si="15"/>
        <v>Guocheng Zhen (Yāntái Shì)</v>
      </c>
    </row>
    <row r="499" spans="1:16" hidden="1" x14ac:dyDescent="0.25">
      <c r="A499" t="s">
        <v>690</v>
      </c>
      <c r="B499" t="str">
        <f>IF(COUNTIF(A:A,A499)&gt;1,_xlfn.CONCAT(A499," (",N499,")"),A499)</f>
        <v>Guōcūn Zhèn</v>
      </c>
      <c r="C499" t="str">
        <f>IF(COUNTIF(B:B,B499)&gt;1,_xlfn.CONCAT(A499," (",M499,")"),B499)</f>
        <v>Guōcūn Zhèn</v>
      </c>
      <c r="D499" t="s">
        <v>691</v>
      </c>
      <c r="E499" t="s">
        <v>13</v>
      </c>
      <c r="F499" t="str">
        <f>_xlfn.CONCAT(D499,", ",H499,", ",I499,", ","山东省")</f>
        <v>郭村镇, 单县, 菏泽市, 山东省</v>
      </c>
      <c r="G499">
        <v>64595</v>
      </c>
      <c r="H499" t="s">
        <v>3670</v>
      </c>
      <c r="I499" t="s">
        <v>3662</v>
      </c>
      <c r="J499">
        <f>VLOOKUP(F499,[1]!china_towns_second__2[[Column1]:[Y]],3,FALSE)</f>
        <v>34.768687460168799</v>
      </c>
      <c r="K499">
        <f>VLOOKUP(F499,[1]!china_towns_second__2[[Column1]:[Y]],2,FALSE)</f>
        <v>115.923231</v>
      </c>
      <c r="L499" t="s">
        <v>5334</v>
      </c>
      <c r="M499" t="str">
        <f>VLOOKUP(H499,CHOOSE({1,2},Table17[Native],Table17[Name]),2,0)</f>
        <v>Shàn Xiàn</v>
      </c>
      <c r="N499" s="15" t="str">
        <f>VLOOKUP(I499,CHOOSE({1,2},Table17[Native],Table17[Name]),2,0)</f>
        <v>Hézé Shì</v>
      </c>
      <c r="O499" s="15" t="str">
        <f t="shared" si="14"/>
        <v>Guocun Zhen (Hézé Shì)</v>
      </c>
      <c r="P499" s="15" t="str">
        <f t="shared" si="15"/>
        <v>Guocun Zhen (Hézé Shì)</v>
      </c>
    </row>
    <row r="500" spans="1:16" hidden="1" x14ac:dyDescent="0.25">
      <c r="A500" t="s">
        <v>998</v>
      </c>
      <c r="B500" t="str">
        <f>IF(COUNTIF(A:A,A500)&gt;1,_xlfn.CONCAT(A500," (",N500,")"),A500)</f>
        <v>Guōdiàn Jiēdào</v>
      </c>
      <c r="C500" t="str">
        <f>IF(COUNTIF(B:B,B500)&gt;1,_xlfn.CONCAT(A500," (",M500,")"),B500)</f>
        <v>Guōdiàn Jiēdào</v>
      </c>
      <c r="D500" t="s">
        <v>999</v>
      </c>
      <c r="E500" t="s">
        <v>7</v>
      </c>
      <c r="F500" t="str">
        <f>_xlfn.CONCAT(D500,", ",H500,", ",I500,", ","山东省")</f>
        <v>郭店街道, 历城区, 济南市, 山东省</v>
      </c>
      <c r="G500">
        <v>28565</v>
      </c>
      <c r="H500" t="s">
        <v>3679</v>
      </c>
      <c r="I500" t="s">
        <v>3673</v>
      </c>
      <c r="J500">
        <f>VLOOKUP(F500,[1]!china_towns_second__2[[Column1]:[Y]],3,FALSE)</f>
        <v>36.734298436824901</v>
      </c>
      <c r="K500">
        <f>VLOOKUP(F500,[1]!china_towns_second__2[[Column1]:[Y]],2,FALSE)</f>
        <v>117.2509767</v>
      </c>
      <c r="L500" t="s">
        <v>5335</v>
      </c>
      <c r="M500" t="str">
        <f>VLOOKUP(H500,CHOOSE({1,2},Table17[Native],Table17[Name]),2,0)</f>
        <v>Lìchéng Qū</v>
      </c>
      <c r="N500" s="15" t="str">
        <f>VLOOKUP(I500,CHOOSE({1,2},Table17[Native],Table17[Name]),2,0)</f>
        <v>Jìnán Shì</v>
      </c>
      <c r="O500" s="15" t="str">
        <f t="shared" si="14"/>
        <v>Guodian Jiedao (Jìnán Shì)</v>
      </c>
      <c r="P500" s="15" t="str">
        <f t="shared" si="15"/>
        <v>Guodian Jiedao (Jìnán Shì)</v>
      </c>
    </row>
    <row r="501" spans="1:16" hidden="1" x14ac:dyDescent="0.25">
      <c r="A501" t="s">
        <v>1606</v>
      </c>
      <c r="B501" t="str">
        <f>IF(COUNTIF(A:A,A501)&gt;1,_xlfn.CONCAT(A501," (",N501,")"),A501)</f>
        <v>Guōdiàntún Zhèn</v>
      </c>
      <c r="C501" t="str">
        <f>IF(COUNTIF(B:B,B501)&gt;1,_xlfn.CONCAT(A501," (",M501,")"),B501)</f>
        <v>Guōdiàntún Zhèn</v>
      </c>
      <c r="D501" t="s">
        <v>1607</v>
      </c>
      <c r="E501" t="s">
        <v>13</v>
      </c>
      <c r="F501" t="str">
        <f>_xlfn.CONCAT(D501,", ",H501,", ",I501,", ","山东省")</f>
        <v>郭店屯镇, 阳谷县, 聊城市, 山东省</v>
      </c>
      <c r="G501">
        <v>26852</v>
      </c>
      <c r="H501" t="s">
        <v>3708</v>
      </c>
      <c r="I501" t="s">
        <v>3700</v>
      </c>
      <c r="J501">
        <f>VLOOKUP(F501,[1]!china_towns_second__2[[Column1]:[Y]],3,FALSE)</f>
        <v>36.277715685413597</v>
      </c>
      <c r="K501">
        <f>VLOOKUP(F501,[1]!china_towns_second__2[[Column1]:[Y]],2,FALSE)</f>
        <v>115.90957589999999</v>
      </c>
      <c r="L501" t="s">
        <v>5336</v>
      </c>
      <c r="M501" t="str">
        <f>VLOOKUP(H501,CHOOSE({1,2},Table17[Native],Table17[Name]),2,0)</f>
        <v>Yánggŭ Xiàn</v>
      </c>
      <c r="N501" s="15" t="str">
        <f>VLOOKUP(I501,CHOOSE({1,2},Table17[Native],Table17[Name]),2,0)</f>
        <v>Liáochéng Shì</v>
      </c>
      <c r="O501" s="15" t="str">
        <f t="shared" si="14"/>
        <v>Guodiantun Zhen (Liáochéng Shì)</v>
      </c>
      <c r="P501" s="15" t="str">
        <f t="shared" si="15"/>
        <v>Guodiantun Zhen (Liáochéng Shì)</v>
      </c>
    </row>
    <row r="502" spans="1:16" hidden="1" x14ac:dyDescent="0.25">
      <c r="A502" t="s">
        <v>2557</v>
      </c>
      <c r="B502" t="str">
        <f>IF(COUNTIF(A:A,A502)&gt;1,_xlfn.CONCAT(A502," (",N502,")"),A502)</f>
        <v>Guŏdū Zhèn</v>
      </c>
      <c r="C502" t="str">
        <f>IF(COUNTIF(B:B,B502)&gt;1,_xlfn.CONCAT(A502," (",M502,")"),B502)</f>
        <v>Guŏdū Zhèn</v>
      </c>
      <c r="D502" t="s">
        <v>2558</v>
      </c>
      <c r="E502" t="s">
        <v>13</v>
      </c>
      <c r="F502" t="str">
        <f>_xlfn.CONCAT(D502,", ",H502,", ",I502,", ","山东省")</f>
        <v>果都镇, 新泰市, 泰安市, 山东省</v>
      </c>
      <c r="G502">
        <v>33594</v>
      </c>
      <c r="H502" t="s">
        <v>3749</v>
      </c>
      <c r="I502" t="s">
        <v>3743</v>
      </c>
      <c r="J502">
        <f>VLOOKUP(F502,[1]!china_towns_second__2[[Column1]:[Y]],3,FALSE)</f>
        <v>35.960111569578899</v>
      </c>
      <c r="K502">
        <f>VLOOKUP(F502,[1]!china_towns_second__2[[Column1]:[Y]],2,FALSE)</f>
        <v>117.4990495</v>
      </c>
      <c r="L502" t="s">
        <v>5337</v>
      </c>
      <c r="M502" t="str">
        <f>VLOOKUP(H502,CHOOSE({1,2},Table17[Native],Table17[Name]),2,0)</f>
        <v>Xīntài Shì</v>
      </c>
      <c r="N502" s="15" t="str">
        <f>VLOOKUP(I502,CHOOSE({1,2},Table17[Native],Table17[Name]),2,0)</f>
        <v>Tài'ān Shì</v>
      </c>
      <c r="O502" s="15" t="str">
        <f t="shared" si="14"/>
        <v>Guodu Zhen (Tài'ān Shì)</v>
      </c>
      <c r="P502" s="15" t="str">
        <f t="shared" si="15"/>
        <v>Guodu Zhen (Tài'ān Shì)</v>
      </c>
    </row>
    <row r="503" spans="1:16" hidden="1" x14ac:dyDescent="0.25">
      <c r="A503" t="s">
        <v>272</v>
      </c>
      <c r="B503" t="str">
        <f>IF(COUNTIF(A:A,A503)&gt;1,_xlfn.CONCAT(A503," (",N503,")"),A503)</f>
        <v>Guōjiā Jiēdào</v>
      </c>
      <c r="C503" t="str">
        <f>IF(COUNTIF(B:B,B503)&gt;1,_xlfn.CONCAT(A503," (",M503,")"),B503)</f>
        <v>Guōjiā Jiēdào</v>
      </c>
      <c r="D503" t="s">
        <v>273</v>
      </c>
      <c r="E503" t="s">
        <v>7</v>
      </c>
      <c r="F503" t="str">
        <f>_xlfn.CONCAT(D503,", ",H503,", ",I503,", ","山东省")</f>
        <v>郭家街道, 乐陵市, 德州市, 山东省</v>
      </c>
      <c r="G503">
        <v>15710</v>
      </c>
      <c r="H503" t="s">
        <v>3644</v>
      </c>
      <c r="I503" t="s">
        <v>3642</v>
      </c>
      <c r="J503">
        <f>VLOOKUP(F503,[1]!china_towns_second__2[[Column1]:[Y]],3,FALSE)</f>
        <v>37.708619628850798</v>
      </c>
      <c r="K503">
        <f>VLOOKUP(F503,[1]!china_towns_second__2[[Column1]:[Y]],2,FALSE)</f>
        <v>117.1455742</v>
      </c>
      <c r="L503" t="s">
        <v>5338</v>
      </c>
      <c r="M503" t="str">
        <f>VLOOKUP(H503,CHOOSE({1,2},Table17[Native],Table17[Name]),2,0)</f>
        <v>Lèlíng Shì</v>
      </c>
      <c r="N503" s="15" t="str">
        <f>VLOOKUP(I503,CHOOSE({1,2},Table17[Native],Table17[Name]),2,0)</f>
        <v>Dézhōu Shì</v>
      </c>
      <c r="O503" s="15" t="str">
        <f t="shared" si="14"/>
        <v>Guojia Jiedao (Dézhōu Shì)</v>
      </c>
      <c r="P503" s="15" t="str">
        <f t="shared" si="15"/>
        <v>Guojia Jiedao (Dézhōu Shì)</v>
      </c>
    </row>
    <row r="504" spans="1:16" hidden="1" x14ac:dyDescent="0.25">
      <c r="A504" t="s">
        <v>3137</v>
      </c>
      <c r="B504" t="str">
        <f>IF(COUNTIF(A:A,A504)&gt;1,_xlfn.CONCAT(A504," (",N504,")"),A504)</f>
        <v>Guōjiādiàn Zhèn</v>
      </c>
      <c r="C504" t="str">
        <f>IF(COUNTIF(B:B,B504)&gt;1,_xlfn.CONCAT(A504," (",M504,")"),B504)</f>
        <v>Guōjiādiàn Zhèn</v>
      </c>
      <c r="D504" t="s">
        <v>3138</v>
      </c>
      <c r="E504" t="s">
        <v>13</v>
      </c>
      <c r="F504" t="str">
        <f>_xlfn.CONCAT(D504,", ",H504,", ",I504,", ","山东省")</f>
        <v>郭家店镇, 莱州市, 烟台市, 山东省</v>
      </c>
      <c r="G504">
        <v>50544</v>
      </c>
      <c r="H504" t="s">
        <v>3776</v>
      </c>
      <c r="I504" t="s">
        <v>3771</v>
      </c>
      <c r="J504">
        <f>VLOOKUP(F504,[1]!china_towns_second__2[[Column1]:[Y]],3,FALSE)</f>
        <v>37.098078226589998</v>
      </c>
      <c r="K504">
        <f>VLOOKUP(F504,[1]!china_towns_second__2[[Column1]:[Y]],2,FALSE)</f>
        <v>120.1512924</v>
      </c>
      <c r="L504" t="s">
        <v>5339</v>
      </c>
      <c r="M504" t="str">
        <f>VLOOKUP(H504,CHOOSE({1,2},Table17[Native],Table17[Name]),2,0)</f>
        <v>Láizhōu Shì</v>
      </c>
      <c r="N504" s="15" t="str">
        <f>VLOOKUP(I504,CHOOSE({1,2},Table17[Native],Table17[Name]),2,0)</f>
        <v>Yāntái Shì</v>
      </c>
      <c r="O504" s="15" t="str">
        <f t="shared" si="14"/>
        <v>Guojiadian Zhen (Yāntái Shì)</v>
      </c>
      <c r="P504" s="15" t="str">
        <f t="shared" si="15"/>
        <v>Guojiadian Zhen (Yāntái Shì)</v>
      </c>
    </row>
    <row r="505" spans="1:16" hidden="1" x14ac:dyDescent="0.25">
      <c r="A505" t="s">
        <v>1293</v>
      </c>
      <c r="B505" t="str">
        <f>IF(COUNTIF(A:A,A505)&gt;1,_xlfn.CONCAT(A505," (",N505,")"),A505)</f>
        <v>Guōlĭ Zhèn</v>
      </c>
      <c r="C505" t="str">
        <f>IF(COUNTIF(B:B,B505)&gt;1,_xlfn.CONCAT(A505," (",M505,")"),B505)</f>
        <v>Guōlĭ Zhèn</v>
      </c>
      <c r="D505" t="s">
        <v>1294</v>
      </c>
      <c r="E505" t="s">
        <v>13</v>
      </c>
      <c r="F505" t="str">
        <f>_xlfn.CONCAT(D505,", ",H505,", ",I505,", ","山东省")</f>
        <v>郭里镇, 邹城市, 济宁市, 山东省</v>
      </c>
      <c r="G505">
        <v>42555</v>
      </c>
      <c r="H505" t="s">
        <v>3698</v>
      </c>
      <c r="I505" t="s">
        <v>3687</v>
      </c>
      <c r="J505">
        <f>VLOOKUP(F505,[1]!china_towns_second__2[[Column1]:[Y]],3,FALSE)</f>
        <v>35.214317692406503</v>
      </c>
      <c r="K505">
        <f>VLOOKUP(F505,[1]!china_towns_second__2[[Column1]:[Y]],2,FALSE)</f>
        <v>116.81712</v>
      </c>
      <c r="L505" t="s">
        <v>5340</v>
      </c>
      <c r="M505" t="str">
        <f>VLOOKUP(H505,CHOOSE({1,2},Table17[Native],Table17[Name]),2,0)</f>
        <v>Zōuchéng Shì</v>
      </c>
      <c r="N505" s="15" t="str">
        <f>VLOOKUP(I505,CHOOSE({1,2},Table17[Native],Table17[Name]),2,0)</f>
        <v>Jìníng Shì</v>
      </c>
      <c r="O505" s="15" t="str">
        <f t="shared" si="14"/>
        <v>Guoli Zhen (Jìníng Shì)</v>
      </c>
      <c r="P505" s="15" t="str">
        <f t="shared" si="15"/>
        <v>Guoli Zhen (Jìníng Shì)</v>
      </c>
    </row>
    <row r="506" spans="1:16" hidden="1" x14ac:dyDescent="0.25">
      <c r="A506" t="s">
        <v>3500</v>
      </c>
      <c r="B506" t="str">
        <f>IF(COUNTIF(A:A,A506)&gt;1,_xlfn.CONCAT(A506," (",N506,")"),A506)</f>
        <v>Guŏlĭ Zhèn [incl. Zhōujiā Zhèn]</v>
      </c>
      <c r="C506" t="str">
        <f>IF(COUNTIF(B:B,B506)&gt;1,_xlfn.CONCAT(A506," (",M506,")"),B506)</f>
        <v>Guŏlĭ Zhèn [incl. Zhōujiā Zhèn]</v>
      </c>
      <c r="D506" t="s">
        <v>3501</v>
      </c>
      <c r="E506" t="s">
        <v>13</v>
      </c>
      <c r="F506" t="str">
        <f>_xlfn.CONCAT(D506,", ",H506,", ",I506,", ","山东省")</f>
        <v>果里镇, 桓台县, 淄博市, 山东省</v>
      </c>
      <c r="G506">
        <v>67340</v>
      </c>
      <c r="H506" t="s">
        <v>3794</v>
      </c>
      <c r="I506" t="s">
        <v>3791</v>
      </c>
      <c r="J506">
        <f>VLOOKUP(F506,[1]!china_towns_second__2[[Column1]:[Y]],3,FALSE)</f>
        <v>36.909036296134502</v>
      </c>
      <c r="K506">
        <f>VLOOKUP(F506,[1]!china_towns_second__2[[Column1]:[Y]],2,FALSE)</f>
        <v>118.0537327</v>
      </c>
      <c r="L506" t="s">
        <v>5341</v>
      </c>
      <c r="M506" t="str">
        <f>VLOOKUP(H506,CHOOSE({1,2},Table17[Native],Table17[Name]),2,0)</f>
        <v>Huántái Xiàn</v>
      </c>
      <c r="N506" s="15" t="str">
        <f>VLOOKUP(I506,CHOOSE({1,2},Table17[Native],Table17[Name]),2,0)</f>
        <v>Zībó Shì</v>
      </c>
      <c r="O506" s="15" t="str">
        <f t="shared" si="14"/>
        <v>Guoli Zhen [incl. Zhoujia Zhen] (Zībó Shì)</v>
      </c>
      <c r="P506" s="15" t="str">
        <f t="shared" si="15"/>
        <v>Guoli Zhen [incl. Zhoujia Zhen] (Zībó Shì)</v>
      </c>
    </row>
    <row r="507" spans="1:16" hidden="1" x14ac:dyDescent="0.25">
      <c r="A507" t="s">
        <v>1295</v>
      </c>
      <c r="B507" t="str">
        <f>IF(COUNTIF(A:A,A507)&gt;1,_xlfn.CONCAT(A507," (",N507,")"),A507)</f>
        <v>Guōlóu Zhèn</v>
      </c>
      <c r="C507" t="str">
        <f>IF(COUNTIF(B:B,B507)&gt;1,_xlfn.CONCAT(A507," (",M507,")"),B507)</f>
        <v>Guōlóu Zhèn</v>
      </c>
      <c r="D507" t="s">
        <v>1296</v>
      </c>
      <c r="E507" t="s">
        <v>13</v>
      </c>
      <c r="F507" t="str">
        <f>_xlfn.CONCAT(D507,", ",H507,", ",I507,", ","山东省")</f>
        <v>郭楼镇, 汶上县, 济宁市, 山东省</v>
      </c>
      <c r="G507">
        <v>39780</v>
      </c>
      <c r="H507" t="s">
        <v>3695</v>
      </c>
      <c r="I507" t="s">
        <v>3687</v>
      </c>
      <c r="J507">
        <f>VLOOKUP(F507,[1]!china_towns_second__2[[Column1]:[Y]],3,FALSE)</f>
        <v>35.7778761784935</v>
      </c>
      <c r="K507">
        <f>VLOOKUP(F507,[1]!china_towns_second__2[[Column1]:[Y]],2,FALSE)</f>
        <v>116.38303670000001</v>
      </c>
      <c r="L507" t="s">
        <v>5342</v>
      </c>
      <c r="M507" t="str">
        <f>VLOOKUP(H507,CHOOSE({1,2},Table17[Native],Table17[Name]),2,0)</f>
        <v>Wènshàng Xiàn</v>
      </c>
      <c r="N507" s="15" t="str">
        <f>VLOOKUP(I507,CHOOSE({1,2},Table17[Native],Table17[Name]),2,0)</f>
        <v>Jìníng Shì</v>
      </c>
      <c r="O507" s="15" t="str">
        <f t="shared" si="14"/>
        <v>Guolou Zhen (Jìníng Shì)</v>
      </c>
      <c r="P507" s="15" t="str">
        <f t="shared" si="15"/>
        <v>Guolou Zhen (Jìníng Shì)</v>
      </c>
    </row>
    <row r="508" spans="1:16" hidden="1" x14ac:dyDescent="0.25">
      <c r="A508" t="s">
        <v>692</v>
      </c>
      <c r="B508" t="str">
        <f>IF(COUNTIF(A:A,A508)&gt;1,_xlfn.CONCAT(A508," (",N508,")"),A508)</f>
        <v>Guōtún Zhèn</v>
      </c>
      <c r="C508" t="str">
        <f>IF(COUNTIF(B:B,B508)&gt;1,_xlfn.CONCAT(A508," (",M508,")"),B508)</f>
        <v>Guōtún Zhèn</v>
      </c>
      <c r="D508" t="s">
        <v>693</v>
      </c>
      <c r="E508" t="s">
        <v>13</v>
      </c>
      <c r="F508" t="str">
        <f>_xlfn.CONCAT(D508,", ",H508,", ",I508,", ","山东省")</f>
        <v>郭屯镇, 郓城县, 菏泽市, 山东省</v>
      </c>
      <c r="G508">
        <v>33021</v>
      </c>
      <c r="H508" t="s">
        <v>3671</v>
      </c>
      <c r="I508" t="s">
        <v>3662</v>
      </c>
      <c r="J508">
        <f>VLOOKUP(F508,[1]!china_towns_second__2[[Column1]:[Y]],3,FALSE)</f>
        <v>35.4771500748897</v>
      </c>
      <c r="K508">
        <f>VLOOKUP(F508,[1]!china_towns_second__2[[Column1]:[Y]],2,FALSE)</f>
        <v>115.93478380000001</v>
      </c>
      <c r="L508" t="s">
        <v>5343</v>
      </c>
      <c r="M508" t="str">
        <f>VLOOKUP(H508,CHOOSE({1,2},Table17[Native],Table17[Name]),2,0)</f>
        <v>Yùnchéng Xiàn</v>
      </c>
      <c r="N508" s="15" t="str">
        <f>VLOOKUP(I508,CHOOSE({1,2},Table17[Native],Table17[Name]),2,0)</f>
        <v>Hézé Shì</v>
      </c>
      <c r="O508" s="15" t="str">
        <f t="shared" si="14"/>
        <v>Guotun Zhen (Hézé Shì)</v>
      </c>
      <c r="P508" s="15" t="str">
        <f t="shared" si="15"/>
        <v>Guotun Zhen (Hézé Shì)</v>
      </c>
    </row>
    <row r="509" spans="1:16" hidden="1" x14ac:dyDescent="0.25">
      <c r="A509" t="s">
        <v>2416</v>
      </c>
      <c r="B509" t="str">
        <f>IF(COUNTIF(A:A,A509)&gt;1,_xlfn.CONCAT(A509," (",N509,")"),A509)</f>
        <v>Guŏzhuāng Zhèn</v>
      </c>
      <c r="C509" t="str">
        <f>IF(COUNTIF(B:B,B509)&gt;1,_xlfn.CONCAT(A509," (",M509,")"),B509)</f>
        <v>Guŏzhuāng Zhèn</v>
      </c>
      <c r="D509" t="s">
        <v>2417</v>
      </c>
      <c r="E509" t="s">
        <v>13</v>
      </c>
      <c r="F509" t="str">
        <f>_xlfn.CONCAT(D509,", ",H509,", ",I509,", ","山东省")</f>
        <v>果庄镇, 莒县, 日照市, 山东省</v>
      </c>
      <c r="G509">
        <v>28360</v>
      </c>
      <c r="H509" t="s">
        <v>3739</v>
      </c>
      <c r="I509" t="s">
        <v>3736</v>
      </c>
      <c r="J509">
        <f>VLOOKUP(F509,[1]!china_towns_second__2[[Column1]:[Y]],3,FALSE)</f>
        <v>35.774265074023397</v>
      </c>
      <c r="K509">
        <f>VLOOKUP(F509,[1]!china_towns_second__2[[Column1]:[Y]],2,FALSE)</f>
        <v>118.73982049999999</v>
      </c>
      <c r="L509" t="s">
        <v>5344</v>
      </c>
      <c r="M509" t="str">
        <f>VLOOKUP(H509,CHOOSE({1,2},Table17[Native],Table17[Name]),2,0)</f>
        <v>Jŭ Xiàn</v>
      </c>
      <c r="N509" s="15" t="str">
        <f>VLOOKUP(I509,CHOOSE({1,2},Table17[Native],Table17[Name]),2,0)</f>
        <v>Rìzhào Shì</v>
      </c>
      <c r="O509" s="15" t="str">
        <f t="shared" si="14"/>
        <v>Guozhuang Zhen (Rìzhào Shì)</v>
      </c>
      <c r="P509" s="15" t="str">
        <f t="shared" si="15"/>
        <v>Guozhuang Zhen (Rìzhào Shì)</v>
      </c>
    </row>
    <row r="510" spans="1:16" hidden="1" x14ac:dyDescent="0.25">
      <c r="A510" t="s">
        <v>694</v>
      </c>
      <c r="B510" t="str">
        <f>IF(COUNTIF(A:A,A510)&gt;1,_xlfn.CONCAT(A510," (",N510,")"),A510)</f>
        <v>Gŭquán Jiēdào</v>
      </c>
      <c r="C510" t="str">
        <f>IF(COUNTIF(B:B,B510)&gt;1,_xlfn.CONCAT(A510," (",M510,")"),B510)</f>
        <v>Gŭquán Jiēdào</v>
      </c>
      <c r="D510" t="s">
        <v>695</v>
      </c>
      <c r="E510" t="s">
        <v>7</v>
      </c>
      <c r="F510" t="str">
        <f>_xlfn.CONCAT(D510,", ",H510,", ",I510,", ","山东省")</f>
        <v>古泉街道, 鄄城县, 菏泽市, 山东省</v>
      </c>
      <c r="G510">
        <v>82262</v>
      </c>
      <c r="H510" t="s">
        <v>3667</v>
      </c>
      <c r="I510" t="s">
        <v>3662</v>
      </c>
      <c r="J510">
        <f>VLOOKUP(F510,[1]!china_towns_second__2[[Column1]:[Y]],3,FALSE)</f>
        <v>35.5794084465537</v>
      </c>
      <c r="K510">
        <f>VLOOKUP(F510,[1]!china_towns_second__2[[Column1]:[Y]],2,FALSE)</f>
        <v>115.49987969999999</v>
      </c>
      <c r="L510" t="s">
        <v>5345</v>
      </c>
      <c r="M510" t="str">
        <f>VLOOKUP(H510,CHOOSE({1,2},Table17[Native],Table17[Name]),2,0)</f>
        <v>Juànchéng Xiàn</v>
      </c>
      <c r="N510" s="15" t="str">
        <f>VLOOKUP(I510,CHOOSE({1,2},Table17[Native],Table17[Name]),2,0)</f>
        <v>Hézé Shì</v>
      </c>
      <c r="O510" s="15" t="str">
        <f t="shared" si="14"/>
        <v>Guquan Jiedao (Hézé Shì)</v>
      </c>
      <c r="P510" s="15" t="str">
        <f t="shared" si="15"/>
        <v>Guquan Jiedao (Hézé Shì)</v>
      </c>
    </row>
    <row r="511" spans="1:16" hidden="1" x14ac:dyDescent="0.25">
      <c r="A511" t="s">
        <v>2936</v>
      </c>
      <c r="B511" t="str">
        <f>IF(COUNTIF(A:A,A511)&gt;1,_xlfn.CONCAT(A511," (",N511,")"),A511)</f>
        <v>Gùshān Zhèn</v>
      </c>
      <c r="C511" t="str">
        <f>IF(COUNTIF(B:B,B511)&gt;1,_xlfn.CONCAT(A511," (",M511,")"),B511)</f>
        <v>Gùshān Zhèn</v>
      </c>
      <c r="D511" t="s">
        <v>2937</v>
      </c>
      <c r="E511" t="s">
        <v>13</v>
      </c>
      <c r="F511" t="str">
        <f>_xlfn.CONCAT(D511,", ",H511,", ",I511,", ","山东省")</f>
        <v>崮山镇, 环翠区, 威海市, 山东省</v>
      </c>
      <c r="G511">
        <v>24834</v>
      </c>
      <c r="H511" t="s">
        <v>3766</v>
      </c>
      <c r="I511" t="s">
        <v>3765</v>
      </c>
      <c r="J511">
        <f>VLOOKUP(F511,[1]!china_towns_second__2[[Column1]:[Y]],3,FALSE)</f>
        <v>37.419222308364397</v>
      </c>
      <c r="K511">
        <f>VLOOKUP(F511,[1]!china_towns_second__2[[Column1]:[Y]],2,FALSE)</f>
        <v>122.24333300000001</v>
      </c>
      <c r="L511" t="s">
        <v>5346</v>
      </c>
      <c r="M511" t="str">
        <f>VLOOKUP(H511,CHOOSE({1,2},Table17[Native],Table17[Name]),2,0)</f>
        <v>Huáncuì Qū</v>
      </c>
      <c r="N511" s="15" t="str">
        <f>VLOOKUP(I511,CHOOSE({1,2},Table17[Native],Table17[Name]),2,0)</f>
        <v>Wēihăi Shì</v>
      </c>
      <c r="O511" s="15" t="str">
        <f t="shared" si="14"/>
        <v>Gushan Zhen (Wēihăi Shì)</v>
      </c>
      <c r="P511" s="15" t="str">
        <f t="shared" si="15"/>
        <v>Gushan Zhen (Wēihăi Shì)</v>
      </c>
    </row>
    <row r="512" spans="1:16" hidden="1" x14ac:dyDescent="0.25">
      <c r="A512" t="s">
        <v>3380</v>
      </c>
      <c r="B512" t="str">
        <f>IF(COUNTIF(A:A,A512)&gt;1,_xlfn.CONCAT(A512," (",N512,")"),A512)</f>
        <v>Gŭshào Zhèn</v>
      </c>
      <c r="C512" t="str">
        <f>IF(COUNTIF(B:B,B512)&gt;1,_xlfn.CONCAT(A512," (",M512,")"),B512)</f>
        <v>Gŭshào Zhèn</v>
      </c>
      <c r="D512" t="s">
        <v>3381</v>
      </c>
      <c r="E512" t="s">
        <v>13</v>
      </c>
      <c r="F512" t="str">
        <f>_xlfn.CONCAT(D512,", ",H512,", ",I512,", ","山东省")</f>
        <v>古邵镇, 峄城区, 枣庄市, 山东省</v>
      </c>
      <c r="G512">
        <v>66112</v>
      </c>
      <c r="H512" t="s">
        <v>3789</v>
      </c>
      <c r="I512" t="s">
        <v>3784</v>
      </c>
      <c r="J512">
        <f>VLOOKUP(F512,[1]!china_towns_second__2[[Column1]:[Y]],3,FALSE)</f>
        <v>34.611790197716999</v>
      </c>
      <c r="K512">
        <f>VLOOKUP(F512,[1]!china_towns_second__2[[Column1]:[Y]],2,FALSE)</f>
        <v>117.50268920000001</v>
      </c>
      <c r="L512" t="s">
        <v>5347</v>
      </c>
      <c r="M512" t="str">
        <f>VLOOKUP(H512,CHOOSE({1,2},Table17[Native],Table17[Name]),2,0)</f>
        <v>Yìchéng Qū</v>
      </c>
      <c r="N512" s="15" t="str">
        <f>VLOOKUP(I512,CHOOSE({1,2},Table17[Native],Table17[Name]),2,0)</f>
        <v>Zăozhuāng Shì</v>
      </c>
      <c r="O512" s="15" t="str">
        <f t="shared" si="14"/>
        <v>Gushao Zhen (Zăozhuāng Shì)</v>
      </c>
      <c r="P512" s="15" t="str">
        <f t="shared" si="15"/>
        <v>Gushao Zhen (Zăozhuāng Shì)</v>
      </c>
    </row>
    <row r="513" spans="1:16" hidden="1" x14ac:dyDescent="0.25">
      <c r="A513" t="s">
        <v>1297</v>
      </c>
      <c r="B513" t="str">
        <f>IF(COUNTIF(A:A,A513)&gt;1,_xlfn.CONCAT(A513," (",N513,")"),A513)</f>
        <v>Gŭtíng Jiēdào</v>
      </c>
      <c r="C513" t="str">
        <f>IF(COUNTIF(B:B,B513)&gt;1,_xlfn.CONCAT(A513," (",M513,")"),B513)</f>
        <v>Gŭtíng Jiēdào</v>
      </c>
      <c r="D513" t="s">
        <v>1298</v>
      </c>
      <c r="E513" t="s">
        <v>7</v>
      </c>
      <c r="F513" t="str">
        <f>_xlfn.CONCAT(D513,", ",H513,", ",I513,", ","山东省")</f>
        <v>谷亭街道, 鱼台县, 济宁市, 山东省</v>
      </c>
      <c r="G513">
        <v>37242</v>
      </c>
      <c r="H513" t="s">
        <v>3697</v>
      </c>
      <c r="I513" t="s">
        <v>3687</v>
      </c>
      <c r="J513">
        <f>VLOOKUP(F513,[1]!china_towns_second__2[[Column1]:[Y]],3,FALSE)</f>
        <v>34.994002875032599</v>
      </c>
      <c r="K513">
        <f>VLOOKUP(F513,[1]!china_towns_second__2[[Column1]:[Y]],2,FALSE)</f>
        <v>116.6996438</v>
      </c>
      <c r="L513" t="s">
        <v>5348</v>
      </c>
      <c r="M513" t="str">
        <f>VLOOKUP(H513,CHOOSE({1,2},Table17[Native],Table17[Name]),2,0)</f>
        <v>Yútái Xiàn</v>
      </c>
      <c r="N513" s="15" t="str">
        <f>VLOOKUP(I513,CHOOSE({1,2},Table17[Native],Table17[Name]),2,0)</f>
        <v>Jìníng Shì</v>
      </c>
      <c r="O513" s="15" t="str">
        <f t="shared" si="14"/>
        <v>Guting Jiedao (Jìníng Shì)</v>
      </c>
      <c r="P513" s="15" t="str">
        <f t="shared" si="15"/>
        <v>Guting Jiedao (Jìníng Shì)</v>
      </c>
    </row>
    <row r="514" spans="1:16" hidden="1" x14ac:dyDescent="0.25">
      <c r="A514" t="s">
        <v>3139</v>
      </c>
      <c r="B514" t="str">
        <f>IF(COUNTIF(A:A,A514)&gt;1,_xlfn.CONCAT(A514," (",N514,")"),A514)</f>
        <v>Gŭxiàn Jiēdào</v>
      </c>
      <c r="C514" t="str">
        <f>IF(COUNTIF(B:B,B514)&gt;1,_xlfn.CONCAT(A514," (",M514,")"),B514)</f>
        <v>Gŭxiàn Jiēdào</v>
      </c>
      <c r="D514" t="s">
        <v>3140</v>
      </c>
      <c r="E514" t="s">
        <v>7</v>
      </c>
      <c r="F514" t="str">
        <f>_xlfn.CONCAT(D514,", ",H514,", ",I514,", ","山东省")</f>
        <v>古现街道, 福山区, 烟台市, 山东省</v>
      </c>
      <c r="G514">
        <v>91489</v>
      </c>
      <c r="H514" t="s">
        <v>3772</v>
      </c>
      <c r="I514" t="s">
        <v>3771</v>
      </c>
      <c r="J514">
        <f>VLOOKUP(F514,[1]!china_towns_second__2[[Column1]:[Y]],3,FALSE)</f>
        <v>37.5626979523174</v>
      </c>
      <c r="K514">
        <f>VLOOKUP(F514,[1]!china_towns_second__2[[Column1]:[Y]],2,FALSE)</f>
        <v>121.1257009</v>
      </c>
      <c r="L514" t="s">
        <v>5349</v>
      </c>
      <c r="M514" t="str">
        <f>VLOOKUP(H514,CHOOSE({1,2},Table17[Native],Table17[Name]),2,0)</f>
        <v>Fúshān Qū</v>
      </c>
      <c r="N514" s="15" t="str">
        <f>VLOOKUP(I514,CHOOSE({1,2},Table17[Native],Table17[Name]),2,0)</f>
        <v>Yāntái Shì</v>
      </c>
      <c r="O514" s="15" t="str">
        <f t="shared" ref="O514:O577" si="16">_xlfn.CONCAT(L514," (",N514,")")</f>
        <v>Guxian Jiedao (Yāntái Shì)</v>
      </c>
      <c r="P514" s="15" t="str">
        <f t="shared" ref="P514:P577" si="17">IF(COUNTIF(O:O,O514)&gt;1,_xlfn.CONCAT(L514," (",M514,")"),O514)</f>
        <v>Guxian Jiedao (Yāntái Shì)</v>
      </c>
    </row>
    <row r="515" spans="1:16" hidden="1" x14ac:dyDescent="0.25">
      <c r="A515" t="s">
        <v>2178</v>
      </c>
      <c r="B515" t="str">
        <f>IF(COUNTIF(A:A,A515)&gt;1,_xlfn.CONCAT(A515," (",N515,")"),A515)</f>
        <v>Gŭxiàn Zhèn</v>
      </c>
      <c r="C515" t="str">
        <f>IF(COUNTIF(B:B,B515)&gt;1,_xlfn.CONCAT(A515," (",M515,")"),B515)</f>
        <v>Gŭxiàn Zhèn</v>
      </c>
      <c r="D515" t="s">
        <v>2179</v>
      </c>
      <c r="E515" t="s">
        <v>13</v>
      </c>
      <c r="F515" t="str">
        <f>_xlfn.CONCAT(D515,", ",H515,", ",I515,", ","山东省")</f>
        <v>古岘镇, 平度市, 青岛市, 山东省</v>
      </c>
      <c r="G515">
        <v>44533</v>
      </c>
      <c r="H515" t="s">
        <v>3732</v>
      </c>
      <c r="I515" t="s">
        <v>3724</v>
      </c>
      <c r="J515">
        <f>VLOOKUP(F515,[1]!china_towns_second__2[[Column1]:[Y]],3,FALSE)</f>
        <v>36.738202645584899</v>
      </c>
      <c r="K515">
        <f>VLOOKUP(F515,[1]!china_towns_second__2[[Column1]:[Y]],2,FALSE)</f>
        <v>120.22169529999999</v>
      </c>
      <c r="L515" t="s">
        <v>5350</v>
      </c>
      <c r="M515" t="str">
        <f>VLOOKUP(H515,CHOOSE({1,2},Table17[Native],Table17[Name]),2,0)</f>
        <v>Píngdù Shì</v>
      </c>
      <c r="N515" s="15" t="str">
        <f>VLOOKUP(I515,CHOOSE({1,2},Table17[Native],Table17[Name]),2,0)</f>
        <v>Qīngdăo Shì</v>
      </c>
      <c r="O515" s="15" t="str">
        <f t="shared" si="16"/>
        <v>Guxian Zhen (Qīngdăo Shì)</v>
      </c>
      <c r="P515" s="15" t="str">
        <f t="shared" si="17"/>
        <v>Guxian Zhen (Qīngdăo Shì)</v>
      </c>
    </row>
    <row r="516" spans="1:16" hidden="1" x14ac:dyDescent="0.25">
      <c r="A516" t="s">
        <v>696</v>
      </c>
      <c r="B516" t="str">
        <f>IF(COUNTIF(A:A,A516)&gt;1,_xlfn.CONCAT(A516," (",N516,")"),A516)</f>
        <v>Gŭyíngjí Zhèn</v>
      </c>
      <c r="C516" t="str">
        <f>IF(COUNTIF(B:B,B516)&gt;1,_xlfn.CONCAT(A516," (",M516,")"),B516)</f>
        <v>Gŭyíngjí Zhèn</v>
      </c>
      <c r="D516" t="s">
        <v>697</v>
      </c>
      <c r="E516" t="s">
        <v>13</v>
      </c>
      <c r="F516" t="str">
        <f>_xlfn.CONCAT(D516,", ",H516,", ",I516,", ","山东省")</f>
        <v>古营集镇, 曹县, 菏泽市, 山东省</v>
      </c>
      <c r="G516">
        <v>72807</v>
      </c>
      <c r="H516" t="s">
        <v>3663</v>
      </c>
      <c r="I516" t="s">
        <v>3662</v>
      </c>
      <c r="J516">
        <f>VLOOKUP(F516,[1]!china_towns_second__2[[Column1]:[Y]],3,FALSE)</f>
        <v>34.923022696061999</v>
      </c>
      <c r="K516">
        <f>VLOOKUP(F516,[1]!china_towns_second__2[[Column1]:[Y]],2,FALSE)</f>
        <v>115.6817154</v>
      </c>
      <c r="L516" t="s">
        <v>5351</v>
      </c>
      <c r="M516" t="str">
        <f>VLOOKUP(H516,CHOOSE({1,2},Table17[Native],Table17[Name]),2,0)</f>
        <v>Cáo Xiàn</v>
      </c>
      <c r="N516" s="15" t="str">
        <f>VLOOKUP(I516,CHOOSE({1,2},Table17[Native],Table17[Name]),2,0)</f>
        <v>Hézé Shì</v>
      </c>
      <c r="O516" s="15" t="str">
        <f t="shared" si="16"/>
        <v>Guyingji Zhen (Hézé Shì)</v>
      </c>
      <c r="P516" s="15" t="str">
        <f t="shared" si="17"/>
        <v>Guyingji Zhen (Hézé Shì)</v>
      </c>
    </row>
    <row r="517" spans="1:16" hidden="1" x14ac:dyDescent="0.25">
      <c r="A517" t="s">
        <v>1608</v>
      </c>
      <c r="B517" t="str">
        <f>IF(COUNTIF(A:A,A517)&gt;1,_xlfn.CONCAT(A517," (",N517,")"),A517)</f>
        <v>Gŭyún Zhèn</v>
      </c>
      <c r="C517" t="str">
        <f>IF(COUNTIF(B:B,B517)&gt;1,_xlfn.CONCAT(A517," (",M517,")"),B517)</f>
        <v>Gŭyún Zhèn</v>
      </c>
      <c r="D517" t="s">
        <v>1609</v>
      </c>
      <c r="E517" t="s">
        <v>13</v>
      </c>
      <c r="F517" t="str">
        <f>_xlfn.CONCAT(D517,", ",H517,", ",I517,", ","山东省")</f>
        <v>古云镇, 莘县, 聊城市, 山东省</v>
      </c>
      <c r="G517">
        <v>50717</v>
      </c>
      <c r="H517" t="s">
        <v>3707</v>
      </c>
      <c r="I517" t="s">
        <v>3700</v>
      </c>
      <c r="J517">
        <f>VLOOKUP(F517,[1]!china_towns_second__2[[Column1]:[Y]],3,FALSE)</f>
        <v>35.825046484773303</v>
      </c>
      <c r="K517">
        <f>VLOOKUP(F517,[1]!china_towns_second__2[[Column1]:[Y]],2,FALSE)</f>
        <v>115.3714549</v>
      </c>
      <c r="L517" t="s">
        <v>5352</v>
      </c>
      <c r="M517" t="str">
        <f>VLOOKUP(H517,CHOOSE({1,2},Table17[Native],Table17[Name]),2,0)</f>
        <v>Shēn Xiàn</v>
      </c>
      <c r="N517" s="15" t="str">
        <f>VLOOKUP(I517,CHOOSE({1,2},Table17[Native],Table17[Name]),2,0)</f>
        <v>Liáochéng Shì</v>
      </c>
      <c r="O517" s="15" t="str">
        <f t="shared" si="16"/>
        <v>Guyun Zhen (Liáochéng Shì)</v>
      </c>
      <c r="P517" s="15" t="str">
        <f t="shared" si="17"/>
        <v>Guyun Zhen (Liáochéng Shì)</v>
      </c>
    </row>
    <row r="518" spans="1:16" hidden="1" x14ac:dyDescent="0.25">
      <c r="A518" t="s">
        <v>1000</v>
      </c>
      <c r="B518" t="str">
        <f>IF(COUNTIF(A:A,A518)&gt;1,_xlfn.CONCAT(A518," (",N518,")"),A518)</f>
        <v>Gùyúnhú Jiēdào</v>
      </c>
      <c r="C518" t="str">
        <f>IF(COUNTIF(B:B,B518)&gt;1,_xlfn.CONCAT(A518," (",M518,")"),B518)</f>
        <v>Gùyúnhú Jiēdào</v>
      </c>
      <c r="D518" t="s">
        <v>1001</v>
      </c>
      <c r="E518" t="s">
        <v>7</v>
      </c>
      <c r="F518" t="str">
        <f>_xlfn.CONCAT(D518,", ",H518,", ",I518,", ","山东省")</f>
        <v>崮云湖街道, 长清区, 济南市, 山东省</v>
      </c>
      <c r="G518">
        <v>104823</v>
      </c>
      <c r="H518" t="s">
        <v>3674</v>
      </c>
      <c r="I518" t="s">
        <v>3673</v>
      </c>
      <c r="J518">
        <f>VLOOKUP(F518,[1]!china_towns_second__2[[Column1]:[Y]],3,FALSE)</f>
        <v>36.515112825972501</v>
      </c>
      <c r="K518">
        <f>VLOOKUP(F518,[1]!china_towns_second__2[[Column1]:[Y]],2,FALSE)</f>
        <v>116.8216084</v>
      </c>
      <c r="L518" t="s">
        <v>5353</v>
      </c>
      <c r="M518" t="str">
        <f>VLOOKUP(H518,CHOOSE({1,2},Table17[Native],Table17[Name]),2,0)</f>
        <v>Chángqīng Qū</v>
      </c>
      <c r="N518" s="15" t="str">
        <f>VLOOKUP(I518,CHOOSE({1,2},Table17[Native],Table17[Name]),2,0)</f>
        <v>Jìnán Shì</v>
      </c>
      <c r="O518" s="15" t="str">
        <f t="shared" si="16"/>
        <v>Guyunhu Jiedao (Jìnán Shì)</v>
      </c>
      <c r="P518" s="15" t="str">
        <f t="shared" si="17"/>
        <v>Guyunhu Jiedao (Jìnán Shì)</v>
      </c>
    </row>
    <row r="519" spans="1:16" hidden="1" x14ac:dyDescent="0.25">
      <c r="A519" t="s">
        <v>59</v>
      </c>
      <c r="B519" t="str">
        <f>IF(COUNTIF(A:A,A519)&gt;1,_xlfn.CONCAT(A519," (",N519,")"),A519)</f>
        <v>Hăifáng Xiāng</v>
      </c>
      <c r="C519" t="str">
        <f>IF(COUNTIF(B:B,B519)&gt;1,_xlfn.CONCAT(A519," (",M519,")"),B519)</f>
        <v>Hăifáng Xiāng</v>
      </c>
      <c r="D519" t="s">
        <v>60</v>
      </c>
      <c r="E519" t="s">
        <v>61</v>
      </c>
      <c r="F519" t="str">
        <f>_xlfn.CONCAT(D519,", ",H519,", ",I519,", ","山东省")</f>
        <v>海防办事处乡, 沾化区, 滨州市, 山东省</v>
      </c>
      <c r="G519">
        <v>294</v>
      </c>
      <c r="H519" t="s">
        <v>3638</v>
      </c>
      <c r="I519" t="s">
        <v>3630</v>
      </c>
      <c r="J519" t="e">
        <f>VLOOKUP(F519,[1]!china_towns_second__2[[Column1]:[Y]],3,FALSE)</f>
        <v>#N/A</v>
      </c>
      <c r="K519" t="e">
        <f>VLOOKUP(F519,[1]!china_towns_second__2[[Column1]:[Y]],2,FALSE)</f>
        <v>#N/A</v>
      </c>
      <c r="L519" t="s">
        <v>5354</v>
      </c>
      <c r="M519" t="str">
        <f>VLOOKUP(H519,CHOOSE({1,2},Table17[Native],Table17[Name]),2,0)</f>
        <v>Zhānhuà Qū</v>
      </c>
      <c r="N519" s="15" t="str">
        <f>VLOOKUP(I519,CHOOSE({1,2},Table17[Native],Table17[Name]),2,0)</f>
        <v>Bīnzhōu Shì</v>
      </c>
      <c r="O519" s="15" t="str">
        <f t="shared" si="16"/>
        <v>Haifang Xiang (Bīnzhōu Shì)</v>
      </c>
      <c r="P519" s="15" t="str">
        <f t="shared" si="17"/>
        <v>Haifang Xiang (Bīnzhōu Shì)</v>
      </c>
    </row>
    <row r="520" spans="1:16" hidden="1" x14ac:dyDescent="0.25">
      <c r="A520" t="s">
        <v>62</v>
      </c>
      <c r="B520" t="str">
        <f>IF(COUNTIF(A:A,A520)&gt;1,_xlfn.CONCAT(A520," (",N520,")"),A520)</f>
        <v>Hăifēng Jiēdào</v>
      </c>
      <c r="C520" t="str">
        <f>IF(COUNTIF(B:B,B520)&gt;1,_xlfn.CONCAT(A520," (",M520,")"),B520)</f>
        <v>Hăifēng Jiēdào</v>
      </c>
      <c r="D520" t="s">
        <v>63</v>
      </c>
      <c r="E520" t="s">
        <v>7</v>
      </c>
      <c r="F520" t="str">
        <f>_xlfn.CONCAT(D520,", ",H520,", ",I520,", ","山东省")</f>
        <v>海丰街道, 无棣县, 滨州市, 山东省</v>
      </c>
      <c r="G520">
        <v>81452</v>
      </c>
      <c r="H520" t="s">
        <v>3636</v>
      </c>
      <c r="I520" t="s">
        <v>3630</v>
      </c>
      <c r="J520">
        <f>VLOOKUP(F520,[1]!china_towns_second__2[[Column1]:[Y]],3,FALSE)</f>
        <v>37.743880310574198</v>
      </c>
      <c r="K520">
        <f>VLOOKUP(F520,[1]!china_towns_second__2[[Column1]:[Y]],2,FALSE)</f>
        <v>117.5820872</v>
      </c>
      <c r="L520" t="s">
        <v>5355</v>
      </c>
      <c r="M520" t="str">
        <f>VLOOKUP(H520,CHOOSE({1,2},Table17[Native],Table17[Name]),2,0)</f>
        <v>Wúdì Xiàn</v>
      </c>
      <c r="N520" s="15" t="str">
        <f>VLOOKUP(I520,CHOOSE({1,2},Table17[Native],Table17[Name]),2,0)</f>
        <v>Bīnzhōu Shì</v>
      </c>
      <c r="O520" s="15" t="str">
        <f t="shared" si="16"/>
        <v>Haifeng Jiedao (Bīnzhōu Shì)</v>
      </c>
      <c r="P520" s="15" t="str">
        <f t="shared" si="17"/>
        <v>Haifeng Jiedao (Bīnzhōu Shì)</v>
      </c>
    </row>
    <row r="521" spans="1:16" hidden="1" x14ac:dyDescent="0.25">
      <c r="A521" t="s">
        <v>2180</v>
      </c>
      <c r="B521" t="str">
        <f>IF(COUNTIF(A:A,A521)&gt;1,_xlfn.CONCAT(A521," (",N521,")"),A521)</f>
        <v>Hăilúnlù Jiēdào</v>
      </c>
      <c r="C521" t="str">
        <f>IF(COUNTIF(B:B,B521)&gt;1,_xlfn.CONCAT(A521," (",M521,")"),B521)</f>
        <v>Hăilúnlù Jiēdào</v>
      </c>
      <c r="D521" t="s">
        <v>2181</v>
      </c>
      <c r="E521" t="s">
        <v>7</v>
      </c>
      <c r="F521" t="str">
        <f>_xlfn.CONCAT(D521,", ",H521,", ",I521,", ","山东省")</f>
        <v>海伦路街道, 市北区, 青岛市, 山东省</v>
      </c>
      <c r="G521">
        <v>60432</v>
      </c>
      <c r="H521" t="s">
        <v>3733</v>
      </c>
      <c r="I521" t="s">
        <v>3724</v>
      </c>
      <c r="J521">
        <f>VLOOKUP(F521,[1]!china_towns_second__2[[Column1]:[Y]],3,FALSE)</f>
        <v>36.109819500805798</v>
      </c>
      <c r="K521">
        <f>VLOOKUP(F521,[1]!china_towns_second__2[[Column1]:[Y]],2,FALSE)</f>
        <v>120.3694539</v>
      </c>
      <c r="L521" t="s">
        <v>5356</v>
      </c>
      <c r="M521" t="str">
        <f>VLOOKUP(H521,CHOOSE({1,2},Table17[Native],Table17[Name]),2,0)</f>
        <v>Shìbĕi Qū</v>
      </c>
      <c r="N521" s="15" t="str">
        <f>VLOOKUP(I521,CHOOSE({1,2},Table17[Native],Table17[Name]),2,0)</f>
        <v>Qīngdăo Shì</v>
      </c>
      <c r="O521" s="15" t="str">
        <f t="shared" si="16"/>
        <v>Hailunlu Jiedao (Qīngdăo Shì)</v>
      </c>
      <c r="P521" s="15" t="str">
        <f t="shared" si="17"/>
        <v>Hailunlu Jiedao (Qīngdăo Shì)</v>
      </c>
    </row>
    <row r="522" spans="1:16" hidden="1" x14ac:dyDescent="0.25">
      <c r="A522" t="s">
        <v>2182</v>
      </c>
      <c r="B522" t="str">
        <f>IF(COUNTIF(A:A,A522)&gt;1,_xlfn.CONCAT(A522," (",N522,")"),A522)</f>
        <v>Hăiqīng Zhèn</v>
      </c>
      <c r="C522" t="str">
        <f>IF(COUNTIF(B:B,B522)&gt;1,_xlfn.CONCAT(A522," (",M522,")"),B522)</f>
        <v>Hăiqīng Zhèn</v>
      </c>
      <c r="D522" t="s">
        <v>2183</v>
      </c>
      <c r="E522" t="s">
        <v>13</v>
      </c>
      <c r="F522" t="str">
        <f>_xlfn.CONCAT(D522,", ",H522,", ",I522,", ","山东省")</f>
        <v>海青镇, 黄岛区, 青岛市, 山东省</v>
      </c>
      <c r="G522">
        <v>33964</v>
      </c>
      <c r="H522" t="s">
        <v>3726</v>
      </c>
      <c r="I522" t="s">
        <v>3724</v>
      </c>
      <c r="J522">
        <f>VLOOKUP(F522,[1]!china_towns_second__2[[Column1]:[Y]],3,FALSE)</f>
        <v>35.651174116999599</v>
      </c>
      <c r="K522">
        <f>VLOOKUP(F522,[1]!china_towns_second__2[[Column1]:[Y]],2,FALSE)</f>
        <v>119.5589524</v>
      </c>
      <c r="L522" t="s">
        <v>5357</v>
      </c>
      <c r="M522" t="str">
        <f>VLOOKUP(H522,CHOOSE({1,2},Table17[Native],Table17[Name]),2,0)</f>
        <v>Huángdăo Qū</v>
      </c>
      <c r="N522" s="15" t="str">
        <f>VLOOKUP(I522,CHOOSE({1,2},Table17[Native],Table17[Name]),2,0)</f>
        <v>Qīngdăo Shì</v>
      </c>
      <c r="O522" s="15" t="str">
        <f t="shared" si="16"/>
        <v>Haiqing Zhen (Qīngdăo Shì)</v>
      </c>
      <c r="P522" s="15" t="str">
        <f t="shared" si="17"/>
        <v>Haiqing Zhen (Qīngdăo Shì)</v>
      </c>
    </row>
    <row r="523" spans="1:16" hidden="1" x14ac:dyDescent="0.25">
      <c r="A523" t="s">
        <v>2938</v>
      </c>
      <c r="B523" t="str">
        <f>IF(COUNTIF(A:A,A523)&gt;1,_xlfn.CONCAT(A523," (",N523,")"),A523)</f>
        <v>Hăiyángsuŏ Zhèn</v>
      </c>
      <c r="C523" t="str">
        <f>IF(COUNTIF(B:B,B523)&gt;1,_xlfn.CONCAT(A523," (",M523,")"),B523)</f>
        <v>Hăiyángsuŏ Zhèn</v>
      </c>
      <c r="D523" t="s">
        <v>2939</v>
      </c>
      <c r="E523" t="s">
        <v>13</v>
      </c>
      <c r="F523" t="str">
        <f>_xlfn.CONCAT(D523,", ",H523,", ",I523,", ","山东省")</f>
        <v>海阳所镇, 乳山市, 威海市, 山东省</v>
      </c>
      <c r="G523">
        <v>29851</v>
      </c>
      <c r="H523" t="s">
        <v>3768</v>
      </c>
      <c r="I523" t="s">
        <v>3765</v>
      </c>
      <c r="J523">
        <f>VLOOKUP(F523,[1]!china_towns_second__2[[Column1]:[Y]],3,FALSE)</f>
        <v>36.779911319179497</v>
      </c>
      <c r="K523">
        <f>VLOOKUP(F523,[1]!china_towns_second__2[[Column1]:[Y]],2,FALSE)</f>
        <v>121.5724116</v>
      </c>
      <c r="L523" t="s">
        <v>5358</v>
      </c>
      <c r="M523" t="str">
        <f>VLOOKUP(H523,CHOOSE({1,2},Table17[Native],Table17[Name]),2,0)</f>
        <v>Rŭshān Shì</v>
      </c>
      <c r="N523" s="15" t="str">
        <f>VLOOKUP(I523,CHOOSE({1,2},Table17[Native],Table17[Name]),2,0)</f>
        <v>Wēihăi Shì</v>
      </c>
      <c r="O523" s="15" t="str">
        <f t="shared" si="16"/>
        <v>Haiyangsuo Zhen (Wēihăi Shì)</v>
      </c>
      <c r="P523" s="15" t="str">
        <f t="shared" si="17"/>
        <v>Haiyangsuo Zhen (Wēihăi Shì)</v>
      </c>
    </row>
    <row r="524" spans="1:16" hidden="1" x14ac:dyDescent="0.25">
      <c r="A524" t="s">
        <v>64</v>
      </c>
      <c r="B524" t="str">
        <f>IF(COUNTIF(A:A,A524)&gt;1,_xlfn.CONCAT(A524," (",N524,")"),A524)</f>
        <v>Hándiàn Zhèn</v>
      </c>
      <c r="C524" t="str">
        <f>IF(COUNTIF(B:B,B524)&gt;1,_xlfn.CONCAT(A524," (",M524,")"),B524)</f>
        <v>Hándiàn Zhèn</v>
      </c>
      <c r="D524" t="s">
        <v>65</v>
      </c>
      <c r="E524" t="s">
        <v>13</v>
      </c>
      <c r="F524" t="str">
        <f>_xlfn.CONCAT(D524,", ",H524,", ",I524,", ","山东省")</f>
        <v>韩店镇, 邹平市, 滨州市, 山东省</v>
      </c>
      <c r="G524">
        <v>40133</v>
      </c>
      <c r="H524" t="s">
        <v>3640</v>
      </c>
      <c r="I524" t="s">
        <v>3630</v>
      </c>
      <c r="J524">
        <f>VLOOKUP(F524,[1]!china_towns_second__2[[Column1]:[Y]],3,FALSE)</f>
        <v>36.945042418820897</v>
      </c>
      <c r="K524">
        <f>VLOOKUP(F524,[1]!china_towns_second__2[[Column1]:[Y]],2,FALSE)</f>
        <v>117.72854340000001</v>
      </c>
      <c r="L524" t="s">
        <v>5359</v>
      </c>
      <c r="M524" t="str">
        <f>VLOOKUP(H524,CHOOSE({1,2},Table17[Native],Table17[Name]),2,0)</f>
        <v>Zōupíng Shì</v>
      </c>
      <c r="N524" s="15" t="str">
        <f>VLOOKUP(I524,CHOOSE({1,2},Table17[Native],Table17[Name]),2,0)</f>
        <v>Bīnzhōu Shì</v>
      </c>
      <c r="O524" s="15" t="str">
        <f t="shared" si="16"/>
        <v>Handian Zhen (Bīnzhōu Shì)</v>
      </c>
      <c r="P524" s="15" t="str">
        <f t="shared" si="17"/>
        <v>Handian Zhen (Bīnzhōu Shì)</v>
      </c>
    </row>
    <row r="525" spans="1:16" hidden="1" x14ac:dyDescent="0.25">
      <c r="A525" t="s">
        <v>1299</v>
      </c>
      <c r="B525" t="str">
        <f>IF(COUNTIF(A:A,A525)&gt;1,_xlfn.CONCAT(A525," (",N525,")"),A525)</f>
        <v>Hángāi Zhèn</v>
      </c>
      <c r="C525" t="str">
        <f>IF(COUNTIF(B:B,B525)&gt;1,_xlfn.CONCAT(A525," (",M525,")"),B525)</f>
        <v>Hángāi Zhèn</v>
      </c>
      <c r="D525" t="s">
        <v>1300</v>
      </c>
      <c r="E525" t="s">
        <v>13</v>
      </c>
      <c r="F525" t="str">
        <f>_xlfn.CONCAT(D525,", ",H525,", ",I525,", ","山东省")</f>
        <v>韩垓镇, 梁山县, 济宁市, 山东省</v>
      </c>
      <c r="G525">
        <v>54871</v>
      </c>
      <c r="H525" t="s">
        <v>3690</v>
      </c>
      <c r="I525" t="s">
        <v>3687</v>
      </c>
      <c r="J525">
        <f>VLOOKUP(F525,[1]!china_towns_second__2[[Column1]:[Y]],3,FALSE)</f>
        <v>35.661765257191298</v>
      </c>
      <c r="K525">
        <f>VLOOKUP(F525,[1]!china_towns_second__2[[Column1]:[Y]],2,FALSE)</f>
        <v>116.2926004</v>
      </c>
      <c r="L525" t="s">
        <v>5360</v>
      </c>
      <c r="M525" t="str">
        <f>VLOOKUP(H525,CHOOSE({1,2},Table17[Native],Table17[Name]),2,0)</f>
        <v>Liángshān Xiàn</v>
      </c>
      <c r="N525" s="15" t="str">
        <f>VLOOKUP(I525,CHOOSE({1,2},Table17[Native],Table17[Name]),2,0)</f>
        <v>Jìníng Shì</v>
      </c>
      <c r="O525" s="15" t="str">
        <f t="shared" si="16"/>
        <v>Hangai Zhen (Jìníng Shì)</v>
      </c>
      <c r="P525" s="15" t="str">
        <f t="shared" si="17"/>
        <v>Hangai Zhen (Jìníng Shì)</v>
      </c>
    </row>
    <row r="526" spans="1:16" hidden="1" x14ac:dyDescent="0.25">
      <c r="A526" t="s">
        <v>1301</v>
      </c>
      <c r="B526" t="str">
        <f>IF(COUNTIF(A:A,A526)&gt;1,_xlfn.CONCAT(A526," (",N526,")"),A526)</f>
        <v>Hángăng Zhèn</v>
      </c>
      <c r="C526" t="str">
        <f>IF(COUNTIF(B:B,B526)&gt;1,_xlfn.CONCAT(A526," (",M526,")"),B526)</f>
        <v>Hángăng Zhèn</v>
      </c>
      <c r="D526" t="s">
        <v>1302</v>
      </c>
      <c r="E526" t="s">
        <v>13</v>
      </c>
      <c r="F526" t="str">
        <f>_xlfn.CONCAT(D526,", ",H526,", ",I526,", ","山东省")</f>
        <v>韩岗镇, 梁山县, 济宁市, 山东省</v>
      </c>
      <c r="G526">
        <v>55142</v>
      </c>
      <c r="H526" t="s">
        <v>3690</v>
      </c>
      <c r="I526" t="s">
        <v>3687</v>
      </c>
      <c r="J526">
        <f>VLOOKUP(F526,[1]!china_towns_second__2[[Column1]:[Y]],3,FALSE)</f>
        <v>35.732056951074</v>
      </c>
      <c r="K526">
        <f>VLOOKUP(F526,[1]!china_towns_second__2[[Column1]:[Y]],2,FALSE)</f>
        <v>116.27604409999999</v>
      </c>
      <c r="L526" t="s">
        <v>5361</v>
      </c>
      <c r="M526" t="str">
        <f>VLOOKUP(H526,CHOOSE({1,2},Table17[Native],Table17[Name]),2,0)</f>
        <v>Liángshān Xiàn</v>
      </c>
      <c r="N526" s="15" t="str">
        <f>VLOOKUP(I526,CHOOSE({1,2},Table17[Native],Table17[Name]),2,0)</f>
        <v>Jìníng Shì</v>
      </c>
      <c r="O526" s="15" t="str">
        <f t="shared" si="16"/>
        <v>Hangang Zhen (Jìníng Shì)</v>
      </c>
      <c r="P526" s="15" t="str">
        <f t="shared" si="17"/>
        <v>Hangang Zhen (Jìníng Shì)</v>
      </c>
    </row>
    <row r="527" spans="1:16" hidden="1" x14ac:dyDescent="0.25">
      <c r="A527" t="s">
        <v>698</v>
      </c>
      <c r="B527" t="str">
        <f>IF(COUNTIF(A:A,A527)&gt;1,_xlfn.CONCAT(A527," (",N527,")"),A527)</f>
        <v>Hánjí Zhèn (Hézé Shì)</v>
      </c>
      <c r="C527" t="str">
        <f>IF(COUNTIF(B:B,B527)&gt;1,_xlfn.CONCAT(A527," (",M527,")"),B527)</f>
        <v>Hánjí Zhèn (Hézé Shì)</v>
      </c>
      <c r="D527" t="s">
        <v>699</v>
      </c>
      <c r="E527" t="s">
        <v>13</v>
      </c>
      <c r="F527" t="str">
        <f>_xlfn.CONCAT(D527,", ",H527,", ",I527,", ","山东省")</f>
        <v>韩集镇, 曹县, 菏泽市, 山东省</v>
      </c>
      <c r="G527">
        <v>48622</v>
      </c>
      <c r="H527" t="s">
        <v>3663</v>
      </c>
      <c r="I527" t="s">
        <v>3662</v>
      </c>
      <c r="J527">
        <f>VLOOKUP(F527,[1]!china_towns_second__2[[Column1]:[Y]],3,FALSE)</f>
        <v>35.009711416548299</v>
      </c>
      <c r="K527">
        <f>VLOOKUP(F527,[1]!china_towns_second__2[[Column1]:[Y]],2,FALSE)</f>
        <v>115.3503168</v>
      </c>
      <c r="L527" t="s">
        <v>5362</v>
      </c>
      <c r="M527" t="str">
        <f>VLOOKUP(H527,CHOOSE({1,2},Table17[Native],Table17[Name]),2,0)</f>
        <v>Cáo Xiàn</v>
      </c>
      <c r="N527" s="15" t="str">
        <f>VLOOKUP(I527,CHOOSE({1,2},Table17[Native],Table17[Name]),2,0)</f>
        <v>Hézé Shì</v>
      </c>
      <c r="O527" s="15" t="str">
        <f t="shared" si="16"/>
        <v>Hanji Zhen (Heze Shi) (Hézé Shì)</v>
      </c>
      <c r="P527" s="15" t="str">
        <f t="shared" si="17"/>
        <v>Hanji Zhen (Heze Shi) (Hézé Shì)</v>
      </c>
    </row>
    <row r="528" spans="1:16" hidden="1" x14ac:dyDescent="0.25">
      <c r="A528" t="s">
        <v>698</v>
      </c>
      <c r="B528" t="str">
        <f>IF(COUNTIF(A:A,A528)&gt;1,_xlfn.CONCAT(A528," (",N528,")"),A528)</f>
        <v>Hánjí Zhèn (Liáochéng Shì)</v>
      </c>
      <c r="C528" t="str">
        <f>IF(COUNTIF(B:B,B528)&gt;1,_xlfn.CONCAT(A528," (",M528,")"),B528)</f>
        <v>Hánjí Zhèn (Liáochéng Shì)</v>
      </c>
      <c r="D528" t="s">
        <v>699</v>
      </c>
      <c r="E528" t="s">
        <v>13</v>
      </c>
      <c r="F528" t="str">
        <f>_xlfn.CONCAT(D528,", ",H528,", ",I528,", ","山东省")</f>
        <v>韩集镇, 东昌府区, 聊城市, 山东省</v>
      </c>
      <c r="G528">
        <v>28156</v>
      </c>
      <c r="H528" t="s">
        <v>3702</v>
      </c>
      <c r="I528" t="s">
        <v>3700</v>
      </c>
      <c r="J528">
        <f>VLOOKUP(F528,[1]!china_towns_second__2[[Column1]:[Y]],3,FALSE)</f>
        <v>36.4103689983301</v>
      </c>
      <c r="K528">
        <f>VLOOKUP(F528,[1]!china_towns_second__2[[Column1]:[Y]],2,FALSE)</f>
        <v>116.1780431</v>
      </c>
      <c r="L528" t="s">
        <v>5363</v>
      </c>
      <c r="M528" t="str">
        <f>VLOOKUP(H528,CHOOSE({1,2},Table17[Native],Table17[Name]),2,0)</f>
        <v>Dōngchāngfŭ Qū</v>
      </c>
      <c r="N528" s="15" t="str">
        <f>VLOOKUP(I528,CHOOSE({1,2},Table17[Native],Table17[Name]),2,0)</f>
        <v>Liáochéng Shì</v>
      </c>
      <c r="O528" s="15" t="str">
        <f t="shared" si="16"/>
        <v>Hanji Zhen (Liaocheng Shi) (Liáochéng Shì)</v>
      </c>
      <c r="P528" s="15" t="str">
        <f t="shared" si="17"/>
        <v>Hanji Zhen (Liaocheng Shi) (Liáochéng Shì)</v>
      </c>
    </row>
    <row r="529" spans="1:16" hidden="1" x14ac:dyDescent="0.25">
      <c r="A529" t="s">
        <v>1002</v>
      </c>
      <c r="B529" t="str">
        <f>IF(COUNTIF(A:A,A529)&gt;1,_xlfn.CONCAT(A529," (",N529,")"),A529)</f>
        <v>Hánmiào Zhèn</v>
      </c>
      <c r="C529" t="str">
        <f>IF(COUNTIF(B:B,B529)&gt;1,_xlfn.CONCAT(A529," (",M529,")"),B529)</f>
        <v>Hánmiào Zhèn</v>
      </c>
      <c r="D529" t="s">
        <v>1003</v>
      </c>
      <c r="E529" t="s">
        <v>13</v>
      </c>
      <c r="F529" t="str">
        <f>_xlfn.CONCAT(D529,", ",H529,", ",I529,", ","山东省")</f>
        <v>韩庙镇, 商河县, 济南市, 山东省</v>
      </c>
      <c r="G529">
        <v>30633</v>
      </c>
      <c r="H529" t="s">
        <v>3682</v>
      </c>
      <c r="I529" t="s">
        <v>3673</v>
      </c>
      <c r="J529">
        <f>VLOOKUP(F529,[1]!china_towns_second__2[[Column1]:[Y]],3,FALSE)</f>
        <v>37.487101764275003</v>
      </c>
      <c r="K529">
        <f>VLOOKUP(F529,[1]!china_towns_second__2[[Column1]:[Y]],2,FALSE)</f>
        <v>117.2412159</v>
      </c>
      <c r="L529" t="s">
        <v>5364</v>
      </c>
      <c r="M529" t="str">
        <f>VLOOKUP(H529,CHOOSE({1,2},Table17[Native],Table17[Name]),2,0)</f>
        <v>Shānghé Xiàn</v>
      </c>
      <c r="N529" s="15" t="str">
        <f>VLOOKUP(I529,CHOOSE({1,2},Table17[Native],Table17[Name]),2,0)</f>
        <v>Jìnán Shì</v>
      </c>
      <c r="O529" s="15" t="str">
        <f t="shared" si="16"/>
        <v>Hanmiao Zhen (Jìnán Shì)</v>
      </c>
      <c r="P529" s="15" t="str">
        <f t="shared" si="17"/>
        <v>Hanmiao Zhen (Jìnán Shì)</v>
      </c>
    </row>
    <row r="530" spans="1:16" hidden="1" x14ac:dyDescent="0.25">
      <c r="A530" t="s">
        <v>2737</v>
      </c>
      <c r="B530" t="str">
        <f>IF(COUNTIF(A:A,A530)&gt;1,_xlfn.CONCAT(A530," (",N530,")"),A530)</f>
        <v>Hántíng Jiēdào</v>
      </c>
      <c r="C530" t="str">
        <f>IF(COUNTIF(B:B,B530)&gt;1,_xlfn.CONCAT(A530," (",M530,")"),B530)</f>
        <v>Hántíng Jiēdào</v>
      </c>
      <c r="D530" t="s">
        <v>2738</v>
      </c>
      <c r="E530" t="s">
        <v>7</v>
      </c>
      <c r="F530" t="str">
        <f>_xlfn.CONCAT(D530,", ",H530,", ",I530,", ","山东省")</f>
        <v>寒亭街道, 寒亭区, 潍坊市, 山东省</v>
      </c>
      <c r="G530">
        <v>97396</v>
      </c>
      <c r="H530" t="s">
        <v>3757</v>
      </c>
      <c r="I530" t="s">
        <v>3751</v>
      </c>
      <c r="J530">
        <f>VLOOKUP(F530,[1]!china_towns_second__2[[Column1]:[Y]],3,FALSE)</f>
        <v>36.785912476786997</v>
      </c>
      <c r="K530">
        <f>VLOOKUP(F530,[1]!china_towns_second__2[[Column1]:[Y]],2,FALSE)</f>
        <v>119.2138372</v>
      </c>
      <c r="L530" t="s">
        <v>5365</v>
      </c>
      <c r="M530" t="str">
        <f>VLOOKUP(H530,CHOOSE({1,2},Table17[Native],Table17[Name]),2,0)</f>
        <v>Hántíng Qū</v>
      </c>
      <c r="N530" s="15" t="str">
        <f>VLOOKUP(I530,CHOOSE({1,2},Table17[Native],Table17[Name]),2,0)</f>
        <v>Wéifāng Shì</v>
      </c>
      <c r="O530" s="15" t="str">
        <f t="shared" si="16"/>
        <v>Hanting Jiedao (Wéifāng Shì)</v>
      </c>
      <c r="P530" s="15" t="str">
        <f t="shared" si="17"/>
        <v>Hanting Jiedao (Wéifāng Shì)</v>
      </c>
    </row>
    <row r="531" spans="1:16" hidden="1" x14ac:dyDescent="0.25">
      <c r="A531" t="s">
        <v>1610</v>
      </c>
      <c r="B531" t="str">
        <f>IF(COUNTIF(A:A,A531)&gt;1,_xlfn.CONCAT(A531," (",N531,")"),A531)</f>
        <v>Hántún Zhèn</v>
      </c>
      <c r="C531" t="str">
        <f>IF(COUNTIF(B:B,B531)&gt;1,_xlfn.CONCAT(A531," (",M531,")"),B531)</f>
        <v>Hántún Zhèn</v>
      </c>
      <c r="D531" t="s">
        <v>1611</v>
      </c>
      <c r="E531" t="s">
        <v>13</v>
      </c>
      <c r="F531" t="str">
        <f>_xlfn.CONCAT(D531,", ",H531,", ",I531,", ","山东省")</f>
        <v>韩屯镇, 茌平区, 聊城市, 山东省</v>
      </c>
      <c r="G531">
        <v>29374</v>
      </c>
      <c r="H531" t="s">
        <v>3701</v>
      </c>
      <c r="I531" t="s">
        <v>3700</v>
      </c>
      <c r="J531">
        <f>VLOOKUP(F531,[1]!china_towns_second__2[[Column1]:[Y]],3,FALSE)</f>
        <v>36.681025654334299</v>
      </c>
      <c r="K531">
        <f>VLOOKUP(F531,[1]!china_towns_second__2[[Column1]:[Y]],2,FALSE)</f>
        <v>116.12841</v>
      </c>
      <c r="L531" t="s">
        <v>5366</v>
      </c>
      <c r="M531" t="str">
        <f>VLOOKUP(H531,CHOOSE({1,2},Table17[Native],Table17[Name]),2,0)</f>
        <v>Chípíng Qū</v>
      </c>
      <c r="N531" s="15" t="str">
        <f>VLOOKUP(I531,CHOOSE({1,2},Table17[Native],Table17[Name]),2,0)</f>
        <v>Liáochéng Shì</v>
      </c>
      <c r="O531" s="15" t="str">
        <f t="shared" si="16"/>
        <v>Hantun Zhen (Liáochéng Shì)</v>
      </c>
      <c r="P531" s="15" t="str">
        <f t="shared" si="17"/>
        <v>Hantun Zhen (Liáochéng Shì)</v>
      </c>
    </row>
    <row r="532" spans="1:16" hidden="1" x14ac:dyDescent="0.25">
      <c r="A532" t="s">
        <v>1303</v>
      </c>
      <c r="B532" t="str">
        <f>IF(COUNTIF(A:A,A532)&gt;1,_xlfn.CONCAT(A532," (",N532,")"),A532)</f>
        <v>Hánzhuāng Zhèn</v>
      </c>
      <c r="C532" t="str">
        <f>IF(COUNTIF(B:B,B532)&gt;1,_xlfn.CONCAT(A532," (",M532,")"),B532)</f>
        <v>Hánzhuāng Zhèn</v>
      </c>
      <c r="D532" t="s">
        <v>1304</v>
      </c>
      <c r="E532" t="s">
        <v>13</v>
      </c>
      <c r="F532" t="str">
        <f>_xlfn.CONCAT(D532,", ",H532,", ",I532,", ","山东省")</f>
        <v>韩庄镇, 微山县, 济宁市, 山东省</v>
      </c>
      <c r="G532">
        <v>57342</v>
      </c>
      <c r="H532" t="s">
        <v>3694</v>
      </c>
      <c r="I532" t="s">
        <v>3687</v>
      </c>
      <c r="J532">
        <f>VLOOKUP(F532,[1]!china_towns_second__2[[Column1]:[Y]],3,FALSE)</f>
        <v>34.647393521294603</v>
      </c>
      <c r="K532">
        <f>VLOOKUP(F532,[1]!china_towns_second__2[[Column1]:[Y]],2,FALSE)</f>
        <v>117.31035230000001</v>
      </c>
      <c r="L532" t="s">
        <v>5367</v>
      </c>
      <c r="M532" t="str">
        <f>VLOOKUP(H532,CHOOSE({1,2},Table17[Native],Table17[Name]),2,0)</f>
        <v>Wēishān Xiàn</v>
      </c>
      <c r="N532" s="15" t="str">
        <f>VLOOKUP(I532,CHOOSE({1,2},Table17[Native],Table17[Name]),2,0)</f>
        <v>Jìníng Shì</v>
      </c>
      <c r="O532" s="15" t="str">
        <f t="shared" si="16"/>
        <v>Hanzhuang Zhen (Jìníng Shì)</v>
      </c>
      <c r="P532" s="15" t="str">
        <f t="shared" si="17"/>
        <v>Hanzhuang Zhen (Jìníng Shì)</v>
      </c>
    </row>
    <row r="533" spans="1:16" hidden="1" x14ac:dyDescent="0.25">
      <c r="A533" t="s">
        <v>507</v>
      </c>
      <c r="B533" t="str">
        <f>IF(COUNTIF(A:A,A533)&gt;1,_xlfn.CONCAT(A533," (",N533,")"),A533)</f>
        <v>Hăojiā Zhèn</v>
      </c>
      <c r="C533" t="str">
        <f>IF(COUNTIF(B:B,B533)&gt;1,_xlfn.CONCAT(A533," (",M533,")"),B533)</f>
        <v>Hăojiā Zhèn</v>
      </c>
      <c r="D533" t="s">
        <v>508</v>
      </c>
      <c r="E533" t="s">
        <v>13</v>
      </c>
      <c r="F533" t="str">
        <f>_xlfn.CONCAT(D533,", ",H533,", ",I533,", ","山东省")</f>
        <v>郝家镇, 垦利区, 东营市, 山东省</v>
      </c>
      <c r="G533">
        <v>16241</v>
      </c>
      <c r="H533" t="s">
        <v>3659</v>
      </c>
      <c r="I533" t="s">
        <v>3655</v>
      </c>
      <c r="J533">
        <f>VLOOKUP(F533,[1]!china_towns_second__2[[Column1]:[Y]],3,FALSE)</f>
        <v>37.446551334858903</v>
      </c>
      <c r="K533">
        <f>VLOOKUP(F533,[1]!china_towns_second__2[[Column1]:[Y]],2,FALSE)</f>
        <v>118.37183400000001</v>
      </c>
      <c r="L533" t="s">
        <v>5368</v>
      </c>
      <c r="M533" t="str">
        <f>VLOOKUP(H533,CHOOSE({1,2},Table17[Native],Table17[Name]),2,0)</f>
        <v>Kĕnlì Qū</v>
      </c>
      <c r="N533" s="15" t="str">
        <f>VLOOKUP(I533,CHOOSE({1,2},Table17[Native],Table17[Name]),2,0)</f>
        <v>Dōngyíng Shì</v>
      </c>
      <c r="O533" s="15" t="str">
        <f t="shared" si="16"/>
        <v>Haojia Zhen (Dōngyíng Shì)</v>
      </c>
      <c r="P533" s="15" t="str">
        <f t="shared" si="17"/>
        <v>Haojia Zhen (Dōngyíng Shì)</v>
      </c>
    </row>
    <row r="534" spans="1:16" hidden="1" x14ac:dyDescent="0.25">
      <c r="A534" t="s">
        <v>66</v>
      </c>
      <c r="B534" t="str">
        <f>IF(COUNTIF(A:A,A534)&gt;1,_xlfn.CONCAT(A534," (",N534,")"),A534)</f>
        <v>Hăoshēng Jiēdào</v>
      </c>
      <c r="C534" t="str">
        <f>IF(COUNTIF(B:B,B534)&gt;1,_xlfn.CONCAT(A534," (",M534,")"),B534)</f>
        <v>Hăoshēng Jiēdào</v>
      </c>
      <c r="D534" t="s">
        <v>67</v>
      </c>
      <c r="E534" t="s">
        <v>7</v>
      </c>
      <c r="F534" t="str">
        <f>_xlfn.CONCAT(D534,", ",H534,", ",I534,", ","山东省")</f>
        <v>好生街道, 邹平市, 滨州市, 山东省</v>
      </c>
      <c r="G534">
        <v>33543</v>
      </c>
      <c r="H534" t="s">
        <v>3640</v>
      </c>
      <c r="I534" t="s">
        <v>3630</v>
      </c>
      <c r="J534">
        <f>VLOOKUP(F534,[1]!china_towns_second__2[[Column1]:[Y]],3,FALSE)</f>
        <v>36.809761108388201</v>
      </c>
      <c r="K534">
        <f>VLOOKUP(F534,[1]!china_towns_second__2[[Column1]:[Y]],2,FALSE)</f>
        <v>117.7971087</v>
      </c>
      <c r="L534" t="s">
        <v>5369</v>
      </c>
      <c r="M534" t="str">
        <f>VLOOKUP(H534,CHOOSE({1,2},Table17[Native],Table17[Name]),2,0)</f>
        <v>Zōupíng Shì</v>
      </c>
      <c r="N534" s="15" t="str">
        <f>VLOOKUP(I534,CHOOSE({1,2},Table17[Native],Table17[Name]),2,0)</f>
        <v>Bīnzhōu Shì</v>
      </c>
      <c r="O534" s="15" t="str">
        <f t="shared" si="16"/>
        <v>Haosheng Jiedao (Bīnzhōu Shì)</v>
      </c>
      <c r="P534" s="15" t="str">
        <f t="shared" si="17"/>
        <v>Haosheng Jiedao (Bīnzhōu Shì)</v>
      </c>
    </row>
    <row r="535" spans="1:16" hidden="1" x14ac:dyDescent="0.25">
      <c r="A535" t="s">
        <v>274</v>
      </c>
      <c r="B535" t="str">
        <f>IF(COUNTIF(A:A,A535)&gt;1,_xlfn.CONCAT(A535," (",N535,")"),A535)</f>
        <v>Hăowángzhuāng Zhèn</v>
      </c>
      <c r="C535" t="str">
        <f>IF(COUNTIF(B:B,B535)&gt;1,_xlfn.CONCAT(A535," (",M535,")"),B535)</f>
        <v>Hăowángzhuāng Zhèn</v>
      </c>
      <c r="D535" t="s">
        <v>275</v>
      </c>
      <c r="E535" t="s">
        <v>13</v>
      </c>
      <c r="F535" t="str">
        <f>_xlfn.CONCAT(D535,", ",H535,", ",I535,", ","山东省")</f>
        <v>郝王庄镇, 武城县, 德州市, 山东省</v>
      </c>
      <c r="G535">
        <v>40688</v>
      </c>
      <c r="H535" t="s">
        <v>3651</v>
      </c>
      <c r="I535" t="s">
        <v>3642</v>
      </c>
      <c r="J535">
        <f>VLOOKUP(F535,[1]!china_towns_second__2[[Column1]:[Y]],3,FALSE)</f>
        <v>37.255240968080301</v>
      </c>
      <c r="K535">
        <f>VLOOKUP(F535,[1]!china_towns_second__2[[Column1]:[Y]],2,FALSE)</f>
        <v>116.2265349</v>
      </c>
      <c r="L535" t="s">
        <v>5370</v>
      </c>
      <c r="M535" t="str">
        <f>VLOOKUP(H535,CHOOSE({1,2},Table17[Native],Table17[Name]),2,0)</f>
        <v>Wŭchéng Xiàn</v>
      </c>
      <c r="N535" s="15" t="str">
        <f>VLOOKUP(I535,CHOOSE({1,2},Table17[Native],Table17[Name]),2,0)</f>
        <v>Dézhōu Shì</v>
      </c>
      <c r="O535" s="15" t="str">
        <f t="shared" si="16"/>
        <v>Haowangzhuang Zhen (Dézhōu Shì)</v>
      </c>
      <c r="P535" s="15" t="str">
        <f t="shared" si="17"/>
        <v>Haowangzhuang Zhen (Dézhōu Shì)</v>
      </c>
    </row>
    <row r="536" spans="1:16" hidden="1" x14ac:dyDescent="0.25">
      <c r="A536" t="s">
        <v>1612</v>
      </c>
      <c r="B536" t="str">
        <f>IF(COUNTIF(A:A,A536)&gt;1,_xlfn.CONCAT(A536," (",N536,")"),A536)</f>
        <v>Hédiàn Zhèn</v>
      </c>
      <c r="C536" t="str">
        <f>IF(COUNTIF(B:B,B536)&gt;1,_xlfn.CONCAT(A536," (",M536,")"),B536)</f>
        <v>Hédiàn Zhèn</v>
      </c>
      <c r="D536" t="s">
        <v>1613</v>
      </c>
      <c r="E536" t="s">
        <v>13</v>
      </c>
      <c r="F536" t="str">
        <f>_xlfn.CONCAT(D536,", ",H536,", ",I536,", ","山东省")</f>
        <v>河店镇, 莘县, 聊城市, 山东省</v>
      </c>
      <c r="G536">
        <v>33886</v>
      </c>
      <c r="H536" t="s">
        <v>3707</v>
      </c>
      <c r="I536" t="s">
        <v>3700</v>
      </c>
      <c r="J536">
        <f>VLOOKUP(F536,[1]!china_towns_second__2[[Column1]:[Y]],3,FALSE)</f>
        <v>36.356454276762499</v>
      </c>
      <c r="K536">
        <f>VLOOKUP(F536,[1]!china_towns_second__2[[Column1]:[Y]],2,FALSE)</f>
        <v>115.6645171</v>
      </c>
      <c r="L536" t="s">
        <v>5371</v>
      </c>
      <c r="M536" t="str">
        <f>VLOOKUP(H536,CHOOSE({1,2},Table17[Native],Table17[Name]),2,0)</f>
        <v>Shēn Xiàn</v>
      </c>
      <c r="N536" s="15" t="str">
        <f>VLOOKUP(I536,CHOOSE({1,2},Table17[Native],Table17[Name]),2,0)</f>
        <v>Liáochéng Shì</v>
      </c>
      <c r="O536" s="15" t="str">
        <f t="shared" si="16"/>
        <v>Hedian Zhen (Liáochéng Shì)</v>
      </c>
      <c r="P536" s="15" t="str">
        <f t="shared" si="17"/>
        <v>Hedian Zhen (Liáochéng Shì)</v>
      </c>
    </row>
    <row r="537" spans="1:16" hidden="1" x14ac:dyDescent="0.25">
      <c r="A537" t="s">
        <v>68</v>
      </c>
      <c r="B537" t="str">
        <f>IF(COUNTIF(A:A,A537)&gt;1,_xlfn.CONCAT(A537," (",N537,")"),A537)</f>
        <v>Héfāng Jiēdào</v>
      </c>
      <c r="C537" t="str">
        <f>IF(COUNTIF(B:B,B537)&gt;1,_xlfn.CONCAT(A537," (",M537,")"),B537)</f>
        <v>Héfāng Jiēdào</v>
      </c>
      <c r="D537" t="s">
        <v>69</v>
      </c>
      <c r="E537" t="s">
        <v>7</v>
      </c>
      <c r="F537" t="str">
        <f>_xlfn.CONCAT(D537,", ",H537,", ",I537,", ","山东省")</f>
        <v>何坊街道, 惠民县, 滨州市, 山东省</v>
      </c>
      <c r="G537">
        <v>35925</v>
      </c>
      <c r="H537" t="s">
        <v>3635</v>
      </c>
      <c r="I537" t="s">
        <v>3630</v>
      </c>
      <c r="J537">
        <f>VLOOKUP(F537,[1]!china_towns_second__2[[Column1]:[Y]],3,FALSE)</f>
        <v>37.512236518418803</v>
      </c>
      <c r="K537">
        <f>VLOOKUP(F537,[1]!china_towns_second__2[[Column1]:[Y]],2,FALSE)</f>
        <v>117.581278</v>
      </c>
      <c r="L537" t="s">
        <v>5372</v>
      </c>
      <c r="M537" t="str">
        <f>VLOOKUP(H537,CHOOSE({1,2},Table17[Native],Table17[Name]),2,0)</f>
        <v>Huìmín Xiàn</v>
      </c>
      <c r="N537" s="15" t="str">
        <f>VLOOKUP(I537,CHOOSE({1,2},Table17[Native],Table17[Name]),2,0)</f>
        <v>Bīnzhōu Shì</v>
      </c>
      <c r="O537" s="15" t="str">
        <f t="shared" si="16"/>
        <v>Hefang Jiedao (Bīnzhōu Shì)</v>
      </c>
      <c r="P537" s="15" t="str">
        <f t="shared" si="17"/>
        <v>Hefang Jiedao (Bīnzhōu Shì)</v>
      </c>
    </row>
    <row r="538" spans="1:16" hidden="1" x14ac:dyDescent="0.25">
      <c r="A538" t="s">
        <v>2184</v>
      </c>
      <c r="B538" t="str">
        <f>IF(COUNTIF(A:A,A538)&gt;1,_xlfn.CONCAT(A538," (",N538,")"),A538)</f>
        <v>Héféilù Jiēdào</v>
      </c>
      <c r="C538" t="str">
        <f>IF(COUNTIF(B:B,B538)&gt;1,_xlfn.CONCAT(A538," (",M538,")"),B538)</f>
        <v>Héféilù Jiēdào</v>
      </c>
      <c r="D538" t="s">
        <v>2185</v>
      </c>
      <c r="E538" t="s">
        <v>7</v>
      </c>
      <c r="F538" t="str">
        <f>_xlfn.CONCAT(D538,", ",H538,", ",I538,", ","山东省")</f>
        <v>合肥路街道, 市北区, 青岛市, 山东省</v>
      </c>
      <c r="G538">
        <v>23192</v>
      </c>
      <c r="H538" t="s">
        <v>3733</v>
      </c>
      <c r="I538" t="s">
        <v>3724</v>
      </c>
      <c r="J538">
        <f>VLOOKUP(F538,[1]!china_towns_second__2[[Column1]:[Y]],3,FALSE)</f>
        <v>36.1171720263631</v>
      </c>
      <c r="K538">
        <f>VLOOKUP(F538,[1]!china_towns_second__2[[Column1]:[Y]],2,FALSE)</f>
        <v>120.4060751</v>
      </c>
      <c r="L538" t="s">
        <v>5373</v>
      </c>
      <c r="M538" t="str">
        <f>VLOOKUP(H538,CHOOSE({1,2},Table17[Native],Table17[Name]),2,0)</f>
        <v>Shìbĕi Qū</v>
      </c>
      <c r="N538" s="15" t="str">
        <f>VLOOKUP(I538,CHOOSE({1,2},Table17[Native],Table17[Name]),2,0)</f>
        <v>Qīngdăo Shì</v>
      </c>
      <c r="O538" s="15" t="str">
        <f t="shared" si="16"/>
        <v>Hefeilu Jiedao (Qīngdăo Shì)</v>
      </c>
      <c r="P538" s="15" t="str">
        <f t="shared" si="17"/>
        <v>Hefeilu Jiedao (Qīngdăo Shì)</v>
      </c>
    </row>
    <row r="539" spans="1:16" hidden="1" x14ac:dyDescent="0.25">
      <c r="A539" t="s">
        <v>2739</v>
      </c>
      <c r="B539" t="str">
        <f>IF(COUNTIF(A:A,A539)&gt;1,_xlfn.CONCAT(A539," (",N539,")"),A539)</f>
        <v>Héguān Zhèn</v>
      </c>
      <c r="C539" t="str">
        <f>IF(COUNTIF(B:B,B539)&gt;1,_xlfn.CONCAT(A539," (",M539,")"),B539)</f>
        <v>Héguān Zhèn</v>
      </c>
      <c r="D539" t="s">
        <v>2740</v>
      </c>
      <c r="E539" t="s">
        <v>13</v>
      </c>
      <c r="F539" t="str">
        <f>_xlfn.CONCAT(D539,", ",H539,", ",I539,", ","山东省")</f>
        <v>何官镇, 青州市, 潍坊市, 山东省</v>
      </c>
      <c r="G539">
        <v>73470</v>
      </c>
      <c r="H539" t="s">
        <v>3760</v>
      </c>
      <c r="I539" t="s">
        <v>3751</v>
      </c>
      <c r="J539">
        <f>VLOOKUP(F539,[1]!china_towns_second__2[[Column1]:[Y]],3,FALSE)</f>
        <v>36.853019951783303</v>
      </c>
      <c r="K539">
        <f>VLOOKUP(F539,[1]!china_towns_second__2[[Column1]:[Y]],2,FALSE)</f>
        <v>118.5867046</v>
      </c>
      <c r="L539" t="s">
        <v>5374</v>
      </c>
      <c r="M539" t="str">
        <f>VLOOKUP(H539,CHOOSE({1,2},Table17[Native],Table17[Name]),2,0)</f>
        <v>Qīngzhōu Shì</v>
      </c>
      <c r="N539" s="15" t="str">
        <f>VLOOKUP(I539,CHOOSE({1,2},Table17[Native],Table17[Name]),2,0)</f>
        <v>Wéifāng Shì</v>
      </c>
      <c r="O539" s="15" t="str">
        <f t="shared" si="16"/>
        <v>Heguan Zhen (Wéifāng Shì)</v>
      </c>
      <c r="P539" s="15" t="str">
        <f t="shared" si="17"/>
        <v>Heguan Zhen (Wéifāng Shì)</v>
      </c>
    </row>
    <row r="540" spans="1:16" hidden="1" x14ac:dyDescent="0.25">
      <c r="A540" t="s">
        <v>1004</v>
      </c>
      <c r="B540" t="str">
        <f>IF(COUNTIF(A:A,A540)&gt;1,_xlfn.CONCAT(A540," (",N540,")"),A540)</f>
        <v>Héhuālù Jiēdào</v>
      </c>
      <c r="C540" t="str">
        <f>IF(COUNTIF(B:B,B540)&gt;1,_xlfn.CONCAT(A540," (",M540,")"),B540)</f>
        <v>Héhuālù Jiēdào</v>
      </c>
      <c r="D540" t="s">
        <v>1005</v>
      </c>
      <c r="E540" t="s">
        <v>7</v>
      </c>
      <c r="F540" t="str">
        <f>_xlfn.CONCAT(D540,", ",H540,", ",I540,", ","山东省")</f>
        <v>荷花路街道, 历城区, 济南市, 山东省</v>
      </c>
      <c r="G540">
        <v>21782</v>
      </c>
      <c r="H540" t="s">
        <v>3679</v>
      </c>
      <c r="I540" t="s">
        <v>3673</v>
      </c>
      <c r="J540">
        <f>VLOOKUP(F540,[1]!china_towns_second__2[[Column1]:[Y]],3,FALSE)</f>
        <v>36.7714553801015</v>
      </c>
      <c r="K540">
        <f>VLOOKUP(F540,[1]!china_towns_second__2[[Column1]:[Y]],2,FALSE)</f>
        <v>117.1074157</v>
      </c>
      <c r="L540" t="s">
        <v>5375</v>
      </c>
      <c r="M540" t="str">
        <f>VLOOKUP(H540,CHOOSE({1,2},Table17[Native],Table17[Name]),2,0)</f>
        <v>Lìchéng Qū</v>
      </c>
      <c r="N540" s="15" t="str">
        <f>VLOOKUP(I540,CHOOSE({1,2},Table17[Native],Table17[Name]),2,0)</f>
        <v>Jìnán Shì</v>
      </c>
      <c r="O540" s="15" t="str">
        <f t="shared" si="16"/>
        <v>Hehualu Jiedao (Jìnán Shì)</v>
      </c>
      <c r="P540" s="15" t="str">
        <f t="shared" si="17"/>
        <v>Hehualu Jiedao (Jìnán Shì)</v>
      </c>
    </row>
    <row r="541" spans="1:16" hidden="1" x14ac:dyDescent="0.25">
      <c r="A541" t="s">
        <v>1305</v>
      </c>
      <c r="B541" t="str">
        <f>IF(COUNTIF(A:A,A541)&gt;1,_xlfn.CONCAT(A541," (",N541,")"),A541)</f>
        <v>Hēihŭmiào Zhèn</v>
      </c>
      <c r="C541" t="str">
        <f>IF(COUNTIF(B:B,B541)&gt;1,_xlfn.CONCAT(A541," (",M541,")"),B541)</f>
        <v>Hēihŭmiào Zhèn</v>
      </c>
      <c r="D541" t="s">
        <v>1306</v>
      </c>
      <c r="E541" t="s">
        <v>13</v>
      </c>
      <c r="F541" t="str">
        <f>_xlfn.CONCAT(D541,", ",H541,", ",I541,", ","山东省")</f>
        <v>黑虎庙镇, 梁山县, 济宁市, 山东省</v>
      </c>
      <c r="G541">
        <v>28819</v>
      </c>
      <c r="H541" t="s">
        <v>3690</v>
      </c>
      <c r="I541" t="s">
        <v>3687</v>
      </c>
      <c r="J541">
        <f>VLOOKUP(F541,[1]!china_towns_second__2[[Column1]:[Y]],3,FALSE)</f>
        <v>35.8483424992096</v>
      </c>
      <c r="K541">
        <f>VLOOKUP(F541,[1]!china_towns_second__2[[Column1]:[Y]],2,FALSE)</f>
        <v>115.90109320000001</v>
      </c>
      <c r="L541" t="s">
        <v>5376</v>
      </c>
      <c r="M541" t="str">
        <f>VLOOKUP(H541,CHOOSE({1,2},Table17[Native],Table17[Name]),2,0)</f>
        <v>Liángshān Xiàn</v>
      </c>
      <c r="N541" s="15" t="str">
        <f>VLOOKUP(I541,CHOOSE({1,2},Table17[Native],Table17[Name]),2,0)</f>
        <v>Jìníng Shì</v>
      </c>
      <c r="O541" s="15" t="str">
        <f t="shared" si="16"/>
        <v>Heihumiao Zhen (Jìníng Shì)</v>
      </c>
      <c r="P541" s="15" t="str">
        <f t="shared" si="17"/>
        <v>Heihumiao Zhen (Jìníng Shì)</v>
      </c>
    </row>
    <row r="542" spans="1:16" hidden="1" x14ac:dyDescent="0.25">
      <c r="A542" t="s">
        <v>3503</v>
      </c>
      <c r="B542" t="str">
        <f>IF(COUNTIF(A:A,A542)&gt;1,_xlfn.CONCAT(A542," (",N542,")"),A542)</f>
        <v>Hēilĭzhài Zhèn</v>
      </c>
      <c r="C542" t="str">
        <f>IF(COUNTIF(B:B,B542)&gt;1,_xlfn.CONCAT(A542," (",M542,")"),B542)</f>
        <v>Hēilĭzhài Zhèn</v>
      </c>
      <c r="D542" t="s">
        <v>3504</v>
      </c>
      <c r="E542" t="s">
        <v>13</v>
      </c>
      <c r="F542" t="str">
        <f>_xlfn.CONCAT(D542,", ",H542,", ",I542,", ","山东省")</f>
        <v>黑里寨镇, 高青县, 淄博市, 山东省</v>
      </c>
      <c r="G542">
        <v>39312</v>
      </c>
      <c r="H542" t="s">
        <v>3793</v>
      </c>
      <c r="I542" t="s">
        <v>3791</v>
      </c>
      <c r="J542">
        <f>VLOOKUP(F542,[1]!china_towns_second__2[[Column1]:[Y]],3,FALSE)</f>
        <v>37.121316689788003</v>
      </c>
      <c r="K542">
        <f>VLOOKUP(F542,[1]!china_towns_second__2[[Column1]:[Y]],2,FALSE)</f>
        <v>117.6233371</v>
      </c>
      <c r="L542" t="s">
        <v>5377</v>
      </c>
      <c r="M542" t="str">
        <f>VLOOKUP(H542,CHOOSE({1,2},Table17[Native],Table17[Name]),2,0)</f>
        <v>Gāoqīng Xiàn</v>
      </c>
      <c r="N542" s="15" t="str">
        <f>VLOOKUP(I542,CHOOSE({1,2},Table17[Native],Table17[Name]),2,0)</f>
        <v>Zībó Shì</v>
      </c>
      <c r="O542" s="15" t="str">
        <f t="shared" si="16"/>
        <v>Heilizhai Zhen (Zībó Shì)</v>
      </c>
      <c r="P542" s="15" t="str">
        <f t="shared" si="17"/>
        <v>Heilizhai Zhen (Zībó Shì)</v>
      </c>
    </row>
    <row r="543" spans="1:16" hidden="1" x14ac:dyDescent="0.25">
      <c r="A543" t="s">
        <v>3141</v>
      </c>
      <c r="B543" t="str">
        <f>IF(COUNTIF(A:A,A543)&gt;1,_xlfn.CONCAT(A543," (",N543,")"),A543)</f>
        <v>Hēishān Xiāng</v>
      </c>
      <c r="C543" t="str">
        <f>IF(COUNTIF(B:B,B543)&gt;1,_xlfn.CONCAT(A543," (",M543,")"),B543)</f>
        <v>Hēishān Xiāng</v>
      </c>
      <c r="D543" t="s">
        <v>3142</v>
      </c>
      <c r="E543" t="s">
        <v>61</v>
      </c>
      <c r="F543" t="str">
        <f>_xlfn.CONCAT(D543,", ",H543,", ",I543,", ","山东省")</f>
        <v>黑山乡, 蓬莱区, 烟台市, 山东省</v>
      </c>
      <c r="G543">
        <v>1668</v>
      </c>
      <c r="H543" t="s">
        <v>3779</v>
      </c>
      <c r="I543" t="s">
        <v>3771</v>
      </c>
      <c r="J543" t="e">
        <f>VLOOKUP(F543,[1]!china_towns_second__2[[Column1]:[Y]],3,FALSE)</f>
        <v>#N/A</v>
      </c>
      <c r="K543" t="e">
        <f>VLOOKUP(F543,[1]!china_towns_second__2[[Column1]:[Y]],2,FALSE)</f>
        <v>#N/A</v>
      </c>
      <c r="L543" t="s">
        <v>5378</v>
      </c>
      <c r="M543" t="str">
        <f>VLOOKUP(H543,CHOOSE({1,2},Table17[Native],Table17[Name]),2,0)</f>
        <v>Pénglái Qū</v>
      </c>
      <c r="N543" s="15" t="str">
        <f>VLOOKUP(I543,CHOOSE({1,2},Table17[Native],Table17[Name]),2,0)</f>
        <v>Yāntái Shì</v>
      </c>
      <c r="O543" s="15" t="str">
        <f t="shared" si="16"/>
        <v>Heishan Xiang (Yāntái Shì)</v>
      </c>
      <c r="P543" s="15" t="str">
        <f t="shared" si="17"/>
        <v>Heishan Xiang (Yāntái Shì)</v>
      </c>
    </row>
    <row r="544" spans="1:16" hidden="1" x14ac:dyDescent="0.25">
      <c r="A544" t="s">
        <v>509</v>
      </c>
      <c r="B544" t="str">
        <f>IF(COUNTIF(A:A,A544)&gt;1,_xlfn.CONCAT(A544," (",N544,")"),A544)</f>
        <v>Hékŏu Jiēdào</v>
      </c>
      <c r="C544" t="str">
        <f>IF(COUNTIF(B:B,B544)&gt;1,_xlfn.CONCAT(A544," (",M544,")"),B544)</f>
        <v>Hékŏu Jiēdào</v>
      </c>
      <c r="D544" t="s">
        <v>510</v>
      </c>
      <c r="E544" t="s">
        <v>7</v>
      </c>
      <c r="F544" t="str">
        <f>_xlfn.CONCAT(D544,", ",H544,", ",I544,", ","山东省")</f>
        <v>河口街道, 河口区, 东营市, 山东省</v>
      </c>
      <c r="G544">
        <v>78471</v>
      </c>
      <c r="H544" t="s">
        <v>3658</v>
      </c>
      <c r="I544" t="s">
        <v>3655</v>
      </c>
      <c r="J544">
        <f>VLOOKUP(F544,[1]!china_towns_second__2[[Column1]:[Y]],3,FALSE)</f>
        <v>37.944928953564798</v>
      </c>
      <c r="K544">
        <f>VLOOKUP(F544,[1]!china_towns_second__2[[Column1]:[Y]],2,FALSE)</f>
        <v>118.56466140000001</v>
      </c>
      <c r="L544" t="s">
        <v>5379</v>
      </c>
      <c r="M544" t="str">
        <f>VLOOKUP(H544,CHOOSE({1,2},Table17[Native],Table17[Name]),2,0)</f>
        <v>Hékŏu Qū</v>
      </c>
      <c r="N544" s="15" t="str">
        <f>VLOOKUP(I544,CHOOSE({1,2},Table17[Native],Table17[Name]),2,0)</f>
        <v>Dōngyíng Shì</v>
      </c>
      <c r="O544" s="15" t="str">
        <f t="shared" si="16"/>
        <v>Hekou Jiedao (Dōngyíng Shì)</v>
      </c>
      <c r="P544" s="15" t="str">
        <f t="shared" si="17"/>
        <v>Hekou Jiedao (Dōngyíng Shì)</v>
      </c>
    </row>
    <row r="545" spans="1:16" hidden="1" x14ac:dyDescent="0.25">
      <c r="A545" t="s">
        <v>511</v>
      </c>
      <c r="B545" t="str">
        <f>IF(COUNTIF(A:A,A545)&gt;1,_xlfn.CONCAT(A545," (",N545,")"),A545)</f>
        <v>Hékŏu Jīngjì Kāifāqū</v>
      </c>
      <c r="C545" t="str">
        <f>IF(COUNTIF(B:B,B545)&gt;1,_xlfn.CONCAT(A545," (",M545,")"),B545)</f>
        <v>Hékŏu Jīngjì Kāifāqū</v>
      </c>
      <c r="D545" t="s">
        <v>512</v>
      </c>
      <c r="E545" t="s">
        <v>495</v>
      </c>
      <c r="F545" t="str">
        <f>_xlfn.CONCAT(D545,", ",H545,", ",I545,", ","山东省")</f>
        <v>河口经济开发区, 河口区, 东营市, 山东省</v>
      </c>
      <c r="G545">
        <v>1628</v>
      </c>
      <c r="H545" t="s">
        <v>3658</v>
      </c>
      <c r="I545" t="s">
        <v>3655</v>
      </c>
      <c r="J545" t="e">
        <f>VLOOKUP(F545,[1]!china_towns_second__2[[Column1]:[Y]],3,FALSE)</f>
        <v>#N/A</v>
      </c>
      <c r="K545" t="e">
        <f>VLOOKUP(F545,[1]!china_towns_second__2[[Column1]:[Y]],2,FALSE)</f>
        <v>#N/A</v>
      </c>
      <c r="L545" t="s">
        <v>5380</v>
      </c>
      <c r="M545" t="str">
        <f>VLOOKUP(H545,CHOOSE({1,2},Table17[Native],Table17[Name]),2,0)</f>
        <v>Hékŏu Qū</v>
      </c>
      <c r="N545" s="15" t="str">
        <f>VLOOKUP(I545,CHOOSE({1,2},Table17[Native],Table17[Name]),2,0)</f>
        <v>Dōngyíng Shì</v>
      </c>
      <c r="O545" s="15" t="str">
        <f t="shared" si="16"/>
        <v>Hekou Jingji Kaifaqu (Dōngyíng Shì)</v>
      </c>
      <c r="P545" s="15" t="str">
        <f t="shared" si="17"/>
        <v>Hekou Jingji Kaifaqu (Dōngyíng Shì)</v>
      </c>
    </row>
    <row r="546" spans="1:16" hidden="1" x14ac:dyDescent="0.25">
      <c r="A546" t="s">
        <v>70</v>
      </c>
      <c r="B546" t="str">
        <f>IF(COUNTIF(A:A,A546)&gt;1,_xlfn.CONCAT(A546," (",N546,")"),A546)</f>
        <v>Héliú Zhèn</v>
      </c>
      <c r="C546" t="str">
        <f>IF(COUNTIF(B:B,B546)&gt;1,_xlfn.CONCAT(A546," (",M546,")"),B546)</f>
        <v>Héliú Zhèn</v>
      </c>
      <c r="D546" t="s">
        <v>71</v>
      </c>
      <c r="E546" t="s">
        <v>13</v>
      </c>
      <c r="F546" t="str">
        <f>_xlfn.CONCAT(D546,", ",H546,", ",I546,", ","山东省")</f>
        <v>河流镇, 阳信县, 滨州市, 山东省</v>
      </c>
      <c r="G546">
        <v>38962</v>
      </c>
      <c r="H546" t="s">
        <v>3637</v>
      </c>
      <c r="I546" t="s">
        <v>3630</v>
      </c>
      <c r="J546">
        <f>VLOOKUP(F546,[1]!china_towns_second__2[[Column1]:[Y]],3,FALSE)</f>
        <v>37.603217011544302</v>
      </c>
      <c r="K546">
        <f>VLOOKUP(F546,[1]!china_towns_second__2[[Column1]:[Y]],2,FALSE)</f>
        <v>117.6127209</v>
      </c>
      <c r="L546" t="s">
        <v>5381</v>
      </c>
      <c r="M546" t="str">
        <f>VLOOKUP(H546,CHOOSE({1,2},Table17[Native],Table17[Name]),2,0)</f>
        <v>Yángxìn Xiàn</v>
      </c>
      <c r="N546" s="15" t="str">
        <f>VLOOKUP(I546,CHOOSE({1,2},Table17[Native],Table17[Name]),2,0)</f>
        <v>Bīnzhōu Shì</v>
      </c>
      <c r="O546" s="15" t="str">
        <f t="shared" si="16"/>
        <v>Heliu Zhen (Bīnzhōu Shì)</v>
      </c>
      <c r="P546" s="15" t="str">
        <f t="shared" si="17"/>
        <v>Heliu Zhen (Bīnzhōu Shì)</v>
      </c>
    </row>
    <row r="547" spans="1:16" hidden="1" x14ac:dyDescent="0.25">
      <c r="A547" t="s">
        <v>700</v>
      </c>
      <c r="B547" t="str">
        <f>IF(COUNTIF(A:A,A547)&gt;1,_xlfn.CONCAT(A547," (",N547,")"),A547)</f>
        <v>Hélóu Jiēdào</v>
      </c>
      <c r="C547" t="str">
        <f>IF(COUNTIF(B:B,B547)&gt;1,_xlfn.CONCAT(A547," (",M547,")"),B547)</f>
        <v>Hélóu Jiēdào</v>
      </c>
      <c r="D547" t="s">
        <v>701</v>
      </c>
      <c r="E547" t="s">
        <v>7</v>
      </c>
      <c r="F547" t="str">
        <f>_xlfn.CONCAT(D547,", ",H547,", ",I547,", ","山东省")</f>
        <v>何楼街道, 牡丹区, 菏泽市, 山东省</v>
      </c>
      <c r="G547">
        <v>70357</v>
      </c>
      <c r="H547" t="s">
        <v>3669</v>
      </c>
      <c r="I547" t="s">
        <v>3662</v>
      </c>
      <c r="J547">
        <f>VLOOKUP(F547,[1]!china_towns_second__2[[Column1]:[Y]],3,FALSE)</f>
        <v>35.162034241961202</v>
      </c>
      <c r="K547">
        <f>VLOOKUP(F547,[1]!china_towns_second__2[[Column1]:[Y]],2,FALSE)</f>
        <v>115.4171504</v>
      </c>
      <c r="L547" t="s">
        <v>5382</v>
      </c>
      <c r="M547" t="str">
        <f>VLOOKUP(H547,CHOOSE({1,2},Table17[Native],Table17[Name]),2,0)</f>
        <v>Mŭdān Qū</v>
      </c>
      <c r="N547" s="15" t="str">
        <f>VLOOKUP(I547,CHOOSE({1,2},Table17[Native],Table17[Name]),2,0)</f>
        <v>Hézé Shì</v>
      </c>
      <c r="O547" s="15" t="str">
        <f t="shared" si="16"/>
        <v>Helou Jiedao (Hézé Shì)</v>
      </c>
      <c r="P547" s="15" t="str">
        <f t="shared" si="17"/>
        <v>Helou Jiedao (Hézé Shì)</v>
      </c>
    </row>
    <row r="548" spans="1:16" hidden="1" x14ac:dyDescent="0.25">
      <c r="A548" t="s">
        <v>3143</v>
      </c>
      <c r="B548" t="str">
        <f>IF(COUNTIF(A:A,A548)&gt;1,_xlfn.CONCAT(A548," (",N548,")"),A548)</f>
        <v>Héluò Zhèn</v>
      </c>
      <c r="C548" t="str">
        <f>IF(COUNTIF(B:B,B548)&gt;1,_xlfn.CONCAT(A548," (",M548,")"),B548)</f>
        <v>Héluò Zhèn</v>
      </c>
      <c r="D548" t="s">
        <v>3144</v>
      </c>
      <c r="E548" t="s">
        <v>13</v>
      </c>
      <c r="F548" t="str">
        <f>_xlfn.CONCAT(D548,", ",H548,", ",I548,", ","山东省")</f>
        <v>河洛镇, 莱阳市, 烟台市, 山东省</v>
      </c>
      <c r="G548">
        <v>22488</v>
      </c>
      <c r="H548" t="s">
        <v>3775</v>
      </c>
      <c r="I548" t="s">
        <v>3771</v>
      </c>
      <c r="J548">
        <f>VLOOKUP(F548,[1]!china_towns_second__2[[Column1]:[Y]],3,FALSE)</f>
        <v>37.041576473850903</v>
      </c>
      <c r="K548">
        <f>VLOOKUP(F548,[1]!china_towns_second__2[[Column1]:[Y]],2,FALSE)</f>
        <v>120.70629169999999</v>
      </c>
      <c r="L548" t="s">
        <v>5383</v>
      </c>
      <c r="M548" t="str">
        <f>VLOOKUP(H548,CHOOSE({1,2},Table17[Native],Table17[Name]),2,0)</f>
        <v>Láiyáng Shì</v>
      </c>
      <c r="N548" s="15" t="str">
        <f>VLOOKUP(I548,CHOOSE({1,2},Table17[Native],Table17[Name]),2,0)</f>
        <v>Yāntái Shì</v>
      </c>
      <c r="O548" s="15" t="str">
        <f t="shared" si="16"/>
        <v>Heluo Zhen (Yāntái Shì)</v>
      </c>
      <c r="P548" s="15" t="str">
        <f t="shared" si="17"/>
        <v>Heluo Zhen (Yāntái Shì)</v>
      </c>
    </row>
    <row r="549" spans="1:16" hidden="1" x14ac:dyDescent="0.25">
      <c r="A549" t="s">
        <v>276</v>
      </c>
      <c r="B549" t="str">
        <f>IF(COUNTIF(A:A,A549)&gt;1,_xlfn.CONCAT(A549," (",N549,")"),A549)</f>
        <v>Héngyuán Jiēdào</v>
      </c>
      <c r="C549" t="str">
        <f>IF(COUNTIF(B:B,B549)&gt;1,_xlfn.CONCAT(A549," (",M549,")"),B549)</f>
        <v>Héngyuán Jiēdào</v>
      </c>
      <c r="D549" t="s">
        <v>277</v>
      </c>
      <c r="E549" t="s">
        <v>7</v>
      </c>
      <c r="F549" t="str">
        <f>_xlfn.CONCAT(D549,", ",H549,", ",I549,", ","山东省")</f>
        <v>恒源街道, 临邑县, 德州市, 山东省</v>
      </c>
      <c r="G549">
        <v>35529</v>
      </c>
      <c r="H549" t="s">
        <v>3646</v>
      </c>
      <c r="I549" t="s">
        <v>3642</v>
      </c>
      <c r="J549">
        <f>VLOOKUP(F549,[1]!china_towns_second__2[[Column1]:[Y]],3,FALSE)</f>
        <v>37.162480873509203</v>
      </c>
      <c r="K549">
        <f>VLOOKUP(F549,[1]!china_towns_second__2[[Column1]:[Y]],2,FALSE)</f>
        <v>116.8365852</v>
      </c>
      <c r="L549" t="s">
        <v>5384</v>
      </c>
      <c r="M549" t="str">
        <f>VLOOKUP(H549,CHOOSE({1,2},Table17[Native],Table17[Name]),2,0)</f>
        <v>Línyì Xiàn</v>
      </c>
      <c r="N549" s="15" t="str">
        <f>VLOOKUP(I549,CHOOSE({1,2},Table17[Native],Table17[Name]),2,0)</f>
        <v>Dézhōu Shì</v>
      </c>
      <c r="O549" s="15" t="str">
        <f t="shared" si="16"/>
        <v>Hengyuan Jiedao (Dézhōu Shì)</v>
      </c>
      <c r="P549" s="15" t="str">
        <f t="shared" si="17"/>
        <v>Hengyuan Jiedao (Dézhōu Shì)</v>
      </c>
    </row>
    <row r="550" spans="1:16" hidden="1" x14ac:dyDescent="0.25">
      <c r="A550" t="s">
        <v>3505</v>
      </c>
      <c r="B550" t="str">
        <f>IF(COUNTIF(A:A,A550)&gt;1,_xlfn.CONCAT(A550," (",N550,")"),A550)</f>
        <v>Hépíng Jiēdào</v>
      </c>
      <c r="C550" t="str">
        <f>IF(COUNTIF(B:B,B550)&gt;1,_xlfn.CONCAT(A550," (",M550,")"),B550)</f>
        <v>Hépíng Jiēdào</v>
      </c>
      <c r="D550" t="s">
        <v>3506</v>
      </c>
      <c r="E550" t="s">
        <v>7</v>
      </c>
      <c r="F550" t="str">
        <f>_xlfn.CONCAT(D550,", ",H550,", ",I550,", ","山东省")</f>
        <v>和平街道, 张店区, 淄博市, 山东省</v>
      </c>
      <c r="G550">
        <v>40736</v>
      </c>
      <c r="H550" t="s">
        <v>3797</v>
      </c>
      <c r="I550" t="s">
        <v>3791</v>
      </c>
      <c r="J550">
        <f>VLOOKUP(F550,[1]!china_towns_second__2[[Column1]:[Y]],3,FALSE)</f>
        <v>36.799360752605097</v>
      </c>
      <c r="K550">
        <f>VLOOKUP(F550,[1]!china_towns_second__2[[Column1]:[Y]],2,FALSE)</f>
        <v>118.0326238</v>
      </c>
      <c r="L550" t="s">
        <v>5385</v>
      </c>
      <c r="M550" t="str">
        <f>VLOOKUP(H550,CHOOSE({1,2},Table17[Native],Table17[Name]),2,0)</f>
        <v>Zhāngdiàn Qū</v>
      </c>
      <c r="N550" s="15" t="str">
        <f>VLOOKUP(I550,CHOOSE({1,2},Table17[Native],Table17[Name]),2,0)</f>
        <v>Zībó Shì</v>
      </c>
      <c r="O550" s="15" t="str">
        <f t="shared" si="16"/>
        <v>Heping Jiedao (Zībó Shì)</v>
      </c>
      <c r="P550" s="15" t="str">
        <f t="shared" si="17"/>
        <v>Heping Jiedao (Zībó Shì)</v>
      </c>
    </row>
    <row r="551" spans="1:16" x14ac:dyDescent="0.25">
      <c r="A551" t="s">
        <v>2418</v>
      </c>
      <c r="B551" t="str">
        <f>IF(COUNTIF(A:A,A551)&gt;1,_xlfn.CONCAT(A551," (",N551,")"),A551)</f>
        <v>Héshān Zhèn</v>
      </c>
      <c r="C551" t="str">
        <f>IF(COUNTIF(B:B,B551)&gt;1,_xlfn.CONCAT(A551," (",M551,")"),B551)</f>
        <v>Héshān Zhèn</v>
      </c>
      <c r="D551" t="s">
        <v>2419</v>
      </c>
      <c r="E551" t="s">
        <v>13</v>
      </c>
      <c r="F551" t="str">
        <f>_xlfn.CONCAT(D551,", ",H551,", ",I551,", ","山东省")</f>
        <v>河山镇, 东港区, 日照市, 山东省</v>
      </c>
      <c r="G551">
        <v>28784</v>
      </c>
      <c r="H551" t="s">
        <v>3737</v>
      </c>
      <c r="I551" t="s">
        <v>3736</v>
      </c>
      <c r="J551">
        <f>VLOOKUP(F551,[1]!china_towns_second__2[[Column1]:[Y]],3,FALSE)</f>
        <v>35.542213235685097</v>
      </c>
      <c r="K551">
        <f>VLOOKUP(F551,[1]!china_towns_second__2[[Column1]:[Y]],2,FALSE)</f>
        <v>119.4889673</v>
      </c>
      <c r="L551" t="s">
        <v>5386</v>
      </c>
      <c r="M551" t="str">
        <f>VLOOKUP(H551,CHOOSE({1,2},Table17[Native],Table17[Name]),2,0)</f>
        <v>Dōnggăng Qū</v>
      </c>
      <c r="N551" s="15" t="str">
        <f>VLOOKUP(I551,CHOOSE({1,2},Table17[Native],Table17[Name]),2,0)</f>
        <v>Rìzhào Shì</v>
      </c>
      <c r="O551" s="15" t="str">
        <f t="shared" si="16"/>
        <v>Heshan Zhen (Rìzhào Shì)</v>
      </c>
      <c r="P551" s="15" t="str">
        <f t="shared" si="17"/>
        <v>Heshan Zhen (Rìzhào Shì)</v>
      </c>
    </row>
    <row r="552" spans="1:16" x14ac:dyDescent="0.25">
      <c r="A552" t="s">
        <v>2559</v>
      </c>
      <c r="B552" t="str">
        <f>IF(COUNTIF(A:A,A552)&gt;1,_xlfn.CONCAT(A552," (",N552,")"),A552)</f>
        <v>Hèshān Zhèn</v>
      </c>
      <c r="C552" t="str">
        <f>IF(COUNTIF(B:B,B552)&gt;1,_xlfn.CONCAT(A552," (",M552,")"),B552)</f>
        <v>Hèshān Zhèn</v>
      </c>
      <c r="D552" t="s">
        <v>2560</v>
      </c>
      <c r="E552" t="s">
        <v>13</v>
      </c>
      <c r="F552" t="str">
        <f>_xlfn.CONCAT(D552,", ",H552,", ",I552,", ","山东省")</f>
        <v>鹤山镇, 宁阳县, 泰安市, 山东省</v>
      </c>
      <c r="G552">
        <v>44226</v>
      </c>
      <c r="H552" t="s">
        <v>3747</v>
      </c>
      <c r="I552" t="s">
        <v>3743</v>
      </c>
      <c r="J552">
        <f>VLOOKUP(F552,[1]!china_towns_second__2[[Column1]:[Y]],3,FALSE)</f>
        <v>35.869635641661603</v>
      </c>
      <c r="K552">
        <f>VLOOKUP(F552,[1]!china_towns_second__2[[Column1]:[Y]],2,FALSE)</f>
        <v>116.68247390000001</v>
      </c>
      <c r="L552" t="s">
        <v>5386</v>
      </c>
      <c r="M552" t="str">
        <f>VLOOKUP(H552,CHOOSE({1,2},Table17[Native],Table17[Name]),2,0)</f>
        <v>Níngyáng Xiàn</v>
      </c>
      <c r="N552" s="15" t="str">
        <f>VLOOKUP(I552,CHOOSE({1,2},Table17[Native],Table17[Name]),2,0)</f>
        <v>Tài'ān Shì</v>
      </c>
      <c r="O552" s="15" t="str">
        <f t="shared" si="16"/>
        <v>Heshan Zhen (Tài'ān Shì)</v>
      </c>
      <c r="P552" s="15" t="str">
        <f t="shared" si="17"/>
        <v>Heshan Zhen (Tài'ān Shì)</v>
      </c>
    </row>
    <row r="553" spans="1:16" hidden="1" x14ac:dyDescent="0.25">
      <c r="A553" t="s">
        <v>2186</v>
      </c>
      <c r="B553" t="str">
        <f>IF(COUNTIF(A:A,A553)&gt;1,_xlfn.CONCAT(A553," (",N553,")"),A553)</f>
        <v>Hétào Jiēdào</v>
      </c>
      <c r="C553" t="str">
        <f>IF(COUNTIF(B:B,B553)&gt;1,_xlfn.CONCAT(A553," (",M553,")"),B553)</f>
        <v>Hétào Jiēdào</v>
      </c>
      <c r="D553" t="s">
        <v>2187</v>
      </c>
      <c r="E553" t="s">
        <v>7</v>
      </c>
      <c r="F553" t="str">
        <f>_xlfn.CONCAT(D553,", ",H553,", ",I553,", ","山东省")</f>
        <v>河套街道, 城阳区, 青岛市, 山东省</v>
      </c>
      <c r="G553">
        <v>47826</v>
      </c>
      <c r="H553" t="s">
        <v>3725</v>
      </c>
      <c r="I553" t="s">
        <v>3724</v>
      </c>
      <c r="J553">
        <f>VLOOKUP(F553,[1]!china_towns_second__2[[Column1]:[Y]],3,FALSE)</f>
        <v>36.2360929506616</v>
      </c>
      <c r="K553">
        <f>VLOOKUP(F553,[1]!china_towns_second__2[[Column1]:[Y]],2,FALSE)</f>
        <v>120.151894</v>
      </c>
      <c r="L553" t="s">
        <v>5387</v>
      </c>
      <c r="M553" t="str">
        <f>VLOOKUP(H553,CHOOSE({1,2},Table17[Native],Table17[Name]),2,0)</f>
        <v>Chéngyáng Qū</v>
      </c>
      <c r="N553" s="15" t="str">
        <f>VLOOKUP(I553,CHOOSE({1,2},Table17[Native],Table17[Name]),2,0)</f>
        <v>Qīngdăo Shì</v>
      </c>
      <c r="O553" s="15" t="str">
        <f t="shared" si="16"/>
        <v>Hetao Jiedao (Qīngdăo Shì)</v>
      </c>
      <c r="P553" s="15" t="str">
        <f t="shared" si="17"/>
        <v>Hetao Jiedao (Qīngdăo Shì)</v>
      </c>
    </row>
    <row r="554" spans="1:16" hidden="1" x14ac:dyDescent="0.25">
      <c r="A554" t="s">
        <v>702</v>
      </c>
      <c r="B554" t="str">
        <f>IF(COUNTIF(A:A,A554)&gt;1,_xlfn.CONCAT(A554," (",N554,")"),A554)</f>
        <v>Hétáoyuán Zhèn</v>
      </c>
      <c r="C554" t="str">
        <f>IF(COUNTIF(B:B,B554)&gt;1,_xlfn.CONCAT(A554," (",M554,")"),B554)</f>
        <v>Hétáoyuán Zhèn</v>
      </c>
      <c r="D554" t="s">
        <v>703</v>
      </c>
      <c r="E554" t="s">
        <v>13</v>
      </c>
      <c r="F554" t="str">
        <f>_xlfn.CONCAT(D554,", ",H554,", ",I554,", ","山东省")</f>
        <v>核桃园镇, 巨野县, 菏泽市, 山东省</v>
      </c>
      <c r="G554">
        <v>27488</v>
      </c>
      <c r="H554" t="s">
        <v>3668</v>
      </c>
      <c r="I554" t="s">
        <v>3662</v>
      </c>
      <c r="J554">
        <f>VLOOKUP(F554,[1]!china_towns_second__2[[Column1]:[Y]],3,FALSE)</f>
        <v>35.233737273059297</v>
      </c>
      <c r="K554">
        <f>VLOOKUP(F554,[1]!china_towns_second__2[[Column1]:[Y]],2,FALSE)</f>
        <v>116.2506322</v>
      </c>
      <c r="L554" t="s">
        <v>5388</v>
      </c>
      <c r="M554" t="str">
        <f>VLOOKUP(H554,CHOOSE({1,2},Table17[Native],Table17[Name]),2,0)</f>
        <v>Jùyĕ Xiàn</v>
      </c>
      <c r="N554" s="15" t="str">
        <f>VLOOKUP(I554,CHOOSE({1,2},Table17[Native],Table17[Name]),2,0)</f>
        <v>Hézé Shì</v>
      </c>
      <c r="O554" s="15" t="str">
        <f t="shared" si="16"/>
        <v>Hetaoyuan Zhen (Hézé Shì)</v>
      </c>
      <c r="P554" s="15" t="str">
        <f t="shared" si="17"/>
        <v>Hetaoyuan Zhen (Hézé Shì)</v>
      </c>
    </row>
    <row r="555" spans="1:16" hidden="1" x14ac:dyDescent="0.25">
      <c r="A555" t="s">
        <v>2188</v>
      </c>
      <c r="B555" t="str">
        <f>IF(COUNTIF(A:A,A555)&gt;1,_xlfn.CONCAT(A555," (",N555,")"),A555)</f>
        <v>Hétóudiàn Zhèn</v>
      </c>
      <c r="C555" t="str">
        <f>IF(COUNTIF(B:B,B555)&gt;1,_xlfn.CONCAT(A555," (",M555,")"),B555)</f>
        <v>Hétóudiàn Zhèn</v>
      </c>
      <c r="D555" t="s">
        <v>2189</v>
      </c>
      <c r="E555" t="s">
        <v>13</v>
      </c>
      <c r="F555" t="str">
        <f>_xlfn.CONCAT(D555,", ",H555,", ",I555,", ","山东省")</f>
        <v>河头店镇, 莱西市, 青岛市, 山东省</v>
      </c>
      <c r="G555">
        <v>38398</v>
      </c>
      <c r="H555" t="s">
        <v>3729</v>
      </c>
      <c r="I555" t="s">
        <v>3724</v>
      </c>
      <c r="J555">
        <f>VLOOKUP(F555,[1]!china_towns_second__2[[Column1]:[Y]],3,FALSE)</f>
        <v>37.003659410196697</v>
      </c>
      <c r="K555">
        <f>VLOOKUP(F555,[1]!china_towns_second__2[[Column1]:[Y]],2,FALSE)</f>
        <v>120.5234947</v>
      </c>
      <c r="L555" t="s">
        <v>5389</v>
      </c>
      <c r="M555" t="str">
        <f>VLOOKUP(H555,CHOOSE({1,2},Table17[Native],Table17[Name]),2,0)</f>
        <v>Láixī Shì</v>
      </c>
      <c r="N555" s="15" t="str">
        <f>VLOOKUP(I555,CHOOSE({1,2},Table17[Native],Table17[Name]),2,0)</f>
        <v>Qīngdăo Shì</v>
      </c>
      <c r="O555" s="15" t="str">
        <f t="shared" si="16"/>
        <v>Hetoudian Zhen (Qīngdăo Shì)</v>
      </c>
      <c r="P555" s="15" t="str">
        <f t="shared" si="17"/>
        <v>Hetoudian Zhen (Qīngdăo Shì)</v>
      </c>
    </row>
    <row r="556" spans="1:16" hidden="1" x14ac:dyDescent="0.25">
      <c r="A556" t="s">
        <v>2190</v>
      </c>
      <c r="B556" t="str">
        <f>IF(COUNTIF(A:A,A556)&gt;1,_xlfn.CONCAT(A556," (",N556,")"),A556)</f>
        <v>Héxī Jiēdào</v>
      </c>
      <c r="C556" t="str">
        <f>IF(COUNTIF(B:B,B556)&gt;1,_xlfn.CONCAT(A556," (",M556,")"),B556)</f>
        <v>Héxī Jiēdào</v>
      </c>
      <c r="D556" t="s">
        <v>2191</v>
      </c>
      <c r="E556" t="s">
        <v>7</v>
      </c>
      <c r="F556" t="str">
        <f>_xlfn.CONCAT(D556,", ",H556,", ",I556,", ","山东省")</f>
        <v>河西街道, 市北区, 青岛市, 山东省</v>
      </c>
      <c r="G556">
        <v>23468</v>
      </c>
      <c r="H556" t="s">
        <v>3733</v>
      </c>
      <c r="I556" t="s">
        <v>3724</v>
      </c>
      <c r="J556">
        <f>VLOOKUP(F556,[1]!china_towns_second__2[[Column1]:[Y]],3,FALSE)</f>
        <v>36.124072705614303</v>
      </c>
      <c r="K556">
        <f>VLOOKUP(F556,[1]!china_towns_second__2[[Column1]:[Y]],2,FALSE)</f>
        <v>120.3901772</v>
      </c>
      <c r="L556" t="s">
        <v>5390</v>
      </c>
      <c r="M556" t="str">
        <f>VLOOKUP(H556,CHOOSE({1,2},Table17[Native],Table17[Name]),2,0)</f>
        <v>Shìbĕi Qū</v>
      </c>
      <c r="N556" s="15" t="str">
        <f>VLOOKUP(I556,CHOOSE({1,2},Table17[Native],Table17[Name]),2,0)</f>
        <v>Qīngdăo Shì</v>
      </c>
      <c r="O556" s="15" t="str">
        <f t="shared" si="16"/>
        <v>Hexi Jiedao (Qīngdăo Shì)</v>
      </c>
      <c r="P556" s="15" t="str">
        <f t="shared" si="17"/>
        <v>Hexi Jiedao (Qīngdăo Shì)</v>
      </c>
    </row>
    <row r="557" spans="1:16" hidden="1" x14ac:dyDescent="0.25">
      <c r="A557" t="s">
        <v>1006</v>
      </c>
      <c r="B557" t="str">
        <f>IF(COUNTIF(A:A,A557)&gt;1,_xlfn.CONCAT(A557," (",N557,")"),A557)</f>
        <v>Hézhuāng Zhèn</v>
      </c>
      <c r="C557" t="str">
        <f>IF(COUNTIF(B:B,B557)&gt;1,_xlfn.CONCAT(A557," (",M557,")"),B557)</f>
        <v>Hézhuāng Zhèn</v>
      </c>
      <c r="D557" t="s">
        <v>1007</v>
      </c>
      <c r="E557" t="s">
        <v>13</v>
      </c>
      <c r="F557" t="str">
        <f>_xlfn.CONCAT(D557,", ",H557,", ",I557,", ","山东省")</f>
        <v>和庄镇, 莱芜区, 济南市, 山东省</v>
      </c>
      <c r="G557">
        <v>23576</v>
      </c>
      <c r="H557" t="s">
        <v>3678</v>
      </c>
      <c r="I557" t="s">
        <v>3673</v>
      </c>
      <c r="J557">
        <f>VLOOKUP(F557,[1]!china_towns_second__2[[Column1]:[Y]],3,FALSE)</f>
        <v>36.405349999999999</v>
      </c>
      <c r="K557">
        <f>VLOOKUP(F557,[1]!china_towns_second__2[[Column1]:[Y]],2,FALSE)</f>
        <v>117.8085</v>
      </c>
      <c r="L557" t="s">
        <v>5391</v>
      </c>
      <c r="M557" t="str">
        <f>VLOOKUP(H557,CHOOSE({1,2},Table17[Native],Table17[Name]),2,0)</f>
        <v>Láiwú Qū</v>
      </c>
      <c r="N557" s="15" t="str">
        <f>VLOOKUP(I557,CHOOSE({1,2},Table17[Native],Table17[Name]),2,0)</f>
        <v>Jìnán Shì</v>
      </c>
      <c r="O557" s="15" t="str">
        <f t="shared" si="16"/>
        <v>Hezhuang Zhen (Jìnán Shì)</v>
      </c>
      <c r="P557" s="15" t="str">
        <f t="shared" si="17"/>
        <v>Hezhuang Zhen (Jìnán Shì)</v>
      </c>
    </row>
    <row r="558" spans="1:16" hidden="1" x14ac:dyDescent="0.25">
      <c r="A558" t="s">
        <v>704</v>
      </c>
      <c r="B558" t="str">
        <f>IF(COUNTIF(A:A,A558)&gt;1,_xlfn.CONCAT(A558," (",N558,")"),A558)</f>
        <v>Hóngchuán Zhèn</v>
      </c>
      <c r="C558" t="str">
        <f>IF(COUNTIF(B:B,B558)&gt;1,_xlfn.CONCAT(A558," (",M558,")"),B558)</f>
        <v>Hóngchuán Zhèn</v>
      </c>
      <c r="D558" t="s">
        <v>705</v>
      </c>
      <c r="E558" t="s">
        <v>13</v>
      </c>
      <c r="F558" t="str">
        <f>_xlfn.CONCAT(D558,", ",H558,", ",I558,", ","山东省")</f>
        <v>红船镇, 鄄城县, 菏泽市, 山东省</v>
      </c>
      <c r="G558">
        <v>30354</v>
      </c>
      <c r="H558" t="s">
        <v>3667</v>
      </c>
      <c r="I558" t="s">
        <v>3662</v>
      </c>
      <c r="J558">
        <f>VLOOKUP(F558,[1]!china_towns_second__2[[Column1]:[Y]],3,FALSE)</f>
        <v>35.537208940959196</v>
      </c>
      <c r="K558">
        <f>VLOOKUP(F558,[1]!china_towns_second__2[[Column1]:[Y]],2,FALSE)</f>
        <v>115.6750966</v>
      </c>
      <c r="L558" t="s">
        <v>5392</v>
      </c>
      <c r="M558" t="str">
        <f>VLOOKUP(H558,CHOOSE({1,2},Table17[Native],Table17[Name]),2,0)</f>
        <v>Juànchéng Xiàn</v>
      </c>
      <c r="N558" s="15" t="str">
        <f>VLOOKUP(I558,CHOOSE({1,2},Table17[Native],Table17[Name]),2,0)</f>
        <v>Hézé Shì</v>
      </c>
      <c r="O558" s="15" t="str">
        <f t="shared" si="16"/>
        <v>Hongchuan Zhen (Hézé Shì)</v>
      </c>
      <c r="P558" s="15" t="str">
        <f t="shared" si="17"/>
        <v>Hongchuan Zhen (Hézé Shì)</v>
      </c>
    </row>
    <row r="559" spans="1:16" hidden="1" x14ac:dyDescent="0.25">
      <c r="A559" t="s">
        <v>2192</v>
      </c>
      <c r="B559" t="str">
        <f>IF(COUNTIF(A:A,A559)&gt;1,_xlfn.CONCAT(A559," (",N559,")"),A559)</f>
        <v>Hóngdăo Jiēdào</v>
      </c>
      <c r="C559" t="str">
        <f>IF(COUNTIF(B:B,B559)&gt;1,_xlfn.CONCAT(A559," (",M559,")"),B559)</f>
        <v>Hóngdăo Jiēdào</v>
      </c>
      <c r="D559" t="s">
        <v>2193</v>
      </c>
      <c r="E559" t="s">
        <v>7</v>
      </c>
      <c r="F559" t="str">
        <f>_xlfn.CONCAT(D559,", ",H559,", ",I559,", ","山东省")</f>
        <v>红岛街道, 城阳区, 青岛市, 山东省</v>
      </c>
      <c r="G559">
        <v>41673</v>
      </c>
      <c r="H559" t="s">
        <v>3725</v>
      </c>
      <c r="I559" t="s">
        <v>3724</v>
      </c>
      <c r="J559">
        <f>VLOOKUP(F559,[1]!china_towns_second__2[[Column1]:[Y]],3,FALSE)</f>
        <v>36.213882331306799</v>
      </c>
      <c r="K559">
        <f>VLOOKUP(F559,[1]!china_towns_second__2[[Column1]:[Y]],2,FALSE)</f>
        <v>120.2624017</v>
      </c>
      <c r="L559" t="s">
        <v>5393</v>
      </c>
      <c r="M559" t="str">
        <f>VLOOKUP(H559,CHOOSE({1,2},Table17[Native],Table17[Name]),2,0)</f>
        <v>Chéngyáng Qū</v>
      </c>
      <c r="N559" s="15" t="str">
        <f>VLOOKUP(I559,CHOOSE({1,2},Table17[Native],Table17[Name]),2,0)</f>
        <v>Qīngdăo Shì</v>
      </c>
      <c r="O559" s="15" t="str">
        <f t="shared" si="16"/>
        <v>Hongdao Jiedao (Qīngdăo Shì)</v>
      </c>
      <c r="P559" s="15" t="str">
        <f t="shared" si="17"/>
        <v>Hongdao Jiedao (Qīngdăo Shì)</v>
      </c>
    </row>
    <row r="560" spans="1:16" hidden="1" x14ac:dyDescent="0.25">
      <c r="A560" t="s">
        <v>1008</v>
      </c>
      <c r="B560" t="str">
        <f>IF(COUNTIF(A:A,A560)&gt;1,_xlfn.CONCAT(A560," (",N560,")"),A560)</f>
        <v>Hóngfànchí Zhèn</v>
      </c>
      <c r="C560" t="str">
        <f>IF(COUNTIF(B:B,B560)&gt;1,_xlfn.CONCAT(A560," (",M560,")"),B560)</f>
        <v>Hóngfànchí Zhèn</v>
      </c>
      <c r="D560" t="s">
        <v>1009</v>
      </c>
      <c r="E560" t="s">
        <v>13</v>
      </c>
      <c r="F560" t="str">
        <f>_xlfn.CONCAT(D560,", ",H560,", ",I560,", ","山东省")</f>
        <v>洪范池镇, 平阴县, 济南市, 山东省</v>
      </c>
      <c r="G560">
        <v>20762</v>
      </c>
      <c r="H560" t="s">
        <v>3681</v>
      </c>
      <c r="I560" t="s">
        <v>3673</v>
      </c>
      <c r="J560">
        <f>VLOOKUP(F560,[1]!china_towns_second__2[[Column1]:[Y]],3,FALSE)</f>
        <v>36.099788562226202</v>
      </c>
      <c r="K560">
        <f>VLOOKUP(F560,[1]!china_towns_second__2[[Column1]:[Y]],2,FALSE)</f>
        <v>116.3054846</v>
      </c>
      <c r="L560" t="s">
        <v>5394</v>
      </c>
      <c r="M560" t="str">
        <f>VLOOKUP(H560,CHOOSE({1,2},Table17[Native],Table17[Name]),2,0)</f>
        <v>Píngyīn Xiàn</v>
      </c>
      <c r="N560" s="15" t="str">
        <f>VLOOKUP(I560,CHOOSE({1,2},Table17[Native],Table17[Name]),2,0)</f>
        <v>Jìnán Shì</v>
      </c>
      <c r="O560" s="15" t="str">
        <f t="shared" si="16"/>
        <v>Hongfanchi Zhen (Jìnán Shì)</v>
      </c>
      <c r="P560" s="15" t="str">
        <f t="shared" si="17"/>
        <v>Hongfanchi Zhen (Jìnán Shì)</v>
      </c>
    </row>
    <row r="561" spans="1:16" hidden="1" x14ac:dyDescent="0.25">
      <c r="A561" t="s">
        <v>513</v>
      </c>
      <c r="B561" t="str">
        <f>IF(COUNTIF(A:A,A561)&gt;1,_xlfn.CONCAT(A561," (",N561,")"),A561)</f>
        <v>Hóngguāng Lèisì Xiāngjí Dānwèi</v>
      </c>
      <c r="C561" t="str">
        <f>IF(COUNTIF(B:B,B561)&gt;1,_xlfn.CONCAT(A561," (",M561,")"),B561)</f>
        <v>Hóngguāng Lèisì Xiāngjí Dānwèi</v>
      </c>
      <c r="D561" t="s">
        <v>514</v>
      </c>
      <c r="E561" t="s">
        <v>495</v>
      </c>
      <c r="F561" t="str">
        <f>_xlfn.CONCAT(D561,", ",H561,", ",I561,", ","山东省")</f>
        <v>红光类似乡级单位, 垦利区, 东营市, 山东省</v>
      </c>
      <c r="G561">
        <v>1518</v>
      </c>
      <c r="H561" t="s">
        <v>3659</v>
      </c>
      <c r="I561" t="s">
        <v>3655</v>
      </c>
      <c r="J561">
        <f>VLOOKUP(F561,[1]!china_towns_second__2[[Column1]:[Y]],3,FALSE)</f>
        <v>37.562222887351197</v>
      </c>
      <c r="K561">
        <f>VLOOKUP(F561,[1]!china_towns_second__2[[Column1]:[Y]],2,FALSE)</f>
        <v>118.897998</v>
      </c>
      <c r="L561" t="s">
        <v>5395</v>
      </c>
      <c r="M561" t="str">
        <f>VLOOKUP(H561,CHOOSE({1,2},Table17[Native],Table17[Name]),2,0)</f>
        <v>Kĕnlì Qū</v>
      </c>
      <c r="N561" s="15" t="str">
        <f>VLOOKUP(I561,CHOOSE({1,2},Table17[Native],Table17[Name]),2,0)</f>
        <v>Dōngyíng Shì</v>
      </c>
      <c r="O561" s="15" t="str">
        <f t="shared" si="16"/>
        <v>Hongguang Leisi Xiangji Danwei (Dōngyíng Shì)</v>
      </c>
      <c r="P561" s="15" t="str">
        <f t="shared" si="17"/>
        <v>Hongguang Leisi Xiangji Danwei (Dōngyíng Shì)</v>
      </c>
    </row>
    <row r="562" spans="1:16" hidden="1" x14ac:dyDescent="0.25">
      <c r="A562" t="s">
        <v>1614</v>
      </c>
      <c r="B562" t="str">
        <f>IF(COUNTIF(A:A,A562)&gt;1,_xlfn.CONCAT(A562," (",N562,")"),A562)</f>
        <v>Hóngguāntún Zhèn</v>
      </c>
      <c r="C562" t="str">
        <f>IF(COUNTIF(B:B,B562)&gt;1,_xlfn.CONCAT(A562," (",M562,")"),B562)</f>
        <v>Hóngguāntún Zhèn</v>
      </c>
      <c r="D562" t="s">
        <v>1615</v>
      </c>
      <c r="E562" t="s">
        <v>13</v>
      </c>
      <c r="F562" t="str">
        <f>_xlfn.CONCAT(D562,", ",H562,", ",I562,", ","山东省")</f>
        <v>洪官屯镇, 茌平区, 聊城市, 山东省</v>
      </c>
      <c r="G562">
        <v>21859</v>
      </c>
      <c r="H562" t="s">
        <v>3701</v>
      </c>
      <c r="I562" t="s">
        <v>3700</v>
      </c>
      <c r="J562">
        <f>VLOOKUP(F562,[1]!china_towns_second__2[[Column1]:[Y]],3,FALSE)</f>
        <v>36.5782720423828</v>
      </c>
      <c r="K562">
        <f>VLOOKUP(F562,[1]!china_towns_second__2[[Column1]:[Y]],2,FALSE)</f>
        <v>115.9533129</v>
      </c>
      <c r="L562" t="s">
        <v>5396</v>
      </c>
      <c r="M562" t="str">
        <f>VLOOKUP(H562,CHOOSE({1,2},Table17[Native],Table17[Name]),2,0)</f>
        <v>Chípíng Qū</v>
      </c>
      <c r="N562" s="15" t="str">
        <f>VLOOKUP(I562,CHOOSE({1,2},Table17[Native],Table17[Name]),2,0)</f>
        <v>Liáochéng Shì</v>
      </c>
      <c r="O562" s="15" t="str">
        <f t="shared" si="16"/>
        <v>Hongguantun Zhen (Liáochéng Shì)</v>
      </c>
      <c r="P562" s="15" t="str">
        <f t="shared" si="17"/>
        <v>Hongguantun Zhen (Liáochéng Shì)</v>
      </c>
    </row>
    <row r="563" spans="1:16" hidden="1" x14ac:dyDescent="0.25">
      <c r="A563" t="s">
        <v>2741</v>
      </c>
      <c r="B563" t="str">
        <f>IF(COUNTIF(A:A,A563)&gt;1,_xlfn.CONCAT(A563," (",N563,")"),A563)</f>
        <v>Hónghé Zhèn</v>
      </c>
      <c r="C563" t="str">
        <f>IF(COUNTIF(B:B,B563)&gt;1,_xlfn.CONCAT(A563," (",M563,")"),B563)</f>
        <v>Hónghé Zhèn</v>
      </c>
      <c r="D563" t="s">
        <v>2742</v>
      </c>
      <c r="E563" t="s">
        <v>13</v>
      </c>
      <c r="F563" t="str">
        <f>_xlfn.CONCAT(D563,", ",H563,", ",I563,", ","山东省")</f>
        <v>红河镇, 昌乐县, 潍坊市, 山东省</v>
      </c>
      <c r="G563">
        <v>88458</v>
      </c>
      <c r="H563" t="s">
        <v>3753</v>
      </c>
      <c r="I563" t="s">
        <v>3751</v>
      </c>
      <c r="J563">
        <f>VLOOKUP(F563,[1]!china_towns_second__2[[Column1]:[Y]],3,FALSE)</f>
        <v>36.426721704234097</v>
      </c>
      <c r="K563">
        <f>VLOOKUP(F563,[1]!china_towns_second__2[[Column1]:[Y]],2,FALSE)</f>
        <v>118.953981</v>
      </c>
      <c r="L563" t="s">
        <v>5397</v>
      </c>
      <c r="M563" t="str">
        <f>VLOOKUP(H563,CHOOSE({1,2},Table17[Native],Table17[Name]),2,0)</f>
        <v>Chānglè Xiàn</v>
      </c>
      <c r="N563" s="15" t="str">
        <f>VLOOKUP(I563,CHOOSE({1,2},Table17[Native],Table17[Name]),2,0)</f>
        <v>Wéifāng Shì</v>
      </c>
      <c r="O563" s="15" t="str">
        <f t="shared" si="16"/>
        <v>Honghe Zhen (Wéifāng Shì)</v>
      </c>
      <c r="P563" s="15" t="str">
        <f t="shared" si="17"/>
        <v>Honghe Zhen (Wéifāng Shì)</v>
      </c>
    </row>
    <row r="564" spans="1:16" hidden="1" x14ac:dyDescent="0.25">
      <c r="A564" t="s">
        <v>1893</v>
      </c>
      <c r="B564" t="str">
        <f>IF(COUNTIF(A:A,A564)&gt;1,_xlfn.CONCAT(A564," (",N564,")"),A564)</f>
        <v>Hónghuā Zhèn</v>
      </c>
      <c r="C564" t="str">
        <f>IF(COUNTIF(B:B,B564)&gt;1,_xlfn.CONCAT(A564," (",M564,")"),B564)</f>
        <v>Hónghuā Zhèn</v>
      </c>
      <c r="D564" t="s">
        <v>1894</v>
      </c>
      <c r="E564" t="s">
        <v>13</v>
      </c>
      <c r="F564" t="str">
        <f>_xlfn.CONCAT(D564,", ",H564,", ",I564,", ","山东省")</f>
        <v>红花镇, 郯城县, 临沂市, 山东省</v>
      </c>
      <c r="G564">
        <v>59392</v>
      </c>
      <c r="H564" t="s">
        <v>3720</v>
      </c>
      <c r="I564" t="s">
        <v>3710</v>
      </c>
      <c r="J564">
        <f>VLOOKUP(F564,[1]!china_towns_second__2[[Column1]:[Y]],3,FALSE)</f>
        <v>34.471219930961801</v>
      </c>
      <c r="K564">
        <f>VLOOKUP(F564,[1]!china_towns_second__2[[Column1]:[Y]],2,FALSE)</f>
        <v>118.3526566</v>
      </c>
      <c r="L564" t="s">
        <v>5398</v>
      </c>
      <c r="M564" t="str">
        <f>VLOOKUP(H564,CHOOSE({1,2},Table17[Native],Table17[Name]),2,0)</f>
        <v>Tánchéng Xiàn</v>
      </c>
      <c r="N564" s="15" t="str">
        <f>VLOOKUP(I564,CHOOSE({1,2},Table17[Native],Table17[Name]),2,0)</f>
        <v>Línyí Shì</v>
      </c>
      <c r="O564" s="15" t="str">
        <f t="shared" si="16"/>
        <v>Honghua Zhen (Línyí Shì)</v>
      </c>
      <c r="P564" s="15" t="str">
        <f t="shared" si="17"/>
        <v>Honghua Zhen (Línyí Shì)</v>
      </c>
    </row>
    <row r="565" spans="1:16" hidden="1" x14ac:dyDescent="0.25">
      <c r="A565" t="s">
        <v>1010</v>
      </c>
      <c r="B565" t="str">
        <f>IF(COUNTIF(A:A,A565)&gt;1,_xlfn.CONCAT(A565," (",N565,")"),A565)</f>
        <v>Hóngjiālóu Jiēdào</v>
      </c>
      <c r="C565" t="str">
        <f>IF(COUNTIF(B:B,B565)&gt;1,_xlfn.CONCAT(A565," (",M565,")"),B565)</f>
        <v>Hóngjiālóu Jiēdào</v>
      </c>
      <c r="D565" t="s">
        <v>1011</v>
      </c>
      <c r="E565" t="s">
        <v>7</v>
      </c>
      <c r="F565" t="str">
        <f>_xlfn.CONCAT(D565,", ",H565,", ",I565,", ","山东省")</f>
        <v>洪家楼街道, 历城区, 济南市, 山东省</v>
      </c>
      <c r="G565">
        <v>43152</v>
      </c>
      <c r="H565" t="s">
        <v>3679</v>
      </c>
      <c r="I565" t="s">
        <v>3673</v>
      </c>
      <c r="J565">
        <f>VLOOKUP(F565,[1]!china_towns_second__2[[Column1]:[Y]],3,FALSE)</f>
        <v>36.687649467995399</v>
      </c>
      <c r="K565">
        <f>VLOOKUP(F565,[1]!china_towns_second__2[[Column1]:[Y]],2,FALSE)</f>
        <v>117.05686300000001</v>
      </c>
      <c r="L565" t="s">
        <v>5399</v>
      </c>
      <c r="M565" t="str">
        <f>VLOOKUP(H565,CHOOSE({1,2},Table17[Native],Table17[Name]),2,0)</f>
        <v>Lìchéng Qū</v>
      </c>
      <c r="N565" s="15" t="str">
        <f>VLOOKUP(I565,CHOOSE({1,2},Table17[Native],Table17[Name]),2,0)</f>
        <v>Jìnán Shì</v>
      </c>
      <c r="O565" s="15" t="str">
        <f t="shared" si="16"/>
        <v>Hongjialou Jiedao (Jìnán Shì)</v>
      </c>
      <c r="P565" s="15" t="str">
        <f t="shared" si="17"/>
        <v>Hongjialou Jiedao (Jìnán Shì)</v>
      </c>
    </row>
    <row r="566" spans="1:16" hidden="1" x14ac:dyDescent="0.25">
      <c r="A566" t="s">
        <v>2420</v>
      </c>
      <c r="B566" t="str">
        <f>IF(COUNTIF(A:A,A566)&gt;1,_xlfn.CONCAT(A566," (",N566,")"),A566)</f>
        <v>Hóngníng Jiēdào</v>
      </c>
      <c r="C566" t="str">
        <f>IF(COUNTIF(B:B,B566)&gt;1,_xlfn.CONCAT(A566," (",M566,")"),B566)</f>
        <v>Hóngníng Jiēdào</v>
      </c>
      <c r="D566" t="s">
        <v>2421</v>
      </c>
      <c r="E566" t="s">
        <v>7</v>
      </c>
      <c r="F566" t="str">
        <f>_xlfn.CONCAT(D566,", ",H566,", ",I566,", ","山东省")</f>
        <v>洪凝街道, 五莲县, 日照市, 山东省</v>
      </c>
      <c r="G566">
        <v>158059</v>
      </c>
      <c r="H566" t="s">
        <v>3741</v>
      </c>
      <c r="I566" t="s">
        <v>3736</v>
      </c>
      <c r="J566">
        <f>VLOOKUP(F566,[1]!china_towns_second__2[[Column1]:[Y]],3,FALSE)</f>
        <v>35.727447790800703</v>
      </c>
      <c r="K566">
        <f>VLOOKUP(F566,[1]!china_towns_second__2[[Column1]:[Y]],2,FALSE)</f>
        <v>119.2052233</v>
      </c>
      <c r="L566" t="s">
        <v>5400</v>
      </c>
      <c r="M566" t="str">
        <f>VLOOKUP(H566,CHOOSE({1,2},Table17[Native],Table17[Name]),2,0)</f>
        <v>Wŭlián Xiàn</v>
      </c>
      <c r="N566" s="15" t="str">
        <f>VLOOKUP(I566,CHOOSE({1,2},Table17[Native],Table17[Name]),2,0)</f>
        <v>Rìzhào Shì</v>
      </c>
      <c r="O566" s="15" t="str">
        <f t="shared" si="16"/>
        <v>Hongning Jiedao (Rìzhào Shì)</v>
      </c>
      <c r="P566" s="15" t="str">
        <f t="shared" si="17"/>
        <v>Hongning Jiedao (Rìzhào Shì)</v>
      </c>
    </row>
    <row r="567" spans="1:16" hidden="1" x14ac:dyDescent="0.25">
      <c r="A567" t="s">
        <v>3507</v>
      </c>
      <c r="B567" t="str">
        <f>IF(COUNTIF(A:A,A567)&gt;1,_xlfn.CONCAT(A567," (",N567,")"),A567)</f>
        <v>Hóngshān Zhèn</v>
      </c>
      <c r="C567" t="str">
        <f>IF(COUNTIF(B:B,B567)&gt;1,_xlfn.CONCAT(A567," (",M567,")"),B567)</f>
        <v>Hóngshān Zhèn</v>
      </c>
      <c r="D567" t="s">
        <v>3508</v>
      </c>
      <c r="E567" t="s">
        <v>13</v>
      </c>
      <c r="F567" t="str">
        <f>_xlfn.CONCAT(D567,", ",H567,", ",I567,", ","山东省")</f>
        <v>洪山镇, 淄川区, 淄博市, 山东省</v>
      </c>
      <c r="G567">
        <v>50470</v>
      </c>
      <c r="H567" t="s">
        <v>3799</v>
      </c>
      <c r="I567" t="s">
        <v>3791</v>
      </c>
      <c r="J567">
        <f>VLOOKUP(F567,[1]!china_towns_second__2[[Column1]:[Y]],3,FALSE)</f>
        <v>36.607004926148299</v>
      </c>
      <c r="K567">
        <f>VLOOKUP(F567,[1]!china_towns_second__2[[Column1]:[Y]],2,FALSE)</f>
        <v>118.0162639</v>
      </c>
      <c r="L567" t="s">
        <v>5401</v>
      </c>
      <c r="M567" t="str">
        <f>VLOOKUP(H567,CHOOSE({1,2},Table17[Native],Table17[Name]),2,0)</f>
        <v>Zīchuān Qū</v>
      </c>
      <c r="N567" s="15" t="str">
        <f>VLOOKUP(I567,CHOOSE({1,2},Table17[Native],Table17[Name]),2,0)</f>
        <v>Zībó Shì</v>
      </c>
      <c r="O567" s="15" t="str">
        <f t="shared" si="16"/>
        <v>Hongshan Zhen (Zībó Shì)</v>
      </c>
      <c r="P567" s="15" t="str">
        <f t="shared" si="17"/>
        <v>Hongshan Zhen (Zībó Shì)</v>
      </c>
    </row>
    <row r="568" spans="1:16" hidden="1" x14ac:dyDescent="0.25">
      <c r="A568" t="s">
        <v>2194</v>
      </c>
      <c r="B568" t="str">
        <f>IF(COUNTIF(A:A,A568)&gt;1,_xlfn.CONCAT(A568," (",N568,")"),A568)</f>
        <v>Hóngshānpō Jiēdào</v>
      </c>
      <c r="C568" t="str">
        <f>IF(COUNTIF(B:B,B568)&gt;1,_xlfn.CONCAT(A568," (",M568,")"),B568)</f>
        <v>Hóngshānpō Jiēdào</v>
      </c>
      <c r="D568" t="s">
        <v>2195</v>
      </c>
      <c r="E568" t="s">
        <v>7</v>
      </c>
      <c r="F568" t="str">
        <f>_xlfn.CONCAT(D568,", ",H568,", ",I568,", ","山东省")</f>
        <v>洪山坡街道, 市北区, 青岛市, 山东省</v>
      </c>
      <c r="G568">
        <v>30812</v>
      </c>
      <c r="H568" t="s">
        <v>3733</v>
      </c>
      <c r="I568" t="s">
        <v>3724</v>
      </c>
      <c r="J568">
        <f>VLOOKUP(F568,[1]!china_towns_second__2[[Column1]:[Y]],3,FALSE)</f>
        <v>36.106337273610301</v>
      </c>
      <c r="K568">
        <f>VLOOKUP(F568,[1]!china_towns_second__2[[Column1]:[Y]],2,FALSE)</f>
        <v>120.3983884</v>
      </c>
      <c r="L568" t="s">
        <v>5402</v>
      </c>
      <c r="M568" t="str">
        <f>VLOOKUP(H568,CHOOSE({1,2},Table17[Native],Table17[Name]),2,0)</f>
        <v>Shìbĕi Qū</v>
      </c>
      <c r="N568" s="15" t="str">
        <f>VLOOKUP(I568,CHOOSE({1,2},Table17[Native],Table17[Name]),2,0)</f>
        <v>Qīngdăo Shì</v>
      </c>
      <c r="O568" s="15" t="str">
        <f t="shared" si="16"/>
        <v>Hongshanpo Jiedao (Qīngdăo Shì)</v>
      </c>
      <c r="P568" s="15" t="str">
        <f t="shared" si="17"/>
        <v>Hongshanpo Jiedao (Qīngdăo Shì)</v>
      </c>
    </row>
    <row r="569" spans="1:16" hidden="1" x14ac:dyDescent="0.25">
      <c r="A569" t="s">
        <v>2196</v>
      </c>
      <c r="B569" t="str">
        <f>IF(COUNTIF(A:A,A569)&gt;1,_xlfn.CONCAT(A569," (",N569,")"),A569)</f>
        <v>Hóngshíyá Jiēdào</v>
      </c>
      <c r="C569" t="str">
        <f>IF(COUNTIF(B:B,B569)&gt;1,_xlfn.CONCAT(A569," (",M569,")"),B569)</f>
        <v>Hóngshíyá Jiēdào</v>
      </c>
      <c r="D569" t="s">
        <v>2197</v>
      </c>
      <c r="E569" t="s">
        <v>7</v>
      </c>
      <c r="F569" t="str">
        <f>_xlfn.CONCAT(D569,", ",H569,", ",I569,", ","山东省")</f>
        <v>红石崖街道, 黄岛区, 青岛市, 山东省</v>
      </c>
      <c r="G569">
        <v>33610</v>
      </c>
      <c r="H569" t="s">
        <v>3726</v>
      </c>
      <c r="I569" t="s">
        <v>3724</v>
      </c>
      <c r="J569">
        <f>VLOOKUP(F569,[1]!china_towns_second__2[[Column1]:[Y]],3,FALSE)</f>
        <v>36.0836301558926</v>
      </c>
      <c r="K569">
        <f>VLOOKUP(F569,[1]!china_towns_second__2[[Column1]:[Y]],2,FALSE)</f>
        <v>120.0966609</v>
      </c>
      <c r="L569" t="s">
        <v>5403</v>
      </c>
      <c r="M569" t="str">
        <f>VLOOKUP(H569,CHOOSE({1,2},Table17[Native],Table17[Name]),2,0)</f>
        <v>Huángdăo Qū</v>
      </c>
      <c r="N569" s="15" t="str">
        <f>VLOOKUP(I569,CHOOSE({1,2},Table17[Native],Table17[Name]),2,0)</f>
        <v>Qīngdăo Shì</v>
      </c>
      <c r="O569" s="15" t="str">
        <f t="shared" si="16"/>
        <v>Hongshiya Jiedao (Qīngdăo Shì)</v>
      </c>
      <c r="P569" s="15" t="str">
        <f t="shared" si="17"/>
        <v>Hongshiya Jiedao (Qīngdăo Shì)</v>
      </c>
    </row>
    <row r="570" spans="1:16" hidden="1" x14ac:dyDescent="0.25">
      <c r="A570" t="s">
        <v>3382</v>
      </c>
      <c r="B570" t="str">
        <f>IF(COUNTIF(A:A,A570)&gt;1,_xlfn.CONCAT(A570," (",N570,")"),A570)</f>
        <v>Hóngxù Zhèn</v>
      </c>
      <c r="C570" t="str">
        <f>IF(COUNTIF(B:B,B570)&gt;1,_xlfn.CONCAT(A570," (",M570,")"),B570)</f>
        <v>Hóngxù Zhèn</v>
      </c>
      <c r="D570" t="s">
        <v>3383</v>
      </c>
      <c r="E570" t="s">
        <v>13</v>
      </c>
      <c r="F570" t="str">
        <f>_xlfn.CONCAT(D570,", ",H570,", ",I570,", ","山东省")</f>
        <v>洪绪镇, 滕州市, 枣庄市, 山东省</v>
      </c>
      <c r="G570">
        <v>37088</v>
      </c>
      <c r="H570" t="s">
        <v>3787</v>
      </c>
      <c r="I570" t="s">
        <v>3784</v>
      </c>
      <c r="J570">
        <f>VLOOKUP(F570,[1]!china_towns_second__2[[Column1]:[Y]],3,FALSE)</f>
        <v>35.032179899494899</v>
      </c>
      <c r="K570">
        <f>VLOOKUP(F570,[1]!china_towns_second__2[[Column1]:[Y]],2,FALSE)</f>
        <v>117.10986560000001</v>
      </c>
      <c r="L570" t="s">
        <v>5404</v>
      </c>
      <c r="M570" t="str">
        <f>VLOOKUP(H570,CHOOSE({1,2},Table17[Native],Table17[Name]),2,0)</f>
        <v>Téngzhōu Shì</v>
      </c>
      <c r="N570" s="15" t="str">
        <f>VLOOKUP(I570,CHOOSE({1,2},Table17[Native],Table17[Name]),2,0)</f>
        <v>Zăozhuāng Shì</v>
      </c>
      <c r="O570" s="15" t="str">
        <f t="shared" si="16"/>
        <v>Hongxu Zhen (Zăozhuāng Shì)</v>
      </c>
      <c r="P570" s="15" t="str">
        <f t="shared" si="17"/>
        <v>Hongxu Zhen (Zăozhuāng Shì)</v>
      </c>
    </row>
    <row r="571" spans="1:16" hidden="1" x14ac:dyDescent="0.25">
      <c r="A571" t="s">
        <v>2743</v>
      </c>
      <c r="B571" t="str">
        <f>IF(COUNTIF(A:A,A571)&gt;1,_xlfn.CONCAT(A571," (",N571,")"),A571)</f>
        <v>Hòu Zhèn</v>
      </c>
      <c r="C571" t="str">
        <f>IF(COUNTIF(B:B,B571)&gt;1,_xlfn.CONCAT(A571," (",M571,")"),B571)</f>
        <v>Hòu Zhèn</v>
      </c>
      <c r="D571" t="s">
        <v>2744</v>
      </c>
      <c r="E571" t="s">
        <v>13</v>
      </c>
      <c r="F571" t="str">
        <f>_xlfn.CONCAT(D571,", ",H571,", ",I571,", ","山东省")</f>
        <v>侯镇, 寿光市, 潍坊市, 山东省</v>
      </c>
      <c r="G571">
        <v>96737</v>
      </c>
      <c r="H571" t="s">
        <v>3761</v>
      </c>
      <c r="I571" t="s">
        <v>3751</v>
      </c>
      <c r="J571">
        <f>VLOOKUP(F571,[1]!china_towns_second__2[[Column1]:[Y]],3,FALSE)</f>
        <v>37.0068077107655</v>
      </c>
      <c r="K571">
        <f>VLOOKUP(F571,[1]!china_towns_second__2[[Column1]:[Y]],2,FALSE)</f>
        <v>118.9943628</v>
      </c>
      <c r="L571" t="s">
        <v>5405</v>
      </c>
      <c r="M571" t="str">
        <f>VLOOKUP(H571,CHOOSE({1,2},Table17[Native],Table17[Name]),2,0)</f>
        <v>Shòuguāng Shì</v>
      </c>
      <c r="N571" s="15" t="str">
        <f>VLOOKUP(I571,CHOOSE({1,2},Table17[Native],Table17[Name]),2,0)</f>
        <v>Wéifāng Shì</v>
      </c>
      <c r="O571" s="15" t="str">
        <f t="shared" si="16"/>
        <v>Hou Zhen (Wéifāng Shì)</v>
      </c>
      <c r="P571" s="15" t="str">
        <f t="shared" si="17"/>
        <v>Hou Zhen (Wéifāng Shì)</v>
      </c>
    </row>
    <row r="572" spans="1:16" hidden="1" x14ac:dyDescent="0.25">
      <c r="A572" t="s">
        <v>2422</v>
      </c>
      <c r="B572" t="str">
        <f>IF(COUNTIF(A:A,A572)&gt;1,_xlfn.CONCAT(A572," (",N572,")"),A572)</f>
        <v>Hòucūn Zhèn</v>
      </c>
      <c r="C572" t="str">
        <f>IF(COUNTIF(B:B,B572)&gt;1,_xlfn.CONCAT(A572," (",M572,")"),B572)</f>
        <v>Hòucūn Zhèn</v>
      </c>
      <c r="D572" t="s">
        <v>2423</v>
      </c>
      <c r="E572" t="s">
        <v>13</v>
      </c>
      <c r="F572" t="str">
        <f>_xlfn.CONCAT(D572,", ",H572,", ",I572,", ","山东省")</f>
        <v>后村镇, 东港区, 日照市, 山东省</v>
      </c>
      <c r="G572">
        <v>53533</v>
      </c>
      <c r="H572" t="s">
        <v>3737</v>
      </c>
      <c r="I572" t="s">
        <v>3736</v>
      </c>
      <c r="J572">
        <f>VLOOKUP(F572,[1]!china_towns_second__2[[Column1]:[Y]],3,FALSE)</f>
        <v>35.386980079193698</v>
      </c>
      <c r="K572">
        <f>VLOOKUP(F572,[1]!china_towns_second__2[[Column1]:[Y]],2,FALSE)</f>
        <v>119.2876864</v>
      </c>
      <c r="L572" t="s">
        <v>5406</v>
      </c>
      <c r="M572" t="str">
        <f>VLOOKUP(H572,CHOOSE({1,2},Table17[Native],Table17[Name]),2,0)</f>
        <v>Dōnggăng Qū</v>
      </c>
      <c r="N572" s="15" t="str">
        <f>VLOOKUP(I572,CHOOSE({1,2},Table17[Native],Table17[Name]),2,0)</f>
        <v>Rìzhào Shì</v>
      </c>
      <c r="O572" s="15" t="str">
        <f t="shared" si="16"/>
        <v>Houcun Zhen (Rìzhào Shì)</v>
      </c>
      <c r="P572" s="15" t="str">
        <f t="shared" si="17"/>
        <v>Houcun Zhen (Rìzhào Shì)</v>
      </c>
    </row>
    <row r="573" spans="1:16" hidden="1" x14ac:dyDescent="0.25">
      <c r="A573" t="s">
        <v>706</v>
      </c>
      <c r="B573" t="str">
        <f>IF(COUNTIF(A:A,A573)&gt;1,_xlfn.CONCAT(A573," (",N573,")"),A573)</f>
        <v>Hòují Huízú Zhèn</v>
      </c>
      <c r="C573" t="str">
        <f>IF(COUNTIF(B:B,B573)&gt;1,_xlfn.CONCAT(A573," (",M573,")"),B573)</f>
        <v>Hòují Huízú Zhèn</v>
      </c>
      <c r="D573" t="s">
        <v>707</v>
      </c>
      <c r="E573" t="s">
        <v>13</v>
      </c>
      <c r="F573" t="str">
        <f>_xlfn.CONCAT(D573,", ",H573,", ",I573,", ","山东省")</f>
        <v>侯集回族镇, 曹县, 菏泽市, 山东省</v>
      </c>
      <c r="G573">
        <v>34698</v>
      </c>
      <c r="H573" t="s">
        <v>3663</v>
      </c>
      <c r="I573" t="s">
        <v>3662</v>
      </c>
      <c r="J573">
        <f>VLOOKUP(F573,[1]!china_towns_second__2[[Column1]:[Y]],3,FALSE)</f>
        <v>34.831944880300099</v>
      </c>
      <c r="K573">
        <f>VLOOKUP(F573,[1]!china_towns_second__2[[Column1]:[Y]],2,FALSE)</f>
        <v>115.7197458</v>
      </c>
      <c r="L573" t="s">
        <v>5407</v>
      </c>
      <c r="M573" t="str">
        <f>VLOOKUP(H573,CHOOSE({1,2},Table17[Native],Table17[Name]),2,0)</f>
        <v>Cáo Xiàn</v>
      </c>
      <c r="N573" s="15" t="str">
        <f>VLOOKUP(I573,CHOOSE({1,2},Table17[Native],Table17[Name]),2,0)</f>
        <v>Hézé Shì</v>
      </c>
      <c r="O573" s="15" t="str">
        <f t="shared" si="16"/>
        <v>Houji Huizu Zhen (Hézé Shì)</v>
      </c>
      <c r="P573" s="15" t="str">
        <f t="shared" si="17"/>
        <v>Houji Huizu Zhen (Hézé Shì)</v>
      </c>
    </row>
    <row r="574" spans="1:16" hidden="1" x14ac:dyDescent="0.25">
      <c r="A574" t="s">
        <v>2940</v>
      </c>
      <c r="B574" t="str">
        <f>IF(COUNTIF(A:A,A574)&gt;1,_xlfn.CONCAT(A574," (",N574,")"),A574)</f>
        <v>Hòujiā Zhèn</v>
      </c>
      <c r="C574" t="str">
        <f>IF(COUNTIF(B:B,B574)&gt;1,_xlfn.CONCAT(A574," (",M574,")"),B574)</f>
        <v>Hòujiā Zhèn</v>
      </c>
      <c r="D574" t="s">
        <v>2941</v>
      </c>
      <c r="E574" t="s">
        <v>13</v>
      </c>
      <c r="F574" t="str">
        <f>_xlfn.CONCAT(D574,", ",H574,", ",I574,", ","山东省")</f>
        <v>侯家镇, 文登区, 威海市, 山东省</v>
      </c>
      <c r="G574">
        <v>22210</v>
      </c>
      <c r="H574" t="s">
        <v>3769</v>
      </c>
      <c r="I574" t="s">
        <v>3765</v>
      </c>
      <c r="J574">
        <f>VLOOKUP(F574,[1]!china_towns_second__2[[Column1]:[Y]],3,FALSE)</f>
        <v>37.019491710359198</v>
      </c>
      <c r="K574">
        <f>VLOOKUP(F574,[1]!china_towns_second__2[[Column1]:[Y]],2,FALSE)</f>
        <v>122.0882886</v>
      </c>
      <c r="L574" t="s">
        <v>5408</v>
      </c>
      <c r="M574" t="str">
        <f>VLOOKUP(H574,CHOOSE({1,2},Table17[Native],Table17[Name]),2,0)</f>
        <v>Wéndēng Qū</v>
      </c>
      <c r="N574" s="15" t="str">
        <f>VLOOKUP(I574,CHOOSE({1,2},Table17[Native],Table17[Name]),2,0)</f>
        <v>Wēihăi Shì</v>
      </c>
      <c r="O574" s="15" t="str">
        <f t="shared" si="16"/>
        <v>Houjia Zhen (Wēihăi Shì)</v>
      </c>
      <c r="P574" s="15" t="str">
        <f t="shared" si="17"/>
        <v>Houjia Zhen (Wēihăi Shì)</v>
      </c>
    </row>
    <row r="575" spans="1:16" hidden="1" x14ac:dyDescent="0.25">
      <c r="A575" t="s">
        <v>708</v>
      </c>
      <c r="B575" t="str">
        <f>IF(COUNTIF(A:A,A575)&gt;1,_xlfn.CONCAT(A575," (",N575,")"),A575)</f>
        <v>Hòuyānjí Zhèn</v>
      </c>
      <c r="C575" t="str">
        <f>IF(COUNTIF(B:B,B575)&gt;1,_xlfn.CONCAT(A575," (",M575,")"),B575)</f>
        <v>Hòuyānjí Zhèn</v>
      </c>
      <c r="D575" t="s">
        <v>709</v>
      </c>
      <c r="E575" t="s">
        <v>13</v>
      </c>
      <c r="F575" t="str">
        <f>_xlfn.CONCAT(D575,", ",H575,", ",I575,", ","山东省")</f>
        <v>侯咽集镇, 郓城县, 菏泽市, 山东省</v>
      </c>
      <c r="G575">
        <v>54258</v>
      </c>
      <c r="H575" t="s">
        <v>3671</v>
      </c>
      <c r="I575" t="s">
        <v>3662</v>
      </c>
      <c r="J575">
        <f>VLOOKUP(F575,[1]!china_towns_second__2[[Column1]:[Y]],3,FALSE)</f>
        <v>35.730112124884002</v>
      </c>
      <c r="K575">
        <f>VLOOKUP(F575,[1]!china_towns_second__2[[Column1]:[Y]],2,FALSE)</f>
        <v>115.822436</v>
      </c>
      <c r="L575" t="s">
        <v>5409</v>
      </c>
      <c r="M575" t="str">
        <f>VLOOKUP(H575,CHOOSE({1,2},Table17[Native],Table17[Name]),2,0)</f>
        <v>Yùnchéng Xiàn</v>
      </c>
      <c r="N575" s="15" t="str">
        <f>VLOOKUP(I575,CHOOSE({1,2},Table17[Native],Table17[Name]),2,0)</f>
        <v>Hézé Shì</v>
      </c>
      <c r="O575" s="15" t="str">
        <f t="shared" si="16"/>
        <v>Houyanji Zhen (Hézé Shì)</v>
      </c>
      <c r="P575" s="15" t="str">
        <f t="shared" si="17"/>
        <v>Houyanji Zhen (Hézé Shì)</v>
      </c>
    </row>
    <row r="576" spans="1:16" hidden="1" x14ac:dyDescent="0.25">
      <c r="A576" t="s">
        <v>1616</v>
      </c>
      <c r="B576" t="str">
        <f>IF(COUNTIF(A:A,A576)&gt;1,_xlfn.CONCAT(A576," (",N576,")"),A576)</f>
        <v>Hòuyíng Zhèn</v>
      </c>
      <c r="C576" t="str">
        <f>IF(COUNTIF(B:B,B576)&gt;1,_xlfn.CONCAT(A576," (",M576,")"),B576)</f>
        <v>Hòuyíng Zhèn</v>
      </c>
      <c r="D576" t="s">
        <v>1617</v>
      </c>
      <c r="E576" t="s">
        <v>13</v>
      </c>
      <c r="F576" t="str">
        <f>_xlfn.CONCAT(D576,", ",H576,", ",I576,", ","山东省")</f>
        <v>侯营镇, 东昌府区, 聊城市, 山东省</v>
      </c>
      <c r="G576">
        <v>44481</v>
      </c>
      <c r="H576" t="s">
        <v>3702</v>
      </c>
      <c r="I576" t="s">
        <v>3700</v>
      </c>
      <c r="J576">
        <f>VLOOKUP(F576,[1]!china_towns_second__2[[Column1]:[Y]],3,FALSE)</f>
        <v>36.3896350337359</v>
      </c>
      <c r="K576">
        <f>VLOOKUP(F576,[1]!china_towns_second__2[[Column1]:[Y]],2,FALSE)</f>
        <v>115.86645710000001</v>
      </c>
      <c r="L576" t="s">
        <v>5410</v>
      </c>
      <c r="M576" t="str">
        <f>VLOOKUP(H576,CHOOSE({1,2},Table17[Native],Table17[Name]),2,0)</f>
        <v>Dōngchāngfŭ Qū</v>
      </c>
      <c r="N576" s="15" t="str">
        <f>VLOOKUP(I576,CHOOSE({1,2},Table17[Native],Table17[Name]),2,0)</f>
        <v>Liáochéng Shì</v>
      </c>
      <c r="O576" s="15" t="str">
        <f t="shared" si="16"/>
        <v>Houying Zhen (Liáochéng Shì)</v>
      </c>
      <c r="P576" s="15" t="str">
        <f t="shared" si="17"/>
        <v>Houying Zhen (Liáochéng Shì)</v>
      </c>
    </row>
    <row r="577" spans="1:16" hidden="1" x14ac:dyDescent="0.25">
      <c r="A577" t="s">
        <v>1307</v>
      </c>
      <c r="B577" t="str">
        <f>IF(COUNTIF(A:A,A577)&gt;1,_xlfn.CONCAT(A577," (",N577,")"),A577)</f>
        <v>Huácūn Zhèn [Dàhuánggōu Xiāng]</v>
      </c>
      <c r="C577" t="str">
        <f>IF(COUNTIF(B:B,B577)&gt;1,_xlfn.CONCAT(A577," (",M577,")"),B577)</f>
        <v>Huácūn Zhèn [Dàhuánggōu Xiāng]</v>
      </c>
      <c r="D577" t="s">
        <v>1308</v>
      </c>
      <c r="E577" t="s">
        <v>13</v>
      </c>
      <c r="F577" t="str">
        <f>_xlfn.CONCAT(D577,", ",H577,", ",I577,", ","山东省")</f>
        <v>华村镇, 泗水县, 济宁市, 山东省</v>
      </c>
      <c r="G577">
        <v>21550</v>
      </c>
      <c r="H577" t="s">
        <v>3693</v>
      </c>
      <c r="I577" t="s">
        <v>3687</v>
      </c>
      <c r="J577">
        <f>VLOOKUP(F577,[1]!china_towns_second__2[[Column1]:[Y]],3,FALSE)</f>
        <v>35.685991132438701</v>
      </c>
      <c r="K577">
        <f>VLOOKUP(F577,[1]!china_towns_second__2[[Column1]:[Y]],2,FALSE)</f>
        <v>117.4682875</v>
      </c>
      <c r="L577" t="s">
        <v>5411</v>
      </c>
      <c r="M577" t="str">
        <f>VLOOKUP(H577,CHOOSE({1,2},Table17[Native],Table17[Name]),2,0)</f>
        <v>Sìshuĭ Xiàn</v>
      </c>
      <c r="N577" s="15" t="str">
        <f>VLOOKUP(I577,CHOOSE({1,2},Table17[Native],Table17[Name]),2,0)</f>
        <v>Jìníng Shì</v>
      </c>
      <c r="O577" s="15" t="str">
        <f t="shared" si="16"/>
        <v>Huacun Zhen [Dahuanggou Xiang] (Jìníng Shì)</v>
      </c>
      <c r="P577" s="15" t="str">
        <f t="shared" si="17"/>
        <v>Huacun Zhen [Dahuanggou Xiang] (Jìníng Shì)</v>
      </c>
    </row>
    <row r="578" spans="1:16" hidden="1" x14ac:dyDescent="0.25">
      <c r="A578" t="s">
        <v>278</v>
      </c>
      <c r="B578" t="str">
        <f>IF(COUNTIF(A:A,A578)&gt;1,_xlfn.CONCAT(A578," (",N578,")"),A578)</f>
        <v>Huádiàn Zhèn</v>
      </c>
      <c r="C578" t="str">
        <f>IF(COUNTIF(B:B,B578)&gt;1,_xlfn.CONCAT(A578," (",M578,")"),B578)</f>
        <v>Huádiàn Zhèn</v>
      </c>
      <c r="D578" t="s">
        <v>279</v>
      </c>
      <c r="E578" t="s">
        <v>13</v>
      </c>
      <c r="F578" t="str">
        <f>_xlfn.CONCAT(D578,", ",H578,", ",I578,", ","山东省")</f>
        <v>华店镇, 齐河县, 德州市, 山东省</v>
      </c>
      <c r="G578">
        <v>23684</v>
      </c>
      <c r="H578" t="s">
        <v>3649</v>
      </c>
      <c r="I578" t="s">
        <v>3642</v>
      </c>
      <c r="J578">
        <f>VLOOKUP(F578,[1]!china_towns_second__2[[Column1]:[Y]],3,FALSE)</f>
        <v>36.801122603236699</v>
      </c>
      <c r="K578">
        <f>VLOOKUP(F578,[1]!china_towns_second__2[[Column1]:[Y]],2,FALSE)</f>
        <v>116.6542893</v>
      </c>
      <c r="L578" t="s">
        <v>5412</v>
      </c>
      <c r="M578" t="str">
        <f>VLOOKUP(H578,CHOOSE({1,2},Table17[Native],Table17[Name]),2,0)</f>
        <v>Qíhé Xiàn</v>
      </c>
      <c r="N578" s="15" t="str">
        <f>VLOOKUP(I578,CHOOSE({1,2},Table17[Native],Table17[Name]),2,0)</f>
        <v>Dézhōu Shì</v>
      </c>
      <c r="O578" s="15" t="str">
        <f t="shared" ref="O578:O641" si="18">_xlfn.CONCAT(L578," (",N578,")")</f>
        <v>Huadian Zhen (Dézhōu Shì)</v>
      </c>
      <c r="P578" s="15" t="str">
        <f t="shared" ref="P578:P641" si="19">IF(COUNTIF(O:O,O578)&gt;1,_xlfn.CONCAT(L578," (",M578,")"),O578)</f>
        <v>Huadian Zhen (Dézhōu Shì)</v>
      </c>
    </row>
    <row r="579" spans="1:16" hidden="1" x14ac:dyDescent="0.25">
      <c r="A579" t="s">
        <v>2561</v>
      </c>
      <c r="B579" t="str">
        <f>IF(COUNTIF(A:A,A579)&gt;1,_xlfn.CONCAT(A579," (",N579,")"),A579)</f>
        <v>Huáfēng Zhèn</v>
      </c>
      <c r="C579" t="str">
        <f>IF(COUNTIF(B:B,B579)&gt;1,_xlfn.CONCAT(A579," (",M579,")"),B579)</f>
        <v>Huáfēng Zhèn</v>
      </c>
      <c r="D579" t="s">
        <v>2562</v>
      </c>
      <c r="E579" t="s">
        <v>13</v>
      </c>
      <c r="F579" t="str">
        <f>_xlfn.CONCAT(D579,", ",H579,", ",I579,", ","山东省")</f>
        <v>华丰镇, 宁阳县, 泰安市, 山东省</v>
      </c>
      <c r="G579">
        <v>87989</v>
      </c>
      <c r="H579" t="s">
        <v>3747</v>
      </c>
      <c r="I579" t="s">
        <v>3743</v>
      </c>
      <c r="J579">
        <f>VLOOKUP(F579,[1]!china_towns_second__2[[Column1]:[Y]],3,FALSE)</f>
        <v>35.855993795423203</v>
      </c>
      <c r="K579">
        <f>VLOOKUP(F579,[1]!china_towns_second__2[[Column1]:[Y]],2,FALSE)</f>
        <v>117.13881859999999</v>
      </c>
      <c r="L579" t="s">
        <v>5413</v>
      </c>
      <c r="M579" t="str">
        <f>VLOOKUP(H579,CHOOSE({1,2},Table17[Native],Table17[Name]),2,0)</f>
        <v>Níngyáng Xiàn</v>
      </c>
      <c r="N579" s="15" t="str">
        <f>VLOOKUP(I579,CHOOSE({1,2},Table17[Native],Table17[Name]),2,0)</f>
        <v>Tài'ān Shì</v>
      </c>
      <c r="O579" s="15" t="str">
        <f t="shared" si="18"/>
        <v>Huafeng Zhen (Tài'ān Shì)</v>
      </c>
      <c r="P579" s="15" t="str">
        <f t="shared" si="19"/>
        <v>Huafeng Zhen (Tài'ān Shì)</v>
      </c>
    </row>
    <row r="580" spans="1:16" hidden="1" x14ac:dyDescent="0.25">
      <c r="A580" t="s">
        <v>3509</v>
      </c>
      <c r="B580" t="str">
        <f>IF(COUNTIF(A:A,A580)&gt;1,_xlfn.CONCAT(A580," (",N580,")"),A580)</f>
        <v>Huāgōu Zhèn</v>
      </c>
      <c r="C580" t="str">
        <f>IF(COUNTIF(B:B,B580)&gt;1,_xlfn.CONCAT(A580," (",M580,")"),B580)</f>
        <v>Huāgōu Zhèn</v>
      </c>
      <c r="D580" t="s">
        <v>3510</v>
      </c>
      <c r="E580" t="s">
        <v>13</v>
      </c>
      <c r="F580" t="str">
        <f>_xlfn.CONCAT(D580,", ",H580,", ",I580,", ","山东省")</f>
        <v>花沟镇, 高青县, 淄博市, 山东省</v>
      </c>
      <c r="G580">
        <v>52961</v>
      </c>
      <c r="H580" t="s">
        <v>3793</v>
      </c>
      <c r="I580" t="s">
        <v>3791</v>
      </c>
      <c r="J580">
        <f>VLOOKUP(F580,[1]!china_towns_second__2[[Column1]:[Y]],3,FALSE)</f>
        <v>37.113248545594701</v>
      </c>
      <c r="K580">
        <f>VLOOKUP(F580,[1]!china_towns_second__2[[Column1]:[Y]],2,FALSE)</f>
        <v>117.7510583</v>
      </c>
      <c r="L580" t="s">
        <v>5414</v>
      </c>
      <c r="M580" t="str">
        <f>VLOOKUP(H580,CHOOSE({1,2},Table17[Native],Table17[Name]),2,0)</f>
        <v>Gāoqīng Xiàn</v>
      </c>
      <c r="N580" s="15" t="str">
        <f>VLOOKUP(I580,CHOOSE({1,2},Table17[Native],Table17[Name]),2,0)</f>
        <v>Zībó Shì</v>
      </c>
      <c r="O580" s="15" t="str">
        <f t="shared" si="18"/>
        <v>Huagou Zhen (Zībó Shì)</v>
      </c>
      <c r="P580" s="15" t="str">
        <f t="shared" si="19"/>
        <v>Huagou Zhen (Zībó Shì)</v>
      </c>
    </row>
    <row r="581" spans="1:16" hidden="1" x14ac:dyDescent="0.25">
      <c r="A581" t="s">
        <v>515</v>
      </c>
      <c r="B581" t="str">
        <f>IF(COUNTIF(A:A,A581)&gt;1,_xlfn.CONCAT(A581," (",N581,")"),A581)</f>
        <v>Huāguān Zhèn</v>
      </c>
      <c r="C581" t="str">
        <f>IF(COUNTIF(B:B,B581)&gt;1,_xlfn.CONCAT(A581," (",M581,")"),B581)</f>
        <v>Huāguān Zhèn</v>
      </c>
      <c r="D581" t="s">
        <v>516</v>
      </c>
      <c r="E581" t="s">
        <v>13</v>
      </c>
      <c r="F581" t="str">
        <f>_xlfn.CONCAT(D581,", ",H581,", ",I581,", ","山东省")</f>
        <v>花官镇, 广饶县, 东营市, 山东省</v>
      </c>
      <c r="G581">
        <v>38180</v>
      </c>
      <c r="H581" t="s">
        <v>3657</v>
      </c>
      <c r="I581" t="s">
        <v>3655</v>
      </c>
      <c r="J581">
        <f>VLOOKUP(F581,[1]!china_towns_second__2[[Column1]:[Y]],3,FALSE)</f>
        <v>37.189576906010899</v>
      </c>
      <c r="K581">
        <f>VLOOKUP(F581,[1]!china_towns_second__2[[Column1]:[Y]],2,FALSE)</f>
        <v>118.4254107</v>
      </c>
      <c r="L581" t="s">
        <v>5415</v>
      </c>
      <c r="M581" t="str">
        <f>VLOOKUP(H581,CHOOSE({1,2},Table17[Native],Table17[Name]),2,0)</f>
        <v>Guăngráo Xiàn</v>
      </c>
      <c r="N581" s="15" t="str">
        <f>VLOOKUP(I581,CHOOSE({1,2},Table17[Native],Table17[Name]),2,0)</f>
        <v>Dōngyíng Shì</v>
      </c>
      <c r="O581" s="15" t="str">
        <f t="shared" si="18"/>
        <v>Huaguan Zhen (Dōngyíng Shì)</v>
      </c>
      <c r="P581" s="15" t="str">
        <f t="shared" si="19"/>
        <v>Huaguan Zhen (Dōngyíng Shì)</v>
      </c>
    </row>
    <row r="582" spans="1:16" hidden="1" x14ac:dyDescent="0.25">
      <c r="A582" t="s">
        <v>1012</v>
      </c>
      <c r="B582" t="str">
        <f>IF(COUNTIF(A:A,A582)&gt;1,_xlfn.CONCAT(A582," (",N582,")"),A582)</f>
        <v>Huáirén Zhèn</v>
      </c>
      <c r="C582" t="str">
        <f>IF(COUNTIF(B:B,B582)&gt;1,_xlfn.CONCAT(A582," (",M582,")"),B582)</f>
        <v>Huáirén Zhèn</v>
      </c>
      <c r="D582" t="s">
        <v>1013</v>
      </c>
      <c r="E582" t="s">
        <v>13</v>
      </c>
      <c r="F582" t="str">
        <f>_xlfn.CONCAT(D582,", ",H582,", ",I582,", ","山东省")</f>
        <v>怀仁镇, 商河县, 济南市, 山东省</v>
      </c>
      <c r="G582">
        <v>28928</v>
      </c>
      <c r="H582" t="s">
        <v>3682</v>
      </c>
      <c r="I582" t="s">
        <v>3673</v>
      </c>
      <c r="J582">
        <f>VLOOKUP(F582,[1]!china_towns_second__2[[Column1]:[Y]],3,FALSE)</f>
        <v>37.396505323253997</v>
      </c>
      <c r="K582">
        <f>VLOOKUP(F582,[1]!china_towns_second__2[[Column1]:[Y]],2,FALSE)</f>
        <v>117.04603299999999</v>
      </c>
      <c r="L582" t="s">
        <v>5416</v>
      </c>
      <c r="M582" t="str">
        <f>VLOOKUP(H582,CHOOSE({1,2},Table17[Native],Table17[Name]),2,0)</f>
        <v>Shānghé Xiàn</v>
      </c>
      <c r="N582" s="15" t="str">
        <f>VLOOKUP(I582,CHOOSE({1,2},Table17[Native],Table17[Name]),2,0)</f>
        <v>Jìnán Shì</v>
      </c>
      <c r="O582" s="15" t="str">
        <f t="shared" si="18"/>
        <v>Huairen Zhen (Jìnán Shì)</v>
      </c>
      <c r="P582" s="15" t="str">
        <f t="shared" si="19"/>
        <v>Huairen Zhen (Jìnán Shì)</v>
      </c>
    </row>
    <row r="583" spans="1:16" hidden="1" x14ac:dyDescent="0.25">
      <c r="A583" t="s">
        <v>2745</v>
      </c>
      <c r="B583" t="str">
        <f>IF(COUNTIF(A:A,A583)&gt;1,_xlfn.CONCAT(A583," (",N583,")"),A583)</f>
        <v>Huàlóng Zhèn</v>
      </c>
      <c r="C583" t="str">
        <f>IF(COUNTIF(B:B,B583)&gt;1,_xlfn.CONCAT(A583," (",M583,")"),B583)</f>
        <v>Huàlóng Zhèn</v>
      </c>
      <c r="D583" t="s">
        <v>2746</v>
      </c>
      <c r="E583" t="s">
        <v>13</v>
      </c>
      <c r="F583" t="str">
        <f>_xlfn.CONCAT(D583,", ",H583,", ",I583,", ","山东省")</f>
        <v>化龙镇, 寿光市, 潍坊市, 山东省</v>
      </c>
      <c r="G583">
        <v>52660</v>
      </c>
      <c r="H583" t="s">
        <v>3761</v>
      </c>
      <c r="I583" t="s">
        <v>3751</v>
      </c>
      <c r="J583">
        <f>VLOOKUP(F583,[1]!china_towns_second__2[[Column1]:[Y]],3,FALSE)</f>
        <v>36.958025340729698</v>
      </c>
      <c r="K583">
        <f>VLOOKUP(F583,[1]!china_towns_second__2[[Column1]:[Y]],2,FALSE)</f>
        <v>118.6109862</v>
      </c>
      <c r="L583" t="s">
        <v>5417</v>
      </c>
      <c r="M583" t="str">
        <f>VLOOKUP(H583,CHOOSE({1,2},Table17[Native],Table17[Name]),2,0)</f>
        <v>Shòuguāng Shì</v>
      </c>
      <c r="N583" s="15" t="str">
        <f>VLOOKUP(I583,CHOOSE({1,2},Table17[Native],Table17[Name]),2,0)</f>
        <v>Wéifāng Shì</v>
      </c>
      <c r="O583" s="15" t="str">
        <f t="shared" si="18"/>
        <v>Hualong Zhen (Wéifāng Shì)</v>
      </c>
      <c r="P583" s="15" t="str">
        <f t="shared" si="19"/>
        <v>Hualong Zhen (Wéifāng Shì)</v>
      </c>
    </row>
    <row r="584" spans="1:16" hidden="1" x14ac:dyDescent="0.25">
      <c r="A584" t="s">
        <v>280</v>
      </c>
      <c r="B584" t="str">
        <f>IF(COUNTIF(A:A,A584)&gt;1,_xlfn.CONCAT(A584," (",N584,")"),A584)</f>
        <v>Huàlóu Zhèn</v>
      </c>
      <c r="C584" t="str">
        <f>IF(COUNTIF(B:B,B584)&gt;1,_xlfn.CONCAT(A584," (",M584,")"),B584)</f>
        <v>Huàlóu Zhèn</v>
      </c>
      <c r="D584" t="s">
        <v>281</v>
      </c>
      <c r="E584" t="s">
        <v>13</v>
      </c>
      <c r="F584" t="str">
        <f>_xlfn.CONCAT(D584,", ",H584,", ",I584,", ","山东省")</f>
        <v>化楼镇, 乐陵市, 德州市, 山东省</v>
      </c>
      <c r="G584">
        <v>36917</v>
      </c>
      <c r="H584" t="s">
        <v>3644</v>
      </c>
      <c r="I584" t="s">
        <v>3642</v>
      </c>
      <c r="J584">
        <f>VLOOKUP(F584,[1]!china_towns_second__2[[Column1]:[Y]],3,FALSE)</f>
        <v>37.536862498758197</v>
      </c>
      <c r="K584">
        <f>VLOOKUP(F584,[1]!china_towns_second__2[[Column1]:[Y]],2,FALSE)</f>
        <v>117.0301164</v>
      </c>
      <c r="L584" t="s">
        <v>5418</v>
      </c>
      <c r="M584" t="str">
        <f>VLOOKUP(H584,CHOOSE({1,2},Table17[Native],Table17[Name]),2,0)</f>
        <v>Lèlíng Shì</v>
      </c>
      <c r="N584" s="15" t="str">
        <f>VLOOKUP(I584,CHOOSE({1,2},Table17[Native],Table17[Name]),2,0)</f>
        <v>Dézhōu Shì</v>
      </c>
      <c r="O584" s="15" t="str">
        <f t="shared" si="18"/>
        <v>Hualou Zhen (Dézhōu Shì)</v>
      </c>
      <c r="P584" s="15" t="str">
        <f t="shared" si="19"/>
        <v>Hualou Zhen (Dézhōu Shì)</v>
      </c>
    </row>
    <row r="585" spans="1:16" hidden="1" x14ac:dyDescent="0.25">
      <c r="A585" t="s">
        <v>2563</v>
      </c>
      <c r="B585" t="str">
        <f>IF(COUNTIF(A:A,A585)&gt;1,_xlfn.CONCAT(A585," (",N585,")"),A585)</f>
        <v>Huàmăwān Xiāng</v>
      </c>
      <c r="C585" t="str">
        <f>IF(COUNTIF(B:B,B585)&gt;1,_xlfn.CONCAT(A585," (",M585,")"),B585)</f>
        <v>Huàmăwān Xiāng</v>
      </c>
      <c r="D585" t="s">
        <v>2564</v>
      </c>
      <c r="E585" t="s">
        <v>61</v>
      </c>
      <c r="F585" t="str">
        <f>_xlfn.CONCAT(D585,", ",H585,", ",I585,", ","山东省")</f>
        <v>化马湾乡, 岱岳区, 泰安市, 山东省</v>
      </c>
      <c r="G585">
        <v>32642</v>
      </c>
      <c r="H585" t="s">
        <v>3744</v>
      </c>
      <c r="I585" t="s">
        <v>3743</v>
      </c>
      <c r="J585" t="e">
        <f>VLOOKUP(F585,[1]!china_towns_second__2[[Column1]:[Y]],3,FALSE)</f>
        <v>#N/A</v>
      </c>
      <c r="K585" t="e">
        <f>VLOOKUP(F585,[1]!china_towns_second__2[[Column1]:[Y]],2,FALSE)</f>
        <v>#N/A</v>
      </c>
      <c r="L585" t="s">
        <v>5419</v>
      </c>
      <c r="M585" t="str">
        <f>VLOOKUP(H585,CHOOSE({1,2},Table17[Native],Table17[Name]),2,0)</f>
        <v>Dàiyuè Qū</v>
      </c>
      <c r="N585" s="15" t="str">
        <f>VLOOKUP(I585,CHOOSE({1,2},Table17[Native],Table17[Name]),2,0)</f>
        <v>Tài'ān Shì</v>
      </c>
      <c r="O585" s="15" t="str">
        <f t="shared" si="18"/>
        <v>Huamawan Xiang (Tài'ān Shì)</v>
      </c>
      <c r="P585" s="15" t="str">
        <f t="shared" si="19"/>
        <v>Huamawan Xiang (Tài'ān Shì)</v>
      </c>
    </row>
    <row r="586" spans="1:16" hidden="1" x14ac:dyDescent="0.25">
      <c r="A586" t="s">
        <v>1309</v>
      </c>
      <c r="B586" t="str">
        <f>IF(COUNTIF(A:A,A586)&gt;1,_xlfn.CONCAT(A586," (",N586,")"),A586)</f>
        <v>Huānchéng Zhèn</v>
      </c>
      <c r="C586" t="str">
        <f>IF(COUNTIF(B:B,B586)&gt;1,_xlfn.CONCAT(A586," (",M586,")"),B586)</f>
        <v>Huānchéng Zhèn</v>
      </c>
      <c r="D586" t="s">
        <v>1310</v>
      </c>
      <c r="E586" t="s">
        <v>13</v>
      </c>
      <c r="F586" t="str">
        <f>_xlfn.CONCAT(D586,", ",H586,", ",I586,", ","山东省")</f>
        <v>欢城镇, 微山县, 济宁市, 山东省</v>
      </c>
      <c r="G586">
        <v>84056</v>
      </c>
      <c r="H586" t="s">
        <v>3694</v>
      </c>
      <c r="I586" t="s">
        <v>3687</v>
      </c>
      <c r="J586">
        <f>VLOOKUP(F586,[1]!china_towns_second__2[[Column1]:[Y]],3,FALSE)</f>
        <v>34.895487528046097</v>
      </c>
      <c r="K586">
        <f>VLOOKUP(F586,[1]!china_towns_second__2[[Column1]:[Y]],2,FALSE)</f>
        <v>117.0311066</v>
      </c>
      <c r="L586" t="s">
        <v>5420</v>
      </c>
      <c r="M586" t="str">
        <f>VLOOKUP(H586,CHOOSE({1,2},Table17[Native],Table17[Name]),2,0)</f>
        <v>Wēishān Xiàn</v>
      </c>
      <c r="N586" s="15" t="str">
        <f>VLOOKUP(I586,CHOOSE({1,2},Table17[Native],Table17[Name]),2,0)</f>
        <v>Jìníng Shì</v>
      </c>
      <c r="O586" s="15" t="str">
        <f t="shared" si="18"/>
        <v>Huancheng Zhen (Jìníng Shì)</v>
      </c>
      <c r="P586" s="15" t="str">
        <f t="shared" si="19"/>
        <v>Huancheng Zhen (Jìníng Shì)</v>
      </c>
    </row>
    <row r="587" spans="1:16" hidden="1" x14ac:dyDescent="0.25">
      <c r="A587" t="s">
        <v>2942</v>
      </c>
      <c r="B587" t="str">
        <f>IF(COUNTIF(A:A,A587)&gt;1,_xlfn.CONCAT(A587," (",N587,")"),A587)</f>
        <v>Huáncuìlóu Jiēdào</v>
      </c>
      <c r="C587" t="str">
        <f>IF(COUNTIF(B:B,B587)&gt;1,_xlfn.CONCAT(A587," (",M587,")"),B587)</f>
        <v>Huáncuìlóu Jiēdào</v>
      </c>
      <c r="D587" t="s">
        <v>2943</v>
      </c>
      <c r="E587" t="s">
        <v>7</v>
      </c>
      <c r="F587" t="str">
        <f>_xlfn.CONCAT(D587,", ",H587,", ",I587,", ","山东省")</f>
        <v>环翠楼街道, 环翠区, 威海市, 山东省</v>
      </c>
      <c r="G587">
        <v>45998</v>
      </c>
      <c r="H587" t="s">
        <v>3766</v>
      </c>
      <c r="I587" t="s">
        <v>3765</v>
      </c>
      <c r="J587">
        <f>VLOOKUP(F587,[1]!china_towns_second__2[[Column1]:[Y]],3,FALSE)</f>
        <v>37.500543718883897</v>
      </c>
      <c r="K587">
        <f>VLOOKUP(F587,[1]!china_towns_second__2[[Column1]:[Y]],2,FALSE)</f>
        <v>122.14443180000001</v>
      </c>
      <c r="L587" t="s">
        <v>5421</v>
      </c>
      <c r="M587" t="str">
        <f>VLOOKUP(H587,CHOOSE({1,2},Table17[Native],Table17[Name]),2,0)</f>
        <v>Huáncuì Qū</v>
      </c>
      <c r="N587" s="15" t="str">
        <f>VLOOKUP(I587,CHOOSE({1,2},Table17[Native],Table17[Name]),2,0)</f>
        <v>Wēihăi Shì</v>
      </c>
      <c r="O587" s="15" t="str">
        <f t="shared" si="18"/>
        <v>Huancuilou Jiedao (Wēihăi Shì)</v>
      </c>
      <c r="P587" s="15" t="str">
        <f t="shared" si="19"/>
        <v>Huancuilou Jiedao (Wēihăi Shì)</v>
      </c>
    </row>
    <row r="588" spans="1:16" hidden="1" x14ac:dyDescent="0.25">
      <c r="A588" t="s">
        <v>710</v>
      </c>
      <c r="B588" t="str">
        <f>IF(COUNTIF(A:A,A588)&gt;1,_xlfn.CONCAT(A588," (",N588,")"),A588)</f>
        <v>Huáng'ān Zhèn</v>
      </c>
      <c r="C588" t="str">
        <f>IF(COUNTIF(B:B,B588)&gt;1,_xlfn.CONCAT(A588," (",M588,")"),B588)</f>
        <v>Huáng'ān Zhèn</v>
      </c>
      <c r="D588" t="s">
        <v>711</v>
      </c>
      <c r="E588" t="s">
        <v>13</v>
      </c>
      <c r="F588" t="str">
        <f>_xlfn.CONCAT(D588,", ",H588,", ",I588,", ","山东省")</f>
        <v>黄安镇, 郓城县, 菏泽市, 山东省</v>
      </c>
      <c r="G588">
        <v>56167</v>
      </c>
      <c r="H588" t="s">
        <v>3671</v>
      </c>
      <c r="I588" t="s">
        <v>3662</v>
      </c>
      <c r="J588">
        <f>VLOOKUP(F588,[1]!china_towns_second__2[[Column1]:[Y]],3,FALSE)</f>
        <v>35.452319375656899</v>
      </c>
      <c r="K588">
        <f>VLOOKUP(F588,[1]!china_towns_second__2[[Column1]:[Y]],2,FALSE)</f>
        <v>115.745625</v>
      </c>
      <c r="L588" t="s">
        <v>5422</v>
      </c>
      <c r="M588" t="str">
        <f>VLOOKUP(H588,CHOOSE({1,2},Table17[Native],Table17[Name]),2,0)</f>
        <v>Yùnchéng Xiàn</v>
      </c>
      <c r="N588" s="15" t="str">
        <f>VLOOKUP(I588,CHOOSE({1,2},Table17[Native],Table17[Name]),2,0)</f>
        <v>Hézé Shì</v>
      </c>
      <c r="O588" s="15" t="str">
        <f t="shared" si="18"/>
        <v>Huang'an Zhen (Hézé Shì)</v>
      </c>
      <c r="P588" s="15" t="str">
        <f t="shared" si="19"/>
        <v>Huang'an Zhen (Hézé Shì)</v>
      </c>
    </row>
    <row r="589" spans="1:16" hidden="1" x14ac:dyDescent="0.25">
      <c r="A589" t="s">
        <v>3511</v>
      </c>
      <c r="B589" t="str">
        <f>IF(COUNTIF(A:A,A589)&gt;1,_xlfn.CONCAT(A589," (",N589,")"),A589)</f>
        <v>Huángchéng Zhèn</v>
      </c>
      <c r="C589" t="str">
        <f>IF(COUNTIF(B:B,B589)&gt;1,_xlfn.CONCAT(A589," (",M589,")"),B589)</f>
        <v>Huángchéng Zhèn</v>
      </c>
      <c r="D589" t="s">
        <v>3512</v>
      </c>
      <c r="E589" t="s">
        <v>13</v>
      </c>
      <c r="F589" t="str">
        <f>_xlfn.CONCAT(D589,", ",H589,", ",I589,", ","山东省")</f>
        <v>皇城镇, 临淄区, 淄博市, 山东省</v>
      </c>
      <c r="G589">
        <v>49583</v>
      </c>
      <c r="H589" t="s">
        <v>3795</v>
      </c>
      <c r="I589" t="s">
        <v>3791</v>
      </c>
      <c r="J589">
        <f>VLOOKUP(F589,[1]!china_towns_second__2[[Column1]:[Y]],3,FALSE)</f>
        <v>36.899464259979098</v>
      </c>
      <c r="K589">
        <f>VLOOKUP(F589,[1]!china_towns_second__2[[Column1]:[Y]],2,FALSE)</f>
        <v>118.4276713</v>
      </c>
      <c r="L589" t="s">
        <v>5423</v>
      </c>
      <c r="M589" t="str">
        <f>VLOOKUP(H589,CHOOSE({1,2},Table17[Native],Table17[Name]),2,0)</f>
        <v>Línzī Qū</v>
      </c>
      <c r="N589" s="15" t="str">
        <f>VLOOKUP(I589,CHOOSE({1,2},Table17[Native],Table17[Name]),2,0)</f>
        <v>Zībó Shì</v>
      </c>
      <c r="O589" s="15" t="str">
        <f t="shared" si="18"/>
        <v>Huangcheng Zhen (Zībó Shì)</v>
      </c>
      <c r="P589" s="15" t="str">
        <f t="shared" si="19"/>
        <v>Huangcheng Zhen (Zībó Shì)</v>
      </c>
    </row>
    <row r="590" spans="1:16" hidden="1" x14ac:dyDescent="0.25">
      <c r="A590" t="s">
        <v>2198</v>
      </c>
      <c r="B590" t="str">
        <f>IF(COUNTIF(A:A,A590)&gt;1,_xlfn.CONCAT(A590," (",N590,")"),A590)</f>
        <v>Huángdăo Jiēdào</v>
      </c>
      <c r="C590" t="str">
        <f>IF(COUNTIF(B:B,B590)&gt;1,_xlfn.CONCAT(A590," (",M590,")"),B590)</f>
        <v>Huángdăo Jiēdào</v>
      </c>
      <c r="D590" t="s">
        <v>2199</v>
      </c>
      <c r="E590" t="s">
        <v>7</v>
      </c>
      <c r="F590" t="str">
        <f>_xlfn.CONCAT(D590,", ",H590,", ",I590,", ","山东省")</f>
        <v>黄岛街道, 黄岛区, 青岛市, 山东省</v>
      </c>
      <c r="G590">
        <v>76768</v>
      </c>
      <c r="H590" t="s">
        <v>3726</v>
      </c>
      <c r="I590" t="s">
        <v>3724</v>
      </c>
      <c r="J590">
        <f>VLOOKUP(F590,[1]!china_towns_second__2[[Column1]:[Y]],3,FALSE)</f>
        <v>36.045805920058498</v>
      </c>
      <c r="K590">
        <f>VLOOKUP(F590,[1]!china_towns_second__2[[Column1]:[Y]],2,FALSE)</f>
        <v>120.1855094</v>
      </c>
      <c r="L590" t="s">
        <v>5424</v>
      </c>
      <c r="M590" t="str">
        <f>VLOOKUP(H590,CHOOSE({1,2},Table17[Native],Table17[Name]),2,0)</f>
        <v>Huángdăo Qū</v>
      </c>
      <c r="N590" s="15" t="str">
        <f>VLOOKUP(I590,CHOOSE({1,2},Table17[Native],Table17[Name]),2,0)</f>
        <v>Qīngdăo Shì</v>
      </c>
      <c r="O590" s="15" t="str">
        <f t="shared" si="18"/>
        <v>Huangdao Jiedao (Qīngdăo Shì)</v>
      </c>
      <c r="P590" s="15" t="str">
        <f t="shared" si="19"/>
        <v>Huangdao Jiedao (Qīngdăo Shì)</v>
      </c>
    </row>
    <row r="591" spans="1:16" hidden="1" x14ac:dyDescent="0.25">
      <c r="A591" t="s">
        <v>712</v>
      </c>
      <c r="B591" t="str">
        <f>IF(COUNTIF(A:A,A591)&gt;1,_xlfn.CONCAT(A591," (",N591,")"),A591)</f>
        <v>Huángdiàn Zhèn</v>
      </c>
      <c r="C591" t="str">
        <f>IF(COUNTIF(B:B,B591)&gt;1,_xlfn.CONCAT(A591," (",M591,")"),B591)</f>
        <v>Huángdiàn Zhèn</v>
      </c>
      <c r="D591" t="s">
        <v>713</v>
      </c>
      <c r="E591" t="s">
        <v>13</v>
      </c>
      <c r="F591" t="str">
        <f>_xlfn.CONCAT(D591,", ",H591,", ",I591,", ","山东省")</f>
        <v>黄店镇, 定陶区, 菏泽市, 山东省</v>
      </c>
      <c r="G591">
        <v>60840</v>
      </c>
      <c r="H591" t="s">
        <v>3665</v>
      </c>
      <c r="I591" t="s">
        <v>3662</v>
      </c>
      <c r="J591">
        <f>VLOOKUP(F591,[1]!china_towns_second__2[[Column1]:[Y]],3,FALSE)</f>
        <v>35.092149710745701</v>
      </c>
      <c r="K591">
        <f>VLOOKUP(F591,[1]!china_towns_second__2[[Column1]:[Y]],2,FALSE)</f>
        <v>115.72516229999999</v>
      </c>
      <c r="L591" t="s">
        <v>5425</v>
      </c>
      <c r="M591" t="str">
        <f>VLOOKUP(H591,CHOOSE({1,2},Table17[Native],Table17[Name]),2,0)</f>
        <v>Dìngtáo Qū</v>
      </c>
      <c r="N591" s="15" t="str">
        <f>VLOOKUP(I591,CHOOSE({1,2},Table17[Native],Table17[Name]),2,0)</f>
        <v>Hézé Shì</v>
      </c>
      <c r="O591" s="15" t="str">
        <f t="shared" si="18"/>
        <v>Huangdian Zhen (Hézé Shì)</v>
      </c>
      <c r="P591" s="15" t="str">
        <f t="shared" si="19"/>
        <v>Huangdian Zhen (Hézé Shì)</v>
      </c>
    </row>
    <row r="592" spans="1:16" hidden="1" x14ac:dyDescent="0.25">
      <c r="A592" t="s">
        <v>2424</v>
      </c>
      <c r="B592" t="str">
        <f>IF(COUNTIF(A:A,A592)&gt;1,_xlfn.CONCAT(A592," (",N592,")"),A592)</f>
        <v>Huángdūn Zhèn</v>
      </c>
      <c r="C592" t="str">
        <f>IF(COUNTIF(B:B,B592)&gt;1,_xlfn.CONCAT(A592," (",M592,")"),B592)</f>
        <v>Huángdūn Zhèn</v>
      </c>
      <c r="D592" t="s">
        <v>2425</v>
      </c>
      <c r="E592" t="s">
        <v>13</v>
      </c>
      <c r="F592" t="str">
        <f>_xlfn.CONCAT(D592,", ",H592,", ",I592,", ","山东省")</f>
        <v>黄墩镇, 岚山区, 日照市, 山东省</v>
      </c>
      <c r="G592">
        <v>44250</v>
      </c>
      <c r="H592" t="s">
        <v>3740</v>
      </c>
      <c r="I592" t="s">
        <v>3736</v>
      </c>
      <c r="J592">
        <f>VLOOKUP(F592,[1]!china_towns_second__2[[Column1]:[Y]],3,FALSE)</f>
        <v>35.392687554574799</v>
      </c>
      <c r="K592">
        <f>VLOOKUP(F592,[1]!china_towns_second__2[[Column1]:[Y]],2,FALSE)</f>
        <v>119.1115432</v>
      </c>
      <c r="L592" t="s">
        <v>5426</v>
      </c>
      <c r="M592" t="str">
        <f>VLOOKUP(H592,CHOOSE({1,2},Table17[Native],Table17[Name]),2,0)</f>
        <v>Lánshān Qū</v>
      </c>
      <c r="N592" s="15" t="str">
        <f>VLOOKUP(I592,CHOOSE({1,2},Table17[Native],Table17[Name]),2,0)</f>
        <v>Rìzhào Shì</v>
      </c>
      <c r="O592" s="15" t="str">
        <f t="shared" si="18"/>
        <v>Huangdun Zhen (Rìzhào Shì)</v>
      </c>
      <c r="P592" s="15" t="str">
        <f t="shared" si="19"/>
        <v>Huangdun Zhen (Rìzhào Shì)</v>
      </c>
    </row>
    <row r="593" spans="1:16" hidden="1" x14ac:dyDescent="0.25">
      <c r="A593" t="s">
        <v>1311</v>
      </c>
      <c r="B593" t="str">
        <f>IF(COUNTIF(A:A,A593)&gt;1,_xlfn.CONCAT(A593," (",N593,")"),A593)</f>
        <v>Huánggāi Zhèn</v>
      </c>
      <c r="C593" t="str">
        <f>IF(COUNTIF(B:B,B593)&gt;1,_xlfn.CONCAT(A593," (",M593,")"),B593)</f>
        <v>Huánggāi Zhèn</v>
      </c>
      <c r="D593" t="s">
        <v>1312</v>
      </c>
      <c r="E593" t="s">
        <v>13</v>
      </c>
      <c r="F593" t="str">
        <f>_xlfn.CONCAT(D593,", ",H593,", ",I593,", ","山东省")</f>
        <v>黄垓镇, 嘉祥县, 济宁市, 山东省</v>
      </c>
      <c r="G593">
        <v>30821</v>
      </c>
      <c r="H593" t="s">
        <v>3688</v>
      </c>
      <c r="I593" t="s">
        <v>3687</v>
      </c>
      <c r="J593">
        <f>VLOOKUP(F593,[1]!china_towns_second__2[[Column1]:[Y]],3,FALSE)</f>
        <v>35.607108239531499</v>
      </c>
      <c r="K593">
        <f>VLOOKUP(F593,[1]!china_towns_second__2[[Column1]:[Y]],2,FALSE)</f>
        <v>116.1494627</v>
      </c>
      <c r="L593" t="s">
        <v>5427</v>
      </c>
      <c r="M593" t="str">
        <f>VLOOKUP(H593,CHOOSE({1,2},Table17[Native],Table17[Name]),2,0)</f>
        <v>Jiāxiáng Xiàn</v>
      </c>
      <c r="N593" s="15" t="str">
        <f>VLOOKUP(I593,CHOOSE({1,2},Table17[Native],Table17[Name]),2,0)</f>
        <v>Jìníng Shì</v>
      </c>
      <c r="O593" s="15" t="str">
        <f t="shared" si="18"/>
        <v>Huanggai Zhen (Jìníng Shì)</v>
      </c>
      <c r="P593" s="15" t="str">
        <f t="shared" si="19"/>
        <v>Huanggai Zhen (Jìníng Shì)</v>
      </c>
    </row>
    <row r="594" spans="1:16" x14ac:dyDescent="0.25">
      <c r="A594" t="s">
        <v>716</v>
      </c>
      <c r="B594" t="str">
        <f>IF(COUNTIF(A:A,A594)&gt;1,_xlfn.CONCAT(A594," (",N594,")"),A594)</f>
        <v>Huánggăng Zhèn</v>
      </c>
      <c r="C594" t="str">
        <f>IF(COUNTIF(B:B,B594)&gt;1,_xlfn.CONCAT(A594," (",M594,")"),B594)</f>
        <v>Huánggăng Zhèn</v>
      </c>
      <c r="D594" t="s">
        <v>717</v>
      </c>
      <c r="E594" t="s">
        <v>13</v>
      </c>
      <c r="F594" t="str">
        <f>_xlfn.CONCAT(D594,", ",H594,", ",I594,", ","山东省")</f>
        <v>黄岗镇, 单县, 菏泽市, 山东省</v>
      </c>
      <c r="G594">
        <v>66540</v>
      </c>
      <c r="H594" t="s">
        <v>3670</v>
      </c>
      <c r="I594" t="s">
        <v>3662</v>
      </c>
      <c r="J594">
        <f>VLOOKUP(F594,[1]!china_towns_second__2[[Column1]:[Y]],3,FALSE)</f>
        <v>34.660036926447397</v>
      </c>
      <c r="K594">
        <f>VLOOKUP(F594,[1]!china_towns_second__2[[Column1]:[Y]],2,FALSE)</f>
        <v>116.06358299999999</v>
      </c>
      <c r="L594" t="s">
        <v>5428</v>
      </c>
      <c r="M594" t="str">
        <f>VLOOKUP(H594,CHOOSE({1,2},Table17[Native],Table17[Name]),2,0)</f>
        <v>Shàn Xiàn</v>
      </c>
      <c r="N594" s="15" t="str">
        <f>VLOOKUP(I594,CHOOSE({1,2},Table17[Native],Table17[Name]),2,0)</f>
        <v>Hézé Shì</v>
      </c>
      <c r="O594" s="15" t="str">
        <f t="shared" si="18"/>
        <v>Huanggang Zhen (Hézé Shì)</v>
      </c>
      <c r="P594" s="15" t="str">
        <f t="shared" si="19"/>
        <v>Huanggang Zhen (Shàn Xiàn)</v>
      </c>
    </row>
    <row r="595" spans="1:16" x14ac:dyDescent="0.25">
      <c r="A595" t="s">
        <v>714</v>
      </c>
      <c r="B595" t="str">
        <f>IF(COUNTIF(A:A,A595)&gt;1,_xlfn.CONCAT(A595," (",N595,")"),A595)</f>
        <v>Huánggāng Zhèn</v>
      </c>
      <c r="C595" t="str">
        <f>IF(COUNTIF(B:B,B595)&gt;1,_xlfn.CONCAT(A595," (",M595,")"),B595)</f>
        <v>Huánggāng Zhèn</v>
      </c>
      <c r="D595" t="s">
        <v>715</v>
      </c>
      <c r="E595" t="s">
        <v>13</v>
      </c>
      <c r="F595" t="str">
        <f>_xlfn.CONCAT(D595,", ",H595,", ",I595,", ","山东省")</f>
        <v>黄堽镇, 牡丹区, 菏泽市, 山东省</v>
      </c>
      <c r="G595">
        <v>66150</v>
      </c>
      <c r="H595" t="s">
        <v>3669</v>
      </c>
      <c r="I595" t="s">
        <v>3662</v>
      </c>
      <c r="J595">
        <f>VLOOKUP(F595,[1]!china_towns_second__2[[Column1]:[Y]],3,FALSE)</f>
        <v>35.350982222556802</v>
      </c>
      <c r="K595">
        <f>VLOOKUP(F595,[1]!china_towns_second__2[[Column1]:[Y]],2,FALSE)</f>
        <v>115.515716</v>
      </c>
      <c r="L595" t="s">
        <v>5428</v>
      </c>
      <c r="M595" t="str">
        <f>VLOOKUP(H595,CHOOSE({1,2},Table17[Native],Table17[Name]),2,0)</f>
        <v>Mŭdān Qū</v>
      </c>
      <c r="N595" s="15" t="str">
        <f>VLOOKUP(I595,CHOOSE({1,2},Table17[Native],Table17[Name]),2,0)</f>
        <v>Hézé Shì</v>
      </c>
      <c r="O595" s="15" t="str">
        <f t="shared" si="18"/>
        <v>Huanggang Zhen (Hézé Shì)</v>
      </c>
      <c r="P595" s="15" t="str">
        <f t="shared" si="19"/>
        <v>Huanggang Zhen (Mŭdān Qū)</v>
      </c>
    </row>
    <row r="596" spans="1:16" hidden="1" x14ac:dyDescent="0.25">
      <c r="A596" t="s">
        <v>2944</v>
      </c>
      <c r="B596" t="str">
        <f>IF(COUNTIF(A:A,A596)&gt;1,_xlfn.CONCAT(A596," (",N596,")"),A596)</f>
        <v>Huángguān Jiēdào</v>
      </c>
      <c r="C596" t="str">
        <f>IF(COUNTIF(B:B,B596)&gt;1,_xlfn.CONCAT(A596," (",M596,")"),B596)</f>
        <v>Huángguān Jiēdào</v>
      </c>
      <c r="D596" t="s">
        <v>2945</v>
      </c>
      <c r="E596" t="s">
        <v>7</v>
      </c>
      <c r="F596" t="str">
        <f>_xlfn.CONCAT(D596,", ",H596,", ",I596,", ","山东省")</f>
        <v>皇冠街道, 环翠区, 威海市, 山东省</v>
      </c>
      <c r="G596">
        <v>65887</v>
      </c>
      <c r="H596" t="s">
        <v>3766</v>
      </c>
      <c r="I596" t="s">
        <v>3765</v>
      </c>
      <c r="J596">
        <f>VLOOKUP(F596,[1]!china_towns_second__2[[Column1]:[Y]],3,FALSE)</f>
        <v>37.436544688755902</v>
      </c>
      <c r="K596">
        <f>VLOOKUP(F596,[1]!china_towns_second__2[[Column1]:[Y]],2,FALSE)</f>
        <v>122.1574104</v>
      </c>
      <c r="L596" t="s">
        <v>5429</v>
      </c>
      <c r="M596" t="str">
        <f>VLOOKUP(H596,CHOOSE({1,2},Table17[Native],Table17[Name]),2,0)</f>
        <v>Huáncuì Qū</v>
      </c>
      <c r="N596" s="15" t="str">
        <f>VLOOKUP(I596,CHOOSE({1,2},Table17[Native],Table17[Name]),2,0)</f>
        <v>Wēihăi Shì</v>
      </c>
      <c r="O596" s="15" t="str">
        <f t="shared" si="18"/>
        <v>Huangguan Jiedao (Wēihăi Shì)</v>
      </c>
      <c r="P596" s="15" t="str">
        <f t="shared" si="19"/>
        <v>Huangguan Jiedao (Wēihăi Shì)</v>
      </c>
    </row>
    <row r="597" spans="1:16" hidden="1" x14ac:dyDescent="0.25">
      <c r="A597" t="s">
        <v>3145</v>
      </c>
      <c r="B597" t="str">
        <f>IF(COUNTIF(A:A,A597)&gt;1,_xlfn.CONCAT(A597," (",N597,")"),A597)</f>
        <v>Huánghăilù Jiēdào</v>
      </c>
      <c r="C597" t="str">
        <f>IF(COUNTIF(B:B,B597)&gt;1,_xlfn.CONCAT(A597," (",M597,")"),B597)</f>
        <v>Huánghăilù Jiēdào</v>
      </c>
      <c r="D597" t="s">
        <v>3146</v>
      </c>
      <c r="E597" t="s">
        <v>7</v>
      </c>
      <c r="F597" t="str">
        <f>_xlfn.CONCAT(D597,", ",H597,", ",I597,", ","山东省")</f>
        <v>黄海路街道, 莱山区, 烟台市, 山东省</v>
      </c>
      <c r="G597">
        <v>89463</v>
      </c>
      <c r="H597" t="s">
        <v>3774</v>
      </c>
      <c r="I597" t="s">
        <v>3771</v>
      </c>
      <c r="J597">
        <f>VLOOKUP(F597,[1]!china_towns_second__2[[Column1]:[Y]],3,FALSE)</f>
        <v>37.498566544815297</v>
      </c>
      <c r="K597">
        <f>VLOOKUP(F597,[1]!china_towns_second__2[[Column1]:[Y]],2,FALSE)</f>
        <v>121.43919889999999</v>
      </c>
      <c r="L597" t="s">
        <v>5430</v>
      </c>
      <c r="M597" t="str">
        <f>VLOOKUP(H597,CHOOSE({1,2},Table17[Native],Table17[Name]),2,0)</f>
        <v>Láishān Qū</v>
      </c>
      <c r="N597" s="15" t="str">
        <f>VLOOKUP(I597,CHOOSE({1,2},Table17[Native],Table17[Name]),2,0)</f>
        <v>Yāntái Shì</v>
      </c>
      <c r="O597" s="15" t="str">
        <f t="shared" si="18"/>
        <v>Huanghailu Jiedao (Yāntái Shì)</v>
      </c>
      <c r="P597" s="15" t="str">
        <f t="shared" si="19"/>
        <v>Huanghailu Jiedao (Yāntái Shì)</v>
      </c>
    </row>
    <row r="598" spans="1:16" hidden="1" x14ac:dyDescent="0.25">
      <c r="A598" t="s">
        <v>1014</v>
      </c>
      <c r="B598" t="str">
        <f>IF(COUNTIF(A:A,A598)&gt;1,_xlfn.CONCAT(A598," (",N598,")"),A598)</f>
        <v>Huánghé Jiēdào</v>
      </c>
      <c r="C598" t="str">
        <f>IF(COUNTIF(B:B,B598)&gt;1,_xlfn.CONCAT(A598," (",M598,")"),B598)</f>
        <v>Huánghé Jiēdào</v>
      </c>
      <c r="D598" t="s">
        <v>1015</v>
      </c>
      <c r="E598" t="s">
        <v>7</v>
      </c>
      <c r="F598" t="str">
        <f>_xlfn.CONCAT(D598,", ",H598,", ",I598,", ","山东省")</f>
        <v>黄河街道, 章丘区, 济南市, 山东省</v>
      </c>
      <c r="G598">
        <v>50237</v>
      </c>
      <c r="H598" t="s">
        <v>3685</v>
      </c>
      <c r="I598" t="s">
        <v>3673</v>
      </c>
      <c r="J598" t="e">
        <f>VLOOKUP(F598,[1]!china_towns_second__2[[Column1]:[Y]],3,FALSE)</f>
        <v>#N/A</v>
      </c>
      <c r="K598" t="e">
        <f>VLOOKUP(F598,[1]!china_towns_second__2[[Column1]:[Y]],2,FALSE)</f>
        <v>#N/A</v>
      </c>
      <c r="L598" t="s">
        <v>5431</v>
      </c>
      <c r="M598" t="str">
        <f>VLOOKUP(H598,CHOOSE({1,2},Table17[Native],Table17[Name]),2,0)</f>
        <v>Zhāngqiū Qū</v>
      </c>
      <c r="N598" s="15" t="str">
        <f>VLOOKUP(I598,CHOOSE({1,2},Table17[Native],Table17[Name]),2,0)</f>
        <v>Jìnán Shì</v>
      </c>
      <c r="O598" s="15" t="str">
        <f t="shared" si="18"/>
        <v>Huanghe Jiedao (Jìnán Shì)</v>
      </c>
      <c r="P598" s="15" t="str">
        <f t="shared" si="19"/>
        <v>Huanghe Jiedao (Jìnán Shì)</v>
      </c>
    </row>
    <row r="599" spans="1:16" hidden="1" x14ac:dyDescent="0.25">
      <c r="A599" t="s">
        <v>517</v>
      </c>
      <c r="B599" t="str">
        <f>IF(COUNTIF(A:A,A599)&gt;1,_xlfn.CONCAT(A599," (",N599,")"),A599)</f>
        <v>Huánghékŏu Zhèn</v>
      </c>
      <c r="C599" t="str">
        <f>IF(COUNTIF(B:B,B599)&gt;1,_xlfn.CONCAT(A599," (",M599,")"),B599)</f>
        <v>Huánghékŏu Zhèn</v>
      </c>
      <c r="D599" t="s">
        <v>518</v>
      </c>
      <c r="E599" t="s">
        <v>13</v>
      </c>
      <c r="F599" t="str">
        <f>_xlfn.CONCAT(D599,", ",H599,", ",I599,", ","山东省")</f>
        <v>黄河口镇, 垦利区, 东营市, 山东省</v>
      </c>
      <c r="G599">
        <v>23383</v>
      </c>
      <c r="H599" t="s">
        <v>3659</v>
      </c>
      <c r="I599" t="s">
        <v>3655</v>
      </c>
      <c r="J599">
        <f>VLOOKUP(F599,[1]!china_towns_second__2[[Column1]:[Y]],3,FALSE)</f>
        <v>37.721061408136102</v>
      </c>
      <c r="K599">
        <f>VLOOKUP(F599,[1]!china_towns_second__2[[Column1]:[Y]],2,FALSE)</f>
        <v>118.9621831</v>
      </c>
      <c r="L599" t="s">
        <v>5432</v>
      </c>
      <c r="M599" t="str">
        <f>VLOOKUP(H599,CHOOSE({1,2},Table17[Native],Table17[Name]),2,0)</f>
        <v>Kĕnlì Qū</v>
      </c>
      <c r="N599" s="15" t="str">
        <f>VLOOKUP(I599,CHOOSE({1,2},Table17[Native],Table17[Name]),2,0)</f>
        <v>Dōngyíng Shì</v>
      </c>
      <c r="O599" s="15" t="str">
        <f t="shared" si="18"/>
        <v>Huanghekou Zhen (Dōngyíng Shì)</v>
      </c>
      <c r="P599" s="15" t="str">
        <f t="shared" si="19"/>
        <v>Huanghekou Zhen (Dōngyíng Shì)</v>
      </c>
    </row>
    <row r="600" spans="1:16" hidden="1" x14ac:dyDescent="0.25">
      <c r="A600" t="s">
        <v>519</v>
      </c>
      <c r="B600" t="str">
        <f>IF(COUNTIF(A:A,A600)&gt;1,_xlfn.CONCAT(A600," (",N600,")"),A600)</f>
        <v>Huánghélù Jiēdào</v>
      </c>
      <c r="C600" t="str">
        <f>IF(COUNTIF(B:B,B600)&gt;1,_xlfn.CONCAT(A600," (",M600,")"),B600)</f>
        <v>Huánghélù Jiēdào</v>
      </c>
      <c r="D600" t="s">
        <v>520</v>
      </c>
      <c r="E600" t="s">
        <v>7</v>
      </c>
      <c r="F600" t="str">
        <f>_xlfn.CONCAT(D600,", ",H600,", ",I600,", ","山东省")</f>
        <v>黄河路街道, 东营区, 东营市, 山东省</v>
      </c>
      <c r="G600">
        <v>105776</v>
      </c>
      <c r="H600" t="s">
        <v>3656</v>
      </c>
      <c r="I600" t="s">
        <v>3655</v>
      </c>
      <c r="J600">
        <f>VLOOKUP(F600,[1]!china_towns_second__2[[Column1]:[Y]],3,FALSE)</f>
        <v>37.385898833675903</v>
      </c>
      <c r="K600">
        <f>VLOOKUP(F600,[1]!china_towns_second__2[[Column1]:[Y]],2,FALSE)</f>
        <v>118.71131750000001</v>
      </c>
      <c r="L600" t="s">
        <v>5433</v>
      </c>
      <c r="M600" t="str">
        <f>VLOOKUP(H600,CHOOSE({1,2},Table17[Native],Table17[Name]),2,0)</f>
        <v>Dōngyíng Qū</v>
      </c>
      <c r="N600" s="15" t="str">
        <f>VLOOKUP(I600,CHOOSE({1,2},Table17[Native],Table17[Name]),2,0)</f>
        <v>Dōngyíng Shì</v>
      </c>
      <c r="O600" s="15" t="str">
        <f t="shared" si="18"/>
        <v>Huanghelu Jiedao (Dōngyíng Shì)</v>
      </c>
      <c r="P600" s="15" t="str">
        <f t="shared" si="19"/>
        <v>Huanghelu Jiedao (Dōngyíng Shì)</v>
      </c>
    </row>
    <row r="601" spans="1:16" hidden="1" x14ac:dyDescent="0.25">
      <c r="A601" t="s">
        <v>282</v>
      </c>
      <c r="B601" t="str">
        <f>IF(COUNTIF(A:A,A601)&gt;1,_xlfn.CONCAT(A601," (",N601,")"),A601)</f>
        <v>Huánghéyá Zhèn</v>
      </c>
      <c r="C601" t="str">
        <f>IF(COUNTIF(B:B,B601)&gt;1,_xlfn.CONCAT(A601," (",M601,")"),B601)</f>
        <v>Huánghéyá Zhèn</v>
      </c>
      <c r="D601" t="s">
        <v>283</v>
      </c>
      <c r="E601" t="s">
        <v>13</v>
      </c>
      <c r="F601" t="str">
        <f>_xlfn.CONCAT(D601,", ",H601,", ",I601,", ","山东省")</f>
        <v>黄河涯镇, 德城区, 德州市, 山东省</v>
      </c>
      <c r="G601">
        <v>49250</v>
      </c>
      <c r="H601" t="s">
        <v>3643</v>
      </c>
      <c r="I601" t="s">
        <v>3642</v>
      </c>
      <c r="J601">
        <f>VLOOKUP(F601,[1]!china_towns_second__2[[Column1]:[Y]],3,FALSE)</f>
        <v>37.331414335476403</v>
      </c>
      <c r="K601">
        <f>VLOOKUP(F601,[1]!china_towns_second__2[[Column1]:[Y]],2,FALSE)</f>
        <v>116.31864729999999</v>
      </c>
      <c r="L601" t="s">
        <v>5434</v>
      </c>
      <c r="M601" t="str">
        <f>VLOOKUP(H601,CHOOSE({1,2},Table17[Native],Table17[Name]),2,0)</f>
        <v>Déchéng Qū</v>
      </c>
      <c r="N601" s="15" t="str">
        <f>VLOOKUP(I601,CHOOSE({1,2},Table17[Native],Table17[Name]),2,0)</f>
        <v>Dézhōu Shì</v>
      </c>
      <c r="O601" s="15" t="str">
        <f t="shared" si="18"/>
        <v>Huangheya Zhen (Dézhōu Shì)</v>
      </c>
      <c r="P601" s="15" t="str">
        <f t="shared" si="19"/>
        <v>Huangheya Zhen (Dézhōu Shì)</v>
      </c>
    </row>
    <row r="602" spans="1:16" hidden="1" x14ac:dyDescent="0.25">
      <c r="A602" t="s">
        <v>2747</v>
      </c>
      <c r="B602" t="str">
        <f>IF(COUNTIF(A:A,A602)&gt;1,_xlfn.CONCAT(A602," (",N602,")"),A602)</f>
        <v>Huánghuá Zhèn</v>
      </c>
      <c r="C602" t="str">
        <f>IF(COUNTIF(B:B,B602)&gt;1,_xlfn.CONCAT(A602," (",M602,")"),B602)</f>
        <v>Huánghuá Zhèn</v>
      </c>
      <c r="D602" t="s">
        <v>2748</v>
      </c>
      <c r="E602" t="s">
        <v>13</v>
      </c>
      <c r="F602" t="str">
        <f>_xlfn.CONCAT(D602,", ",H602,", ",I602,", ","山东省")</f>
        <v>皇华镇, 诸城市, 潍坊市, 山东省</v>
      </c>
      <c r="G602">
        <v>65646</v>
      </c>
      <c r="H602" t="s">
        <v>3763</v>
      </c>
      <c r="I602" t="s">
        <v>3751</v>
      </c>
      <c r="J602">
        <f>VLOOKUP(F602,[1]!china_towns_second__2[[Column1]:[Y]],3,FALSE)</f>
        <v>35.871288296129102</v>
      </c>
      <c r="K602">
        <f>VLOOKUP(F602,[1]!china_towns_second__2[[Column1]:[Y]],2,FALSE)</f>
        <v>119.43652040000001</v>
      </c>
      <c r="L602" t="s">
        <v>5435</v>
      </c>
      <c r="M602" t="str">
        <f>VLOOKUP(H602,CHOOSE({1,2},Table17[Native],Table17[Name]),2,0)</f>
        <v>Zhūchéng Shì</v>
      </c>
      <c r="N602" s="15" t="str">
        <f>VLOOKUP(I602,CHOOSE({1,2},Table17[Native],Table17[Name]),2,0)</f>
        <v>Wéifāng Shì</v>
      </c>
      <c r="O602" s="15" t="str">
        <f t="shared" si="18"/>
        <v>Huanghua Zhen (Wéifāng Shì)</v>
      </c>
      <c r="P602" s="15" t="str">
        <f t="shared" si="19"/>
        <v>Huanghua Zhen (Wéifāng Shì)</v>
      </c>
    </row>
    <row r="603" spans="1:16" hidden="1" x14ac:dyDescent="0.25">
      <c r="A603" t="s">
        <v>718</v>
      </c>
      <c r="B603" t="str">
        <f>IF(COUNTIF(A:A,A603)&gt;1,_xlfn.CONCAT(A603," (",N603,")"),A603)</f>
        <v>Huángjí Zhèn</v>
      </c>
      <c r="C603" t="str">
        <f>IF(COUNTIF(B:B,B603)&gt;1,_xlfn.CONCAT(A603," (",M603,")"),B603)</f>
        <v>Huángjí Zhèn</v>
      </c>
      <c r="D603" t="s">
        <v>719</v>
      </c>
      <c r="E603" t="s">
        <v>13</v>
      </c>
      <c r="F603" t="str">
        <f>_xlfn.CONCAT(D603,", ",H603,", ",I603,", ","山东省")</f>
        <v>黄集镇, 郓城县, 菏泽市, 山东省</v>
      </c>
      <c r="G603">
        <v>38738</v>
      </c>
      <c r="H603" t="s">
        <v>3671</v>
      </c>
      <c r="I603" t="s">
        <v>3662</v>
      </c>
      <c r="J603">
        <f>VLOOKUP(F603,[1]!china_towns_second__2[[Column1]:[Y]],3,FALSE)</f>
        <v>35.804014746171298</v>
      </c>
      <c r="K603">
        <f>VLOOKUP(F603,[1]!china_towns_second__2[[Column1]:[Y]],2,FALSE)</f>
        <v>115.8523684</v>
      </c>
      <c r="L603" t="s">
        <v>5436</v>
      </c>
      <c r="M603" t="str">
        <f>VLOOKUP(H603,CHOOSE({1,2},Table17[Native],Table17[Name]),2,0)</f>
        <v>Yùnchéng Xiàn</v>
      </c>
      <c r="N603" s="15" t="str">
        <f>VLOOKUP(I603,CHOOSE({1,2},Table17[Native],Table17[Name]),2,0)</f>
        <v>Hézé Shì</v>
      </c>
      <c r="O603" s="15" t="str">
        <f t="shared" si="18"/>
        <v>Huangji Zhen (Hézé Shì)</v>
      </c>
      <c r="P603" s="15" t="str">
        <f t="shared" si="19"/>
        <v>Huangji Zhen (Hézé Shì)</v>
      </c>
    </row>
    <row r="604" spans="1:16" hidden="1" x14ac:dyDescent="0.25">
      <c r="A604" t="s">
        <v>284</v>
      </c>
      <c r="B604" t="str">
        <f>IF(COUNTIF(A:A,A604)&gt;1,_xlfn.CONCAT(A604," (",N604,")"),A604)</f>
        <v>Huángjiā Zhèn</v>
      </c>
      <c r="C604" t="str">
        <f>IF(COUNTIF(B:B,B604)&gt;1,_xlfn.CONCAT(A604," (",M604,")"),B604)</f>
        <v>Huángjiā Zhèn</v>
      </c>
      <c r="D604" t="s">
        <v>285</v>
      </c>
      <c r="E604" t="s">
        <v>13</v>
      </c>
      <c r="F604" t="str">
        <f>_xlfn.CONCAT(D604,", ",H604,", ",I604,", ","山东省")</f>
        <v>黄夹镇, 乐陵市, 德州市, 山东省</v>
      </c>
      <c r="G604">
        <v>57084</v>
      </c>
      <c r="H604" t="s">
        <v>3644</v>
      </c>
      <c r="I604" t="s">
        <v>3642</v>
      </c>
      <c r="J604">
        <f>VLOOKUP(F604,[1]!china_towns_second__2[[Column1]:[Y]],3,FALSE)</f>
        <v>37.779303908350997</v>
      </c>
      <c r="K604">
        <f>VLOOKUP(F604,[1]!china_towns_second__2[[Column1]:[Y]],2,FALSE)</f>
        <v>117.0486097</v>
      </c>
      <c r="L604" t="s">
        <v>5437</v>
      </c>
      <c r="M604" t="str">
        <f>VLOOKUP(H604,CHOOSE({1,2},Table17[Native],Table17[Name]),2,0)</f>
        <v>Lèlíng Shì</v>
      </c>
      <c r="N604" s="15" t="str">
        <f>VLOOKUP(I604,CHOOSE({1,2},Table17[Native],Table17[Name]),2,0)</f>
        <v>Dézhōu Shì</v>
      </c>
      <c r="O604" s="15" t="str">
        <f t="shared" si="18"/>
        <v>Huangjia Zhen (Dézhōu Shì)</v>
      </c>
      <c r="P604" s="15" t="str">
        <f t="shared" si="19"/>
        <v>Huangjia Zhen (Dézhōu Shì)</v>
      </c>
    </row>
    <row r="605" spans="1:16" hidden="1" x14ac:dyDescent="0.25">
      <c r="A605" t="s">
        <v>2749</v>
      </c>
      <c r="B605" t="str">
        <f>IF(COUNTIF(A:A,A605)&gt;1,_xlfn.CONCAT(A605," (",N605,")"),A605)</f>
        <v>Huánglóu Jiēdào</v>
      </c>
      <c r="C605" t="str">
        <f>IF(COUNTIF(B:B,B605)&gt;1,_xlfn.CONCAT(A605," (",M605,")"),B605)</f>
        <v>Huánglóu Jiēdào</v>
      </c>
      <c r="D605" t="s">
        <v>2750</v>
      </c>
      <c r="E605" t="s">
        <v>7</v>
      </c>
      <c r="F605" t="str">
        <f>_xlfn.CONCAT(D605,", ",H605,", ",I605,", ","山东省")</f>
        <v>黄楼街道, 青州市, 潍坊市, 山东省</v>
      </c>
      <c r="G605">
        <v>80055</v>
      </c>
      <c r="H605" t="s">
        <v>3760</v>
      </c>
      <c r="I605" t="s">
        <v>3751</v>
      </c>
      <c r="J605">
        <f>VLOOKUP(F605,[1]!china_towns_second__2[[Column1]:[Y]],3,FALSE)</f>
        <v>36.674772528594097</v>
      </c>
      <c r="K605">
        <f>VLOOKUP(F605,[1]!china_towns_second__2[[Column1]:[Y]],2,FALSE)</f>
        <v>118.5891764</v>
      </c>
      <c r="L605" t="s">
        <v>5438</v>
      </c>
      <c r="M605" t="str">
        <f>VLOOKUP(H605,CHOOSE({1,2},Table17[Native],Table17[Name]),2,0)</f>
        <v>Qīngzhōu Shì</v>
      </c>
      <c r="N605" s="15" t="str">
        <f>VLOOKUP(I605,CHOOSE({1,2},Table17[Native],Table17[Name]),2,0)</f>
        <v>Wéifāng Shì</v>
      </c>
      <c r="O605" s="15" t="str">
        <f t="shared" si="18"/>
        <v>Huanglou Jiedao (Wéifāng Shì)</v>
      </c>
      <c r="P605" s="15" t="str">
        <f t="shared" si="19"/>
        <v>Huanglou Jiedao (Wéifāng Shì)</v>
      </c>
    </row>
    <row r="606" spans="1:16" hidden="1" x14ac:dyDescent="0.25">
      <c r="A606" t="s">
        <v>720</v>
      </c>
      <c r="B606" t="str">
        <f>IF(COUNTIF(A:A,A606)&gt;1,_xlfn.CONCAT(A606," (",N606,")"),A606)</f>
        <v>Huángnígāng Zhèn [Huángduījí Zhèn]</v>
      </c>
      <c r="C606" t="str">
        <f>IF(COUNTIF(B:B,B606)&gt;1,_xlfn.CONCAT(A606," (",M606,")"),B606)</f>
        <v>Huángnígāng Zhèn [Huángduījí Zhèn]</v>
      </c>
      <c r="D606" t="s">
        <v>721</v>
      </c>
      <c r="E606" t="s">
        <v>13</v>
      </c>
      <c r="F606" t="str">
        <f>_xlfn.CONCAT(D606,", ",H606,", ",I606,", ","山东省")</f>
        <v>黄泥冈镇, 郓城县, 菏泽市, 山东省</v>
      </c>
      <c r="G606">
        <v>34456</v>
      </c>
      <c r="H606" t="s">
        <v>3671</v>
      </c>
      <c r="I606" t="s">
        <v>3662</v>
      </c>
      <c r="J606">
        <f>VLOOKUP(F606,[1]!china_towns_second__2[[Column1]:[Y]],3,FALSE)</f>
        <v>35.532300704513503</v>
      </c>
      <c r="K606">
        <f>VLOOKUP(F606,[1]!china_towns_second__2[[Column1]:[Y]],2,FALSE)</f>
        <v>116.08226980000001</v>
      </c>
      <c r="L606" t="s">
        <v>5439</v>
      </c>
      <c r="M606" t="str">
        <f>VLOOKUP(H606,CHOOSE({1,2},Table17[Native],Table17[Name]),2,0)</f>
        <v>Yùnchéng Xiàn</v>
      </c>
      <c r="N606" s="15" t="str">
        <f>VLOOKUP(I606,CHOOSE({1,2},Table17[Native],Table17[Name]),2,0)</f>
        <v>Hézé Shì</v>
      </c>
      <c r="O606" s="15" t="str">
        <f t="shared" si="18"/>
        <v>Huangnigang Zhen [Huangduiji Zhen] (Hézé Shì)</v>
      </c>
      <c r="P606" s="15" t="str">
        <f t="shared" si="19"/>
        <v>Huangnigang Zhen [Huangduiji Zhen] (Hézé Shì)</v>
      </c>
    </row>
    <row r="607" spans="1:16" hidden="1" x14ac:dyDescent="0.25">
      <c r="A607" t="s">
        <v>2565</v>
      </c>
      <c r="B607" t="str">
        <f>IF(COUNTIF(A:A,A607)&gt;1,_xlfn.CONCAT(A607," (",N607,")"),A607)</f>
        <v>Huángqián Zhèn</v>
      </c>
      <c r="C607" t="str">
        <f>IF(COUNTIF(B:B,B607)&gt;1,_xlfn.CONCAT(A607," (",M607,")"),B607)</f>
        <v>Huángqián Zhèn</v>
      </c>
      <c r="D607" t="s">
        <v>2566</v>
      </c>
      <c r="E607" t="s">
        <v>13</v>
      </c>
      <c r="F607" t="str">
        <f>_xlfn.CONCAT(D607,", ",H607,", ",I607,", ","山东省")</f>
        <v>黄前镇, 岱岳区, 泰安市, 山东省</v>
      </c>
      <c r="G607">
        <v>31942</v>
      </c>
      <c r="H607" t="s">
        <v>3744</v>
      </c>
      <c r="I607" t="s">
        <v>3743</v>
      </c>
      <c r="J607">
        <f>VLOOKUP(F607,[1]!china_towns_second__2[[Column1]:[Y]],3,FALSE)</f>
        <v>36.3270919914697</v>
      </c>
      <c r="K607">
        <f>VLOOKUP(F607,[1]!china_towns_second__2[[Column1]:[Y]],2,FALSE)</f>
        <v>117.2086771</v>
      </c>
      <c r="L607" t="s">
        <v>5440</v>
      </c>
      <c r="M607" t="str">
        <f>VLOOKUP(H607,CHOOSE({1,2},Table17[Native],Table17[Name]),2,0)</f>
        <v>Dàiyuè Qū</v>
      </c>
      <c r="N607" s="15" t="str">
        <f>VLOOKUP(I607,CHOOSE({1,2},Table17[Native],Table17[Name]),2,0)</f>
        <v>Tài'ān Shì</v>
      </c>
      <c r="O607" s="15" t="str">
        <f t="shared" si="18"/>
        <v>Huangqian Zhen (Tài'ān Shì)</v>
      </c>
      <c r="P607" s="15" t="str">
        <f t="shared" si="19"/>
        <v>Huangqian Zhen (Tài'ān Shì)</v>
      </c>
    </row>
    <row r="608" spans="1:16" hidden="1" x14ac:dyDescent="0.25">
      <c r="A608" t="s">
        <v>2751</v>
      </c>
      <c r="B608" t="str">
        <f>IF(COUNTIF(A:A,A608)&gt;1,_xlfn.CONCAT(A608," (",N608,")"),A608)</f>
        <v>Huángqíbăo Jiēdào</v>
      </c>
      <c r="C608" t="str">
        <f>IF(COUNTIF(B:B,B608)&gt;1,_xlfn.CONCAT(A608," (",M608,")"),B608)</f>
        <v>Huángqíbăo Jiēdào</v>
      </c>
      <c r="D608" t="s">
        <v>2752</v>
      </c>
      <c r="E608" t="s">
        <v>7</v>
      </c>
      <c r="F608" t="str">
        <f>_xlfn.CONCAT(D608,", ",H608,", ",I608,", ","山东省")</f>
        <v>黄旗堡街道, 坊子区, 潍坊市, 山东省</v>
      </c>
      <c r="G608">
        <v>47838</v>
      </c>
      <c r="H608" t="s">
        <v>3755</v>
      </c>
      <c r="I608" t="s">
        <v>3751</v>
      </c>
      <c r="J608">
        <f>VLOOKUP(F608,[1]!china_towns_second__2[[Column1]:[Y]],3,FALSE)</f>
        <v>36.5523328621613</v>
      </c>
      <c r="K608">
        <f>VLOOKUP(F608,[1]!china_towns_second__2[[Column1]:[Y]],2,FALSE)</f>
        <v>119.342991</v>
      </c>
      <c r="L608" t="s">
        <v>5441</v>
      </c>
      <c r="M608" t="str">
        <f>VLOOKUP(H608,CHOOSE({1,2},Table17[Native],Table17[Name]),2,0)</f>
        <v>Fāngzi Qū</v>
      </c>
      <c r="N608" s="15" t="str">
        <f>VLOOKUP(I608,CHOOSE({1,2},Table17[Native],Table17[Name]),2,0)</f>
        <v>Wéifāng Shì</v>
      </c>
      <c r="O608" s="15" t="str">
        <f t="shared" si="18"/>
        <v>Huangqibao Jiedao (Wéifāng Shì)</v>
      </c>
      <c r="P608" s="15" t="str">
        <f t="shared" si="19"/>
        <v>Huangqibao Jiedao (Wéifāng Shì)</v>
      </c>
    </row>
    <row r="609" spans="1:16" hidden="1" x14ac:dyDescent="0.25">
      <c r="A609" t="s">
        <v>73</v>
      </c>
      <c r="B609" t="str">
        <f>IF(COUNTIF(A:A,A609)&gt;1,_xlfn.CONCAT(A609," (",N609,")"),A609)</f>
        <v>Huángshān Jiēdào</v>
      </c>
      <c r="C609" t="str">
        <f>IF(COUNTIF(B:B,B609)&gt;1,_xlfn.CONCAT(A609," (",M609,")"),B609)</f>
        <v>Huángshān Jiēdào</v>
      </c>
      <c r="D609" t="s">
        <v>74</v>
      </c>
      <c r="E609" t="s">
        <v>7</v>
      </c>
      <c r="F609" t="str">
        <f>_xlfn.CONCAT(D609,", ",H609,", ",I609,", ","山东省")</f>
        <v>黄山街道, 邹平市, 滨州市, 山东省</v>
      </c>
      <c r="G609">
        <v>48205</v>
      </c>
      <c r="H609" t="s">
        <v>3640</v>
      </c>
      <c r="I609" t="s">
        <v>3630</v>
      </c>
      <c r="J609">
        <f>VLOOKUP(F609,[1]!china_towns_second__2[[Column1]:[Y]],3,FALSE)</f>
        <v>36.859534866024703</v>
      </c>
      <c r="K609">
        <f>VLOOKUP(F609,[1]!china_towns_second__2[[Column1]:[Y]],2,FALSE)</f>
        <v>117.71583699999999</v>
      </c>
      <c r="L609" t="s">
        <v>5442</v>
      </c>
      <c r="M609" t="str">
        <f>VLOOKUP(H609,CHOOSE({1,2},Table17[Native],Table17[Name]),2,0)</f>
        <v>Zōupíng Shì</v>
      </c>
      <c r="N609" s="15" t="str">
        <f>VLOOKUP(I609,CHOOSE({1,2},Table17[Native],Table17[Name]),2,0)</f>
        <v>Bīnzhōu Shì</v>
      </c>
      <c r="O609" s="15" t="str">
        <f t="shared" si="18"/>
        <v>Huangshan Jiedao (Bīnzhōu Shì)</v>
      </c>
      <c r="P609" s="15" t="str">
        <f t="shared" si="19"/>
        <v>Huangshan Jiedao (Bīnzhōu Shì)</v>
      </c>
    </row>
    <row r="610" spans="1:16" hidden="1" x14ac:dyDescent="0.25">
      <c r="A610" t="s">
        <v>1897</v>
      </c>
      <c r="B610" t="str">
        <f>IF(COUNTIF(A:A,A610)&gt;1,_xlfn.CONCAT(A610," (",N610,")"),A610)</f>
        <v>Huángshān Zhèn</v>
      </c>
      <c r="C610" t="str">
        <f>IF(COUNTIF(B:B,B610)&gt;1,_xlfn.CONCAT(A610," (",M610,")"),B610)</f>
        <v>Huángshān Zhèn</v>
      </c>
      <c r="D610" t="s">
        <v>1898</v>
      </c>
      <c r="E610" t="s">
        <v>13</v>
      </c>
      <c r="F610" t="str">
        <f>_xlfn.CONCAT(D610,", ",H610,", ",I610,", ","山东省")</f>
        <v>黄山镇, 罗庄区, 临沂市, 山东省</v>
      </c>
      <c r="G610">
        <v>45372</v>
      </c>
      <c r="H610" t="s">
        <v>3717</v>
      </c>
      <c r="I610" t="s">
        <v>3710</v>
      </c>
      <c r="J610">
        <f>VLOOKUP(F610,[1]!china_towns_second__2[[Column1]:[Y]],3,FALSE)</f>
        <v>34.835225004007803</v>
      </c>
      <c r="K610">
        <f>VLOOKUP(F610,[1]!china_towns_second__2[[Column1]:[Y]],2,FALSE)</f>
        <v>118.3130029</v>
      </c>
      <c r="L610" t="s">
        <v>5443</v>
      </c>
      <c r="M610" t="str">
        <f>VLOOKUP(H610,CHOOSE({1,2},Table17[Native],Table17[Name]),2,0)</f>
        <v>Luózhuāng Qū</v>
      </c>
      <c r="N610" s="15" t="str">
        <f>VLOOKUP(I610,CHOOSE({1,2},Table17[Native],Table17[Name]),2,0)</f>
        <v>Línyí Shì</v>
      </c>
      <c r="O610" s="15" t="str">
        <f t="shared" si="18"/>
        <v>Huangshan Zhen (Línyí Shì)</v>
      </c>
      <c r="P610" s="15" t="str">
        <f t="shared" si="19"/>
        <v>Huangshan Zhen (Línyí Shì)</v>
      </c>
    </row>
    <row r="611" spans="1:16" hidden="1" x14ac:dyDescent="0.25">
      <c r="A611" t="s">
        <v>3147</v>
      </c>
      <c r="B611" t="str">
        <f>IF(COUNTIF(A:A,A611)&gt;1,_xlfn.CONCAT(A611," (",N611,")"),A611)</f>
        <v>Huángshānguăn Zhèn</v>
      </c>
      <c r="C611" t="str">
        <f>IF(COUNTIF(B:B,B611)&gt;1,_xlfn.CONCAT(A611," (",M611,")"),B611)</f>
        <v>Huángshānguăn Zhèn</v>
      </c>
      <c r="D611" t="s">
        <v>3148</v>
      </c>
      <c r="E611" t="s">
        <v>13</v>
      </c>
      <c r="F611" t="str">
        <f>_xlfn.CONCAT(D611,", ",H611,", ",I611,", ","山东省")</f>
        <v>黄山馆镇, 龙口市, 烟台市, 山东省</v>
      </c>
      <c r="G611">
        <v>11044</v>
      </c>
      <c r="H611" t="s">
        <v>3777</v>
      </c>
      <c r="I611" t="s">
        <v>3771</v>
      </c>
      <c r="J611">
        <f>VLOOKUP(F611,[1]!china_towns_second__2[[Column1]:[Y]],3,FALSE)</f>
        <v>37.567022797606199</v>
      </c>
      <c r="K611">
        <f>VLOOKUP(F611,[1]!china_towns_second__2[[Column1]:[Y]],2,FALSE)</f>
        <v>120.2665377</v>
      </c>
      <c r="L611" t="s">
        <v>5444</v>
      </c>
      <c r="M611" t="str">
        <f>VLOOKUP(H611,CHOOSE({1,2},Table17[Native],Table17[Name]),2,0)</f>
        <v>Lóngkŏu Shì</v>
      </c>
      <c r="N611" s="15" t="str">
        <f>VLOOKUP(I611,CHOOSE({1,2},Table17[Native],Table17[Name]),2,0)</f>
        <v>Yāntái Shì</v>
      </c>
      <c r="O611" s="15" t="str">
        <f t="shared" si="18"/>
        <v>Huangshanguan Zhen (Yāntái Shì)</v>
      </c>
      <c r="P611" s="15" t="str">
        <f t="shared" si="19"/>
        <v>Huangshanguan Zhen (Yāntái Shì)</v>
      </c>
    </row>
    <row r="612" spans="1:16" hidden="1" x14ac:dyDescent="0.25">
      <c r="A612" t="s">
        <v>1895</v>
      </c>
      <c r="B612" t="str">
        <f>IF(COUNTIF(A:A,A612)&gt;1,_xlfn.CONCAT(A612," (",N612,")"),A612)</f>
        <v>Huángshānpū Zhèn</v>
      </c>
      <c r="C612" t="str">
        <f>IF(COUNTIF(B:B,B612)&gt;1,_xlfn.CONCAT(A612," (",M612,")"),B612)</f>
        <v>Huángshānpū Zhèn</v>
      </c>
      <c r="D612" t="s">
        <v>1896</v>
      </c>
      <c r="E612" t="s">
        <v>13</v>
      </c>
      <c r="F612" t="str">
        <f>_xlfn.CONCAT(D612,", ",H612,", ",I612,", ","山东省")</f>
        <v>黄山铺镇, 沂水县, 临沂市, 山东省</v>
      </c>
      <c r="G612">
        <v>42347</v>
      </c>
      <c r="H612" t="s">
        <v>3722</v>
      </c>
      <c r="I612" t="s">
        <v>3710</v>
      </c>
      <c r="J612">
        <f>VLOOKUP(F612,[1]!china_towns_second__2[[Column1]:[Y]],3,FALSE)</f>
        <v>35.790034310662499</v>
      </c>
      <c r="K612">
        <f>VLOOKUP(F612,[1]!china_towns_second__2[[Column1]:[Y]],2,FALSE)</f>
        <v>118.5069465</v>
      </c>
      <c r="L612" t="s">
        <v>5445</v>
      </c>
      <c r="M612" t="str">
        <f>VLOOKUP(H612,CHOOSE({1,2},Table17[Native],Table17[Name]),2,0)</f>
        <v>Yíshuĭ Xiàn</v>
      </c>
      <c r="N612" s="15" t="str">
        <f>VLOOKUP(I612,CHOOSE({1,2},Table17[Native],Table17[Name]),2,0)</f>
        <v>Línyí Shì</v>
      </c>
      <c r="O612" s="15" t="str">
        <f t="shared" si="18"/>
        <v>Huangshanpu Zhen (Línyí Shì)</v>
      </c>
      <c r="P612" s="15" t="str">
        <f t="shared" si="19"/>
        <v>Huangshanpu Zhen (Línyí Shì)</v>
      </c>
    </row>
    <row r="613" spans="1:16" hidden="1" x14ac:dyDescent="0.25">
      <c r="A613" t="s">
        <v>75</v>
      </c>
      <c r="B613" t="str">
        <f>IF(COUNTIF(A:A,A613)&gt;1,_xlfn.CONCAT(A613," (",N613,")"),A613)</f>
        <v>Huángshēng Zhèn</v>
      </c>
      <c r="C613" t="str">
        <f>IF(COUNTIF(B:B,B613)&gt;1,_xlfn.CONCAT(A613," (",M613,")"),B613)</f>
        <v>Huángshēng Zhèn</v>
      </c>
      <c r="D613" t="s">
        <v>76</v>
      </c>
      <c r="E613" t="s">
        <v>13</v>
      </c>
      <c r="F613" t="str">
        <f>_xlfn.CONCAT(D613,", ",H613,", ",I613,", ","山东省")</f>
        <v>黄升镇, 沾化区, 滨州市, 山东省</v>
      </c>
      <c r="G613">
        <v>21856</v>
      </c>
      <c r="H613" t="s">
        <v>3638</v>
      </c>
      <c r="I613" t="s">
        <v>3630</v>
      </c>
      <c r="J613">
        <f>VLOOKUP(F613,[1]!china_towns_second__2[[Column1]:[Y]],3,FALSE)</f>
        <v>37.627763140022203</v>
      </c>
      <c r="K613">
        <f>VLOOKUP(F613,[1]!china_towns_second__2[[Column1]:[Y]],2,FALSE)</f>
        <v>117.977262</v>
      </c>
      <c r="L613" t="s">
        <v>5446</v>
      </c>
      <c r="M613" t="str">
        <f>VLOOKUP(H613,CHOOSE({1,2},Table17[Native],Table17[Name]),2,0)</f>
        <v>Zhānhuà Qū</v>
      </c>
      <c r="N613" s="15" t="str">
        <f>VLOOKUP(I613,CHOOSE({1,2},Table17[Native],Table17[Name]),2,0)</f>
        <v>Bīnzhōu Shì</v>
      </c>
      <c r="O613" s="15" t="str">
        <f t="shared" si="18"/>
        <v>Huangsheng Zhen (Bīnzhōu Shì)</v>
      </c>
      <c r="P613" s="15" t="str">
        <f t="shared" si="19"/>
        <v>Huangsheng Zhen (Bīnzhōu Shì)</v>
      </c>
    </row>
    <row r="614" spans="1:16" hidden="1" x14ac:dyDescent="0.25">
      <c r="A614" t="s">
        <v>1313</v>
      </c>
      <c r="B614" t="str">
        <f>IF(COUNTIF(A:A,A614)&gt;1,_xlfn.CONCAT(A614," (",N614,")"),A614)</f>
        <v>Huángtún Jiēdào</v>
      </c>
      <c r="C614" t="str">
        <f>IF(COUNTIF(B:B,B614)&gt;1,_xlfn.CONCAT(A614," (",M614,")"),B614)</f>
        <v>Huángtún Jiēdào</v>
      </c>
      <c r="D614" t="s">
        <v>1314</v>
      </c>
      <c r="E614" t="s">
        <v>7</v>
      </c>
      <c r="F614" t="str">
        <f>_xlfn.CONCAT(D614,", ",H614,", ",I614,", ","山东省")</f>
        <v>黄屯街道, 兖州区, 济宁市, 山东省</v>
      </c>
      <c r="G614">
        <v>24060</v>
      </c>
      <c r="H614" t="s">
        <v>3696</v>
      </c>
      <c r="I614" t="s">
        <v>3687</v>
      </c>
      <c r="J614">
        <f>VLOOKUP(F614,[1]!china_towns_second__2[[Column1]:[Y]],3,FALSE)</f>
        <v>35.469509287179697</v>
      </c>
      <c r="K614">
        <f>VLOOKUP(F614,[1]!china_towns_second__2[[Column1]:[Y]],2,FALSE)</f>
        <v>116.7146795</v>
      </c>
      <c r="L614" t="s">
        <v>5447</v>
      </c>
      <c r="M614" t="str">
        <f>VLOOKUP(H614,CHOOSE({1,2},Table17[Native],Table17[Name]),2,0)</f>
        <v>Yănzhōu Qū</v>
      </c>
      <c r="N614" s="15" t="str">
        <f>VLOOKUP(I614,CHOOSE({1,2},Table17[Native],Table17[Name]),2,0)</f>
        <v>Jìníng Shì</v>
      </c>
      <c r="O614" s="15" t="str">
        <f t="shared" si="18"/>
        <v>Huangtun Jiedao (Jìníng Shì)</v>
      </c>
      <c r="P614" s="15" t="str">
        <f t="shared" si="19"/>
        <v>Huangtun Jiedao (Jìníng Shì)</v>
      </c>
    </row>
    <row r="615" spans="1:16" hidden="1" x14ac:dyDescent="0.25">
      <c r="A615" t="s">
        <v>3149</v>
      </c>
      <c r="B615" t="str">
        <f>IF(COUNTIF(A:A,A615)&gt;1,_xlfn.CONCAT(A615," (",N615,")"),A615)</f>
        <v>Huángwù Jiēdào</v>
      </c>
      <c r="C615" t="str">
        <f>IF(COUNTIF(B:B,B615)&gt;1,_xlfn.CONCAT(A615," (",M615,")"),B615)</f>
        <v>Huángwù Jiēdào</v>
      </c>
      <c r="D615" t="s">
        <v>3150</v>
      </c>
      <c r="E615" t="s">
        <v>7</v>
      </c>
      <c r="F615" t="str">
        <f>_xlfn.CONCAT(D615,", ",H615,", ",I615,", ","山东省")</f>
        <v>黄务街道, 芝罘区, 烟台市, 山东省</v>
      </c>
      <c r="G615">
        <v>63625</v>
      </c>
      <c r="H615" t="s">
        <v>3782</v>
      </c>
      <c r="I615" t="s">
        <v>3771</v>
      </c>
      <c r="J615">
        <f>VLOOKUP(F615,[1]!china_towns_second__2[[Column1]:[Y]],3,FALSE)</f>
        <v>37.459591236506</v>
      </c>
      <c r="K615">
        <f>VLOOKUP(F615,[1]!china_towns_second__2[[Column1]:[Y]],2,FALSE)</f>
        <v>121.34975319999999</v>
      </c>
      <c r="L615" t="s">
        <v>5448</v>
      </c>
      <c r="M615" t="str">
        <f>VLOOKUP(H615,CHOOSE({1,2},Table17[Native],Table17[Name]),2,0)</f>
        <v>Zhīfú Qū</v>
      </c>
      <c r="N615" s="15" t="str">
        <f>VLOOKUP(I615,CHOOSE({1,2},Table17[Native],Table17[Name]),2,0)</f>
        <v>Yāntái Shì</v>
      </c>
      <c r="O615" s="15" t="str">
        <f t="shared" si="18"/>
        <v>Huangwu Jiedao (Yāntái Shì)</v>
      </c>
      <c r="P615" s="15" t="str">
        <f t="shared" si="19"/>
        <v>Huangwu Jiedao (Yāntái Shì)</v>
      </c>
    </row>
    <row r="616" spans="1:16" hidden="1" x14ac:dyDescent="0.25">
      <c r="A616" t="s">
        <v>722</v>
      </c>
      <c r="B616" t="str">
        <f>IF(COUNTIF(A:A,A616)&gt;1,_xlfn.CONCAT(A616," (",N616,")"),A616)</f>
        <v>Huángzhèn Xiāng</v>
      </c>
      <c r="C616" t="str">
        <f>IF(COUNTIF(B:B,B616)&gt;1,_xlfn.CONCAT(A616," (",M616,")"),B616)</f>
        <v>Huángzhèn Xiāng</v>
      </c>
      <c r="D616" t="s">
        <v>723</v>
      </c>
      <c r="E616" t="s">
        <v>7</v>
      </c>
      <c r="F616" t="str">
        <f>_xlfn.CONCAT(D616,", ",H616,", ",I616,", ","山东省")</f>
        <v>皇镇街道, 牡丹区, 菏泽市, 山东省</v>
      </c>
      <c r="G616">
        <v>30418</v>
      </c>
      <c r="H616" t="s">
        <v>3669</v>
      </c>
      <c r="I616" t="s">
        <v>3662</v>
      </c>
      <c r="J616" t="e">
        <f>VLOOKUP(F616,[1]!china_towns_second__2[[Column1]:[Y]],3,FALSE)</f>
        <v>#N/A</v>
      </c>
      <c r="K616" t="e">
        <f>VLOOKUP(F616,[1]!china_towns_second__2[[Column1]:[Y]],2,FALSE)</f>
        <v>#N/A</v>
      </c>
      <c r="L616" t="s">
        <v>5449</v>
      </c>
      <c r="M616" t="str">
        <f>VLOOKUP(H616,CHOOSE({1,2},Table17[Native],Table17[Name]),2,0)</f>
        <v>Mŭdān Qū</v>
      </c>
      <c r="N616" s="15" t="str">
        <f>VLOOKUP(I616,CHOOSE({1,2},Table17[Native],Table17[Name]),2,0)</f>
        <v>Hézé Shì</v>
      </c>
      <c r="O616" s="15" t="str">
        <f t="shared" si="18"/>
        <v>Huangzhen Xiang (Hézé Shì)</v>
      </c>
      <c r="P616" s="15" t="str">
        <f t="shared" si="19"/>
        <v>Huangzhen Xiang (Hézé Shì)</v>
      </c>
    </row>
    <row r="617" spans="1:16" hidden="1" x14ac:dyDescent="0.25">
      <c r="A617" t="s">
        <v>2946</v>
      </c>
      <c r="B617" t="str">
        <f>IF(COUNTIF(A:A,A617)&gt;1,_xlfn.CONCAT(A617," (",N617,")"),A617)</f>
        <v>Huánshānlù Jiēdào</v>
      </c>
      <c r="C617" t="str">
        <f>IF(COUNTIF(B:B,B617)&gt;1,_xlfn.CONCAT(A617," (",M617,")"),B617)</f>
        <v>Huánshānlù Jiēdào</v>
      </c>
      <c r="D617" t="s">
        <v>2947</v>
      </c>
      <c r="E617" t="s">
        <v>7</v>
      </c>
      <c r="F617" t="str">
        <f>_xlfn.CONCAT(D617,", ",H617,", ",I617,", ","山东省")</f>
        <v>环山路街道, 文登区, 威海市, 山东省</v>
      </c>
      <c r="G617">
        <v>74383</v>
      </c>
      <c r="H617" t="s">
        <v>3769</v>
      </c>
      <c r="I617" t="s">
        <v>3765</v>
      </c>
      <c r="J617">
        <f>VLOOKUP(F617,[1]!china_towns_second__2[[Column1]:[Y]],3,FALSE)</f>
        <v>37.166422777276097</v>
      </c>
      <c r="K617">
        <f>VLOOKUP(F617,[1]!china_towns_second__2[[Column1]:[Y]],2,FALSE)</f>
        <v>122.0325776</v>
      </c>
      <c r="L617" t="s">
        <v>5450</v>
      </c>
      <c r="M617" t="str">
        <f>VLOOKUP(H617,CHOOSE({1,2},Table17[Native],Table17[Name]),2,0)</f>
        <v>Wéndēng Qū</v>
      </c>
      <c r="N617" s="15" t="str">
        <f>VLOOKUP(I617,CHOOSE({1,2},Table17[Native],Table17[Name]),2,0)</f>
        <v>Wēihăi Shì</v>
      </c>
      <c r="O617" s="15" t="str">
        <f t="shared" si="18"/>
        <v>Huanshanlu Jiedao (Wēihăi Shì)</v>
      </c>
      <c r="P617" s="15" t="str">
        <f t="shared" si="19"/>
        <v>Huanshanlu Jiedao (Wēihăi Shì)</v>
      </c>
    </row>
    <row r="618" spans="1:16" hidden="1" x14ac:dyDescent="0.25">
      <c r="A618" t="s">
        <v>2200</v>
      </c>
      <c r="B618" t="str">
        <f>IF(COUNTIF(A:A,A618)&gt;1,_xlfn.CONCAT(A618," (",N618,")"),A618)</f>
        <v>Huánxiù Jiēdào</v>
      </c>
      <c r="C618" t="str">
        <f>IF(COUNTIF(B:B,B618)&gt;1,_xlfn.CONCAT(A618," (",M618,")"),B618)</f>
        <v>Huánxiù Jiēdào</v>
      </c>
      <c r="D618" t="s">
        <v>2201</v>
      </c>
      <c r="E618" t="s">
        <v>7</v>
      </c>
      <c r="F618" t="str">
        <f>_xlfn.CONCAT(D618,", ",H618,", ",I618,", ","山东省")</f>
        <v>环秀街道, 即墨区, 青岛市, 山东省</v>
      </c>
      <c r="G618">
        <v>70109</v>
      </c>
      <c r="H618" t="s">
        <v>3728</v>
      </c>
      <c r="I618" t="s">
        <v>3724</v>
      </c>
      <c r="J618">
        <f>VLOOKUP(F618,[1]!china_towns_second__2[[Column1]:[Y]],3,FALSE)</f>
        <v>36.355458775553103</v>
      </c>
      <c r="K618">
        <f>VLOOKUP(F618,[1]!china_towns_second__2[[Column1]:[Y]],2,FALSE)</f>
        <v>120.4590675</v>
      </c>
      <c r="L618" t="s">
        <v>5451</v>
      </c>
      <c r="M618" t="str">
        <f>VLOOKUP(H618,CHOOSE({1,2},Table17[Native],Table17[Name]),2,0)</f>
        <v>Jímò Qū</v>
      </c>
      <c r="N618" s="15" t="str">
        <f>VLOOKUP(I618,CHOOSE({1,2},Table17[Native],Table17[Name]),2,0)</f>
        <v>Qīngdăo Shì</v>
      </c>
      <c r="O618" s="15" t="str">
        <f t="shared" si="18"/>
        <v>Huanxiu Jiedao (Qīngdăo Shì)</v>
      </c>
      <c r="P618" s="15" t="str">
        <f t="shared" si="19"/>
        <v>Huanxiu Jiedao (Qīngdăo Shì)</v>
      </c>
    </row>
    <row r="619" spans="1:16" hidden="1" x14ac:dyDescent="0.25">
      <c r="A619" t="s">
        <v>1016</v>
      </c>
      <c r="B619" t="str">
        <f>IF(COUNTIF(A:A,A619)&gt;1,_xlfn.CONCAT(A619," (",N619,")"),A619)</f>
        <v>Huáshān Jiēdào</v>
      </c>
      <c r="C619" t="str">
        <f>IF(COUNTIF(B:B,B619)&gt;1,_xlfn.CONCAT(A619," (",M619,")"),B619)</f>
        <v>Huáshān Jiēdào</v>
      </c>
      <c r="D619" t="s">
        <v>1017</v>
      </c>
      <c r="E619" t="s">
        <v>7</v>
      </c>
      <c r="F619" t="str">
        <f>_xlfn.CONCAT(D619,", ",H619,", ",I619,", ","山东省")</f>
        <v>华山街道, 历城区, 济南市, 山东省</v>
      </c>
      <c r="G619">
        <v>61613</v>
      </c>
      <c r="H619" t="s">
        <v>3679</v>
      </c>
      <c r="I619" t="s">
        <v>3673</v>
      </c>
      <c r="J619">
        <f>VLOOKUP(F619,[1]!china_towns_second__2[[Column1]:[Y]],3,FALSE)</f>
        <v>36.734688563220303</v>
      </c>
      <c r="K619">
        <f>VLOOKUP(F619,[1]!china_towns_second__2[[Column1]:[Y]],2,FALSE)</f>
        <v>117.06046480000001</v>
      </c>
      <c r="L619" t="s">
        <v>5452</v>
      </c>
      <c r="M619" t="str">
        <f>VLOOKUP(H619,CHOOSE({1,2},Table17[Native],Table17[Name]),2,0)</f>
        <v>Lìchéng Qū</v>
      </c>
      <c r="N619" s="15" t="str">
        <f>VLOOKUP(I619,CHOOSE({1,2},Table17[Native],Table17[Name]),2,0)</f>
        <v>Jìnán Shì</v>
      </c>
      <c r="O619" s="15" t="str">
        <f t="shared" si="18"/>
        <v>Huashan Jiedao (Jìnán Shì)</v>
      </c>
      <c r="P619" s="15" t="str">
        <f t="shared" si="19"/>
        <v>Huashan Jiedao (Jìnán Shì)</v>
      </c>
    </row>
    <row r="620" spans="1:16" hidden="1" x14ac:dyDescent="0.25">
      <c r="A620" t="s">
        <v>1315</v>
      </c>
      <c r="B620" t="str">
        <f>IF(COUNTIF(A:A,A620)&gt;1,_xlfn.CONCAT(A620," (",N620,")"),A620)</f>
        <v>Huàyŭ Zhèn</v>
      </c>
      <c r="C620" t="str">
        <f>IF(COUNTIF(B:B,B620)&gt;1,_xlfn.CONCAT(A620," (",M620,")"),B620)</f>
        <v>Huàyŭ Zhèn</v>
      </c>
      <c r="D620" t="s">
        <v>1316</v>
      </c>
      <c r="E620" t="s">
        <v>13</v>
      </c>
      <c r="F620" t="str">
        <f>_xlfn.CONCAT(D620,", ",H620,", ",I620,", ","山东省")</f>
        <v>化雨镇, 金乡县, 济宁市, 山东省</v>
      </c>
      <c r="G620">
        <v>45798</v>
      </c>
      <c r="H620" t="s">
        <v>3689</v>
      </c>
      <c r="I620" t="s">
        <v>3687</v>
      </c>
      <c r="J620">
        <f>VLOOKUP(F620,[1]!china_towns_second__2[[Column1]:[Y]],3,FALSE)</f>
        <v>34.985990819998101</v>
      </c>
      <c r="K620">
        <f>VLOOKUP(F620,[1]!china_towns_second__2[[Column1]:[Y]],2,FALSE)</f>
        <v>116.3725101</v>
      </c>
      <c r="L620" t="s">
        <v>5453</v>
      </c>
      <c r="M620" t="str">
        <f>VLOOKUP(H620,CHOOSE({1,2},Table17[Native],Table17[Name]),2,0)</f>
        <v>Jīnxiāng Xiàn</v>
      </c>
      <c r="N620" s="15" t="str">
        <f>VLOOKUP(I620,CHOOSE({1,2},Table17[Native],Table17[Name]),2,0)</f>
        <v>Jìníng Shì</v>
      </c>
      <c r="O620" s="15" t="str">
        <f t="shared" si="18"/>
        <v>Huayu Zhen (Jìníng Shì)</v>
      </c>
      <c r="P620" s="15" t="str">
        <f t="shared" si="19"/>
        <v>Huayu Zhen (Jìníng Shì)</v>
      </c>
    </row>
    <row r="621" spans="1:16" hidden="1" x14ac:dyDescent="0.25">
      <c r="A621" t="s">
        <v>286</v>
      </c>
      <c r="B621" t="str">
        <f>IF(COUNTIF(A:A,A621)&gt;1,_xlfn.CONCAT(A621," (",N621,")"),A621)</f>
        <v>Huāyuán Zhèn (Dézhōu Shì)</v>
      </c>
      <c r="C621" t="str">
        <f>IF(COUNTIF(B:B,B621)&gt;1,_xlfn.CONCAT(A621," (",M621,")"),B621)</f>
        <v>Huāyuán Zhèn (Dézhōu Shì)</v>
      </c>
      <c r="D621" t="s">
        <v>287</v>
      </c>
      <c r="E621" t="s">
        <v>13</v>
      </c>
      <c r="F621" t="str">
        <f>_xlfn.CONCAT(D621,", ",H621,", ",I621,", ","山东省")</f>
        <v>花园镇, 乐陵市, 德州市, 山东省</v>
      </c>
      <c r="G621">
        <v>43233</v>
      </c>
      <c r="H621" t="s">
        <v>3644</v>
      </c>
      <c r="I621" t="s">
        <v>3642</v>
      </c>
      <c r="J621">
        <f>VLOOKUP(F621,[1]!china_towns_second__2[[Column1]:[Y]],3,FALSE)</f>
        <v>37.5833741937601</v>
      </c>
      <c r="K621">
        <f>VLOOKUP(F621,[1]!china_towns_second__2[[Column1]:[Y]],2,FALSE)</f>
        <v>117.2337093</v>
      </c>
      <c r="L621" t="s">
        <v>5454</v>
      </c>
      <c r="M621" t="str">
        <f>VLOOKUP(H621,CHOOSE({1,2},Table17[Native],Table17[Name]),2,0)</f>
        <v>Lèlíng Shì</v>
      </c>
      <c r="N621" s="15" t="str">
        <f>VLOOKUP(I621,CHOOSE({1,2},Table17[Native],Table17[Name]),2,0)</f>
        <v>Dézhōu Shì</v>
      </c>
      <c r="O621" s="15" t="str">
        <f t="shared" si="18"/>
        <v>Huayuan Zhen (Dezhou Shi) (Dézhōu Shì)</v>
      </c>
      <c r="P621" s="15" t="str">
        <f t="shared" si="19"/>
        <v>Huayuan Zhen (Dezhou Shi) (Dézhōu Shì)</v>
      </c>
    </row>
    <row r="622" spans="1:16" hidden="1" x14ac:dyDescent="0.25">
      <c r="A622" t="s">
        <v>286</v>
      </c>
      <c r="B622" t="str">
        <f>IF(COUNTIF(A:A,A622)&gt;1,_xlfn.CONCAT(A622," (",N622,")"),A622)</f>
        <v>Huāyuán Zhèn (Línyí Shì)</v>
      </c>
      <c r="C622" t="str">
        <f>IF(COUNTIF(B:B,B622)&gt;1,_xlfn.CONCAT(A622," (",M622,")"),B622)</f>
        <v>Huāyuán Zhèn (Línyí Shì)</v>
      </c>
      <c r="D622" t="s">
        <v>287</v>
      </c>
      <c r="E622" t="s">
        <v>13</v>
      </c>
      <c r="F622" t="str">
        <f>_xlfn.CONCAT(D622,", ",H622,", ",I622,", ","山东省")</f>
        <v>花园镇, 郯城县, 临沂市, 山东省</v>
      </c>
      <c r="G622">
        <v>44463</v>
      </c>
      <c r="H622" t="s">
        <v>3720</v>
      </c>
      <c r="I622" t="s">
        <v>3710</v>
      </c>
      <c r="J622">
        <f>VLOOKUP(F622,[1]!china_towns_second__2[[Column1]:[Y]],3,FALSE)</f>
        <v>34.508174965629998</v>
      </c>
      <c r="K622">
        <f>VLOOKUP(F622,[1]!china_towns_second__2[[Column1]:[Y]],2,FALSE)</f>
        <v>118.1933408</v>
      </c>
      <c r="L622" t="s">
        <v>5455</v>
      </c>
      <c r="M622" t="str">
        <f>VLOOKUP(H622,CHOOSE({1,2},Table17[Native],Table17[Name]),2,0)</f>
        <v>Tánchéng Xiàn</v>
      </c>
      <c r="N622" s="15" t="str">
        <f>VLOOKUP(I622,CHOOSE({1,2},Table17[Native],Table17[Name]),2,0)</f>
        <v>Línyí Shì</v>
      </c>
      <c r="O622" s="15" t="str">
        <f t="shared" si="18"/>
        <v>Huayuan Zhen (Linyi Shi) (Línyí Shì)</v>
      </c>
      <c r="P622" s="15" t="str">
        <f t="shared" si="19"/>
        <v>Huayuan Zhen (Linyi Shi) (Línyí Shì)</v>
      </c>
    </row>
    <row r="623" spans="1:16" hidden="1" x14ac:dyDescent="0.25">
      <c r="A623" t="s">
        <v>77</v>
      </c>
      <c r="B623" t="str">
        <f>IF(COUNTIF(A:A,A623)&gt;1,_xlfn.CONCAT(A623," (",N623,")"),A623)</f>
        <v>Húbīn Zhèn</v>
      </c>
      <c r="C623" t="str">
        <f>IF(COUNTIF(B:B,B623)&gt;1,_xlfn.CONCAT(A623," (",M623,")"),B623)</f>
        <v>Húbīn Zhèn</v>
      </c>
      <c r="D623" t="s">
        <v>78</v>
      </c>
      <c r="E623" t="s">
        <v>13</v>
      </c>
      <c r="F623" t="str">
        <f>_xlfn.CONCAT(D623,", ",H623,", ",I623,", ","山东省")</f>
        <v>湖滨镇, 博兴县, 滨州市, 山东省</v>
      </c>
      <c r="G623">
        <v>43743</v>
      </c>
      <c r="H623" t="s">
        <v>3634</v>
      </c>
      <c r="I623" t="s">
        <v>3630</v>
      </c>
      <c r="J623">
        <f>VLOOKUP(F623,[1]!china_towns_second__2[[Column1]:[Y]],3,FALSE)</f>
        <v>37.086828247142897</v>
      </c>
      <c r="K623">
        <f>VLOOKUP(F623,[1]!china_towns_second__2[[Column1]:[Y]],2,FALSE)</f>
        <v>118.1967732</v>
      </c>
      <c r="L623" t="s">
        <v>5456</v>
      </c>
      <c r="M623" t="str">
        <f>VLOOKUP(H623,CHOOSE({1,2},Table17[Native],Table17[Name]),2,0)</f>
        <v>Bóxīng Xiàn</v>
      </c>
      <c r="N623" s="15" t="str">
        <f>VLOOKUP(I623,CHOOSE({1,2},Table17[Native],Table17[Name]),2,0)</f>
        <v>Bīnzhōu Shì</v>
      </c>
      <c r="O623" s="15" t="str">
        <f t="shared" si="18"/>
        <v>Hubin Zhen (Bīnzhōu Shì)</v>
      </c>
      <c r="P623" s="15" t="str">
        <f t="shared" si="19"/>
        <v>Hubin Zhen (Bīnzhōu Shì)</v>
      </c>
    </row>
    <row r="624" spans="1:16" hidden="1" x14ac:dyDescent="0.25">
      <c r="A624" t="s">
        <v>2426</v>
      </c>
      <c r="B624" t="str">
        <f>IF(COUNTIF(A:A,A624)&gt;1,_xlfn.CONCAT(A624," (",N624,")"),A624)</f>
        <v>Hùbù Xiāng</v>
      </c>
      <c r="C624" t="str">
        <f>IF(COUNTIF(B:B,B624)&gt;1,_xlfn.CONCAT(A624," (",M624,")"),B624)</f>
        <v>Hùbù Xiāng</v>
      </c>
      <c r="D624" t="s">
        <v>2427</v>
      </c>
      <c r="E624" t="s">
        <v>61</v>
      </c>
      <c r="F624" t="str">
        <f>_xlfn.CONCAT(D624,", ",H624,", ",I624,", ","山东省")</f>
        <v>户部乡, 五莲县, 日照市, 山东省</v>
      </c>
      <c r="G624">
        <v>16728</v>
      </c>
      <c r="H624" t="s">
        <v>3741</v>
      </c>
      <c r="I624" t="s">
        <v>3736</v>
      </c>
      <c r="J624" t="e">
        <f>VLOOKUP(F624,[1]!china_towns_second__2[[Column1]:[Y]],3,FALSE)</f>
        <v>#N/A</v>
      </c>
      <c r="K624" t="e">
        <f>VLOOKUP(F624,[1]!china_towns_second__2[[Column1]:[Y]],2,FALSE)</f>
        <v>#N/A</v>
      </c>
      <c r="L624" t="s">
        <v>5457</v>
      </c>
      <c r="M624" t="str">
        <f>VLOOKUP(H624,CHOOSE({1,2},Table17[Native],Table17[Name]),2,0)</f>
        <v>Wŭlián Xiàn</v>
      </c>
      <c r="N624" s="15" t="str">
        <f>VLOOKUP(I624,CHOOSE({1,2},Table17[Native],Table17[Name]),2,0)</f>
        <v>Rìzhào Shì</v>
      </c>
      <c r="O624" s="15" t="str">
        <f t="shared" si="18"/>
        <v>Hubu Xiang (Rìzhào Shì)</v>
      </c>
      <c r="P624" s="15" t="str">
        <f t="shared" si="19"/>
        <v>Hubu Xiang (Rìzhào Shì)</v>
      </c>
    </row>
    <row r="625" spans="1:16" hidden="1" x14ac:dyDescent="0.25">
      <c r="A625" t="s">
        <v>288</v>
      </c>
      <c r="B625" t="str">
        <f>IF(COUNTIF(A:A,A625)&gt;1,_xlfn.CONCAT(A625," (",N625,")"),A625)</f>
        <v>Húguāntún Zhèn</v>
      </c>
      <c r="C625" t="str">
        <f>IF(COUNTIF(B:B,B625)&gt;1,_xlfn.CONCAT(A625," (",M625,")"),B625)</f>
        <v>Húguāntún Zhèn</v>
      </c>
      <c r="D625" t="s">
        <v>289</v>
      </c>
      <c r="E625" t="s">
        <v>13</v>
      </c>
      <c r="F625" t="str">
        <f>_xlfn.CONCAT(D625,", ",H625,", ",I625,", ","山东省")</f>
        <v>胡官屯镇, 齐河县, 德州市, 山东省</v>
      </c>
      <c r="G625">
        <v>35342</v>
      </c>
      <c r="H625" t="s">
        <v>3649</v>
      </c>
      <c r="I625" t="s">
        <v>3642</v>
      </c>
      <c r="J625">
        <f>VLOOKUP(F625,[1]!china_towns_second__2[[Column1]:[Y]],3,FALSE)</f>
        <v>36.582500965706302</v>
      </c>
      <c r="K625">
        <f>VLOOKUP(F625,[1]!china_towns_second__2[[Column1]:[Y]],2,FALSE)</f>
        <v>116.59273520000001</v>
      </c>
      <c r="L625" t="s">
        <v>5458</v>
      </c>
      <c r="M625" t="str">
        <f>VLOOKUP(H625,CHOOSE({1,2},Table17[Native],Table17[Name]),2,0)</f>
        <v>Qíhé Xiàn</v>
      </c>
      <c r="N625" s="15" t="str">
        <f>VLOOKUP(I625,CHOOSE({1,2},Table17[Native],Table17[Name]),2,0)</f>
        <v>Dézhōu Shì</v>
      </c>
      <c r="O625" s="15" t="str">
        <f t="shared" si="18"/>
        <v>Huguantun Zhen (Dézhōu Shì)</v>
      </c>
      <c r="P625" s="15" t="str">
        <f t="shared" si="19"/>
        <v>Huguantun Zhen (Dézhōu Shì)</v>
      </c>
    </row>
    <row r="626" spans="1:16" hidden="1" x14ac:dyDescent="0.25">
      <c r="A626" t="s">
        <v>1018</v>
      </c>
      <c r="B626" t="str">
        <f>IF(COUNTIF(A:A,A626)&gt;1,_xlfn.CONCAT(A626," (",N626,")"),A626)</f>
        <v>Huíhé Jiēdào</v>
      </c>
      <c r="C626" t="str">
        <f>IF(COUNTIF(B:B,B626)&gt;1,_xlfn.CONCAT(A626," (",M626,")"),B626)</f>
        <v>Huíhé Jiēdào</v>
      </c>
      <c r="D626" t="s">
        <v>1019</v>
      </c>
      <c r="E626" t="s">
        <v>7</v>
      </c>
      <c r="F626" t="str">
        <f>_xlfn.CONCAT(D626,", ",H626,", ",I626,", ","山东省")</f>
        <v>回河街道, 济阳区, 济南市, 山东省</v>
      </c>
      <c r="G626">
        <v>42095</v>
      </c>
      <c r="H626" t="s">
        <v>3677</v>
      </c>
      <c r="I626" t="s">
        <v>3673</v>
      </c>
      <c r="J626" t="e">
        <f>VLOOKUP(F626,[1]!china_towns_second__2[[Column1]:[Y]],3,FALSE)</f>
        <v>#N/A</v>
      </c>
      <c r="K626" t="e">
        <f>VLOOKUP(F626,[1]!china_towns_second__2[[Column1]:[Y]],2,FALSE)</f>
        <v>#N/A</v>
      </c>
      <c r="L626" t="s">
        <v>5459</v>
      </c>
      <c r="M626" t="str">
        <f>VLOOKUP(H626,CHOOSE({1,2},Table17[Native],Table17[Name]),2,0)</f>
        <v>Jìyáng Qū</v>
      </c>
      <c r="N626" s="15" t="str">
        <f>VLOOKUP(I626,CHOOSE({1,2},Table17[Native],Table17[Name]),2,0)</f>
        <v>Jìnán Shì</v>
      </c>
      <c r="O626" s="15" t="str">
        <f t="shared" si="18"/>
        <v>Huihe Jiedao (Jìnán Shì)</v>
      </c>
      <c r="P626" s="15" t="str">
        <f t="shared" si="19"/>
        <v>Huihe Jiedao (Jìnán Shì)</v>
      </c>
    </row>
    <row r="627" spans="1:16" hidden="1" x14ac:dyDescent="0.25">
      <c r="A627" t="s">
        <v>3151</v>
      </c>
      <c r="B627" t="str">
        <f>IF(COUNTIF(A:A,A627)&gt;1,_xlfn.CONCAT(A627," (",N627,")"),A627)</f>
        <v>Huílĭ Zhèn</v>
      </c>
      <c r="C627" t="str">
        <f>IF(COUNTIF(B:B,B627)&gt;1,_xlfn.CONCAT(A627," (",M627,")"),B627)</f>
        <v>Huílĭ Zhèn</v>
      </c>
      <c r="D627" t="s">
        <v>3152</v>
      </c>
      <c r="E627" t="s">
        <v>13</v>
      </c>
      <c r="F627" t="str">
        <f>_xlfn.CONCAT(D627,", ",H627,", ",I627,", ","山东省")</f>
        <v>回里镇, 福山区, 烟台市, 山东省</v>
      </c>
      <c r="G627">
        <v>27471</v>
      </c>
      <c r="H627" t="s">
        <v>3772</v>
      </c>
      <c r="I627" t="s">
        <v>3771</v>
      </c>
      <c r="J627">
        <f>VLOOKUP(F627,[1]!china_towns_second__2[[Column1]:[Y]],3,FALSE)</f>
        <v>37.312879106844598</v>
      </c>
      <c r="K627">
        <f>VLOOKUP(F627,[1]!china_towns_second__2[[Column1]:[Y]],2,FALSE)</f>
        <v>121.2907991</v>
      </c>
      <c r="L627" t="s">
        <v>5460</v>
      </c>
      <c r="M627" t="str">
        <f>VLOOKUP(H627,CHOOSE({1,2},Table17[Native],Table17[Name]),2,0)</f>
        <v>Fúshān Qū</v>
      </c>
      <c r="N627" s="15" t="str">
        <f>VLOOKUP(I627,CHOOSE({1,2},Table17[Native],Table17[Name]),2,0)</f>
        <v>Yāntái Shì</v>
      </c>
      <c r="O627" s="15" t="str">
        <f t="shared" si="18"/>
        <v>Huili Zhen (Yāntái Shì)</v>
      </c>
      <c r="P627" s="15" t="str">
        <f t="shared" si="19"/>
        <v>Huili Zhen (Yāntái Shì)</v>
      </c>
    </row>
    <row r="628" spans="1:16" hidden="1" x14ac:dyDescent="0.25">
      <c r="A628" t="s">
        <v>2753</v>
      </c>
      <c r="B628" t="str">
        <f>IF(COUNTIF(A:A,A628)&gt;1,_xlfn.CONCAT(A628," (",N628,")"),A628)</f>
        <v>Huīqú Zhèn</v>
      </c>
      <c r="C628" t="str">
        <f>IF(COUNTIF(B:B,B628)&gt;1,_xlfn.CONCAT(A628," (",M628,")"),B628)</f>
        <v>Huīqú Zhèn</v>
      </c>
      <c r="D628" t="s">
        <v>2754</v>
      </c>
      <c r="E628" t="s">
        <v>13</v>
      </c>
      <c r="F628" t="str">
        <f>_xlfn.CONCAT(D628,", ",H628,", ",I628,", ","山东省")</f>
        <v>辉渠镇, 安丘市, 潍坊市, 山东省</v>
      </c>
      <c r="G628">
        <v>59323</v>
      </c>
      <c r="H628" t="s">
        <v>3752</v>
      </c>
      <c r="I628" t="s">
        <v>3751</v>
      </c>
      <c r="J628">
        <f>VLOOKUP(F628,[1]!china_towns_second__2[[Column1]:[Y]],3,FALSE)</f>
        <v>36.254251784683802</v>
      </c>
      <c r="K628">
        <f>VLOOKUP(F628,[1]!china_towns_second__2[[Column1]:[Y]],2,FALSE)</f>
        <v>119.0144184</v>
      </c>
      <c r="L628" t="s">
        <v>5461</v>
      </c>
      <c r="M628" t="str">
        <f>VLOOKUP(H628,CHOOSE({1,2},Table17[Native],Table17[Name]),2,0)</f>
        <v>Ānqiū Shì</v>
      </c>
      <c r="N628" s="15" t="str">
        <f>VLOOKUP(I628,CHOOSE({1,2},Table17[Native],Table17[Name]),2,0)</f>
        <v>Wéifāng Shì</v>
      </c>
      <c r="O628" s="15" t="str">
        <f t="shared" si="18"/>
        <v>Huiqu Zhen (Wéifāng Shì)</v>
      </c>
      <c r="P628" s="15" t="str">
        <f t="shared" si="19"/>
        <v>Huiqu Zhen (Wéifāng Shì)</v>
      </c>
    </row>
    <row r="629" spans="1:16" hidden="1" x14ac:dyDescent="0.25">
      <c r="A629" t="s">
        <v>290</v>
      </c>
      <c r="B629" t="str">
        <f>IF(COUNTIF(A:A,A629)&gt;1,_xlfn.CONCAT(A629," (",N629,")"),A629)</f>
        <v>Huīwángzhuāng Zhèn</v>
      </c>
      <c r="C629" t="str">
        <f>IF(COUNTIF(B:B,B629)&gt;1,_xlfn.CONCAT(A629," (",M629,")"),B629)</f>
        <v>Huīwángzhuāng Zhèn</v>
      </c>
      <c r="D629" t="s">
        <v>291</v>
      </c>
      <c r="E629" t="s">
        <v>13</v>
      </c>
      <c r="F629" t="str">
        <f>_xlfn.CONCAT(D629,", ",H629,", ",I629,", ","山东省")</f>
        <v>徽王庄镇, 陵城区, 德州市, 山东省</v>
      </c>
      <c r="G629">
        <v>42377</v>
      </c>
      <c r="H629" t="s">
        <v>3645</v>
      </c>
      <c r="I629" t="s">
        <v>3642</v>
      </c>
      <c r="J629">
        <f>VLOOKUP(F629,[1]!china_towns_second__2[[Column1]:[Y]],3,FALSE)</f>
        <v>37.477093594516603</v>
      </c>
      <c r="K629">
        <f>VLOOKUP(F629,[1]!china_towns_second__2[[Column1]:[Y]],2,FALSE)</f>
        <v>116.64474269999999</v>
      </c>
      <c r="L629" t="s">
        <v>5462</v>
      </c>
      <c r="M629" t="str">
        <f>VLOOKUP(H629,CHOOSE({1,2},Table17[Native],Table17[Name]),2,0)</f>
        <v>Língchéng Qū</v>
      </c>
      <c r="N629" s="15" t="str">
        <f>VLOOKUP(I629,CHOOSE({1,2},Table17[Native],Table17[Name]),2,0)</f>
        <v>Dézhōu Shì</v>
      </c>
      <c r="O629" s="15" t="str">
        <f t="shared" si="18"/>
        <v>Huiwangzhuang Zhen (Dézhōu Shì)</v>
      </c>
      <c r="P629" s="15" t="str">
        <f t="shared" si="19"/>
        <v>Huiwangzhuang Zhen (Dézhōu Shì)</v>
      </c>
    </row>
    <row r="630" spans="1:16" hidden="1" x14ac:dyDescent="0.25">
      <c r="A630" t="s">
        <v>1618</v>
      </c>
      <c r="B630" t="str">
        <f>IF(COUNTIF(A:A,A630)&gt;1,_xlfn.CONCAT(A630," (",N630,")"),A630)</f>
        <v>Huìxīn Jiēdào</v>
      </c>
      <c r="C630" t="str">
        <f>IF(COUNTIF(B:B,B630)&gt;1,_xlfn.CONCAT(A630," (",M630,")"),B630)</f>
        <v>Huìxīn Jiēdào</v>
      </c>
      <c r="D630" t="s">
        <v>1619</v>
      </c>
      <c r="E630" t="s">
        <v>7</v>
      </c>
      <c r="F630" t="str">
        <f>_xlfn.CONCAT(D630,", ",H630,", ",I630,", ","山东省")</f>
        <v>汇鑫街道, 高唐县, 聊城市, 山东省</v>
      </c>
      <c r="G630">
        <v>39273</v>
      </c>
      <c r="H630" t="s">
        <v>3704</v>
      </c>
      <c r="I630" t="s">
        <v>3700</v>
      </c>
      <c r="J630">
        <f>VLOOKUP(F630,[1]!china_towns_second__2[[Column1]:[Y]],3,FALSE)</f>
        <v>36.874242061151001</v>
      </c>
      <c r="K630">
        <f>VLOOKUP(F630,[1]!china_towns_second__2[[Column1]:[Y]],2,FALSE)</f>
        <v>116.1733893</v>
      </c>
      <c r="L630" t="s">
        <v>5463</v>
      </c>
      <c r="M630" t="str">
        <f>VLOOKUP(H630,CHOOSE({1,2},Table17[Native],Table17[Name]),2,0)</f>
        <v>Gāotáng Xiàn</v>
      </c>
      <c r="N630" s="15" t="str">
        <f>VLOOKUP(I630,CHOOSE({1,2},Table17[Native],Table17[Name]),2,0)</f>
        <v>Liáochéng Shì</v>
      </c>
      <c r="O630" s="15" t="str">
        <f t="shared" si="18"/>
        <v>Huixin Jiedao (Liáochéng Shì)</v>
      </c>
      <c r="P630" s="15" t="str">
        <f t="shared" si="19"/>
        <v>Huixin Jiedao (Liáochéng Shì)</v>
      </c>
    </row>
    <row r="631" spans="1:16" hidden="1" x14ac:dyDescent="0.25">
      <c r="A631" t="s">
        <v>79</v>
      </c>
      <c r="B631" t="str">
        <f>IF(COUNTIF(A:A,A631)&gt;1,_xlfn.CONCAT(A631," (",N631,")"),A631)</f>
        <v>Hújí Zhèn (Bīnzhōu Shì)</v>
      </c>
      <c r="C631" t="str">
        <f>IF(COUNTIF(B:B,B631)&gt;1,_xlfn.CONCAT(A631," (",M631,")"),B631)</f>
        <v>Hújí Zhèn (Bīnzhōu Shì)</v>
      </c>
      <c r="D631" t="s">
        <v>80</v>
      </c>
      <c r="E631" t="s">
        <v>13</v>
      </c>
      <c r="F631" t="str">
        <f>_xlfn.CONCAT(D631,", ",H631,", ",I631,", ","山东省")</f>
        <v>胡集镇, 惠民县, 滨州市, 山东省</v>
      </c>
      <c r="G631">
        <v>55177</v>
      </c>
      <c r="H631" t="s">
        <v>3635</v>
      </c>
      <c r="I631" t="s">
        <v>3630</v>
      </c>
      <c r="J631">
        <f>VLOOKUP(F631,[1]!china_towns_second__2[[Column1]:[Y]],3,FALSE)</f>
        <v>37.387559546586097</v>
      </c>
      <c r="K631">
        <f>VLOOKUP(F631,[1]!china_towns_second__2[[Column1]:[Y]],2,FALSE)</f>
        <v>117.7492702</v>
      </c>
      <c r="L631" t="s">
        <v>5464</v>
      </c>
      <c r="M631" t="str">
        <f>VLOOKUP(H631,CHOOSE({1,2},Table17[Native],Table17[Name]),2,0)</f>
        <v>Huìmín Xiàn</v>
      </c>
      <c r="N631" s="15" t="str">
        <f>VLOOKUP(I631,CHOOSE({1,2},Table17[Native],Table17[Name]),2,0)</f>
        <v>Bīnzhōu Shì</v>
      </c>
      <c r="O631" s="15" t="str">
        <f t="shared" si="18"/>
        <v>Huji Zhen (Binzhou Shi) (Bīnzhōu Shì)</v>
      </c>
      <c r="P631" s="15" t="str">
        <f t="shared" si="19"/>
        <v>Huji Zhen (Binzhou Shi) (Bīnzhōu Shì)</v>
      </c>
    </row>
    <row r="632" spans="1:16" hidden="1" x14ac:dyDescent="0.25">
      <c r="A632" t="s">
        <v>79</v>
      </c>
      <c r="B632" t="str">
        <f>IF(COUNTIF(A:A,A632)&gt;1,_xlfn.CONCAT(A632," (",N632,")"),A632)</f>
        <v>Hújí Zhèn (Hézé Shì)</v>
      </c>
      <c r="C632" t="str">
        <f>IF(COUNTIF(B:B,B632)&gt;1,_xlfn.CONCAT(A632," (",M632,")"),B632)</f>
        <v>Hújí Zhèn (Hézé Shì)</v>
      </c>
      <c r="D632" t="s">
        <v>80</v>
      </c>
      <c r="E632" t="s">
        <v>13</v>
      </c>
      <c r="F632" t="str">
        <f>_xlfn.CONCAT(D632,", ",H632,", ",I632,", ","山东省")</f>
        <v>胡集镇, 牡丹区, 菏泽市, 山东省</v>
      </c>
      <c r="G632">
        <v>34397</v>
      </c>
      <c r="H632" t="s">
        <v>3669</v>
      </c>
      <c r="I632" t="s">
        <v>3662</v>
      </c>
      <c r="J632">
        <f>VLOOKUP(F632,[1]!china_towns_second__2[[Column1]:[Y]],3,FALSE)</f>
        <v>35.3970160423629</v>
      </c>
      <c r="K632">
        <f>VLOOKUP(F632,[1]!china_towns_second__2[[Column1]:[Y]],2,FALSE)</f>
        <v>115.6862866</v>
      </c>
      <c r="L632" t="s">
        <v>5465</v>
      </c>
      <c r="M632" t="str">
        <f>VLOOKUP(H632,CHOOSE({1,2},Table17[Native],Table17[Name]),2,0)</f>
        <v>Mŭdān Qū</v>
      </c>
      <c r="N632" s="15" t="str">
        <f>VLOOKUP(I632,CHOOSE({1,2},Table17[Native],Table17[Name]),2,0)</f>
        <v>Hézé Shì</v>
      </c>
      <c r="O632" s="15" t="str">
        <f t="shared" si="18"/>
        <v>Huji Zhen (Heze Shi) (Hézé Shì)</v>
      </c>
      <c r="P632" s="15" t="str">
        <f t="shared" si="19"/>
        <v>Huji Zhen (Heze Shi) (Hézé Shì)</v>
      </c>
    </row>
    <row r="633" spans="1:16" hidden="1" x14ac:dyDescent="0.25">
      <c r="A633" t="s">
        <v>79</v>
      </c>
      <c r="B633" t="str">
        <f>IF(COUNTIF(A:A,A633)&gt;1,_xlfn.CONCAT(A633," (",N633,")"),A633)</f>
        <v>Hújí Zhèn (Jìníng Shì)</v>
      </c>
      <c r="C633" t="str">
        <f>IF(COUNTIF(B:B,B633)&gt;1,_xlfn.CONCAT(A633," (",M633,")"),B633)</f>
        <v>Hújí Zhèn (Jìníng Shì)</v>
      </c>
      <c r="D633" t="s">
        <v>80</v>
      </c>
      <c r="E633" t="s">
        <v>13</v>
      </c>
      <c r="F633" t="str">
        <f>_xlfn.CONCAT(D633,", ",H633,", ",I633,", ","山东省")</f>
        <v>胡集镇, 金乡县, 济宁市, 山东省</v>
      </c>
      <c r="G633">
        <v>59504</v>
      </c>
      <c r="H633" t="s">
        <v>3689</v>
      </c>
      <c r="I633" t="s">
        <v>3687</v>
      </c>
      <c r="J633">
        <f>VLOOKUP(F633,[1]!china_towns_second__2[[Column1]:[Y]],3,FALSE)</f>
        <v>35.187567579678301</v>
      </c>
      <c r="K633">
        <f>VLOOKUP(F633,[1]!china_towns_second__2[[Column1]:[Y]],2,FALSE)</f>
        <v>116.35411929999999</v>
      </c>
      <c r="L633" t="s">
        <v>5466</v>
      </c>
      <c r="M633" t="str">
        <f>VLOOKUP(H633,CHOOSE({1,2},Table17[Native],Table17[Name]),2,0)</f>
        <v>Jīnxiāng Xiàn</v>
      </c>
      <c r="N633" s="15" t="str">
        <f>VLOOKUP(I633,CHOOSE({1,2},Table17[Native],Table17[Name]),2,0)</f>
        <v>Jìníng Shì</v>
      </c>
      <c r="O633" s="15" t="str">
        <f t="shared" si="18"/>
        <v>Huji Zhen (Jining Shi) (Jìníng Shì)</v>
      </c>
      <c r="P633" s="15" t="str">
        <f t="shared" si="19"/>
        <v>Huji Zhen (Jining Shi) (Jìníng Shì)</v>
      </c>
    </row>
    <row r="634" spans="1:16" hidden="1" x14ac:dyDescent="0.25">
      <c r="A634" t="s">
        <v>292</v>
      </c>
      <c r="B634" t="str">
        <f>IF(COUNTIF(A:A,A634)&gt;1,_xlfn.CONCAT(A634," (",N634,")"),A634)</f>
        <v>Hújiā Jiēdào</v>
      </c>
      <c r="C634" t="str">
        <f>IF(COUNTIF(B:B,B634)&gt;1,_xlfn.CONCAT(A634," (",M634,")"),B634)</f>
        <v>Hújiā Jiēdào</v>
      </c>
      <c r="D634" t="s">
        <v>293</v>
      </c>
      <c r="E634" t="s">
        <v>7</v>
      </c>
      <c r="F634" t="str">
        <f>_xlfn.CONCAT(D634,", ",H634,", ",I634,", ","山东省")</f>
        <v>胡家街道, 乐陵市, 德州市, 山东省</v>
      </c>
      <c r="G634">
        <v>24120</v>
      </c>
      <c r="H634" t="s">
        <v>3644</v>
      </c>
      <c r="I634" t="s">
        <v>3642</v>
      </c>
      <c r="J634">
        <f>VLOOKUP(F634,[1]!china_towns_second__2[[Column1]:[Y]],3,FALSE)</f>
        <v>37.785076136898702</v>
      </c>
      <c r="K634">
        <f>VLOOKUP(F634,[1]!china_towns_second__2[[Column1]:[Y]],2,FALSE)</f>
        <v>117.1787234</v>
      </c>
      <c r="L634" t="s">
        <v>5467</v>
      </c>
      <c r="M634" t="str">
        <f>VLOOKUP(H634,CHOOSE({1,2},Table17[Native],Table17[Name]),2,0)</f>
        <v>Lèlíng Shì</v>
      </c>
      <c r="N634" s="15" t="str">
        <f>VLOOKUP(I634,CHOOSE({1,2},Table17[Native],Table17[Name]),2,0)</f>
        <v>Dézhōu Shì</v>
      </c>
      <c r="O634" s="15" t="str">
        <f t="shared" si="18"/>
        <v>Hujia Jiedao (Dézhōu Shì)</v>
      </c>
      <c r="P634" s="15" t="str">
        <f t="shared" si="19"/>
        <v>Hujia Jiedao (Dézhōu Shì)</v>
      </c>
    </row>
    <row r="635" spans="1:16" hidden="1" x14ac:dyDescent="0.25">
      <c r="A635" t="s">
        <v>2428</v>
      </c>
      <c r="B635" t="str">
        <f>IF(COUNTIF(A:A,A635)&gt;1,_xlfn.CONCAT(A635," (",N635,")"),A635)</f>
        <v>Hŭshān Zhèn (Rìzhào Shì)</v>
      </c>
      <c r="C635" t="str">
        <f>IF(COUNTIF(B:B,B635)&gt;1,_xlfn.CONCAT(A635," (",M635,")"),B635)</f>
        <v>Hŭshān Zhèn (Rìzhào Shì)</v>
      </c>
      <c r="D635" t="s">
        <v>2429</v>
      </c>
      <c r="E635" t="s">
        <v>13</v>
      </c>
      <c r="F635" t="str">
        <f>_xlfn.CONCAT(D635,", ",H635,", ",I635,", ","山东省")</f>
        <v>虎山镇, 岚山区, 日照市, 山东省</v>
      </c>
      <c r="G635">
        <v>65625</v>
      </c>
      <c r="H635" t="s">
        <v>3740</v>
      </c>
      <c r="I635" t="s">
        <v>3736</v>
      </c>
      <c r="J635">
        <f>VLOOKUP(F635,[1]!china_towns_second__2[[Column1]:[Y]],3,FALSE)</f>
        <v>35.177451586467903</v>
      </c>
      <c r="K635">
        <f>VLOOKUP(F635,[1]!china_towns_second__2[[Column1]:[Y]],2,FALSE)</f>
        <v>119.32830989999999</v>
      </c>
      <c r="L635" t="s">
        <v>5468</v>
      </c>
      <c r="M635" t="str">
        <f>VLOOKUP(H635,CHOOSE({1,2},Table17[Native],Table17[Name]),2,0)</f>
        <v>Lánshān Qū</v>
      </c>
      <c r="N635" s="15" t="str">
        <f>VLOOKUP(I635,CHOOSE({1,2},Table17[Native],Table17[Name]),2,0)</f>
        <v>Rìzhào Shì</v>
      </c>
      <c r="O635" s="15" t="str">
        <f t="shared" si="18"/>
        <v>Hushan Zhen (Rizhao Shi) (Rìzhào Shì)</v>
      </c>
      <c r="P635" s="15" t="str">
        <f t="shared" si="19"/>
        <v>Hushan Zhen (Rizhao Shi) (Rìzhào Shì)</v>
      </c>
    </row>
    <row r="636" spans="1:16" hidden="1" x14ac:dyDescent="0.25">
      <c r="A636" t="s">
        <v>2428</v>
      </c>
      <c r="B636" t="str">
        <f>IF(COUNTIF(A:A,A636)&gt;1,_xlfn.CONCAT(A636," (",N636,")"),A636)</f>
        <v>Hŭshān Zhèn (Wēihăi Shì)</v>
      </c>
      <c r="C636" t="str">
        <f>IF(COUNTIF(B:B,B636)&gt;1,_xlfn.CONCAT(A636," (",M636,")"),B636)</f>
        <v>Hŭshān Zhèn (Wēihăi Shì)</v>
      </c>
      <c r="D636" t="s">
        <v>2429</v>
      </c>
      <c r="E636" t="s">
        <v>13</v>
      </c>
      <c r="F636" t="str">
        <f>_xlfn.CONCAT(D636,", ",H636,", ",I636,", ","山东省")</f>
        <v>虎山镇, 荣成市, 威海市, 山东省</v>
      </c>
      <c r="G636">
        <v>38179</v>
      </c>
      <c r="H636" t="s">
        <v>3767</v>
      </c>
      <c r="I636" t="s">
        <v>3765</v>
      </c>
      <c r="J636">
        <f>VLOOKUP(F636,[1]!china_towns_second__2[[Column1]:[Y]],3,FALSE)</f>
        <v>36.941379559812503</v>
      </c>
      <c r="K636">
        <f>VLOOKUP(F636,[1]!china_towns_second__2[[Column1]:[Y]],2,FALSE)</f>
        <v>122.21160279999999</v>
      </c>
      <c r="L636" t="s">
        <v>5469</v>
      </c>
      <c r="M636" t="str">
        <f>VLOOKUP(H636,CHOOSE({1,2},Table17[Native],Table17[Name]),2,0)</f>
        <v>Róngchéng Shì</v>
      </c>
      <c r="N636" s="15" t="str">
        <f>VLOOKUP(I636,CHOOSE({1,2},Table17[Native],Table17[Name]),2,0)</f>
        <v>Wēihăi Shì</v>
      </c>
      <c r="O636" s="15" t="str">
        <f t="shared" si="18"/>
        <v>Hushan Zhen (Weihai Shi) (Wēihăi Shì)</v>
      </c>
      <c r="P636" s="15" t="str">
        <f t="shared" si="19"/>
        <v>Hushan Zhen (Weihai Shi) (Wēihăi Shì)</v>
      </c>
    </row>
    <row r="637" spans="1:16" hidden="1" x14ac:dyDescent="0.25">
      <c r="A637" t="s">
        <v>2202</v>
      </c>
      <c r="B637" t="str">
        <f>IF(COUNTIF(A:A,A637)&gt;1,_xlfn.CONCAT(A637," (",N637,")"),A637)</f>
        <v>Hŭshānlù Jiēdào</v>
      </c>
      <c r="C637" t="str">
        <f>IF(COUNTIF(B:B,B637)&gt;1,_xlfn.CONCAT(A637," (",M637,")"),B637)</f>
        <v>Hŭshānlù Jiēdào</v>
      </c>
      <c r="D637" t="s">
        <v>2203</v>
      </c>
      <c r="E637" t="s">
        <v>7</v>
      </c>
      <c r="F637" t="str">
        <f>_xlfn.CONCAT(D637,", ",H637,", ",I637,", ","山东省")</f>
        <v>虎山路街道, 李沧区, 青岛市, 山东省</v>
      </c>
      <c r="G637">
        <v>65490</v>
      </c>
      <c r="H637" t="s">
        <v>3731</v>
      </c>
      <c r="I637" t="s">
        <v>3724</v>
      </c>
      <c r="J637">
        <f>VLOOKUP(F637,[1]!china_towns_second__2[[Column1]:[Y]],3,FALSE)</f>
        <v>36.187711449146903</v>
      </c>
      <c r="K637">
        <f>VLOOKUP(F637,[1]!china_towns_second__2[[Column1]:[Y]],2,FALSE)</f>
        <v>120.42287469999999</v>
      </c>
      <c r="L637" t="s">
        <v>5470</v>
      </c>
      <c r="M637" t="str">
        <f>VLOOKUP(H637,CHOOSE({1,2},Table17[Native],Table17[Name]),2,0)</f>
        <v>Lĭcāng Qū</v>
      </c>
      <c r="N637" s="15" t="str">
        <f>VLOOKUP(I637,CHOOSE({1,2},Table17[Native],Table17[Name]),2,0)</f>
        <v>Qīngdăo Shì</v>
      </c>
      <c r="O637" s="15" t="str">
        <f t="shared" si="18"/>
        <v>Hushanlu Jiedao (Qīngdăo Shì)</v>
      </c>
      <c r="P637" s="15" t="str">
        <f t="shared" si="19"/>
        <v>Hushanlu Jiedao (Qīngdăo Shì)</v>
      </c>
    </row>
    <row r="638" spans="1:16" hidden="1" x14ac:dyDescent="0.25">
      <c r="A638" t="s">
        <v>3513</v>
      </c>
      <c r="B638" t="str">
        <f>IF(COUNTIF(A:A,A638)&gt;1,_xlfn.CONCAT(A638," (",N638,")"),A638)</f>
        <v>Hútián Jiēdào</v>
      </c>
      <c r="C638" t="str">
        <f>IF(COUNTIF(B:B,B638)&gt;1,_xlfn.CONCAT(A638," (",M638,")"),B638)</f>
        <v>Hútián Jiēdào</v>
      </c>
      <c r="D638" t="s">
        <v>3514</v>
      </c>
      <c r="E638" t="s">
        <v>7</v>
      </c>
      <c r="F638" t="str">
        <f>_xlfn.CONCAT(D638,", ",H638,", ",I638,", ","山东省")</f>
        <v>湖田街道, 张店区, 淄博市, 山东省</v>
      </c>
      <c r="G638">
        <v>26517</v>
      </c>
      <c r="H638" t="s">
        <v>3797</v>
      </c>
      <c r="I638" t="s">
        <v>3791</v>
      </c>
      <c r="J638" t="e">
        <f>VLOOKUP(F638,[1]!china_towns_second__2[[Column1]:[Y]],3,FALSE)</f>
        <v>#N/A</v>
      </c>
      <c r="K638" t="e">
        <f>VLOOKUP(F638,[1]!china_towns_second__2[[Column1]:[Y]],2,FALSE)</f>
        <v>#N/A</v>
      </c>
      <c r="L638" t="s">
        <v>5471</v>
      </c>
      <c r="M638" t="str">
        <f>VLOOKUP(H638,CHOOSE({1,2},Table17[Native],Table17[Name]),2,0)</f>
        <v>Zhāngdiàn Qū</v>
      </c>
      <c r="N638" s="15" t="str">
        <f>VLOOKUP(I638,CHOOSE({1,2},Table17[Native],Table17[Name]),2,0)</f>
        <v>Zībó Shì</v>
      </c>
      <c r="O638" s="15" t="str">
        <f t="shared" si="18"/>
        <v>Hutian Jiedao (Zībó Shì)</v>
      </c>
      <c r="P638" s="15" t="str">
        <f t="shared" si="19"/>
        <v>Hutian Jiedao (Zībó Shì)</v>
      </c>
    </row>
    <row r="639" spans="1:16" hidden="1" x14ac:dyDescent="0.25">
      <c r="A639" t="s">
        <v>1899</v>
      </c>
      <c r="B639" t="str">
        <f>IF(COUNTIF(A:A,A639)&gt;1,_xlfn.CONCAT(A639," (",N639,")"),A639)</f>
        <v>Hútóu Zhèn</v>
      </c>
      <c r="C639" t="str">
        <f>IF(COUNTIF(B:B,B639)&gt;1,_xlfn.CONCAT(A639," (",M639,")"),B639)</f>
        <v>Hútóu Zhèn</v>
      </c>
      <c r="D639" t="s">
        <v>1900</v>
      </c>
      <c r="E639" t="s">
        <v>13</v>
      </c>
      <c r="F639" t="str">
        <f>_xlfn.CONCAT(D639,", ",H639,", ",I639,", ","山东省")</f>
        <v>湖头镇, 沂南县, 临沂市, 山东省</v>
      </c>
      <c r="G639">
        <v>42485</v>
      </c>
      <c r="H639" t="s">
        <v>3721</v>
      </c>
      <c r="I639" t="s">
        <v>3710</v>
      </c>
      <c r="J639">
        <f>VLOOKUP(F639,[1]!china_towns_second__2[[Column1]:[Y]],3,FALSE)</f>
        <v>35.602139627991399</v>
      </c>
      <c r="K639">
        <f>VLOOKUP(F639,[1]!china_towns_second__2[[Column1]:[Y]],2,FALSE)</f>
        <v>118.6542645</v>
      </c>
      <c r="L639" t="s">
        <v>5472</v>
      </c>
      <c r="M639" t="str">
        <f>VLOOKUP(H639,CHOOSE({1,2},Table17[Native],Table17[Name]),2,0)</f>
        <v>Yínán Xiàn</v>
      </c>
      <c r="N639" s="15" t="str">
        <f>VLOOKUP(I639,CHOOSE({1,2},Table17[Native],Table17[Name]),2,0)</f>
        <v>Línyí Shì</v>
      </c>
      <c r="O639" s="15" t="str">
        <f t="shared" si="18"/>
        <v>Hutou Zhen (Línyí Shì)</v>
      </c>
      <c r="P639" s="15" t="str">
        <f t="shared" si="19"/>
        <v>Hutou Zhen (Línyí Shì)</v>
      </c>
    </row>
    <row r="640" spans="1:16" hidden="1" x14ac:dyDescent="0.25">
      <c r="A640" t="s">
        <v>3153</v>
      </c>
      <c r="B640" t="str">
        <f>IF(COUNTIF(A:A,A640)&gt;1,_xlfn.CONCAT(A640," (",N640,")"),A640)</f>
        <v>Hŭtóuyá Zhèn</v>
      </c>
      <c r="C640" t="str">
        <f>IF(COUNTIF(B:B,B640)&gt;1,_xlfn.CONCAT(A640," (",M640,")"),B640)</f>
        <v>Hŭtóuyá Zhèn</v>
      </c>
      <c r="D640" t="s">
        <v>3154</v>
      </c>
      <c r="E640" t="s">
        <v>13</v>
      </c>
      <c r="F640" t="str">
        <f>_xlfn.CONCAT(D640,", ",H640,", ",I640,", ","山东省")</f>
        <v>虎头崖镇, 莱州市, 烟台市, 山东省</v>
      </c>
      <c r="G640">
        <v>48456</v>
      </c>
      <c r="H640" t="s">
        <v>3776</v>
      </c>
      <c r="I640" t="s">
        <v>3771</v>
      </c>
      <c r="J640">
        <f>VLOOKUP(F640,[1]!china_towns_second__2[[Column1]:[Y]],3,FALSE)</f>
        <v>37.149767537585198</v>
      </c>
      <c r="K640">
        <f>VLOOKUP(F640,[1]!china_towns_second__2[[Column1]:[Y]],2,FALSE)</f>
        <v>119.83228939999999</v>
      </c>
      <c r="L640" t="s">
        <v>5473</v>
      </c>
      <c r="M640" t="str">
        <f>VLOOKUP(H640,CHOOSE({1,2},Table17[Native],Table17[Name]),2,0)</f>
        <v>Láizhōu Shì</v>
      </c>
      <c r="N640" s="15" t="str">
        <f>VLOOKUP(I640,CHOOSE({1,2},Table17[Native],Table17[Name]),2,0)</f>
        <v>Yāntái Shì</v>
      </c>
      <c r="O640" s="15" t="str">
        <f t="shared" si="18"/>
        <v>Hutouya Zhen (Yāntái Shì)</v>
      </c>
      <c r="P640" s="15" t="str">
        <f t="shared" si="19"/>
        <v>Hutouya Zhen (Yāntái Shì)</v>
      </c>
    </row>
    <row r="641" spans="1:16" hidden="1" x14ac:dyDescent="0.25">
      <c r="A641" t="s">
        <v>1620</v>
      </c>
      <c r="B641" t="str">
        <f>IF(COUNTIF(A:A,A641)&gt;1,_xlfn.CONCAT(A641," (",N641,")"),A641)</f>
        <v>Hútún Zhèn (Liáochéng Shì)</v>
      </c>
      <c r="C641" t="str">
        <f>IF(COUNTIF(B:B,B641)&gt;1,_xlfn.CONCAT(A641," (",M641,")"),B641)</f>
        <v>Hútún Zhèn (Liáochéng Shì)</v>
      </c>
      <c r="D641" t="s">
        <v>1621</v>
      </c>
      <c r="E641" t="s">
        <v>13</v>
      </c>
      <c r="F641" t="str">
        <f>_xlfn.CONCAT(D641,", ",H641,", ",I641,", ","山东省")</f>
        <v>胡屯镇, 茌平区, 聊城市, 山东省</v>
      </c>
      <c r="G641">
        <v>23250</v>
      </c>
      <c r="H641" t="s">
        <v>3701</v>
      </c>
      <c r="I641" t="s">
        <v>3700</v>
      </c>
      <c r="J641">
        <f>VLOOKUP(F641,[1]!china_towns_second__2[[Column1]:[Y]],3,FALSE)</f>
        <v>36.6747025934351</v>
      </c>
      <c r="K641">
        <f>VLOOKUP(F641,[1]!china_towns_second__2[[Column1]:[Y]],2,FALSE)</f>
        <v>116.206907</v>
      </c>
      <c r="L641" t="s">
        <v>5474</v>
      </c>
      <c r="M641" t="str">
        <f>VLOOKUP(H641,CHOOSE({1,2},Table17[Native],Table17[Name]),2,0)</f>
        <v>Chípíng Qū</v>
      </c>
      <c r="N641" s="15" t="str">
        <f>VLOOKUP(I641,CHOOSE({1,2},Table17[Native],Table17[Name]),2,0)</f>
        <v>Liáochéng Shì</v>
      </c>
      <c r="O641" s="15" t="str">
        <f t="shared" si="18"/>
        <v>Hutun Zhen (Liaocheng Shi) (Liáochéng Shì)</v>
      </c>
      <c r="P641" s="15" t="str">
        <f t="shared" si="19"/>
        <v>Hutun Zhen (Liaocheng Shi) (Liáochéng Shì)</v>
      </c>
    </row>
    <row r="642" spans="1:16" hidden="1" x14ac:dyDescent="0.25">
      <c r="A642" t="s">
        <v>1620</v>
      </c>
      <c r="B642" t="str">
        <f>IF(COUNTIF(A:A,A642)&gt;1,_xlfn.CONCAT(A642," (",N642,")"),A642)</f>
        <v>Hútún Zhèn (Tài'ān Shì)</v>
      </c>
      <c r="C642" t="str">
        <f>IF(COUNTIF(B:B,B642)&gt;1,_xlfn.CONCAT(A642," (",M642,")"),B642)</f>
        <v>Hútún Zhèn (Tài'ān Shì)</v>
      </c>
      <c r="D642" t="s">
        <v>2567</v>
      </c>
      <c r="E642" t="s">
        <v>13</v>
      </c>
      <c r="F642" t="str">
        <f>_xlfn.CONCAT(D642,", ",H642,", ",I642,", ","山东省")</f>
        <v>湖屯镇, 肥城市, 泰安市, 山东省</v>
      </c>
      <c r="G642">
        <v>72838</v>
      </c>
      <c r="H642" t="s">
        <v>3746</v>
      </c>
      <c r="I642" t="s">
        <v>3743</v>
      </c>
      <c r="J642">
        <f>VLOOKUP(F642,[1]!china_towns_second__2[[Column1]:[Y]],3,FALSE)</f>
        <v>36.231576192911902</v>
      </c>
      <c r="K642">
        <f>VLOOKUP(F642,[1]!china_towns_second__2[[Column1]:[Y]],2,FALSE)</f>
        <v>116.613725</v>
      </c>
      <c r="L642" t="s">
        <v>5475</v>
      </c>
      <c r="M642" t="str">
        <f>VLOOKUP(H642,CHOOSE({1,2},Table17[Native],Table17[Name]),2,0)</f>
        <v>Féichéng Shì</v>
      </c>
      <c r="N642" s="15" t="str">
        <f>VLOOKUP(I642,CHOOSE({1,2},Table17[Native],Table17[Name]),2,0)</f>
        <v>Tài'ān Shì</v>
      </c>
      <c r="O642" s="15" t="str">
        <f t="shared" ref="O642:O705" si="20">_xlfn.CONCAT(L642," (",N642,")")</f>
        <v>Hutun Zhen (Tai'an Shi) (Tài'ān Shì)</v>
      </c>
      <c r="P642" s="15" t="str">
        <f t="shared" ref="P642:P705" si="21">IF(COUNTIF(O:O,O642)&gt;1,_xlfn.CONCAT(L642," (",M642,")"),O642)</f>
        <v>Hutun Zhen (Tai'an Shi) (Tài'ān Shì)</v>
      </c>
    </row>
    <row r="643" spans="1:16" hidden="1" x14ac:dyDescent="0.25">
      <c r="A643" t="s">
        <v>1622</v>
      </c>
      <c r="B643" t="str">
        <f>IF(COUNTIF(A:A,A643)&gt;1,_xlfn.CONCAT(A643," (",N643,")"),A643)</f>
        <v>Húxī Jiēdào</v>
      </c>
      <c r="C643" t="str">
        <f>IF(COUNTIF(B:B,B643)&gt;1,_xlfn.CONCAT(A643," (",M643,")"),B643)</f>
        <v>Húxī Jiēdào</v>
      </c>
      <c r="D643" t="s">
        <v>1623</v>
      </c>
      <c r="E643" t="s">
        <v>7</v>
      </c>
      <c r="F643" t="str">
        <f>_xlfn.CONCAT(D643,", ",H643,", ",I643,", ","山东省")</f>
        <v>湖西街道, 东昌府区, 聊城市, 山东省</v>
      </c>
      <c r="G643">
        <v>40151</v>
      </c>
      <c r="H643" t="s">
        <v>3702</v>
      </c>
      <c r="I643" t="s">
        <v>3700</v>
      </c>
      <c r="J643">
        <f>VLOOKUP(F643,[1]!china_towns_second__2[[Column1]:[Y]],3,FALSE)</f>
        <v>36.417528216085501</v>
      </c>
      <c r="K643">
        <f>VLOOKUP(F643,[1]!china_towns_second__2[[Column1]:[Y]],2,FALSE)</f>
        <v>115.9387187</v>
      </c>
      <c r="L643" t="s">
        <v>5476</v>
      </c>
      <c r="M643" t="str">
        <f>VLOOKUP(H643,CHOOSE({1,2},Table17[Native],Table17[Name]),2,0)</f>
        <v>Dōngchāngfŭ Qū</v>
      </c>
      <c r="N643" s="15" t="str">
        <f>VLOOKUP(I643,CHOOSE({1,2},Table17[Native],Table17[Name]),2,0)</f>
        <v>Liáochéng Shì</v>
      </c>
      <c r="O643" s="15" t="str">
        <f t="shared" si="20"/>
        <v>Huxi Jiedao (Liáochéng Shì)</v>
      </c>
      <c r="P643" s="15" t="str">
        <f t="shared" si="21"/>
        <v>Huxi Jiedao (Liáochéng Shì)</v>
      </c>
    </row>
    <row r="644" spans="1:16" hidden="1" x14ac:dyDescent="0.25">
      <c r="A644" t="s">
        <v>1901</v>
      </c>
      <c r="B644" t="str">
        <f>IF(COUNTIF(A:A,A644)&gt;1,_xlfn.CONCAT(A644," (",N644,")"),A644)</f>
        <v>Húyáng Zhèn</v>
      </c>
      <c r="C644" t="str">
        <f>IF(COUNTIF(B:B,B644)&gt;1,_xlfn.CONCAT(A644," (",M644,")"),B644)</f>
        <v>Húyáng Zhèn</v>
      </c>
      <c r="D644" t="s">
        <v>1902</v>
      </c>
      <c r="E644" t="s">
        <v>13</v>
      </c>
      <c r="F644" t="str">
        <f>_xlfn.CONCAT(D644,", ",H644,", ",I644,", ","山东省")</f>
        <v>胡阳镇, 费县, 临沂市, 山东省</v>
      </c>
      <c r="G644">
        <v>40219</v>
      </c>
      <c r="H644" t="s">
        <v>3711</v>
      </c>
      <c r="I644" t="s">
        <v>3710</v>
      </c>
      <c r="J644">
        <f>VLOOKUP(F644,[1]!china_towns_second__2[[Column1]:[Y]],3,FALSE)</f>
        <v>35.285191050723803</v>
      </c>
      <c r="K644">
        <f>VLOOKUP(F644,[1]!china_towns_second__2[[Column1]:[Y]],2,FALSE)</f>
        <v>118.0910214</v>
      </c>
      <c r="L644" t="s">
        <v>5477</v>
      </c>
      <c r="M644" t="str">
        <f>VLOOKUP(H644,CHOOSE({1,2},Table17[Native],Table17[Name]),2,0)</f>
        <v>Fèi Xiàn</v>
      </c>
      <c r="N644" s="15" t="str">
        <f>VLOOKUP(I644,CHOOSE({1,2},Table17[Native],Table17[Name]),2,0)</f>
        <v>Línyí Shì</v>
      </c>
      <c r="O644" s="15" t="str">
        <f t="shared" si="20"/>
        <v>Huyang Zhen (Línyí Shì)</v>
      </c>
      <c r="P644" s="15" t="str">
        <f t="shared" si="21"/>
        <v>Huyang Zhen (Línyí Shì)</v>
      </c>
    </row>
    <row r="645" spans="1:16" hidden="1" x14ac:dyDescent="0.25">
      <c r="A645" t="s">
        <v>1630</v>
      </c>
      <c r="B645" t="str">
        <f>IF(COUNTIF(A:A,A645)&gt;1,_xlfn.CONCAT(A645," (",N645,")"),A645)</f>
        <v>Jiă Zhèn</v>
      </c>
      <c r="C645" t="str">
        <f>IF(COUNTIF(B:B,B645)&gt;1,_xlfn.CONCAT(A645," (",M645,")"),B645)</f>
        <v>Jiă Zhèn</v>
      </c>
      <c r="D645" t="s">
        <v>1631</v>
      </c>
      <c r="E645" t="s">
        <v>13</v>
      </c>
      <c r="F645" t="str">
        <f>_xlfn.CONCAT(D645,", ",H645,", ",I645,", ","山东省")</f>
        <v>贾镇, 冠县, 聊城市, 山东省</v>
      </c>
      <c r="G645">
        <v>38752</v>
      </c>
      <c r="H645" t="s">
        <v>3705</v>
      </c>
      <c r="I645" t="s">
        <v>3700</v>
      </c>
      <c r="J645">
        <f>VLOOKUP(F645,[1]!china_towns_second__2[[Column1]:[Y]],3,FALSE)</f>
        <v>36.509107876600297</v>
      </c>
      <c r="K645">
        <f>VLOOKUP(F645,[1]!china_towns_second__2[[Column1]:[Y]],2,FALSE)</f>
        <v>115.594472</v>
      </c>
      <c r="L645" t="s">
        <v>5478</v>
      </c>
      <c r="M645" t="str">
        <f>VLOOKUP(H645,CHOOSE({1,2},Table17[Native],Table17[Name]),2,0)</f>
        <v>Guān Xiàn</v>
      </c>
      <c r="N645" s="15" t="str">
        <f>VLOOKUP(I645,CHOOSE({1,2},Table17[Native],Table17[Name]),2,0)</f>
        <v>Liáochéng Shì</v>
      </c>
      <c r="O645" s="15" t="str">
        <f t="shared" si="20"/>
        <v>Jia Zhen (Liáochéng Shì)</v>
      </c>
      <c r="P645" s="15" t="str">
        <f t="shared" si="21"/>
        <v>Jia Zhen (Liáochéng Shì)</v>
      </c>
    </row>
    <row r="646" spans="1:16" hidden="1" x14ac:dyDescent="0.25">
      <c r="A646" t="s">
        <v>294</v>
      </c>
      <c r="B646" t="str">
        <f>IF(COUNTIF(A:A,A646)&gt;1,_xlfn.CONCAT(A646," (",N646,")"),A646)</f>
        <v>Jiămăyíng Zhèn</v>
      </c>
      <c r="C646" t="str">
        <f>IF(COUNTIF(B:B,B646)&gt;1,_xlfn.CONCAT(A646," (",M646,")"),B646)</f>
        <v>Jiămăyíng Zhèn</v>
      </c>
      <c r="D646" t="s">
        <v>295</v>
      </c>
      <c r="E646" t="s">
        <v>13</v>
      </c>
      <c r="F646" t="str">
        <f>_xlfn.CONCAT(D646,", ",H646,", ",I646,", ","山东省")</f>
        <v>甲马营镇, 武城县, 德州市, 山东省</v>
      </c>
      <c r="G646">
        <v>31818</v>
      </c>
      <c r="H646" t="s">
        <v>3651</v>
      </c>
      <c r="I646" t="s">
        <v>3642</v>
      </c>
      <c r="J646">
        <f>VLOOKUP(F646,[1]!china_towns_second__2[[Column1]:[Y]],3,FALSE)</f>
        <v>37.231803477416499</v>
      </c>
      <c r="K646">
        <f>VLOOKUP(F646,[1]!china_towns_second__2[[Column1]:[Y]],2,FALSE)</f>
        <v>115.97722229999999</v>
      </c>
      <c r="L646" t="s">
        <v>5479</v>
      </c>
      <c r="M646" t="str">
        <f>VLOOKUP(H646,CHOOSE({1,2},Table17[Native],Table17[Name]),2,0)</f>
        <v>Wŭchéng Xiàn</v>
      </c>
      <c r="N646" s="15" t="str">
        <f>VLOOKUP(I646,CHOOSE({1,2},Table17[Native],Table17[Name]),2,0)</f>
        <v>Dézhōu Shì</v>
      </c>
      <c r="O646" s="15" t="str">
        <f t="shared" si="20"/>
        <v>Jiamaying Zhen (Dézhōu Shì)</v>
      </c>
      <c r="P646" s="15" t="str">
        <f t="shared" si="21"/>
        <v>Jiamaying Zhen (Dézhōu Shì)</v>
      </c>
    </row>
    <row r="647" spans="1:16" hidden="1" x14ac:dyDescent="0.25">
      <c r="A647" t="s">
        <v>1624</v>
      </c>
      <c r="B647" t="str">
        <f>IF(COUNTIF(A:A,A647)&gt;1,_xlfn.CONCAT(A647," (",N647,")"),A647)</f>
        <v>Jiāngdiàn Zhèn</v>
      </c>
      <c r="C647" t="str">
        <f>IF(COUNTIF(B:B,B647)&gt;1,_xlfn.CONCAT(A647," (",M647,")"),B647)</f>
        <v>Jiāngdiàn Zhèn</v>
      </c>
      <c r="D647" t="s">
        <v>1625</v>
      </c>
      <c r="E647" t="s">
        <v>13</v>
      </c>
      <c r="F647" t="str">
        <f>_xlfn.CONCAT(D647,", ",H647,", ",I647,", ","山东省")</f>
        <v>姜店镇, 高唐县, 聊城市, 山东省</v>
      </c>
      <c r="G647">
        <v>37830</v>
      </c>
      <c r="H647" t="s">
        <v>3704</v>
      </c>
      <c r="I647" t="s">
        <v>3700</v>
      </c>
      <c r="J647">
        <f>VLOOKUP(F647,[1]!china_towns_second__2[[Column1]:[Y]],3,FALSE)</f>
        <v>36.759595879527197</v>
      </c>
      <c r="K647">
        <f>VLOOKUP(F647,[1]!china_towns_second__2[[Column1]:[Y]],2,FALSE)</f>
        <v>116.243966</v>
      </c>
      <c r="L647" t="s">
        <v>5480</v>
      </c>
      <c r="M647" t="str">
        <f>VLOOKUP(H647,CHOOSE({1,2},Table17[Native],Table17[Name]),2,0)</f>
        <v>Gāotáng Xiàn</v>
      </c>
      <c r="N647" s="15" t="str">
        <f>VLOOKUP(I647,CHOOSE({1,2},Table17[Native],Table17[Name]),2,0)</f>
        <v>Liáochéng Shì</v>
      </c>
      <c r="O647" s="15" t="str">
        <f t="shared" si="20"/>
        <v>Jiangdian Zhen (Liáochéng Shì)</v>
      </c>
      <c r="P647" s="15" t="str">
        <f t="shared" si="21"/>
        <v>Jiangdian Zhen (Liáochéng Shì)</v>
      </c>
    </row>
    <row r="648" spans="1:16" hidden="1" x14ac:dyDescent="0.25">
      <c r="A648" t="s">
        <v>3155</v>
      </c>
      <c r="B648" t="str">
        <f>IF(COUNTIF(A:A,A648)&gt;1,_xlfn.CONCAT(A648," (",N648,")"),A648)</f>
        <v>Jiānggézhuāng Jiēdào</v>
      </c>
      <c r="C648" t="str">
        <f>IF(COUNTIF(B:B,B648)&gt;1,_xlfn.CONCAT(A648," (",M648,")"),B648)</f>
        <v>Jiānggézhuāng Jiēdào</v>
      </c>
      <c r="D648" t="s">
        <v>3156</v>
      </c>
      <c r="E648" t="s">
        <v>7</v>
      </c>
      <c r="F648" t="str">
        <f>_xlfn.CONCAT(D648,", ",H648,", ",I648,", ","山东省")</f>
        <v>姜格庄街道, 牟平区, 烟台市, 山东省</v>
      </c>
      <c r="G648">
        <v>37791</v>
      </c>
      <c r="H648" t="s">
        <v>3778</v>
      </c>
      <c r="I648" t="s">
        <v>3771</v>
      </c>
      <c r="J648">
        <f>VLOOKUP(F648,[1]!china_towns_second__2[[Column1]:[Y]],3,FALSE)</f>
        <v>37.423733572745199</v>
      </c>
      <c r="K648">
        <f>VLOOKUP(F648,[1]!china_towns_second__2[[Column1]:[Y]],2,FALSE)</f>
        <v>121.8179062</v>
      </c>
      <c r="L648" t="s">
        <v>5481</v>
      </c>
      <c r="M648" t="str">
        <f>VLOOKUP(H648,CHOOSE({1,2},Table17[Native],Table17[Name]),2,0)</f>
        <v>Mùpíng Qū</v>
      </c>
      <c r="N648" s="15" t="str">
        <f>VLOOKUP(I648,CHOOSE({1,2},Table17[Native],Table17[Name]),2,0)</f>
        <v>Yāntái Shì</v>
      </c>
      <c r="O648" s="15" t="str">
        <f t="shared" si="20"/>
        <v>Jianggezhuang Jiedao (Yāntái Shì)</v>
      </c>
      <c r="P648" s="15" t="str">
        <f t="shared" si="21"/>
        <v>Jianggezhuang Jiedao (Yāntái Shì)</v>
      </c>
    </row>
    <row r="649" spans="1:16" hidden="1" x14ac:dyDescent="0.25">
      <c r="A649" t="s">
        <v>1626</v>
      </c>
      <c r="B649" t="str">
        <f>IF(COUNTIF(A:A,A649)&gt;1,_xlfn.CONCAT(A649," (",N649,")"),A649)</f>
        <v>Jiăngguāntún Jiēdào</v>
      </c>
      <c r="C649" t="str">
        <f>IF(COUNTIF(B:B,B649)&gt;1,_xlfn.CONCAT(A649," (",M649,")"),B649)</f>
        <v>Jiăngguāntún Jiēdào</v>
      </c>
      <c r="D649" t="s">
        <v>1627</v>
      </c>
      <c r="E649" t="s">
        <v>7</v>
      </c>
      <c r="F649" t="str">
        <f>_xlfn.CONCAT(D649,", ",H649,", ",I649,", ","山东省")</f>
        <v>蒋官屯街道, 东昌府区, 聊城市, 山东省</v>
      </c>
      <c r="G649">
        <v>34345</v>
      </c>
      <c r="H649" t="s">
        <v>3702</v>
      </c>
      <c r="I649" t="s">
        <v>3700</v>
      </c>
      <c r="J649">
        <f>VLOOKUP(F649,[1]!china_towns_second__2[[Column1]:[Y]],3,FALSE)</f>
        <v>36.470885863318003</v>
      </c>
      <c r="K649">
        <f>VLOOKUP(F649,[1]!china_towns_second__2[[Column1]:[Y]],2,FALSE)</f>
        <v>116.09312970000001</v>
      </c>
      <c r="L649" t="s">
        <v>5482</v>
      </c>
      <c r="M649" t="str">
        <f>VLOOKUP(H649,CHOOSE({1,2},Table17[Native],Table17[Name]),2,0)</f>
        <v>Dōngchāngfŭ Qū</v>
      </c>
      <c r="N649" s="15" t="str">
        <f>VLOOKUP(I649,CHOOSE({1,2},Table17[Native],Table17[Name]),2,0)</f>
        <v>Liáochéng Shì</v>
      </c>
      <c r="O649" s="15" t="str">
        <f t="shared" si="20"/>
        <v>Jiangguantun Jiedao (Liáochéng Shì)</v>
      </c>
      <c r="P649" s="15" t="str">
        <f t="shared" si="21"/>
        <v>Jiangguantun Jiedao (Liáochéng Shì)</v>
      </c>
    </row>
    <row r="650" spans="1:16" hidden="1" x14ac:dyDescent="0.25">
      <c r="A650" t="s">
        <v>2568</v>
      </c>
      <c r="B650" t="str">
        <f>IF(COUNTIF(A:A,A650)&gt;1,_xlfn.CONCAT(A650," (",N650,")"),A650)</f>
        <v>Jiăngjí Zhèn</v>
      </c>
      <c r="C650" t="str">
        <f>IF(COUNTIF(B:B,B650)&gt;1,_xlfn.CONCAT(A650," (",M650,")"),B650)</f>
        <v>Jiăngjí Zhèn</v>
      </c>
      <c r="D650" t="s">
        <v>2569</v>
      </c>
      <c r="E650" t="s">
        <v>13</v>
      </c>
      <c r="F650" t="str">
        <f>_xlfn.CONCAT(D650,", ",H650,", ",I650,", ","山东省")</f>
        <v>蒋集镇, 宁阳县, 泰安市, 山东省</v>
      </c>
      <c r="G650">
        <v>43140</v>
      </c>
      <c r="H650" t="s">
        <v>3747</v>
      </c>
      <c r="I650" t="s">
        <v>3743</v>
      </c>
      <c r="J650">
        <f>VLOOKUP(F650,[1]!china_towns_second__2[[Column1]:[Y]],3,FALSE)</f>
        <v>35.904647988682797</v>
      </c>
      <c r="K650">
        <f>VLOOKUP(F650,[1]!china_towns_second__2[[Column1]:[Y]],2,FALSE)</f>
        <v>116.9775075</v>
      </c>
      <c r="L650" t="s">
        <v>5483</v>
      </c>
      <c r="M650" t="str">
        <f>VLOOKUP(H650,CHOOSE({1,2},Table17[Native],Table17[Name]),2,0)</f>
        <v>Níngyáng Xiàn</v>
      </c>
      <c r="N650" s="15" t="str">
        <f>VLOOKUP(I650,CHOOSE({1,2},Table17[Native],Table17[Name]),2,0)</f>
        <v>Tài'ān Shì</v>
      </c>
      <c r="O650" s="15" t="str">
        <f t="shared" si="20"/>
        <v>Jiangji Zhen (Tài'ān Shì)</v>
      </c>
      <c r="P650" s="15" t="str">
        <f t="shared" si="21"/>
        <v>Jiangji Zhen (Tài'ān Shì)</v>
      </c>
    </row>
    <row r="651" spans="1:16" hidden="1" x14ac:dyDescent="0.25">
      <c r="A651" t="s">
        <v>3515</v>
      </c>
      <c r="B651" t="str">
        <f>IF(COUNTIF(A:A,A651)&gt;1,_xlfn.CONCAT(A651," (",N651,")"),A651)</f>
        <v>Jiāngjūnlù Jiēdào [incl. Shāngchénglù Jiēdào, Chéngnán Zhèn]</v>
      </c>
      <c r="C651" t="str">
        <f>IF(COUNTIF(B:B,B651)&gt;1,_xlfn.CONCAT(A651," (",M651,")"),B651)</f>
        <v>Jiāngjūnlù Jiēdào [incl. Shāngchénglù Jiēdào, Chéngnán Zhèn]</v>
      </c>
      <c r="D651" t="s">
        <v>3516</v>
      </c>
      <c r="E651" t="s">
        <v>7</v>
      </c>
      <c r="F651" t="str">
        <f>_xlfn.CONCAT(D651,", ",H651,", ",I651,", ","山东省")</f>
        <v>将军路街道, 淄川区, 淄博市, 山东省</v>
      </c>
      <c r="G651">
        <v>58145</v>
      </c>
      <c r="H651" t="s">
        <v>3799</v>
      </c>
      <c r="I651" t="s">
        <v>3791</v>
      </c>
      <c r="J651">
        <f>VLOOKUP(F651,[1]!china_towns_second__2[[Column1]:[Y]],3,FALSE)</f>
        <v>36.629776965510501</v>
      </c>
      <c r="K651">
        <f>VLOOKUP(F651,[1]!china_towns_second__2[[Column1]:[Y]],2,FALSE)</f>
        <v>117.93933269999999</v>
      </c>
      <c r="L651" t="s">
        <v>5484</v>
      </c>
      <c r="M651" t="str">
        <f>VLOOKUP(H651,CHOOSE({1,2},Table17[Native],Table17[Name]),2,0)</f>
        <v>Zīchuān Qū</v>
      </c>
      <c r="N651" s="15" t="str">
        <f>VLOOKUP(I651,CHOOSE({1,2},Table17[Native],Table17[Name]),2,0)</f>
        <v>Zībó Shì</v>
      </c>
      <c r="O651" s="15" t="str">
        <f t="shared" si="20"/>
        <v>Jiangjunlu Jiedao [incl. Shangchenglu Jiedao, Chengnan Zhen] (Zībó Shì)</v>
      </c>
      <c r="P651" s="15" t="str">
        <f t="shared" si="21"/>
        <v>Jiangjunlu Jiedao [incl. Shangchenglu Jiedao, Chengnan Zhen] (Zībó Shì)</v>
      </c>
    </row>
    <row r="652" spans="1:16" hidden="1" x14ac:dyDescent="0.25">
      <c r="A652" t="s">
        <v>81</v>
      </c>
      <c r="B652" t="str">
        <f>IF(COUNTIF(A:A,A652)&gt;1,_xlfn.CONCAT(A652," (",N652,")"),A652)</f>
        <v>Jiānglóu Zhèn (Bīnzhōu Shì)</v>
      </c>
      <c r="C652" t="str">
        <f>IF(COUNTIF(B:B,B652)&gt;1,_xlfn.CONCAT(A652," (",M652,")"),B652)</f>
        <v>Jiānglóu Zhèn (Bīnzhōu Shì)</v>
      </c>
      <c r="D652" t="s">
        <v>82</v>
      </c>
      <c r="E652" t="s">
        <v>13</v>
      </c>
      <c r="F652" t="str">
        <f>_xlfn.CONCAT(D652,", ",H652,", ",I652,", ","山东省")</f>
        <v>姜楼镇, 惠民县, 滨州市, 山东省</v>
      </c>
      <c r="G652">
        <v>53101</v>
      </c>
      <c r="H652" t="s">
        <v>3635</v>
      </c>
      <c r="I652" t="s">
        <v>3630</v>
      </c>
      <c r="J652">
        <f>VLOOKUP(F652,[1]!china_towns_second__2[[Column1]:[Y]],3,FALSE)</f>
        <v>37.238012590997101</v>
      </c>
      <c r="K652">
        <f>VLOOKUP(F652,[1]!china_towns_second__2[[Column1]:[Y]],2,FALSE)</f>
        <v>117.477418</v>
      </c>
      <c r="L652" t="s">
        <v>5485</v>
      </c>
      <c r="M652" t="str">
        <f>VLOOKUP(H652,CHOOSE({1,2},Table17[Native],Table17[Name]),2,0)</f>
        <v>Huìmín Xiàn</v>
      </c>
      <c r="N652" s="15" t="str">
        <f>VLOOKUP(I652,CHOOSE({1,2},Table17[Native],Table17[Name]),2,0)</f>
        <v>Bīnzhōu Shì</v>
      </c>
      <c r="O652" s="15" t="str">
        <f t="shared" si="20"/>
        <v>Jianglou Zhen (Binzhou Shi) (Bīnzhōu Shì)</v>
      </c>
      <c r="P652" s="15" t="str">
        <f t="shared" si="21"/>
        <v>Jianglou Zhen (Binzhou Shi) (Bīnzhōu Shì)</v>
      </c>
    </row>
    <row r="653" spans="1:16" hidden="1" x14ac:dyDescent="0.25">
      <c r="A653" t="s">
        <v>81</v>
      </c>
      <c r="B653" t="str">
        <f>IF(COUNTIF(A:A,A653)&gt;1,_xlfn.CONCAT(A653," (",N653,")"),A653)</f>
        <v>Jiānglóu Zhèn (Liáochéng Shì)</v>
      </c>
      <c r="C653" t="str">
        <f>IF(COUNTIF(B:B,B653)&gt;1,_xlfn.CONCAT(A653," (",M653,")"),B653)</f>
        <v>Jiānglóu Zhèn (Liáochéng Shì)</v>
      </c>
      <c r="D653" t="s">
        <v>82</v>
      </c>
      <c r="E653" t="s">
        <v>13</v>
      </c>
      <c r="F653" t="str">
        <f>_xlfn.CONCAT(D653,", ",H653,", ",I653,", ","山东省")</f>
        <v>姜楼镇, 东阿县, 聊城市, 山东省</v>
      </c>
      <c r="G653">
        <v>25731</v>
      </c>
      <c r="H653" t="s">
        <v>3703</v>
      </c>
      <c r="I653" t="s">
        <v>3700</v>
      </c>
      <c r="J653">
        <f>VLOOKUP(F653,[1]!china_towns_second__2[[Column1]:[Y]],3,FALSE)</f>
        <v>36.267400581756498</v>
      </c>
      <c r="K653">
        <f>VLOOKUP(F653,[1]!china_towns_second__2[[Column1]:[Y]],2,FALSE)</f>
        <v>116.17861120000001</v>
      </c>
      <c r="L653" t="s">
        <v>5486</v>
      </c>
      <c r="M653" t="str">
        <f>VLOOKUP(H653,CHOOSE({1,2},Table17[Native],Table17[Name]),2,0)</f>
        <v>Dōng'ē Xiàn</v>
      </c>
      <c r="N653" s="15" t="str">
        <f>VLOOKUP(I653,CHOOSE({1,2},Table17[Native],Table17[Name]),2,0)</f>
        <v>Liáochéng Shì</v>
      </c>
      <c r="O653" s="15" t="str">
        <f t="shared" si="20"/>
        <v>Jianglou Zhen (Liaocheng Shi) (Liáochéng Shì)</v>
      </c>
      <c r="P653" s="15" t="str">
        <f t="shared" si="21"/>
        <v>Jianglou Zhen (Liaocheng Shi) (Liáochéng Shì)</v>
      </c>
    </row>
    <row r="654" spans="1:16" hidden="1" x14ac:dyDescent="0.25">
      <c r="A654" t="s">
        <v>2204</v>
      </c>
      <c r="B654" t="str">
        <f>IF(COUNTIF(A:A,A654)&gt;1,_xlfn.CONCAT(A654," (",N654,")"),A654)</f>
        <v>Jiāngshān Zhèn [incl. Lĭquánzhuāng Zhèn]</v>
      </c>
      <c r="C654" t="str">
        <f>IF(COUNTIF(B:B,B654)&gt;1,_xlfn.CONCAT(A654," (",M654,")"),B654)</f>
        <v>Jiāngshān Zhèn [incl. Lĭquánzhuāng Zhèn]</v>
      </c>
      <c r="D654" t="s">
        <v>2205</v>
      </c>
      <c r="E654" t="s">
        <v>13</v>
      </c>
      <c r="F654" t="str">
        <f>_xlfn.CONCAT(D654,", ",H654,", ",I654,", ","山东省")</f>
        <v>姜山镇, 莱西市, 青岛市, 山东省</v>
      </c>
      <c r="G654">
        <v>86642</v>
      </c>
      <c r="H654" t="s">
        <v>3729</v>
      </c>
      <c r="I654" t="s">
        <v>3724</v>
      </c>
      <c r="J654">
        <f>VLOOKUP(F654,[1]!china_towns_second__2[[Column1]:[Y]],3,FALSE)</f>
        <v>36.672015384039597</v>
      </c>
      <c r="K654">
        <f>VLOOKUP(F654,[1]!china_towns_second__2[[Column1]:[Y]],2,FALSE)</f>
        <v>120.5500657</v>
      </c>
      <c r="L654" t="s">
        <v>5487</v>
      </c>
      <c r="M654" t="str">
        <f>VLOOKUP(H654,CHOOSE({1,2},Table17[Native],Table17[Name]),2,0)</f>
        <v>Láixī Shì</v>
      </c>
      <c r="N654" s="15" t="str">
        <f>VLOOKUP(I654,CHOOSE({1,2},Table17[Native],Table17[Name]),2,0)</f>
        <v>Qīngdăo Shì</v>
      </c>
      <c r="O654" s="15" t="str">
        <f t="shared" si="20"/>
        <v>Jiangshan Zhen [incl. Liquanzhuang Zhen] (Qīngdăo Shì)</v>
      </c>
      <c r="P654" s="15" t="str">
        <f t="shared" si="21"/>
        <v>Jiangshan Zhen [incl. Liquanzhuang Zhen] (Qīngdăo Shì)</v>
      </c>
    </row>
    <row r="655" spans="1:16" hidden="1" x14ac:dyDescent="0.25">
      <c r="A655" t="s">
        <v>2206</v>
      </c>
      <c r="B655" t="str">
        <f>IF(COUNTIF(A:A,A655)&gt;1,_xlfn.CONCAT(A655," (",N655,")"),A655)</f>
        <v>Jiāngsūlù Jiēdào</v>
      </c>
      <c r="C655" t="str">
        <f>IF(COUNTIF(B:B,B655)&gt;1,_xlfn.CONCAT(A655," (",M655,")"),B655)</f>
        <v>Jiāngsūlù Jiēdào</v>
      </c>
      <c r="D655" t="s">
        <v>2207</v>
      </c>
      <c r="E655" t="s">
        <v>7</v>
      </c>
      <c r="F655" t="str">
        <f>_xlfn.CONCAT(D655,", ",H655,", ",I655,", ","山东省")</f>
        <v>江苏路街道, 市南区, 青岛市, 山东省</v>
      </c>
      <c r="G655">
        <v>28807</v>
      </c>
      <c r="H655" t="s">
        <v>3734</v>
      </c>
      <c r="I655" t="s">
        <v>3724</v>
      </c>
      <c r="J655">
        <f>VLOOKUP(F655,[1]!china_towns_second__2[[Column1]:[Y]],3,FALSE)</f>
        <v>36.066683906564101</v>
      </c>
      <c r="K655">
        <f>VLOOKUP(F655,[1]!china_towns_second__2[[Column1]:[Y]],2,FALSE)</f>
        <v>120.3257876</v>
      </c>
      <c r="L655" t="s">
        <v>5488</v>
      </c>
      <c r="M655" t="str">
        <f>VLOOKUP(H655,CHOOSE({1,2},Table17[Native],Table17[Name]),2,0)</f>
        <v>Shìnán Qū</v>
      </c>
      <c r="N655" s="15" t="str">
        <f>VLOOKUP(I655,CHOOSE({1,2},Table17[Native],Table17[Name]),2,0)</f>
        <v>Qīngdăo Shì</v>
      </c>
      <c r="O655" s="15" t="str">
        <f t="shared" si="20"/>
        <v>Jiangsulu Jiedao (Qīngdăo Shì)</v>
      </c>
      <c r="P655" s="15" t="str">
        <f t="shared" si="21"/>
        <v>Jiangsulu Jiedao (Qīngdăo Shì)</v>
      </c>
    </row>
    <row r="656" spans="1:16" hidden="1" x14ac:dyDescent="0.25">
      <c r="A656" t="s">
        <v>3157</v>
      </c>
      <c r="B656" t="str">
        <f>IF(COUNTIF(A:A,A656)&gt;1,_xlfn.CONCAT(A656," (",N656,")"),A656)</f>
        <v>Jiāngtuăn Zhèn</v>
      </c>
      <c r="C656" t="str">
        <f>IF(COUNTIF(B:B,B656)&gt;1,_xlfn.CONCAT(A656," (",M656,")"),B656)</f>
        <v>Jiāngtuăn Zhèn</v>
      </c>
      <c r="D656" t="s">
        <v>3158</v>
      </c>
      <c r="E656" t="s">
        <v>13</v>
      </c>
      <c r="F656" t="str">
        <f>_xlfn.CONCAT(D656,", ",H656,", ",I656,", ","山东省")</f>
        <v>姜疃镇, 莱阳市, 烟台市, 山东省</v>
      </c>
      <c r="G656">
        <v>53285</v>
      </c>
      <c r="H656" t="s">
        <v>3775</v>
      </c>
      <c r="I656" t="s">
        <v>3771</v>
      </c>
      <c r="J656">
        <f>VLOOKUP(F656,[1]!china_towns_second__2[[Column1]:[Y]],3,FALSE)</f>
        <v>36.805865640508898</v>
      </c>
      <c r="K656">
        <f>VLOOKUP(F656,[1]!china_towns_second__2[[Column1]:[Y]],2,FALSE)</f>
        <v>120.7209312</v>
      </c>
      <c r="L656" t="s">
        <v>5489</v>
      </c>
      <c r="M656" t="str">
        <f>VLOOKUP(H656,CHOOSE({1,2},Table17[Native],Table17[Name]),2,0)</f>
        <v>Láiyáng Shì</v>
      </c>
      <c r="N656" s="15" t="str">
        <f>VLOOKUP(I656,CHOOSE({1,2},Table17[Native],Table17[Name]),2,0)</f>
        <v>Yāntái Shì</v>
      </c>
      <c r="O656" s="15" t="str">
        <f t="shared" si="20"/>
        <v>Jiangtuan Zhen (Yāntái Shì)</v>
      </c>
      <c r="P656" s="15" t="str">
        <f t="shared" si="21"/>
        <v>Jiangtuan Zhen (Yāntái Shì)</v>
      </c>
    </row>
    <row r="657" spans="1:16" hidden="1" x14ac:dyDescent="0.25">
      <c r="A657" t="s">
        <v>3384</v>
      </c>
      <c r="B657" t="str">
        <f>IF(COUNTIF(A:A,A657)&gt;1,_xlfn.CONCAT(A657," (",N657,")"),A657)</f>
        <v>Jiāngtún Zhèn</v>
      </c>
      <c r="C657" t="str">
        <f>IF(COUNTIF(B:B,B657)&gt;1,_xlfn.CONCAT(A657," (",M657,")"),B657)</f>
        <v>Jiāngtún Zhèn</v>
      </c>
      <c r="D657" t="s">
        <v>3385</v>
      </c>
      <c r="E657" t="s">
        <v>13</v>
      </c>
      <c r="F657" t="str">
        <f>_xlfn.CONCAT(D657,", ",H657,", ",I657,", ","山东省")</f>
        <v>姜屯镇, 滕州市, 枣庄市, 山东省</v>
      </c>
      <c r="G657">
        <v>76836</v>
      </c>
      <c r="H657" t="s">
        <v>3787</v>
      </c>
      <c r="I657" t="s">
        <v>3784</v>
      </c>
      <c r="J657">
        <f>VLOOKUP(F657,[1]!china_towns_second__2[[Column1]:[Y]],3,FALSE)</f>
        <v>35.087805961499697</v>
      </c>
      <c r="K657">
        <f>VLOOKUP(F657,[1]!china_towns_second__2[[Column1]:[Y]],2,FALSE)</f>
        <v>117.0644108</v>
      </c>
      <c r="L657" t="s">
        <v>5490</v>
      </c>
      <c r="M657" t="str">
        <f>VLOOKUP(H657,CHOOSE({1,2},Table17[Native],Table17[Name]),2,0)</f>
        <v>Téngzhōu Shì</v>
      </c>
      <c r="N657" s="15" t="str">
        <f>VLOOKUP(I657,CHOOSE({1,2},Table17[Native],Table17[Name]),2,0)</f>
        <v>Zăozhuāng Shì</v>
      </c>
      <c r="O657" s="15" t="str">
        <f t="shared" si="20"/>
        <v>Jiangtun Zhen (Zăozhuāng Shì)</v>
      </c>
      <c r="P657" s="15" t="str">
        <f t="shared" si="21"/>
        <v>Jiangtun Zhen (Zăozhuāng Shì)</v>
      </c>
    </row>
    <row r="658" spans="1:16" hidden="1" x14ac:dyDescent="0.25">
      <c r="A658" t="s">
        <v>2755</v>
      </c>
      <c r="B658" t="str">
        <f>IF(COUNTIF(A:A,A658)&gt;1,_xlfn.CONCAT(A658," (",N658,")"),A658)</f>
        <v>Jiǎngyù Zhèn [Yíshān Zhèn]</v>
      </c>
      <c r="C658" t="str">
        <f>IF(COUNTIF(B:B,B658)&gt;1,_xlfn.CONCAT(A658," (",M658,")"),B658)</f>
        <v>Jiǎngyù Zhèn [Yíshān Zhèn]</v>
      </c>
      <c r="D658" t="s">
        <v>2756</v>
      </c>
      <c r="E658" t="s">
        <v>13</v>
      </c>
      <c r="F658" t="str">
        <f>_xlfn.CONCAT(D658,", ",H658,", ",I658,", ","山东省")</f>
        <v>蒋峪镇, 临朐县, 潍坊市, 山东省</v>
      </c>
      <c r="G658">
        <v>78408</v>
      </c>
      <c r="H658" t="s">
        <v>3759</v>
      </c>
      <c r="I658" t="s">
        <v>3751</v>
      </c>
      <c r="J658">
        <f>VLOOKUP(F658,[1]!china_towns_second__2[[Column1]:[Y]],3,FALSE)</f>
        <v>36.253771872395099</v>
      </c>
      <c r="K658">
        <f>VLOOKUP(F658,[1]!china_towns_second__2[[Column1]:[Y]],2,FALSE)</f>
        <v>118.6806931</v>
      </c>
      <c r="L658" t="s">
        <v>5491</v>
      </c>
      <c r="M658" t="str">
        <f>VLOOKUP(H658,CHOOSE({1,2},Table17[Native],Table17[Name]),2,0)</f>
        <v>Línqú Xiàn</v>
      </c>
      <c r="N658" s="15" t="str">
        <f>VLOOKUP(I658,CHOOSE({1,2},Table17[Native],Table17[Name]),2,0)</f>
        <v>Wéifāng Shì</v>
      </c>
      <c r="O658" s="15" t="str">
        <f t="shared" si="20"/>
        <v>Jiangyu Zhen [Yishan Zhen] (Wéifāng Shì)</v>
      </c>
      <c r="P658" s="15" t="str">
        <f t="shared" si="21"/>
        <v>Jiangyu Zhen [Yishan Zhen] (Wéifāng Shì)</v>
      </c>
    </row>
    <row r="659" spans="1:16" hidden="1" x14ac:dyDescent="0.25">
      <c r="A659" t="s">
        <v>2757</v>
      </c>
      <c r="B659" t="str">
        <f>IF(COUNTIF(A:A,A659)&gt;1,_xlfn.CONCAT(A659," (",N659,")"),A659)</f>
        <v>Jiāngzhuāng Zhèn</v>
      </c>
      <c r="C659" t="str">
        <f>IF(COUNTIF(B:B,B659)&gt;1,_xlfn.CONCAT(A659," (",M659,")"),B659)</f>
        <v>Jiāngzhuāng Zhèn</v>
      </c>
      <c r="D659" t="s">
        <v>2758</v>
      </c>
      <c r="E659" t="s">
        <v>13</v>
      </c>
      <c r="F659" t="str">
        <f>_xlfn.CONCAT(D659,", ",H659,", ",I659,", ","山东省")</f>
        <v>姜庄镇, 高密市, 潍坊市, 山东省</v>
      </c>
      <c r="G659">
        <v>72453</v>
      </c>
      <c r="H659" t="s">
        <v>3756</v>
      </c>
      <c r="I659" t="s">
        <v>3751</v>
      </c>
      <c r="J659">
        <f>VLOOKUP(F659,[1]!china_towns_second__2[[Column1]:[Y]],3,FALSE)</f>
        <v>36.497370300049099</v>
      </c>
      <c r="K659">
        <f>VLOOKUP(F659,[1]!china_towns_second__2[[Column1]:[Y]],2,FALSE)</f>
        <v>119.77183359999999</v>
      </c>
      <c r="L659" t="s">
        <v>5492</v>
      </c>
      <c r="M659" t="str">
        <f>VLOOKUP(H659,CHOOSE({1,2},Table17[Native],Table17[Name]),2,0)</f>
        <v>Gāomì Shì</v>
      </c>
      <c r="N659" s="15" t="str">
        <f>VLOOKUP(I659,CHOOSE({1,2},Table17[Native],Table17[Name]),2,0)</f>
        <v>Wéifāng Shì</v>
      </c>
      <c r="O659" s="15" t="str">
        <f t="shared" si="20"/>
        <v>Jiangzhuang Zhen (Wéifāng Shì)</v>
      </c>
      <c r="P659" s="15" t="str">
        <f t="shared" si="21"/>
        <v>Jiangzhuang Zhen (Wéifāng Shì)</v>
      </c>
    </row>
    <row r="660" spans="1:16" hidden="1" x14ac:dyDescent="0.25">
      <c r="A660" t="s">
        <v>3386</v>
      </c>
      <c r="B660" t="str">
        <f>IF(COUNTIF(A:A,A660)&gt;1,_xlfn.CONCAT(A660," (",N660,")"),A660)</f>
        <v>Jiàntóují Zhèn</v>
      </c>
      <c r="C660" t="str">
        <f>IF(COUNTIF(B:B,B660)&gt;1,_xlfn.CONCAT(A660," (",M660,")"),B660)</f>
        <v>Jiàntóují Zhèn</v>
      </c>
      <c r="D660" t="s">
        <v>3387</v>
      </c>
      <c r="E660" t="s">
        <v>13</v>
      </c>
      <c r="F660" t="str">
        <f>_xlfn.CONCAT(D660,", ",H660,", ",I660,", ","山东省")</f>
        <v>涧头集镇, 台儿庄区, 枣庄市, 山东省</v>
      </c>
      <c r="G660">
        <v>53631</v>
      </c>
      <c r="H660" t="s">
        <v>3786</v>
      </c>
      <c r="I660" t="s">
        <v>3784</v>
      </c>
      <c r="J660">
        <f>VLOOKUP(F660,[1]!china_towns_second__2[[Column1]:[Y]],3,FALSE)</f>
        <v>34.533652024385198</v>
      </c>
      <c r="K660">
        <f>VLOOKUP(F660,[1]!china_towns_second__2[[Column1]:[Y]],2,FALSE)</f>
        <v>117.5943875</v>
      </c>
      <c r="L660" t="s">
        <v>5493</v>
      </c>
      <c r="M660" t="str">
        <f>VLOOKUP(H660,CHOOSE({1,2},Table17[Native],Table17[Name]),2,0)</f>
        <v>Tái'érzhuāng Qū</v>
      </c>
      <c r="N660" s="15" t="str">
        <f>VLOOKUP(I660,CHOOSE({1,2},Table17[Native],Table17[Name]),2,0)</f>
        <v>Zăozhuāng Shì</v>
      </c>
      <c r="O660" s="15" t="str">
        <f t="shared" si="20"/>
        <v>Jiantouji Zhen (Zăozhuāng Shì)</v>
      </c>
      <c r="P660" s="15" t="str">
        <f t="shared" si="21"/>
        <v>Jiantouji Zhen (Zăozhuāng Shì)</v>
      </c>
    </row>
    <row r="661" spans="1:16" hidden="1" x14ac:dyDescent="0.25">
      <c r="A661" t="s">
        <v>1020</v>
      </c>
      <c r="B661" t="str">
        <f>IF(COUNTIF(A:A,A661)&gt;1,_xlfn.CONCAT(A661," (",N661,")"),A661)</f>
        <v>Jiànxīn Jiēdào</v>
      </c>
      <c r="C661" t="str">
        <f>IF(COUNTIF(B:B,B661)&gt;1,_xlfn.CONCAT(A661," (",M661,")"),B661)</f>
        <v>Jiànxīn Jiēdào</v>
      </c>
      <c r="D661" t="s">
        <v>1021</v>
      </c>
      <c r="E661" t="s">
        <v>7</v>
      </c>
      <c r="F661" t="str">
        <f>_xlfn.CONCAT(D661,", ",H661,", ",I661,", ","山东省")</f>
        <v>建新街道, 历下区, 济南市, 山东省</v>
      </c>
      <c r="G661">
        <v>45936</v>
      </c>
      <c r="H661" t="s">
        <v>3680</v>
      </c>
      <c r="I661" t="s">
        <v>3673</v>
      </c>
      <c r="J661">
        <f>VLOOKUP(F661,[1]!china_towns_second__2[[Column1]:[Y]],3,FALSE)</f>
        <v>36.669729018337897</v>
      </c>
      <c r="K661">
        <f>VLOOKUP(F661,[1]!china_towns_second__2[[Column1]:[Y]],2,FALSE)</f>
        <v>117.0457631</v>
      </c>
      <c r="L661" t="s">
        <v>5494</v>
      </c>
      <c r="M661" t="str">
        <f>VLOOKUP(H661,CHOOSE({1,2},Table17[Native],Table17[Name]),2,0)</f>
        <v>Lìxià Qū</v>
      </c>
      <c r="N661" s="15" t="str">
        <f>VLOOKUP(I661,CHOOSE({1,2},Table17[Native],Table17[Name]),2,0)</f>
        <v>Jìnán Shì</v>
      </c>
      <c r="O661" s="15" t="str">
        <f t="shared" si="20"/>
        <v>Jianxin Jiedao (Jìnán Shì)</v>
      </c>
      <c r="P661" s="15" t="str">
        <f t="shared" si="21"/>
        <v>Jianxin Jiedao (Jìnán Shì)</v>
      </c>
    </row>
    <row r="662" spans="1:16" hidden="1" x14ac:dyDescent="0.25">
      <c r="A662" t="s">
        <v>2208</v>
      </c>
      <c r="B662" t="str">
        <f>IF(COUNTIF(A:A,A662)&gt;1,_xlfn.CONCAT(A662," (",N662,")"),A662)</f>
        <v>Jiāobĕi Jiēdào</v>
      </c>
      <c r="C662" t="str">
        <f>IF(COUNTIF(B:B,B662)&gt;1,_xlfn.CONCAT(A662," (",M662,")"),B662)</f>
        <v>Jiāobĕi Jiēdào</v>
      </c>
      <c r="D662" t="s">
        <v>2209</v>
      </c>
      <c r="E662" t="s">
        <v>7</v>
      </c>
      <c r="F662" t="str">
        <f>_xlfn.CONCAT(D662,", ",H662,", ",I662,", ","山东省")</f>
        <v>胶北街道, 胶州市, 青岛市, 山东省</v>
      </c>
      <c r="G662">
        <v>30248</v>
      </c>
      <c r="H662" t="s">
        <v>3727</v>
      </c>
      <c r="I662" t="s">
        <v>3724</v>
      </c>
      <c r="J662">
        <f>VLOOKUP(F662,[1]!china_towns_second__2[[Column1]:[Y]],3,FALSE)</f>
        <v>36.354685729017397</v>
      </c>
      <c r="K662">
        <f>VLOOKUP(F662,[1]!china_towns_second__2[[Column1]:[Y]],2,FALSE)</f>
        <v>119.95014759999999</v>
      </c>
      <c r="L662" t="s">
        <v>5495</v>
      </c>
      <c r="M662" t="str">
        <f>VLOOKUP(H662,CHOOSE({1,2},Table17[Native],Table17[Name]),2,0)</f>
        <v>Jiāozhōu Shì</v>
      </c>
      <c r="N662" s="15" t="str">
        <f>VLOOKUP(I662,CHOOSE({1,2},Table17[Native],Table17[Name]),2,0)</f>
        <v>Qīngdăo Shì</v>
      </c>
      <c r="O662" s="15" t="str">
        <f t="shared" si="20"/>
        <v>Jiaobei Jiedao (Qīngdăo Shì)</v>
      </c>
      <c r="P662" s="15" t="str">
        <f t="shared" si="21"/>
        <v>Jiaobei Jiedao (Qīngdăo Shì)</v>
      </c>
    </row>
    <row r="663" spans="1:16" hidden="1" x14ac:dyDescent="0.25">
      <c r="A663" t="s">
        <v>2210</v>
      </c>
      <c r="B663" t="str">
        <f>IF(COUNTIF(A:A,A663)&gt;1,_xlfn.CONCAT(A663," (",N663,")"),A663)</f>
        <v>Jiāodōng Jiēdào</v>
      </c>
      <c r="C663" t="str">
        <f>IF(COUNTIF(B:B,B663)&gt;1,_xlfn.CONCAT(A663," (",M663,")"),B663)</f>
        <v>Jiāodōng Jiēdào</v>
      </c>
      <c r="D663" t="s">
        <v>2211</v>
      </c>
      <c r="E663" t="s">
        <v>7</v>
      </c>
      <c r="F663" t="str">
        <f>_xlfn.CONCAT(D663,", ",H663,", ",I663,", ","山东省")</f>
        <v>胶东街道, 胶州市, 青岛市, 山东省</v>
      </c>
      <c r="G663">
        <v>61029</v>
      </c>
      <c r="H663" t="s">
        <v>3727</v>
      </c>
      <c r="I663" t="s">
        <v>3724</v>
      </c>
      <c r="J663">
        <f>VLOOKUP(F663,[1]!china_towns_second__2[[Column1]:[Y]],3,FALSE)</f>
        <v>36.342431471815502</v>
      </c>
      <c r="K663">
        <f>VLOOKUP(F663,[1]!china_towns_second__2[[Column1]:[Y]],2,FALSE)</f>
        <v>120.0751661</v>
      </c>
      <c r="L663" t="s">
        <v>5496</v>
      </c>
      <c r="M663" t="str">
        <f>VLOOKUP(H663,CHOOSE({1,2},Table17[Native],Table17[Name]),2,0)</f>
        <v>Jiāozhōu Shì</v>
      </c>
      <c r="N663" s="15" t="str">
        <f>VLOOKUP(I663,CHOOSE({1,2},Table17[Native],Table17[Name]),2,0)</f>
        <v>Qīngdăo Shì</v>
      </c>
      <c r="O663" s="15" t="str">
        <f t="shared" si="20"/>
        <v>Jiaodong Jiedao (Qīngdăo Shì)</v>
      </c>
      <c r="P663" s="15" t="str">
        <f t="shared" si="21"/>
        <v>Jiaodong Jiedao (Qīngdăo Shì)</v>
      </c>
    </row>
    <row r="664" spans="1:16" hidden="1" x14ac:dyDescent="0.25">
      <c r="A664" t="s">
        <v>2212</v>
      </c>
      <c r="B664" t="str">
        <f>IF(COUNTIF(A:A,A664)&gt;1,_xlfn.CONCAT(A664," (",N664,")"),A664)</f>
        <v>Jiāolái Jiēdào [incl. Mădiàn Zhèn]</v>
      </c>
      <c r="C664" t="str">
        <f>IF(COUNTIF(B:B,B664)&gt;1,_xlfn.CONCAT(A664," (",M664,")"),B664)</f>
        <v>Jiāolái Jiēdào [incl. Mădiàn Zhèn]</v>
      </c>
      <c r="D664" t="s">
        <v>2213</v>
      </c>
      <c r="E664" t="s">
        <v>7</v>
      </c>
      <c r="F664" t="str">
        <f>_xlfn.CONCAT(D664,", ",H664,", ",I664,", ","山东省")</f>
        <v>胶莱街道, 胶州市, 青岛市, 山东省</v>
      </c>
      <c r="G664">
        <v>76029</v>
      </c>
      <c r="H664" t="s">
        <v>3727</v>
      </c>
      <c r="I664" t="s">
        <v>3724</v>
      </c>
      <c r="J664" t="e">
        <f>VLOOKUP(F664,[1]!china_towns_second__2[[Column1]:[Y]],3,FALSE)</f>
        <v>#N/A</v>
      </c>
      <c r="K664" t="e">
        <f>VLOOKUP(F664,[1]!china_towns_second__2[[Column1]:[Y]],2,FALSE)</f>
        <v>#N/A</v>
      </c>
      <c r="L664" t="s">
        <v>5497</v>
      </c>
      <c r="M664" t="str">
        <f>VLOOKUP(H664,CHOOSE({1,2},Table17[Native],Table17[Name]),2,0)</f>
        <v>Jiāozhōu Shì</v>
      </c>
      <c r="N664" s="15" t="str">
        <f>VLOOKUP(I664,CHOOSE({1,2},Table17[Native],Table17[Name]),2,0)</f>
        <v>Qīngdăo Shì</v>
      </c>
      <c r="O664" s="15" t="str">
        <f t="shared" si="20"/>
        <v>Jiaolai Jiedao [incl. Madian Zhen] (Qīngdăo Shì)</v>
      </c>
      <c r="P664" s="15" t="str">
        <f t="shared" si="21"/>
        <v>Jiaolai Jiedao [incl. Madian Zhen] (Qīngdăo Shì)</v>
      </c>
    </row>
    <row r="665" spans="1:16" hidden="1" x14ac:dyDescent="0.25">
      <c r="A665" t="s">
        <v>1903</v>
      </c>
      <c r="B665" t="str">
        <f>IF(COUNTIF(A:A,A665)&gt;1,_xlfn.CONCAT(A665," (",N665,")"),A665)</f>
        <v>Jiāolóng Zhèn</v>
      </c>
      <c r="C665" t="str">
        <f>IF(COUNTIF(B:B,B665)&gt;1,_xlfn.CONCAT(A665," (",M665,")"),B665)</f>
        <v>Jiāolóng Zhèn</v>
      </c>
      <c r="D665" t="s">
        <v>1904</v>
      </c>
      <c r="E665" t="s">
        <v>13</v>
      </c>
      <c r="F665" t="str">
        <f>_xlfn.CONCAT(D665,", ",H665,", ",I665,", ","山东省")</f>
        <v>蛟龙镇, 临沭县, 临沂市, 山东省</v>
      </c>
      <c r="G665">
        <v>36712</v>
      </c>
      <c r="H665" t="s">
        <v>3716</v>
      </c>
      <c r="I665" t="s">
        <v>3710</v>
      </c>
      <c r="J665">
        <f>VLOOKUP(F665,[1]!china_towns_second__2[[Column1]:[Y]],3,FALSE)</f>
        <v>34.861892478537399</v>
      </c>
      <c r="K665">
        <f>VLOOKUP(F665,[1]!china_towns_second__2[[Column1]:[Y]],2,FALSE)</f>
        <v>118.7395928</v>
      </c>
      <c r="L665" t="s">
        <v>5498</v>
      </c>
      <c r="M665" t="str">
        <f>VLOOKUP(H665,CHOOSE({1,2},Table17[Native],Table17[Name]),2,0)</f>
        <v>Línshù Xiàn</v>
      </c>
      <c r="N665" s="15" t="str">
        <f>VLOOKUP(I665,CHOOSE({1,2},Table17[Native],Table17[Name]),2,0)</f>
        <v>Línyí Shì</v>
      </c>
      <c r="O665" s="15" t="str">
        <f t="shared" si="20"/>
        <v>Jiaolong Zhen (Línyí Shì)</v>
      </c>
      <c r="P665" s="15" t="str">
        <f t="shared" si="21"/>
        <v>Jiaolong Zhen (Línyí Shì)</v>
      </c>
    </row>
    <row r="666" spans="1:16" hidden="1" x14ac:dyDescent="0.25">
      <c r="A666" t="s">
        <v>296</v>
      </c>
      <c r="B666" t="str">
        <f>IF(COUNTIF(A:A,A666)&gt;1,_xlfn.CONCAT(A666," (",N666,")"),A666)</f>
        <v>Jiāomiào Zhèn</v>
      </c>
      <c r="C666" t="str">
        <f>IF(COUNTIF(B:B,B666)&gt;1,_xlfn.CONCAT(A666," (",M666,")"),B666)</f>
        <v>Jiāomiào Zhèn</v>
      </c>
      <c r="D666" t="s">
        <v>297</v>
      </c>
      <c r="E666" t="s">
        <v>13</v>
      </c>
      <c r="F666" t="str">
        <f>_xlfn.CONCAT(D666,", ",H666,", ",I666,", ","山东省")</f>
        <v>焦庙镇, 齐河县, 德州市, 山东省</v>
      </c>
      <c r="G666">
        <v>50590</v>
      </c>
      <c r="H666" t="s">
        <v>3649</v>
      </c>
      <c r="I666" t="s">
        <v>3642</v>
      </c>
      <c r="J666">
        <f>VLOOKUP(F666,[1]!china_towns_second__2[[Column1]:[Y]],3,FALSE)</f>
        <v>36.648506086456699</v>
      </c>
      <c r="K666">
        <f>VLOOKUP(F666,[1]!china_towns_second__2[[Column1]:[Y]],2,FALSE)</f>
        <v>116.6674999</v>
      </c>
      <c r="L666" t="s">
        <v>5499</v>
      </c>
      <c r="M666" t="str">
        <f>VLOOKUP(H666,CHOOSE({1,2},Table17[Native],Table17[Name]),2,0)</f>
        <v>Qíhé Xiàn</v>
      </c>
      <c r="N666" s="15" t="str">
        <f>VLOOKUP(I666,CHOOSE({1,2},Table17[Native],Table17[Name]),2,0)</f>
        <v>Dézhōu Shì</v>
      </c>
      <c r="O666" s="15" t="str">
        <f t="shared" si="20"/>
        <v>Jiaomiao Zhen (Dézhōu Shì)</v>
      </c>
      <c r="P666" s="15" t="str">
        <f t="shared" si="21"/>
        <v>Jiaomiao Zhen (Dézhōu Shì)</v>
      </c>
    </row>
    <row r="667" spans="1:16" hidden="1" x14ac:dyDescent="0.25">
      <c r="A667" t="s">
        <v>83</v>
      </c>
      <c r="B667" t="str">
        <f>IF(COUNTIF(A:A,A667)&gt;1,_xlfn.CONCAT(A667," (",N667,")"),A667)</f>
        <v>Jiāoqiáo Zhèn</v>
      </c>
      <c r="C667" t="str">
        <f>IF(COUNTIF(B:B,B667)&gt;1,_xlfn.CONCAT(A667," (",M667,")"),B667)</f>
        <v>Jiāoqiáo Zhèn</v>
      </c>
      <c r="D667" t="s">
        <v>84</v>
      </c>
      <c r="E667" t="s">
        <v>13</v>
      </c>
      <c r="F667" t="str">
        <f>_xlfn.CONCAT(D667,", ",H667,", ",I667,", ","山东省")</f>
        <v>焦桥镇, 邹平市, 滨州市, 山东省</v>
      </c>
      <c r="G667">
        <v>36183</v>
      </c>
      <c r="H667" t="s">
        <v>3640</v>
      </c>
      <c r="I667" t="s">
        <v>3630</v>
      </c>
      <c r="J667">
        <f>VLOOKUP(F667,[1]!china_towns_second__2[[Column1]:[Y]],3,FALSE)</f>
        <v>37.000270191816398</v>
      </c>
      <c r="K667">
        <f>VLOOKUP(F667,[1]!china_towns_second__2[[Column1]:[Y]],2,FALSE)</f>
        <v>117.8081949</v>
      </c>
      <c r="L667" t="s">
        <v>5500</v>
      </c>
      <c r="M667" t="str">
        <f>VLOOKUP(H667,CHOOSE({1,2},Table17[Native],Table17[Name]),2,0)</f>
        <v>Zōupíng Shì</v>
      </c>
      <c r="N667" s="15" t="str">
        <f>VLOOKUP(I667,CHOOSE({1,2},Table17[Native],Table17[Name]),2,0)</f>
        <v>Bīnzhōu Shì</v>
      </c>
      <c r="O667" s="15" t="str">
        <f t="shared" si="20"/>
        <v>Jiaoqiao Zhen (Bīnzhōu Shì)</v>
      </c>
      <c r="P667" s="15" t="str">
        <f t="shared" si="21"/>
        <v>Jiaoqiao Zhen (Bīnzhōu Shì)</v>
      </c>
    </row>
    <row r="668" spans="1:16" hidden="1" x14ac:dyDescent="0.25">
      <c r="A668" t="s">
        <v>2430</v>
      </c>
      <c r="B668" t="str">
        <f>IF(COUNTIF(A:A,A668)&gt;1,_xlfn.CONCAT(A668," (",N668,")"),A668)</f>
        <v>Jiàoshān Zhèn</v>
      </c>
      <c r="C668" t="str">
        <f>IF(COUNTIF(B:B,B668)&gt;1,_xlfn.CONCAT(A668," (",M668,")"),B668)</f>
        <v>Jiàoshān Zhèn</v>
      </c>
      <c r="D668" t="s">
        <v>2431</v>
      </c>
      <c r="E668" t="s">
        <v>13</v>
      </c>
      <c r="F668" t="str">
        <f>_xlfn.CONCAT(D668,", ",H668,", ",I668,", ","山东省")</f>
        <v>峤山镇, 莒县, 日照市, 山东省</v>
      </c>
      <c r="G668">
        <v>49224</v>
      </c>
      <c r="H668" t="s">
        <v>3739</v>
      </c>
      <c r="I668" t="s">
        <v>3736</v>
      </c>
      <c r="J668">
        <f>VLOOKUP(F668,[1]!china_towns_second__2[[Column1]:[Y]],3,FALSE)</f>
        <v>35.628662821416697</v>
      </c>
      <c r="K668">
        <f>VLOOKUP(F668,[1]!china_towns_second__2[[Column1]:[Y]],2,FALSE)</f>
        <v>118.97089080000001</v>
      </c>
      <c r="L668" t="s">
        <v>5501</v>
      </c>
      <c r="M668" t="str">
        <f>VLOOKUP(H668,CHOOSE({1,2},Table17[Native],Table17[Name]),2,0)</f>
        <v>Jŭ Xiàn</v>
      </c>
      <c r="N668" s="15" t="str">
        <f>VLOOKUP(I668,CHOOSE({1,2},Table17[Native],Table17[Name]),2,0)</f>
        <v>Rìzhào Shì</v>
      </c>
      <c r="O668" s="15" t="str">
        <f t="shared" si="20"/>
        <v>Jiaoshan Zhen (Rìzhào Shì)</v>
      </c>
      <c r="P668" s="15" t="str">
        <f t="shared" si="21"/>
        <v>Jiaoshan Zhen (Rìzhào Shì)</v>
      </c>
    </row>
    <row r="669" spans="1:16" hidden="1" x14ac:dyDescent="0.25">
      <c r="A669" t="s">
        <v>2214</v>
      </c>
      <c r="B669" t="str">
        <f>IF(COUNTIF(A:A,A669)&gt;1,_xlfn.CONCAT(A669," (",N669,")"),A669)</f>
        <v>Jiāoxī Jiēdào [incl. Dùcūn Zhèn]</v>
      </c>
      <c r="C669" t="str">
        <f>IF(COUNTIF(B:B,B669)&gt;1,_xlfn.CONCAT(A669," (",M669,")"),B669)</f>
        <v>Jiāoxī Jiēdào [incl. Dùcūn Zhèn]</v>
      </c>
      <c r="D669" t="s">
        <v>2215</v>
      </c>
      <c r="E669" t="s">
        <v>7</v>
      </c>
      <c r="F669" t="str">
        <f>_xlfn.CONCAT(D669,", ",H669,", ",I669,", ","山东省")</f>
        <v>胶西街道, 胶州市, 青岛市, 山东省</v>
      </c>
      <c r="G669">
        <v>80032</v>
      </c>
      <c r="H669" t="s">
        <v>3727</v>
      </c>
      <c r="I669" t="s">
        <v>3724</v>
      </c>
      <c r="J669" t="e">
        <f>VLOOKUP(F669,[1]!china_towns_second__2[[Column1]:[Y]],3,FALSE)</f>
        <v>#N/A</v>
      </c>
      <c r="K669" t="e">
        <f>VLOOKUP(F669,[1]!china_towns_second__2[[Column1]:[Y]],2,FALSE)</f>
        <v>#N/A</v>
      </c>
      <c r="L669" t="s">
        <v>5502</v>
      </c>
      <c r="M669" t="str">
        <f>VLOOKUP(H669,CHOOSE({1,2},Table17[Native],Table17[Name]),2,0)</f>
        <v>Jiāozhōu Shì</v>
      </c>
      <c r="N669" s="15" t="str">
        <f>VLOOKUP(I669,CHOOSE({1,2},Table17[Native],Table17[Name]),2,0)</f>
        <v>Qīngdăo Shì</v>
      </c>
      <c r="O669" s="15" t="str">
        <f t="shared" si="20"/>
        <v>Jiaoxi Jiedao [incl. Ducun Zhen] (Qīngdăo Shì)</v>
      </c>
      <c r="P669" s="15" t="str">
        <f t="shared" si="21"/>
        <v>Jiaoxi Jiedao [incl. Ducun Zhen] (Qīngdăo Shì)</v>
      </c>
    </row>
    <row r="670" spans="1:16" hidden="1" x14ac:dyDescent="0.25">
      <c r="A670" t="s">
        <v>2570</v>
      </c>
      <c r="B670" t="str">
        <f>IF(COUNTIF(A:A,A670)&gt;1,_xlfn.CONCAT(A670," (",N670,")"),A670)</f>
        <v>Jiăoyù Zhèn</v>
      </c>
      <c r="C670" t="str">
        <f>IF(COUNTIF(B:B,B670)&gt;1,_xlfn.CONCAT(A670," (",M670,")"),B670)</f>
        <v>Jiăoyù Zhèn</v>
      </c>
      <c r="D670" t="s">
        <v>2571</v>
      </c>
      <c r="E670" t="s">
        <v>13</v>
      </c>
      <c r="F670" t="str">
        <f>_xlfn.CONCAT(D670,", ",H670,", ",I670,", ","山东省")</f>
        <v>角峪镇, 岱岳区, 泰安市, 山东省</v>
      </c>
      <c r="G670">
        <v>30285</v>
      </c>
      <c r="H670" t="s">
        <v>3744</v>
      </c>
      <c r="I670" t="s">
        <v>3743</v>
      </c>
      <c r="J670">
        <f>VLOOKUP(F670,[1]!china_towns_second__2[[Column1]:[Y]],3,FALSE)</f>
        <v>36.149615961143503</v>
      </c>
      <c r="K670">
        <f>VLOOKUP(F670,[1]!china_towns_second__2[[Column1]:[Y]],2,FALSE)</f>
        <v>117.4108585</v>
      </c>
      <c r="L670" t="s">
        <v>5503</v>
      </c>
      <c r="M670" t="str">
        <f>VLOOKUP(H670,CHOOSE({1,2},Table17[Native],Table17[Name]),2,0)</f>
        <v>Dàiyuè Qū</v>
      </c>
      <c r="N670" s="15" t="str">
        <f>VLOOKUP(I670,CHOOSE({1,2},Table17[Native],Table17[Name]),2,0)</f>
        <v>Tài'ān Shì</v>
      </c>
      <c r="O670" s="15" t="str">
        <f t="shared" si="20"/>
        <v>Jiaoyu Zhen (Tài'ān Shì)</v>
      </c>
      <c r="P670" s="15" t="str">
        <f t="shared" si="21"/>
        <v>Jiaoyu Zhen (Tài'ān Shì)</v>
      </c>
    </row>
    <row r="671" spans="1:16" hidden="1" x14ac:dyDescent="0.25">
      <c r="A671" t="s">
        <v>724</v>
      </c>
      <c r="B671" t="str">
        <f>IF(COUNTIF(A:A,A671)&gt;1,_xlfn.CONCAT(A671," (",N671,")"),A671)</f>
        <v>Jiāoyuán Xiāng</v>
      </c>
      <c r="C671" t="str">
        <f>IF(COUNTIF(B:B,B671)&gt;1,_xlfn.CONCAT(A671," (",M671,")"),B671)</f>
        <v>Jiāoyuán Xiāng</v>
      </c>
      <c r="D671" t="s">
        <v>725</v>
      </c>
      <c r="E671" t="s">
        <v>61</v>
      </c>
      <c r="F671" t="str">
        <f>_xlfn.CONCAT(D671,", ",H671,", ",I671,", ","山东省")</f>
        <v>焦园乡, 东明县, 菏泽市, 山东省</v>
      </c>
      <c r="G671">
        <v>43179</v>
      </c>
      <c r="H671" t="s">
        <v>3666</v>
      </c>
      <c r="I671" t="s">
        <v>3662</v>
      </c>
      <c r="J671" t="e">
        <f>VLOOKUP(F671,[1]!china_towns_second__2[[Column1]:[Y]],3,FALSE)</f>
        <v>#N/A</v>
      </c>
      <c r="K671" t="e">
        <f>VLOOKUP(F671,[1]!china_towns_second__2[[Column1]:[Y]],2,FALSE)</f>
        <v>#N/A</v>
      </c>
      <c r="L671" t="s">
        <v>5504</v>
      </c>
      <c r="M671" t="str">
        <f>VLOOKUP(H671,CHOOSE({1,2},Table17[Native],Table17[Name]),2,0)</f>
        <v>Dōngmíng Xiàn</v>
      </c>
      <c r="N671" s="15" t="str">
        <f>VLOOKUP(I671,CHOOSE({1,2},Table17[Native],Table17[Name]),2,0)</f>
        <v>Hézé Shì</v>
      </c>
      <c r="O671" s="15" t="str">
        <f t="shared" si="20"/>
        <v>Jiaoyuan Xiang (Hézé Shì)</v>
      </c>
      <c r="P671" s="15" t="str">
        <f t="shared" si="21"/>
        <v>Jiaoyuan Xiang (Hézé Shì)</v>
      </c>
    </row>
    <row r="672" spans="1:16" hidden="1" x14ac:dyDescent="0.25">
      <c r="A672" t="s">
        <v>1317</v>
      </c>
      <c r="B672" t="str">
        <f>IF(COUNTIF(A:A,A672)&gt;1,_xlfn.CONCAT(A672," (",N672,")"),A672)</f>
        <v>Jiāxiángzhèn Jiēdào</v>
      </c>
      <c r="C672" t="str">
        <f>IF(COUNTIF(B:B,B672)&gt;1,_xlfn.CONCAT(A672," (",M672,")"),B672)</f>
        <v>Jiāxiángzhèn Jiēdào</v>
      </c>
      <c r="D672" t="s">
        <v>1318</v>
      </c>
      <c r="E672" t="s">
        <v>7</v>
      </c>
      <c r="F672" t="str">
        <f>_xlfn.CONCAT(D672,", ",H672,", ",I672,", ","山东省")</f>
        <v>嘉祥镇街道, 嘉祥县, 济宁市, 山东省</v>
      </c>
      <c r="G672">
        <v>108407</v>
      </c>
      <c r="H672" t="s">
        <v>3688</v>
      </c>
      <c r="I672" t="s">
        <v>3687</v>
      </c>
      <c r="J672">
        <f>VLOOKUP(F672,[1]!china_towns_second__2[[Column1]:[Y]],3,FALSE)</f>
        <v>35.408681435597302</v>
      </c>
      <c r="K672">
        <f>VLOOKUP(F672,[1]!china_towns_second__2[[Column1]:[Y]],2,FALSE)</f>
        <v>116.3460611</v>
      </c>
      <c r="L672" t="s">
        <v>5505</v>
      </c>
      <c r="M672" t="str">
        <f>VLOOKUP(H672,CHOOSE({1,2},Table17[Native],Table17[Name]),2,0)</f>
        <v>Jiāxiáng Xiàn</v>
      </c>
      <c r="N672" s="15" t="str">
        <f>VLOOKUP(I672,CHOOSE({1,2},Table17[Native],Table17[Name]),2,0)</f>
        <v>Jìníng Shì</v>
      </c>
      <c r="O672" s="15" t="str">
        <f t="shared" si="20"/>
        <v>Jiaxiangzhen Jiedao (Jìníng Shì)</v>
      </c>
      <c r="P672" s="15" t="str">
        <f t="shared" si="21"/>
        <v>Jiaxiangzhen Jiedao (Jìníng Shì)</v>
      </c>
    </row>
    <row r="673" spans="1:16" hidden="1" x14ac:dyDescent="0.25">
      <c r="A673" t="s">
        <v>2759</v>
      </c>
      <c r="B673" t="str">
        <f>IF(COUNTIF(A:A,A673)&gt;1,_xlfn.CONCAT(A673," (",N673,")"),A673)</f>
        <v>Jiăyuè Zhèn</v>
      </c>
      <c r="C673" t="str">
        <f>IF(COUNTIF(B:B,B673)&gt;1,_xlfn.CONCAT(A673," (",M673,")"),B673)</f>
        <v>Jiăyuè Zhèn</v>
      </c>
      <c r="D673" t="s">
        <v>2760</v>
      </c>
      <c r="E673" t="s">
        <v>13</v>
      </c>
      <c r="F673" t="str">
        <f>_xlfn.CONCAT(D673,", ",H673,", ",I673,", ","山东省")</f>
        <v>贾悦镇, 诸城市, 潍坊市, 山东省</v>
      </c>
      <c r="G673">
        <v>93228</v>
      </c>
      <c r="H673" t="s">
        <v>3763</v>
      </c>
      <c r="I673" t="s">
        <v>3751</v>
      </c>
      <c r="J673">
        <f>VLOOKUP(F673,[1]!china_towns_second__2[[Column1]:[Y]],3,FALSE)</f>
        <v>36.038775485031998</v>
      </c>
      <c r="K673">
        <f>VLOOKUP(F673,[1]!china_towns_second__2[[Column1]:[Y]],2,FALSE)</f>
        <v>119.1336546</v>
      </c>
      <c r="L673" t="s">
        <v>5506</v>
      </c>
      <c r="M673" t="str">
        <f>VLOOKUP(H673,CHOOSE({1,2},Table17[Native],Table17[Name]),2,0)</f>
        <v>Zhūchéng Shì</v>
      </c>
      <c r="N673" s="15" t="str">
        <f>VLOOKUP(I673,CHOOSE({1,2},Table17[Native],Table17[Name]),2,0)</f>
        <v>Wéifāng Shì</v>
      </c>
      <c r="O673" s="15" t="str">
        <f t="shared" si="20"/>
        <v>Jiayue Zhen (Wéifāng Shì)</v>
      </c>
      <c r="P673" s="15" t="str">
        <f t="shared" si="21"/>
        <v>Jiayue Zhen (Wéifāng Shì)</v>
      </c>
    </row>
    <row r="674" spans="1:16" hidden="1" x14ac:dyDescent="0.25">
      <c r="A674" t="s">
        <v>1628</v>
      </c>
      <c r="B674" t="str">
        <f>IF(COUNTIF(A:A,A674)&gt;1,_xlfn.CONCAT(A674," (",N674,")"),A674)</f>
        <v>Jiăzhài Zhèn</v>
      </c>
      <c r="C674" t="str">
        <f>IF(COUNTIF(B:B,B674)&gt;1,_xlfn.CONCAT(A674," (",M674,")"),B674)</f>
        <v>Jiăzhài Zhèn</v>
      </c>
      <c r="D674" t="s">
        <v>1629</v>
      </c>
      <c r="E674" t="s">
        <v>13</v>
      </c>
      <c r="F674" t="str">
        <f>_xlfn.CONCAT(D674,", ",H674,", ",I674,", ","山东省")</f>
        <v>贾寨镇, 茌平区, 聊城市, 山东省</v>
      </c>
      <c r="G674">
        <v>24741</v>
      </c>
      <c r="H674" t="s">
        <v>3701</v>
      </c>
      <c r="I674" t="s">
        <v>3700</v>
      </c>
      <c r="J674">
        <f>VLOOKUP(F674,[1]!china_towns_second__2[[Column1]:[Y]],3,FALSE)</f>
        <v>36.647391649319097</v>
      </c>
      <c r="K674">
        <f>VLOOKUP(F674,[1]!china_towns_second__2[[Column1]:[Y]],2,FALSE)</f>
        <v>115.9462724</v>
      </c>
      <c r="L674" t="s">
        <v>5507</v>
      </c>
      <c r="M674" t="str">
        <f>VLOOKUP(H674,CHOOSE({1,2},Table17[Native],Table17[Name]),2,0)</f>
        <v>Chípíng Qū</v>
      </c>
      <c r="N674" s="15" t="str">
        <f>VLOOKUP(I674,CHOOSE({1,2},Table17[Native],Table17[Name]),2,0)</f>
        <v>Liáochéng Shì</v>
      </c>
      <c r="O674" s="15" t="str">
        <f t="shared" si="20"/>
        <v>Jiazhai Zhen (Liáochéng Shì)</v>
      </c>
      <c r="P674" s="15" t="str">
        <f t="shared" si="21"/>
        <v>Jiazhai Zhen (Liáochéng Shì)</v>
      </c>
    </row>
    <row r="675" spans="1:16" hidden="1" x14ac:dyDescent="0.25">
      <c r="A675" t="s">
        <v>1022</v>
      </c>
      <c r="B675" t="str">
        <f>IF(COUNTIF(A:A,A675)&gt;1,_xlfn.CONCAT(A675," (",N675,")"),A675)</f>
        <v>Jiăzhuāng Zhèn</v>
      </c>
      <c r="C675" t="str">
        <f>IF(COUNTIF(B:B,B675)&gt;1,_xlfn.CONCAT(A675," (",M675,")"),B675)</f>
        <v>Jiăzhuāng Zhèn</v>
      </c>
      <c r="D675" t="s">
        <v>1023</v>
      </c>
      <c r="E675" t="s">
        <v>13</v>
      </c>
      <c r="F675" t="str">
        <f>_xlfn.CONCAT(D675,", ",H675,", ",I675,", ","山东省")</f>
        <v>贾庄镇, 商河县, 济南市, 山东省</v>
      </c>
      <c r="G675">
        <v>46225</v>
      </c>
      <c r="H675" t="s">
        <v>3682</v>
      </c>
      <c r="I675" t="s">
        <v>3673</v>
      </c>
      <c r="J675">
        <f>VLOOKUP(F675,[1]!china_towns_second__2[[Column1]:[Y]],3,FALSE)</f>
        <v>37.289164858662197</v>
      </c>
      <c r="K675">
        <f>VLOOKUP(F675,[1]!china_towns_second__2[[Column1]:[Y]],2,FALSE)</f>
        <v>117.0551141</v>
      </c>
      <c r="L675" t="s">
        <v>5508</v>
      </c>
      <c r="M675" t="str">
        <f>VLOOKUP(H675,CHOOSE({1,2},Table17[Native],Table17[Name]),2,0)</f>
        <v>Shānghé Xiàn</v>
      </c>
      <c r="N675" s="15" t="str">
        <f>VLOOKUP(I675,CHOOSE({1,2},Table17[Native],Table17[Name]),2,0)</f>
        <v>Jìnán Shì</v>
      </c>
      <c r="O675" s="15" t="str">
        <f t="shared" si="20"/>
        <v>Jiazhuang Zhen (Jìnán Shì)</v>
      </c>
      <c r="P675" s="15" t="str">
        <f t="shared" si="21"/>
        <v>Jiazhuang Zhen (Jìnán Shì)</v>
      </c>
    </row>
    <row r="676" spans="1:16" hidden="1" x14ac:dyDescent="0.25">
      <c r="A676" t="s">
        <v>1024</v>
      </c>
      <c r="B676" t="str">
        <f>IF(COUNTIF(A:A,A676)&gt;1,_xlfn.CONCAT(A676," (",N676,")"),A676)</f>
        <v>Jìbĕi Jiēdào</v>
      </c>
      <c r="C676" t="str">
        <f>IF(COUNTIF(B:B,B676)&gt;1,_xlfn.CONCAT(A676," (",M676,")"),B676)</f>
        <v>Jìbĕi Jiēdào</v>
      </c>
      <c r="D676" t="s">
        <v>1025</v>
      </c>
      <c r="E676" t="s">
        <v>7</v>
      </c>
      <c r="F676" t="str">
        <f>_xlfn.CONCAT(D676,", ",H676,", ",I676,", ","山东省")</f>
        <v>济北街道, 济阳区, 济南市, 山东省</v>
      </c>
      <c r="G676">
        <v>31936</v>
      </c>
      <c r="H676" t="s">
        <v>3677</v>
      </c>
      <c r="I676" t="s">
        <v>3673</v>
      </c>
      <c r="J676">
        <f>VLOOKUP(F676,[1]!china_towns_second__2[[Column1]:[Y]],3,FALSE)</f>
        <v>36.969847549464703</v>
      </c>
      <c r="K676">
        <f>VLOOKUP(F676,[1]!china_towns_second__2[[Column1]:[Y]],2,FALSE)</f>
        <v>117.1544286</v>
      </c>
      <c r="L676" t="s">
        <v>5509</v>
      </c>
      <c r="M676" t="str">
        <f>VLOOKUP(H676,CHOOSE({1,2},Table17[Native],Table17[Name]),2,0)</f>
        <v>Jìyáng Qū</v>
      </c>
      <c r="N676" s="15" t="str">
        <f>VLOOKUP(I676,CHOOSE({1,2},Table17[Native],Table17[Name]),2,0)</f>
        <v>Jìnán Shì</v>
      </c>
      <c r="O676" s="15" t="str">
        <f t="shared" si="20"/>
        <v>Jibei Jiedao (Jìnán Shì)</v>
      </c>
      <c r="P676" s="15" t="str">
        <f t="shared" si="21"/>
        <v>Jibei Jiedao (Jìnán Shì)</v>
      </c>
    </row>
    <row r="677" spans="1:16" hidden="1" x14ac:dyDescent="0.25">
      <c r="A677" t="s">
        <v>1026</v>
      </c>
      <c r="B677" t="str">
        <f>IF(COUNTIF(A:A,A677)&gt;1,_xlfn.CONCAT(A677," (",N677,")"),A677)</f>
        <v>Jiĕfànglù Jiēdào</v>
      </c>
      <c r="C677" t="str">
        <f>IF(COUNTIF(B:B,B677)&gt;1,_xlfn.CONCAT(A677," (",M677,")"),B677)</f>
        <v>Jiĕfànglù Jiēdào</v>
      </c>
      <c r="D677" t="s">
        <v>1027</v>
      </c>
      <c r="E677" t="s">
        <v>7</v>
      </c>
      <c r="F677" t="str">
        <f>_xlfn.CONCAT(D677,", ",H677,", ",I677,", ","山东省")</f>
        <v>解放路街道, 历下区, 济南市, 山东省</v>
      </c>
      <c r="G677">
        <v>40750</v>
      </c>
      <c r="H677" t="s">
        <v>3680</v>
      </c>
      <c r="I677" t="s">
        <v>3673</v>
      </c>
      <c r="J677">
        <f>VLOOKUP(F677,[1]!china_towns_second__2[[Column1]:[Y]],3,FALSE)</f>
        <v>36.664815673563197</v>
      </c>
      <c r="K677">
        <f>VLOOKUP(F677,[1]!china_towns_second__2[[Column1]:[Y]],2,FALSE)</f>
        <v>117.0327528</v>
      </c>
      <c r="L677" t="s">
        <v>5510</v>
      </c>
      <c r="M677" t="str">
        <f>VLOOKUP(H677,CHOOSE({1,2},Table17[Native],Table17[Name]),2,0)</f>
        <v>Lìxià Qū</v>
      </c>
      <c r="N677" s="15" t="str">
        <f>VLOOKUP(I677,CHOOSE({1,2},Table17[Native],Table17[Name]),2,0)</f>
        <v>Jìnán Shì</v>
      </c>
      <c r="O677" s="15" t="str">
        <f t="shared" si="20"/>
        <v>Jiefanglu Jiedao (Jìnán Shì)</v>
      </c>
      <c r="P677" s="15" t="str">
        <f t="shared" si="21"/>
        <v>Jiefanglu Jiedao (Jìnán Shì)</v>
      </c>
    </row>
    <row r="678" spans="1:16" hidden="1" x14ac:dyDescent="0.25">
      <c r="A678" t="s">
        <v>3389</v>
      </c>
      <c r="B678" t="str">
        <f>IF(COUNTIF(A:A,A678)&gt;1,_xlfn.CONCAT(A678," (",N678,")"),A678)</f>
        <v>Jièhé Zhèn</v>
      </c>
      <c r="C678" t="str">
        <f>IF(COUNTIF(B:B,B678)&gt;1,_xlfn.CONCAT(A678," (",M678,")"),B678)</f>
        <v>Jièhé Zhèn</v>
      </c>
      <c r="D678" t="s">
        <v>3390</v>
      </c>
      <c r="E678" t="s">
        <v>13</v>
      </c>
      <c r="F678" t="str">
        <f>_xlfn.CONCAT(D678,", ",H678,", ",I678,", ","山东省")</f>
        <v>界河镇, 滕州市, 枣庄市, 山东省</v>
      </c>
      <c r="G678">
        <v>65974</v>
      </c>
      <c r="H678" t="s">
        <v>3787</v>
      </c>
      <c r="I678" t="s">
        <v>3784</v>
      </c>
      <c r="J678">
        <f>VLOOKUP(F678,[1]!china_towns_second__2[[Column1]:[Y]],3,FALSE)</f>
        <v>35.190626673879301</v>
      </c>
      <c r="K678">
        <f>VLOOKUP(F678,[1]!china_towns_second__2[[Column1]:[Y]],2,FALSE)</f>
        <v>117.07442279999999</v>
      </c>
      <c r="L678" t="s">
        <v>5511</v>
      </c>
      <c r="M678" t="str">
        <f>VLOOKUP(H678,CHOOSE({1,2},Table17[Native],Table17[Name]),2,0)</f>
        <v>Téngzhōu Shì</v>
      </c>
      <c r="N678" s="15" t="str">
        <f>VLOOKUP(I678,CHOOSE({1,2},Table17[Native],Table17[Name]),2,0)</f>
        <v>Zăozhuāng Shì</v>
      </c>
      <c r="O678" s="15" t="str">
        <f t="shared" si="20"/>
        <v>Jiehe Zhen (Zăozhuāng Shì)</v>
      </c>
      <c r="P678" s="15" t="str">
        <f t="shared" si="21"/>
        <v>Jiehe Zhen (Zăozhuāng Shì)</v>
      </c>
    </row>
    <row r="679" spans="1:16" hidden="1" x14ac:dyDescent="0.25">
      <c r="A679" t="s">
        <v>1905</v>
      </c>
      <c r="B679" t="str">
        <f>IF(COUNTIF(A:A,A679)&gt;1,_xlfn.CONCAT(A679," (",N679,")"),A679)</f>
        <v>Jièhú Jiēdào</v>
      </c>
      <c r="C679" t="str">
        <f>IF(COUNTIF(B:B,B679)&gt;1,_xlfn.CONCAT(A679," (",M679,")"),B679)</f>
        <v>Jièhú Jiēdào</v>
      </c>
      <c r="D679" t="s">
        <v>1906</v>
      </c>
      <c r="E679" t="s">
        <v>7</v>
      </c>
      <c r="F679" t="str">
        <f>_xlfn.CONCAT(D679,", ",H679,", ",I679,", ","山东省")</f>
        <v>界湖街道, 沂南县, 临沂市, 山东省</v>
      </c>
      <c r="G679">
        <v>174796</v>
      </c>
      <c r="H679" t="s">
        <v>3721</v>
      </c>
      <c r="I679" t="s">
        <v>3710</v>
      </c>
      <c r="J679">
        <f>VLOOKUP(F679,[1]!china_towns_second__2[[Column1]:[Y]],3,FALSE)</f>
        <v>35.554953742234801</v>
      </c>
      <c r="K679">
        <f>VLOOKUP(F679,[1]!china_towns_second__2[[Column1]:[Y]],2,FALSE)</f>
        <v>118.4521762</v>
      </c>
      <c r="L679" t="s">
        <v>5512</v>
      </c>
      <c r="M679" t="str">
        <f>VLOOKUP(H679,CHOOSE({1,2},Table17[Native],Table17[Name]),2,0)</f>
        <v>Yínán Xiàn</v>
      </c>
      <c r="N679" s="15" t="str">
        <f>VLOOKUP(I679,CHOOSE({1,2},Table17[Native],Table17[Name]),2,0)</f>
        <v>Línyí Shì</v>
      </c>
      <c r="O679" s="15" t="str">
        <f t="shared" si="20"/>
        <v>Jiehu Jiedao (Línyí Shì)</v>
      </c>
      <c r="P679" s="15" t="str">
        <f t="shared" si="21"/>
        <v>Jiehu Jiedao (Línyí Shì)</v>
      </c>
    </row>
    <row r="680" spans="1:16" hidden="1" x14ac:dyDescent="0.25">
      <c r="A680" t="s">
        <v>3159</v>
      </c>
      <c r="B680" t="str">
        <f>IF(COUNTIF(A:A,A680)&gt;1,_xlfn.CONCAT(A680," (",N680,")"),A680)</f>
        <v>Jiĕjiăzhuāng Jiēdào</v>
      </c>
      <c r="C680" t="str">
        <f>IF(COUNTIF(B:B,B680)&gt;1,_xlfn.CONCAT(A680," (",M680,")"),B680)</f>
        <v>Jiĕjiăzhuāng Jiēdào</v>
      </c>
      <c r="D680" t="s">
        <v>3160</v>
      </c>
      <c r="E680" t="s">
        <v>7</v>
      </c>
      <c r="F680" t="str">
        <f>_xlfn.CONCAT(D680,", ",H680,", ",I680,", ","山东省")</f>
        <v>解甲庄街道, 莱山区, 烟台市, 山东省</v>
      </c>
      <c r="G680">
        <v>19343</v>
      </c>
      <c r="H680" t="s">
        <v>3774</v>
      </c>
      <c r="I680" t="s">
        <v>3771</v>
      </c>
      <c r="J680">
        <f>VLOOKUP(F680,[1]!china_towns_second__2[[Column1]:[Y]],3,FALSE)</f>
        <v>37.360052369614998</v>
      </c>
      <c r="K680">
        <f>VLOOKUP(F680,[1]!china_towns_second__2[[Column1]:[Y]],2,FALSE)</f>
        <v>121.4554985</v>
      </c>
      <c r="L680" t="s">
        <v>5513</v>
      </c>
      <c r="M680" t="str">
        <f>VLOOKUP(H680,CHOOSE({1,2},Table17[Native],Table17[Name]),2,0)</f>
        <v>Láishān Qū</v>
      </c>
      <c r="N680" s="15" t="str">
        <f>VLOOKUP(I680,CHOOSE({1,2},Table17[Native],Table17[Name]),2,0)</f>
        <v>Yāntái Shì</v>
      </c>
      <c r="O680" s="15" t="str">
        <f t="shared" si="20"/>
        <v>Jiejiazhuang Jiedao (Yāntái Shì)</v>
      </c>
      <c r="P680" s="15" t="str">
        <f t="shared" si="21"/>
        <v>Jiejiazhuang Jiedao (Yāntái Shì)</v>
      </c>
    </row>
    <row r="681" spans="1:16" hidden="1" x14ac:dyDescent="0.25">
      <c r="A681" t="s">
        <v>2572</v>
      </c>
      <c r="B681" t="str">
        <f>IF(COUNTIF(A:A,A681)&gt;1,_xlfn.CONCAT(A681," (",N681,")"),A681)</f>
        <v>Jiēshān Zhèn</v>
      </c>
      <c r="C681" t="str">
        <f>IF(COUNTIF(B:B,B681)&gt;1,_xlfn.CONCAT(A681," (",M681,")"),B681)</f>
        <v>Jiēshān Zhèn</v>
      </c>
      <c r="D681" t="s">
        <v>2573</v>
      </c>
      <c r="E681" t="s">
        <v>13</v>
      </c>
      <c r="F681" t="str">
        <f>_xlfn.CONCAT(D681,", ",H681,", ",I681,", ","山东省")</f>
        <v>接山镇, 东平县, 泰安市, 山东省</v>
      </c>
      <c r="G681">
        <v>56194</v>
      </c>
      <c r="H681" t="s">
        <v>3745</v>
      </c>
      <c r="I681" t="s">
        <v>3743</v>
      </c>
      <c r="J681">
        <f>VLOOKUP(F681,[1]!china_towns_second__2[[Column1]:[Y]],3,FALSE)</f>
        <v>35.976347358378597</v>
      </c>
      <c r="K681">
        <f>VLOOKUP(F681,[1]!china_towns_second__2[[Column1]:[Y]],2,FALSE)</f>
        <v>116.5726023</v>
      </c>
      <c r="L681" t="s">
        <v>5514</v>
      </c>
      <c r="M681" t="str">
        <f>VLOOKUP(H681,CHOOSE({1,2},Table17[Native],Table17[Name]),2,0)</f>
        <v>Dōngpíng Xiàn</v>
      </c>
      <c r="N681" s="15" t="str">
        <f>VLOOKUP(I681,CHOOSE({1,2},Table17[Native],Table17[Name]),2,0)</f>
        <v>Tài'ān Shì</v>
      </c>
      <c r="O681" s="15" t="str">
        <f t="shared" si="20"/>
        <v>Jieshan Zhen (Tài'ān Shì)</v>
      </c>
      <c r="P681" s="15" t="str">
        <f t="shared" si="21"/>
        <v>Jieshan Zhen (Tài'ān Shì)</v>
      </c>
    </row>
    <row r="682" spans="1:16" hidden="1" x14ac:dyDescent="0.25">
      <c r="A682" t="s">
        <v>2948</v>
      </c>
      <c r="B682" t="str">
        <f>IF(COUNTIF(A:A,A682)&gt;1,_xlfn.CONCAT(A682," (",N682,")"),A682)</f>
        <v>Jièshí Zhèn</v>
      </c>
      <c r="C682" t="str">
        <f>IF(COUNTIF(B:B,B682)&gt;1,_xlfn.CONCAT(A682," (",M682,")"),B682)</f>
        <v>Jièshí Zhèn</v>
      </c>
      <c r="D682" t="s">
        <v>2949</v>
      </c>
      <c r="E682" t="s">
        <v>13</v>
      </c>
      <c r="F682" t="str">
        <f>_xlfn.CONCAT(D682,", ",H682,", ",I682,", ","山东省")</f>
        <v>界石镇, 文登区, 威海市, 山东省</v>
      </c>
      <c r="G682">
        <v>29008</v>
      </c>
      <c r="H682" t="s">
        <v>3769</v>
      </c>
      <c r="I682" t="s">
        <v>3765</v>
      </c>
      <c r="J682">
        <f>VLOOKUP(F682,[1]!china_towns_second__2[[Column1]:[Y]],3,FALSE)</f>
        <v>37.256836830297701</v>
      </c>
      <c r="K682">
        <f>VLOOKUP(F682,[1]!china_towns_second__2[[Column1]:[Y]],2,FALSE)</f>
        <v>121.8511839</v>
      </c>
      <c r="L682" t="s">
        <v>5515</v>
      </c>
      <c r="M682" t="str">
        <f>VLOOKUP(H682,CHOOSE({1,2},Table17[Native],Table17[Name]),2,0)</f>
        <v>Wéndēng Qū</v>
      </c>
      <c r="N682" s="15" t="str">
        <f>VLOOKUP(I682,CHOOSE({1,2},Table17[Native],Table17[Name]),2,0)</f>
        <v>Wēihăi Shì</v>
      </c>
      <c r="O682" s="15" t="str">
        <f t="shared" si="20"/>
        <v>Jieshi Zhen (Wēihăi Shì)</v>
      </c>
      <c r="P682" s="15" t="str">
        <f t="shared" si="21"/>
        <v>Jieshi Zhen (Wēihăi Shì)</v>
      </c>
    </row>
    <row r="683" spans="1:16" hidden="1" x14ac:dyDescent="0.25">
      <c r="A683" t="s">
        <v>85</v>
      </c>
      <c r="B683" t="str">
        <f>IF(COUNTIF(A:A,A683)&gt;1,_xlfn.CONCAT(A683," (",N683,")"),A683)</f>
        <v>Jiéshíshān Zhèn</v>
      </c>
      <c r="C683" t="str">
        <f>IF(COUNTIF(B:B,B683)&gt;1,_xlfn.CONCAT(A683," (",M683,")"),B683)</f>
        <v>Jiéshíshān Zhèn</v>
      </c>
      <c r="D683" t="s">
        <v>86</v>
      </c>
      <c r="E683" t="s">
        <v>13</v>
      </c>
      <c r="F683" t="str">
        <f>_xlfn.CONCAT(D683,", ",H683,", ",I683,", ","山东省")</f>
        <v>碣石山镇, 无棣县, 滨州市, 山东省</v>
      </c>
      <c r="G683">
        <v>22970</v>
      </c>
      <c r="H683" t="s">
        <v>3636</v>
      </c>
      <c r="I683" t="s">
        <v>3630</v>
      </c>
      <c r="J683">
        <f>VLOOKUP(F683,[1]!china_towns_second__2[[Column1]:[Y]],3,FALSE)</f>
        <v>37.9973503175556</v>
      </c>
      <c r="K683">
        <f>VLOOKUP(F683,[1]!china_towns_second__2[[Column1]:[Y]],2,FALSE)</f>
        <v>117.67690469999999</v>
      </c>
      <c r="L683" t="s">
        <v>5516</v>
      </c>
      <c r="M683" t="str">
        <f>VLOOKUP(H683,CHOOSE({1,2},Table17[Native],Table17[Name]),2,0)</f>
        <v>Wúdì Xiàn</v>
      </c>
      <c r="N683" s="15" t="str">
        <f>VLOOKUP(I683,CHOOSE({1,2},Table17[Native],Table17[Name]),2,0)</f>
        <v>Bīnzhōu Shì</v>
      </c>
      <c r="O683" s="15" t="str">
        <f t="shared" si="20"/>
        <v>Jieshishan Zhen (Bīnzhōu Shì)</v>
      </c>
      <c r="P683" s="15" t="str">
        <f t="shared" si="21"/>
        <v>Jieshishan Zhen (Bīnzhōu Shì)</v>
      </c>
    </row>
    <row r="684" spans="1:16" hidden="1" x14ac:dyDescent="0.25">
      <c r="A684" t="s">
        <v>2432</v>
      </c>
      <c r="B684" t="str">
        <f>IF(COUNTIF(A:A,A684)&gt;1,_xlfn.CONCAT(A684," (",N684,")"),A684)</f>
        <v>Jiētóu Zhèn</v>
      </c>
      <c r="C684" t="str">
        <f>IF(COUNTIF(B:B,B684)&gt;1,_xlfn.CONCAT(A684," (",M684,")"),B684)</f>
        <v>Jiētóu Zhèn</v>
      </c>
      <c r="D684" t="s">
        <v>2433</v>
      </c>
      <c r="E684" t="s">
        <v>13</v>
      </c>
      <c r="F684" t="str">
        <f>_xlfn.CONCAT(D684,", ",H684,", ",I684,", ","山东省")</f>
        <v>街头镇, 五莲县, 日照市, 山东省</v>
      </c>
      <c r="G684">
        <v>54860</v>
      </c>
      <c r="H684" t="s">
        <v>3741</v>
      </c>
      <c r="I684" t="s">
        <v>3736</v>
      </c>
      <c r="J684">
        <f>VLOOKUP(F684,[1]!china_towns_second__2[[Column1]:[Y]],3,FALSE)</f>
        <v>35.606156364717201</v>
      </c>
      <c r="K684">
        <f>VLOOKUP(F684,[1]!china_towns_second__2[[Column1]:[Y]],2,FALSE)</f>
        <v>119.2541368</v>
      </c>
      <c r="L684" t="s">
        <v>5517</v>
      </c>
      <c r="M684" t="str">
        <f>VLOOKUP(H684,CHOOSE({1,2},Table17[Native],Table17[Name]),2,0)</f>
        <v>Wŭlián Xiàn</v>
      </c>
      <c r="N684" s="15" t="str">
        <f>VLOOKUP(I684,CHOOSE({1,2},Table17[Native],Table17[Name]),2,0)</f>
        <v>Rìzhào Shì</v>
      </c>
      <c r="O684" s="15" t="str">
        <f t="shared" si="20"/>
        <v>Jietou Zhen (Rìzhào Shì)</v>
      </c>
      <c r="P684" s="15" t="str">
        <f t="shared" si="21"/>
        <v>Jietou Zhen (Rìzhào Shì)</v>
      </c>
    </row>
    <row r="685" spans="1:16" hidden="1" x14ac:dyDescent="0.25">
      <c r="A685" t="s">
        <v>1319</v>
      </c>
      <c r="B685" t="str">
        <f>IF(COUNTIF(A:A,A685)&gt;1,_xlfn.CONCAT(A685," (",N685,")"),A685)</f>
        <v>Jiēzhuāng Jiēdào</v>
      </c>
      <c r="C685" t="str">
        <f>IF(COUNTIF(B:B,B685)&gt;1,_xlfn.CONCAT(A685," (",M685,")"),B685)</f>
        <v>Jiēzhuāng Jiēdào</v>
      </c>
      <c r="D685" t="s">
        <v>1320</v>
      </c>
      <c r="E685" t="s">
        <v>7</v>
      </c>
      <c r="F685" t="str">
        <f>_xlfn.CONCAT(D685,", ",H685,", ",I685,", ","山东省")</f>
        <v>接庄街道, 任城区, 济宁市, 山东省</v>
      </c>
      <c r="G685">
        <v>64512</v>
      </c>
      <c r="H685" t="s">
        <v>3692</v>
      </c>
      <c r="I685" t="s">
        <v>3687</v>
      </c>
      <c r="J685">
        <f>VLOOKUP(F685,[1]!china_towns_second__2[[Column1]:[Y]],3,FALSE)</f>
        <v>35.375068136227299</v>
      </c>
      <c r="K685">
        <f>VLOOKUP(F685,[1]!china_towns_second__2[[Column1]:[Y]],2,FALSE)</f>
        <v>116.68629</v>
      </c>
      <c r="L685" t="s">
        <v>5518</v>
      </c>
      <c r="M685" t="str">
        <f>VLOOKUP(H685,CHOOSE({1,2},Table17[Native],Table17[Name]),2,0)</f>
        <v>Rènchéng Qū</v>
      </c>
      <c r="N685" s="15" t="str">
        <f>VLOOKUP(I685,CHOOSE({1,2},Table17[Native],Table17[Name]),2,0)</f>
        <v>Jìníng Shì</v>
      </c>
      <c r="O685" s="15" t="str">
        <f t="shared" si="20"/>
        <v>Jiezhuang Jiedao (Jìníng Shì)</v>
      </c>
      <c r="P685" s="15" t="str">
        <f t="shared" si="21"/>
        <v>Jiezhuang Jiedao (Jìníng Shì)</v>
      </c>
    </row>
    <row r="686" spans="1:16" hidden="1" x14ac:dyDescent="0.25">
      <c r="A686" t="s">
        <v>1321</v>
      </c>
      <c r="B686" t="str">
        <f>IF(COUNTIF(A:A,A686)&gt;1,_xlfn.CONCAT(A686," (",N686,")"),A686)</f>
        <v>Jìhé Jiēdào</v>
      </c>
      <c r="C686" t="str">
        <f>IF(COUNTIF(B:B,B686)&gt;1,_xlfn.CONCAT(A686," (",M686,")"),B686)</f>
        <v>Jìhé Jiēdào</v>
      </c>
      <c r="D686" t="s">
        <v>1322</v>
      </c>
      <c r="E686" t="s">
        <v>7</v>
      </c>
      <c r="F686" t="str">
        <f>_xlfn.CONCAT(D686,", ",H686,", ",I686,", ","山东省")</f>
        <v>济河街道, 泗水县, 济宁市, 山东省</v>
      </c>
      <c r="G686">
        <v>59145</v>
      </c>
      <c r="H686" t="s">
        <v>3693</v>
      </c>
      <c r="I686" t="s">
        <v>3687</v>
      </c>
      <c r="J686">
        <f>VLOOKUP(F686,[1]!china_towns_second__2[[Column1]:[Y]],3,FALSE)</f>
        <v>35.623418369775202</v>
      </c>
      <c r="K686">
        <f>VLOOKUP(F686,[1]!china_towns_second__2[[Column1]:[Y]],2,FALSE)</f>
        <v>117.2953351</v>
      </c>
      <c r="L686" t="s">
        <v>5519</v>
      </c>
      <c r="M686" t="str">
        <f>VLOOKUP(H686,CHOOSE({1,2},Table17[Native],Table17[Name]),2,0)</f>
        <v>Sìshuĭ Xiàn</v>
      </c>
      <c r="N686" s="15" t="str">
        <f>VLOOKUP(I686,CHOOSE({1,2},Table17[Native],Table17[Name]),2,0)</f>
        <v>Jìníng Shì</v>
      </c>
      <c r="O686" s="15" t="str">
        <f t="shared" si="20"/>
        <v>Jihe Jiedao (Jìníng Shì)</v>
      </c>
      <c r="P686" s="15" t="str">
        <f t="shared" si="21"/>
        <v>Jihe Jiedao (Jìníng Shì)</v>
      </c>
    </row>
    <row r="687" spans="1:16" hidden="1" x14ac:dyDescent="0.25">
      <c r="A687" t="s">
        <v>2216</v>
      </c>
      <c r="B687" t="str">
        <f>IF(COUNTIF(A:A,A687)&gt;1,_xlfn.CONCAT(A687," (",N687,")"),A687)</f>
        <v>Jíhóngtān Jiēdào</v>
      </c>
      <c r="C687" t="str">
        <f>IF(COUNTIF(B:B,B687)&gt;1,_xlfn.CONCAT(A687," (",M687,")"),B687)</f>
        <v>Jíhóngtān Jiēdào</v>
      </c>
      <c r="D687" t="s">
        <v>2217</v>
      </c>
      <c r="E687" t="s">
        <v>7</v>
      </c>
      <c r="F687" t="str">
        <f>_xlfn.CONCAT(D687,", ",H687,", ",I687,", ","山东省")</f>
        <v>棘洪滩街道, 城阳区, 青岛市, 山东省</v>
      </c>
      <c r="G687">
        <v>66597</v>
      </c>
      <c r="H687" t="s">
        <v>3725</v>
      </c>
      <c r="I687" t="s">
        <v>3724</v>
      </c>
      <c r="J687">
        <f>VLOOKUP(F687,[1]!china_towns_second__2[[Column1]:[Y]],3,FALSE)</f>
        <v>36.321935698040598</v>
      </c>
      <c r="K687">
        <f>VLOOKUP(F687,[1]!china_towns_second__2[[Column1]:[Y]],2,FALSE)</f>
        <v>120.27132690000001</v>
      </c>
      <c r="L687" t="s">
        <v>5520</v>
      </c>
      <c r="M687" t="str">
        <f>VLOOKUP(H687,CHOOSE({1,2},Table17[Native],Table17[Name]),2,0)</f>
        <v>Chéngyáng Qū</v>
      </c>
      <c r="N687" s="15" t="str">
        <f>VLOOKUP(I687,CHOOSE({1,2},Table17[Native],Table17[Name]),2,0)</f>
        <v>Qīngdăo Shì</v>
      </c>
      <c r="O687" s="15" t="str">
        <f t="shared" si="20"/>
        <v>Jihongtan Jiedao (Qīngdăo Shì)</v>
      </c>
      <c r="P687" s="15" t="str">
        <f t="shared" si="21"/>
        <v>Jihongtan Jiedao (Qīngdăo Shì)</v>
      </c>
    </row>
    <row r="688" spans="1:16" hidden="1" x14ac:dyDescent="0.25">
      <c r="A688" t="s">
        <v>2218</v>
      </c>
      <c r="B688" t="str">
        <f>IF(COUNTIF(A:A,A688)&gt;1,_xlfn.CONCAT(A688," (",N688,")"),A688)</f>
        <v>Jímòlù Jiēdào [incl. Xiăogăng Jiēdào]</v>
      </c>
      <c r="C688" t="str">
        <f>IF(COUNTIF(B:B,B688)&gt;1,_xlfn.CONCAT(A688," (",M688,")"),B688)</f>
        <v>Jímòlù Jiēdào [incl. Xiăogăng Jiēdào]</v>
      </c>
      <c r="D688" t="s">
        <v>2219</v>
      </c>
      <c r="E688" t="s">
        <v>7</v>
      </c>
      <c r="F688" t="str">
        <f>_xlfn.CONCAT(D688,", ",H688,", ",I688,", ","山东省")</f>
        <v>即墨路街道, 市北区, 青岛市, 山东省</v>
      </c>
      <c r="G688">
        <v>42000</v>
      </c>
      <c r="H688" t="s">
        <v>3733</v>
      </c>
      <c r="I688" t="s">
        <v>3724</v>
      </c>
      <c r="J688">
        <f>VLOOKUP(F688,[1]!china_towns_second__2[[Column1]:[Y]],3,FALSE)</f>
        <v>36.076231603954497</v>
      </c>
      <c r="K688">
        <f>VLOOKUP(F688,[1]!china_towns_second__2[[Column1]:[Y]],2,FALSE)</f>
        <v>120.3190407</v>
      </c>
      <c r="L688" t="s">
        <v>5521</v>
      </c>
      <c r="M688" t="str">
        <f>VLOOKUP(H688,CHOOSE({1,2},Table17[Native],Table17[Name]),2,0)</f>
        <v>Shìbĕi Qū</v>
      </c>
      <c r="N688" s="15" t="str">
        <f>VLOOKUP(I688,CHOOSE({1,2},Table17[Native],Table17[Name]),2,0)</f>
        <v>Qīngdăo Shì</v>
      </c>
      <c r="O688" s="15" t="str">
        <f t="shared" si="20"/>
        <v>Jimolu Jiedao [incl. Xiaogang Jiedao] (Qīngdăo Shì)</v>
      </c>
      <c r="P688" s="15" t="str">
        <f t="shared" si="21"/>
        <v>Jimolu Jiedao [incl. Xiaogang Jiedao] (Qīngdăo Shì)</v>
      </c>
    </row>
    <row r="689" spans="1:16" hidden="1" x14ac:dyDescent="0.25">
      <c r="A689" t="s">
        <v>298</v>
      </c>
      <c r="B689" t="str">
        <f>IF(COUNTIF(A:A,A689)&gt;1,_xlfn.CONCAT(A689," (",N689,")"),A689)</f>
        <v>Jīnchéng Jiēdào (Dézhōu Shì)</v>
      </c>
      <c r="C689" t="str">
        <f>IF(COUNTIF(B:B,B689)&gt;1,_xlfn.CONCAT(A689," (",M689,")"),B689)</f>
        <v>Jīnchéng Jiēdào (Dézhōu Shì)</v>
      </c>
      <c r="D689" t="s">
        <v>299</v>
      </c>
      <c r="E689" t="s">
        <v>7</v>
      </c>
      <c r="F689" t="str">
        <f>_xlfn.CONCAT(D689,", ",H689,", ",I689,", ","山东省")</f>
        <v>津城街道, 宁津县, 德州市, 山东省</v>
      </c>
      <c r="G689">
        <v>65214</v>
      </c>
      <c r="H689" t="s">
        <v>3647</v>
      </c>
      <c r="I689" t="s">
        <v>3642</v>
      </c>
      <c r="J689">
        <f>VLOOKUP(F689,[1]!china_towns_second__2[[Column1]:[Y]],3,FALSE)</f>
        <v>37.623238525992598</v>
      </c>
      <c r="K689">
        <f>VLOOKUP(F689,[1]!china_towns_second__2[[Column1]:[Y]],2,FALSE)</f>
        <v>116.80304030000001</v>
      </c>
      <c r="L689" t="s">
        <v>5522</v>
      </c>
      <c r="M689" t="str">
        <f>VLOOKUP(H689,CHOOSE({1,2},Table17[Native],Table17[Name]),2,0)</f>
        <v>Níngjīn Xiàn</v>
      </c>
      <c r="N689" s="15" t="str">
        <f>VLOOKUP(I689,CHOOSE({1,2},Table17[Native],Table17[Name]),2,0)</f>
        <v>Dézhōu Shì</v>
      </c>
      <c r="O689" s="15" t="str">
        <f t="shared" si="20"/>
        <v>Jincheng Jiedao (Dezhou Shi) (Dézhōu Shì)</v>
      </c>
      <c r="P689" s="15" t="str">
        <f t="shared" si="21"/>
        <v>Jincheng Jiedao (Dezhou Shi) (Dézhōu Shì)</v>
      </c>
    </row>
    <row r="690" spans="1:16" hidden="1" x14ac:dyDescent="0.25">
      <c r="A690" t="s">
        <v>298</v>
      </c>
      <c r="B690" t="str">
        <f>IF(COUNTIF(A:A,A690)&gt;1,_xlfn.CONCAT(A690," (",N690,")"),A690)</f>
        <v>Jīnchéng Jiēdào (Jìníng Shì)</v>
      </c>
      <c r="C690" t="str">
        <f>IF(COUNTIF(B:B,B690)&gt;1,_xlfn.CONCAT(A690," (",M690,")"),B690)</f>
        <v>Jīnchéng Jiēdào (Jìníng Shì)</v>
      </c>
      <c r="D690" t="s">
        <v>1323</v>
      </c>
      <c r="E690" t="s">
        <v>7</v>
      </c>
      <c r="F690" t="str">
        <f>_xlfn.CONCAT(D690,", ",H690,", ",I690,", ","山东省")</f>
        <v>金城街道, 任城区, 济宁市, 山东省</v>
      </c>
      <c r="G690">
        <v>87556</v>
      </c>
      <c r="H690" t="s">
        <v>3692</v>
      </c>
      <c r="I690" t="s">
        <v>3687</v>
      </c>
      <c r="J690">
        <f>VLOOKUP(F690,[1]!china_towns_second__2[[Column1]:[Y]],3,FALSE)</f>
        <v>35.421392323408</v>
      </c>
      <c r="K690">
        <f>VLOOKUP(F690,[1]!china_towns_second__2[[Column1]:[Y]],2,FALSE)</f>
        <v>116.5629763</v>
      </c>
      <c r="L690" t="s">
        <v>5523</v>
      </c>
      <c r="M690" t="str">
        <f>VLOOKUP(H690,CHOOSE({1,2},Table17[Native],Table17[Name]),2,0)</f>
        <v>Rènchéng Qū</v>
      </c>
      <c r="N690" s="15" t="str">
        <f>VLOOKUP(I690,CHOOSE({1,2},Table17[Native],Table17[Name]),2,0)</f>
        <v>Jìníng Shì</v>
      </c>
      <c r="O690" s="15" t="str">
        <f t="shared" si="20"/>
        <v>Jincheng Jiedao (Jining Shi) (Jìníng Shì)</v>
      </c>
      <c r="P690" s="15" t="str">
        <f t="shared" si="21"/>
        <v>Jincheng Jiedao (Jining Shi) (Jìníng Shì)</v>
      </c>
    </row>
    <row r="691" spans="1:16" hidden="1" x14ac:dyDescent="0.25">
      <c r="A691" t="s">
        <v>3161</v>
      </c>
      <c r="B691" t="str">
        <f>IF(COUNTIF(A:A,A691)&gt;1,_xlfn.CONCAT(A691," (",N691,")"),A691)</f>
        <v>Jīnchéng Zhèn</v>
      </c>
      <c r="C691" t="str">
        <f>IF(COUNTIF(B:B,B691)&gt;1,_xlfn.CONCAT(A691," (",M691,")"),B691)</f>
        <v>Jīnchéng Zhèn</v>
      </c>
      <c r="D691" t="s">
        <v>3162</v>
      </c>
      <c r="E691" t="s">
        <v>13</v>
      </c>
      <c r="F691" t="str">
        <f>_xlfn.CONCAT(D691,", ",H691,", ",I691,", ","山东省")</f>
        <v>金城镇, 莱州市, 烟台市, 山东省</v>
      </c>
      <c r="G691">
        <v>34004</v>
      </c>
      <c r="H691" t="s">
        <v>3776</v>
      </c>
      <c r="I691" t="s">
        <v>3771</v>
      </c>
      <c r="J691">
        <f>VLOOKUP(F691,[1]!china_towns_second__2[[Column1]:[Y]],3,FALSE)</f>
        <v>37.427077515389598</v>
      </c>
      <c r="K691">
        <f>VLOOKUP(F691,[1]!china_towns_second__2[[Column1]:[Y]],2,FALSE)</f>
        <v>120.0917115</v>
      </c>
      <c r="L691" t="s">
        <v>5524</v>
      </c>
      <c r="M691" t="str">
        <f>VLOOKUP(H691,CHOOSE({1,2},Table17[Native],Table17[Name]),2,0)</f>
        <v>Láizhōu Shì</v>
      </c>
      <c r="N691" s="15" t="str">
        <f>VLOOKUP(I691,CHOOSE({1,2},Table17[Native],Table17[Name]),2,0)</f>
        <v>Yāntái Shì</v>
      </c>
      <c r="O691" s="15" t="str">
        <f t="shared" si="20"/>
        <v>Jincheng Zhen (Yāntái Shì)</v>
      </c>
      <c r="P691" s="15" t="str">
        <f t="shared" si="21"/>
        <v>Jincheng Zhen (Yāntái Shì)</v>
      </c>
    </row>
    <row r="692" spans="1:16" hidden="1" x14ac:dyDescent="0.25">
      <c r="A692" t="s">
        <v>1632</v>
      </c>
      <c r="B692" t="str">
        <f>IF(COUNTIF(A:A,A692)&gt;1,_xlfn.CONCAT(A692," (",N692,")"),A692)</f>
        <v>Jīndòuyíng Zhèn</v>
      </c>
      <c r="C692" t="str">
        <f>IF(COUNTIF(B:B,B692)&gt;1,_xlfn.CONCAT(A692," (",M692,")"),B692)</f>
        <v>Jīndòuyíng Zhèn</v>
      </c>
      <c r="D692" t="s">
        <v>1633</v>
      </c>
      <c r="E692" t="s">
        <v>13</v>
      </c>
      <c r="F692" t="str">
        <f>_xlfn.CONCAT(D692,", ",H692,", ",I692,", ","山东省")</f>
        <v>金斗营镇, 阳谷县, 聊城市, 山东省</v>
      </c>
      <c r="G692">
        <v>28530</v>
      </c>
      <c r="H692" t="s">
        <v>3708</v>
      </c>
      <c r="I692" t="s">
        <v>3700</v>
      </c>
      <c r="J692">
        <f>VLOOKUP(F692,[1]!china_towns_second__2[[Column1]:[Y]],3,FALSE)</f>
        <v>35.971196745486097</v>
      </c>
      <c r="K692">
        <f>VLOOKUP(F692,[1]!china_towns_second__2[[Column1]:[Y]],2,FALSE)</f>
        <v>115.6879232</v>
      </c>
      <c r="L692" t="s">
        <v>5525</v>
      </c>
      <c r="M692" t="str">
        <f>VLOOKUP(H692,CHOOSE({1,2},Table17[Native],Table17[Name]),2,0)</f>
        <v>Yánggŭ Xiàn</v>
      </c>
      <c r="N692" s="15" t="str">
        <f>VLOOKUP(I692,CHOOSE({1,2},Table17[Native],Table17[Name]),2,0)</f>
        <v>Liáochéng Shì</v>
      </c>
      <c r="O692" s="15" t="str">
        <f t="shared" si="20"/>
        <v>Jindouying Zhen (Liáochéng Shì)</v>
      </c>
      <c r="P692" s="15" t="str">
        <f t="shared" si="21"/>
        <v>Jindouying Zhen (Liáochéng Shì)</v>
      </c>
    </row>
    <row r="693" spans="1:16" hidden="1" x14ac:dyDescent="0.25">
      <c r="A693" t="s">
        <v>2761</v>
      </c>
      <c r="B693" t="str">
        <f>IF(COUNTIF(A:A,A693)&gt;1,_xlfn.CONCAT(A693," (",N693,")"),A693)</f>
        <v>Jĭnggōu Zhèn</v>
      </c>
      <c r="C693" t="str">
        <f>IF(COUNTIF(B:B,B693)&gt;1,_xlfn.CONCAT(A693," (",M693,")"),B693)</f>
        <v>Jĭnggōu Zhèn</v>
      </c>
      <c r="D693" t="s">
        <v>2762</v>
      </c>
      <c r="E693" t="s">
        <v>13</v>
      </c>
      <c r="F693" t="str">
        <f>_xlfn.CONCAT(D693,", ",H693,", ",I693,", ","山东省")</f>
        <v>井沟镇, 高密市, 潍坊市, 山东省</v>
      </c>
      <c r="G693">
        <v>62917</v>
      </c>
      <c r="H693" t="s">
        <v>3756</v>
      </c>
      <c r="I693" t="s">
        <v>3751</v>
      </c>
      <c r="J693">
        <f>VLOOKUP(F693,[1]!china_towns_second__2[[Column1]:[Y]],3,FALSE)</f>
        <v>36.306664075626301</v>
      </c>
      <c r="K693">
        <f>VLOOKUP(F693,[1]!china_towns_second__2[[Column1]:[Y]],2,FALSE)</f>
        <v>119.5905092</v>
      </c>
      <c r="L693" t="s">
        <v>5526</v>
      </c>
      <c r="M693" t="str">
        <f>VLOOKUP(H693,CHOOSE({1,2},Table17[Native],Table17[Name]),2,0)</f>
        <v>Gāomì Shì</v>
      </c>
      <c r="N693" s="15" t="str">
        <f>VLOOKUP(I693,CHOOSE({1,2},Table17[Native],Table17[Name]),2,0)</f>
        <v>Wéifāng Shì</v>
      </c>
      <c r="O693" s="15" t="str">
        <f t="shared" si="20"/>
        <v>Jinggou Zhen (Wéifāng Shì)</v>
      </c>
      <c r="P693" s="15" t="str">
        <f t="shared" si="21"/>
        <v>Jinggou Zhen (Wéifāng Shì)</v>
      </c>
    </row>
    <row r="694" spans="1:16" hidden="1" x14ac:dyDescent="0.25">
      <c r="A694" t="s">
        <v>3391</v>
      </c>
      <c r="B694" t="str">
        <f>IF(COUNTIF(A:A,A694)&gt;1,_xlfn.CONCAT(A694," (",N694,")"),A694)</f>
        <v>Jīnghé Jiēdào</v>
      </c>
      <c r="C694" t="str">
        <f>IF(COUNTIF(B:B,B694)&gt;1,_xlfn.CONCAT(A694," (",M694,")"),B694)</f>
        <v>Jīnghé Jiēdào</v>
      </c>
      <c r="D694" t="s">
        <v>3392</v>
      </c>
      <c r="E694" t="s">
        <v>7</v>
      </c>
      <c r="F694" t="str">
        <f>_xlfn.CONCAT(D694,", ",H694,", ",I694,", ","山东省")</f>
        <v>荆河街道, 滕州市, 枣庄市, 山东省</v>
      </c>
      <c r="G694">
        <v>127807</v>
      </c>
      <c r="H694" t="s">
        <v>3787</v>
      </c>
      <c r="I694" t="s">
        <v>3784</v>
      </c>
      <c r="J694">
        <f>VLOOKUP(F694,[1]!china_towns_second__2[[Column1]:[Y]],3,FALSE)</f>
        <v>35.092332641659198</v>
      </c>
      <c r="K694">
        <f>VLOOKUP(F694,[1]!china_towns_second__2[[Column1]:[Y]],2,FALSE)</f>
        <v>117.1287588</v>
      </c>
      <c r="L694" t="s">
        <v>5527</v>
      </c>
      <c r="M694" t="str">
        <f>VLOOKUP(H694,CHOOSE({1,2},Table17[Native],Table17[Name]),2,0)</f>
        <v>Téngzhōu Shì</v>
      </c>
      <c r="N694" s="15" t="str">
        <f>VLOOKUP(I694,CHOOSE({1,2},Table17[Native],Table17[Name]),2,0)</f>
        <v>Zăozhuāng Shì</v>
      </c>
      <c r="O694" s="15" t="str">
        <f t="shared" si="20"/>
        <v>Jinghe Jiedao (Zăozhuāng Shì)</v>
      </c>
      <c r="P694" s="15" t="str">
        <f t="shared" si="21"/>
        <v>Jinghe Jiedao (Zăozhuāng Shì)</v>
      </c>
    </row>
    <row r="695" spans="1:16" hidden="1" x14ac:dyDescent="0.25">
      <c r="A695" t="s">
        <v>3517</v>
      </c>
      <c r="B695" t="str">
        <f>IF(COUNTIF(A:A,A695)&gt;1,_xlfn.CONCAT(A695," (",N695,")"),A695)</f>
        <v>Jīngjiā Zhèn</v>
      </c>
      <c r="C695" t="str">
        <f>IF(COUNTIF(B:B,B695)&gt;1,_xlfn.CONCAT(A695," (",M695,")"),B695)</f>
        <v>Jīngjiā Zhèn</v>
      </c>
      <c r="D695" t="s">
        <v>3518</v>
      </c>
      <c r="E695" t="s">
        <v>13</v>
      </c>
      <c r="F695" t="str">
        <f>_xlfn.CONCAT(D695,", ",H695,", ",I695,", ","山东省")</f>
        <v>荆家镇, 桓台县, 淄博市, 山东省</v>
      </c>
      <c r="G695">
        <v>41375</v>
      </c>
      <c r="H695" t="s">
        <v>3794</v>
      </c>
      <c r="I695" t="s">
        <v>3791</v>
      </c>
      <c r="J695">
        <f>VLOOKUP(F695,[1]!china_towns_second__2[[Column1]:[Y]],3,FALSE)</f>
        <v>37.061230248501502</v>
      </c>
      <c r="K695">
        <f>VLOOKUP(F695,[1]!china_towns_second__2[[Column1]:[Y]],2,FALSE)</f>
        <v>117.9908982</v>
      </c>
      <c r="L695" t="s">
        <v>5528</v>
      </c>
      <c r="M695" t="str">
        <f>VLOOKUP(H695,CHOOSE({1,2},Table17[Native],Table17[Name]),2,0)</f>
        <v>Huántái Xiàn</v>
      </c>
      <c r="N695" s="15" t="str">
        <f>VLOOKUP(I695,CHOOSE({1,2},Table17[Native],Table17[Name]),2,0)</f>
        <v>Zībó Shì</v>
      </c>
      <c r="O695" s="15" t="str">
        <f t="shared" si="20"/>
        <v>Jingjia Zhen (Zībó Shì)</v>
      </c>
      <c r="P695" s="15" t="str">
        <f t="shared" si="21"/>
        <v>Jingjia Zhen (Zībó Shì)</v>
      </c>
    </row>
    <row r="696" spans="1:16" hidden="1" x14ac:dyDescent="0.25">
      <c r="A696" t="s">
        <v>2950</v>
      </c>
      <c r="B696" t="str">
        <f>IF(COUNTIF(A:A,A696)&gt;1,_xlfn.CONCAT(A696," (",N696,")"),A696)</f>
        <v>Jīngyuán Jiēdào</v>
      </c>
      <c r="C696" t="str">
        <f>IF(COUNTIF(B:B,B696)&gt;1,_xlfn.CONCAT(A696," (",M696,")"),B696)</f>
        <v>Jīngyuán Jiēdào</v>
      </c>
      <c r="D696" t="s">
        <v>2951</v>
      </c>
      <c r="E696" t="s">
        <v>7</v>
      </c>
      <c r="F696" t="str">
        <f>_xlfn.CONCAT(D696,", ",H696,", ",I696,", ","山东省")</f>
        <v>鲸园街道, 环翠区, 威海市, 山东省</v>
      </c>
      <c r="G696">
        <v>61815</v>
      </c>
      <c r="H696" t="s">
        <v>3766</v>
      </c>
      <c r="I696" t="s">
        <v>3765</v>
      </c>
      <c r="J696">
        <f>VLOOKUP(F696,[1]!china_towns_second__2[[Column1]:[Y]],3,FALSE)</f>
        <v>37.516901520403103</v>
      </c>
      <c r="K696">
        <f>VLOOKUP(F696,[1]!china_towns_second__2[[Column1]:[Y]],2,FALSE)</f>
        <v>122.11960910000001</v>
      </c>
      <c r="L696" t="s">
        <v>5529</v>
      </c>
      <c r="M696" t="str">
        <f>VLOOKUP(H696,CHOOSE({1,2},Table17[Native],Table17[Name]),2,0)</f>
        <v>Huáncuì Qū</v>
      </c>
      <c r="N696" s="15" t="str">
        <f>VLOOKUP(I696,CHOOSE({1,2},Table17[Native],Table17[Name]),2,0)</f>
        <v>Wēihăi Shì</v>
      </c>
      <c r="O696" s="15" t="str">
        <f t="shared" si="20"/>
        <v>Jingyuan Jiedao (Wēihăi Shì)</v>
      </c>
      <c r="P696" s="15" t="str">
        <f t="shared" si="21"/>
        <v>Jingyuan Jiedao (Wēihăi Shì)</v>
      </c>
    </row>
    <row r="697" spans="1:16" hidden="1" x14ac:dyDescent="0.25">
      <c r="A697" t="s">
        <v>2763</v>
      </c>
      <c r="B697" t="str">
        <f>IF(COUNTIF(A:A,A697)&gt;1,_xlfn.CONCAT(A697," (",N697,")"),A697)</f>
        <v>Jĭngzhī Zhèn</v>
      </c>
      <c r="C697" t="str">
        <f>IF(COUNTIF(B:B,B697)&gt;1,_xlfn.CONCAT(A697," (",M697,")"),B697)</f>
        <v>Jĭngzhī Zhèn</v>
      </c>
      <c r="D697" t="s">
        <v>2764</v>
      </c>
      <c r="E697" t="s">
        <v>13</v>
      </c>
      <c r="F697" t="str">
        <f>_xlfn.CONCAT(D697,", ",H697,", ",I697,", ","山东省")</f>
        <v>景芝镇, 安丘市, 潍坊市, 山东省</v>
      </c>
      <c r="G697">
        <v>126703</v>
      </c>
      <c r="H697" t="s">
        <v>3752</v>
      </c>
      <c r="I697" t="s">
        <v>3751</v>
      </c>
      <c r="J697">
        <f>VLOOKUP(F697,[1]!china_towns_second__2[[Column1]:[Y]],3,FALSE)</f>
        <v>36.273959248545303</v>
      </c>
      <c r="K697">
        <f>VLOOKUP(F697,[1]!china_towns_second__2[[Column1]:[Y]],2,FALSE)</f>
        <v>119.334084</v>
      </c>
      <c r="L697" t="s">
        <v>5530</v>
      </c>
      <c r="M697" t="str">
        <f>VLOOKUP(H697,CHOOSE({1,2},Table17[Native],Table17[Name]),2,0)</f>
        <v>Ānqiū Shì</v>
      </c>
      <c r="N697" s="15" t="str">
        <f>VLOOKUP(I697,CHOOSE({1,2},Table17[Native],Table17[Name]),2,0)</f>
        <v>Wéifāng Shì</v>
      </c>
      <c r="O697" s="15" t="str">
        <f t="shared" si="20"/>
        <v>Jingzhi Zhen (Wéifāng Shì)</v>
      </c>
      <c r="P697" s="15" t="str">
        <f t="shared" si="21"/>
        <v>Jingzhi Zhen (Wéifāng Shì)</v>
      </c>
    </row>
    <row r="698" spans="1:16" hidden="1" x14ac:dyDescent="0.25">
      <c r="A698" t="s">
        <v>3519</v>
      </c>
      <c r="B698" t="str">
        <f>IF(COUNTIF(A:A,A698)&gt;1,_xlfn.CONCAT(A698," (",N698,")"),A698)</f>
        <v>Jìngzhòng Zhèn</v>
      </c>
      <c r="C698" t="str">
        <f>IF(COUNTIF(B:B,B698)&gt;1,_xlfn.CONCAT(A698," (",M698,")"),B698)</f>
        <v>Jìngzhòng Zhèn</v>
      </c>
      <c r="D698" t="s">
        <v>3520</v>
      </c>
      <c r="E698" t="s">
        <v>13</v>
      </c>
      <c r="F698" t="str">
        <f>_xlfn.CONCAT(D698,", ",H698,", ",I698,", ","山东省")</f>
        <v>敬仲镇, 临淄区, 淄博市, 山东省</v>
      </c>
      <c r="G698">
        <v>30935</v>
      </c>
      <c r="H698" t="s">
        <v>3795</v>
      </c>
      <c r="I698" t="s">
        <v>3791</v>
      </c>
      <c r="J698">
        <f>VLOOKUP(F698,[1]!china_towns_second__2[[Column1]:[Y]],3,FALSE)</f>
        <v>36.939593552723103</v>
      </c>
      <c r="K698">
        <f>VLOOKUP(F698,[1]!china_towns_second__2[[Column1]:[Y]],2,FALSE)</f>
        <v>118.3332623</v>
      </c>
      <c r="L698" t="s">
        <v>5531</v>
      </c>
      <c r="M698" t="str">
        <f>VLOOKUP(H698,CHOOSE({1,2},Table17[Native],Table17[Name]),2,0)</f>
        <v>Línzī Qū</v>
      </c>
      <c r="N698" s="15" t="str">
        <f>VLOOKUP(I698,CHOOSE({1,2},Table17[Native],Table17[Name]),2,0)</f>
        <v>Zībó Shì</v>
      </c>
      <c r="O698" s="15" t="str">
        <f t="shared" si="20"/>
        <v>Jingzhong Zhen (Zībó Shì)</v>
      </c>
      <c r="P698" s="15" t="str">
        <f t="shared" si="21"/>
        <v>Jingzhong Zhen (Zībó Shì)</v>
      </c>
    </row>
    <row r="699" spans="1:16" hidden="1" x14ac:dyDescent="0.25">
      <c r="A699" t="s">
        <v>1634</v>
      </c>
      <c r="B699" t="str">
        <f>IF(COUNTIF(A:A,A699)&gt;1,_xlfn.CONCAT(A699," (",N699,")"),A699)</f>
        <v>Jīnhăozhuāng Zhèn</v>
      </c>
      <c r="C699" t="str">
        <f>IF(COUNTIF(B:B,B699)&gt;1,_xlfn.CONCAT(A699," (",M699,")"),B699)</f>
        <v>Jīnhăozhuāng Zhèn</v>
      </c>
      <c r="D699" t="s">
        <v>1635</v>
      </c>
      <c r="E699" t="s">
        <v>13</v>
      </c>
      <c r="F699" t="str">
        <f>_xlfn.CONCAT(D699,", ",H699,", ",I699,", ","山东省")</f>
        <v>金郝庄镇, 临清市, 聊城市, 山东省</v>
      </c>
      <c r="G699">
        <v>50869</v>
      </c>
      <c r="H699" t="s">
        <v>3706</v>
      </c>
      <c r="I699" t="s">
        <v>3700</v>
      </c>
      <c r="J699">
        <f>VLOOKUP(F699,[1]!china_towns_second__2[[Column1]:[Y]],3,FALSE)</f>
        <v>36.844635361095797</v>
      </c>
      <c r="K699">
        <f>VLOOKUP(F699,[1]!china_towns_second__2[[Column1]:[Y]],2,FALSE)</f>
        <v>115.98743020000001</v>
      </c>
      <c r="L699" t="s">
        <v>5532</v>
      </c>
      <c r="M699" t="str">
        <f>VLOOKUP(H699,CHOOSE({1,2},Table17[Native],Table17[Name]),2,0)</f>
        <v>Línqīng Shì</v>
      </c>
      <c r="N699" s="15" t="str">
        <f>VLOOKUP(I699,CHOOSE({1,2},Table17[Native],Table17[Name]),2,0)</f>
        <v>Liáochéng Shì</v>
      </c>
      <c r="O699" s="15" t="str">
        <f t="shared" si="20"/>
        <v>Jinhaozhuang Zhen (Liáochéng Shì)</v>
      </c>
      <c r="P699" s="15" t="str">
        <f t="shared" si="21"/>
        <v>Jinhaozhuang Zhen (Liáochéng Shì)</v>
      </c>
    </row>
    <row r="700" spans="1:16" hidden="1" x14ac:dyDescent="0.25">
      <c r="A700" t="s">
        <v>2220</v>
      </c>
      <c r="B700" t="str">
        <f>IF(COUNTIF(A:A,A700)&gt;1,_xlfn.CONCAT(A700," (",N700,")"),A700)</f>
        <v>Jīnhúlù Jiēdào</v>
      </c>
      <c r="C700" t="str">
        <f>IF(COUNTIF(B:B,B700)&gt;1,_xlfn.CONCAT(A700," (",M700,")"),B700)</f>
        <v>Jīnhúlù Jiēdào</v>
      </c>
      <c r="D700" t="s">
        <v>2221</v>
      </c>
      <c r="E700" t="s">
        <v>7</v>
      </c>
      <c r="F700" t="str">
        <f>_xlfn.CONCAT(D700,", ",H700,", ",I700,", ","山东省")</f>
        <v>金湖路街道, 市南区, 青岛市, 山东省</v>
      </c>
      <c r="G700">
        <v>47617</v>
      </c>
      <c r="H700" t="s">
        <v>3734</v>
      </c>
      <c r="I700" t="s">
        <v>3724</v>
      </c>
      <c r="J700" t="e">
        <f>VLOOKUP(F700,[1]!china_towns_second__2[[Column1]:[Y]],3,FALSE)</f>
        <v>#N/A</v>
      </c>
      <c r="K700" t="e">
        <f>VLOOKUP(F700,[1]!china_towns_second__2[[Column1]:[Y]],2,FALSE)</f>
        <v>#N/A</v>
      </c>
      <c r="L700" t="s">
        <v>5533</v>
      </c>
      <c r="M700" t="str">
        <f>VLOOKUP(H700,CHOOSE({1,2},Table17[Native],Table17[Name]),2,0)</f>
        <v>Shìnán Qū</v>
      </c>
      <c r="N700" s="15" t="str">
        <f>VLOOKUP(I700,CHOOSE({1,2},Table17[Native],Table17[Name]),2,0)</f>
        <v>Qīngdăo Shì</v>
      </c>
      <c r="O700" s="15" t="str">
        <f t="shared" si="20"/>
        <v>Jinhulu Jiedao (Qīngdăo Shì)</v>
      </c>
      <c r="P700" s="15" t="str">
        <f t="shared" si="21"/>
        <v>Jinhulu Jiedao (Qīngdăo Shì)</v>
      </c>
    </row>
    <row r="701" spans="1:16" hidden="1" x14ac:dyDescent="0.25">
      <c r="A701" t="s">
        <v>2224</v>
      </c>
      <c r="B701" t="str">
        <f>IF(COUNTIF(A:A,A701)&gt;1,_xlfn.CONCAT(A701," (",N701,")"),A701)</f>
        <v>Jīnkŏu Zhèn [incl. Diànjí Zhèn]</v>
      </c>
      <c r="C701" t="str">
        <f>IF(COUNTIF(B:B,B701)&gt;1,_xlfn.CONCAT(A701," (",M701,")"),B701)</f>
        <v>Jīnkŏu Zhèn [incl. Diànjí Zhèn]</v>
      </c>
      <c r="D701" t="s">
        <v>2225</v>
      </c>
      <c r="E701" t="s">
        <v>13</v>
      </c>
      <c r="F701" t="str">
        <f>_xlfn.CONCAT(D701,", ",H701,", ",I701,", ","山东省")</f>
        <v>金口镇, 即墨区, 青岛市, 山东省</v>
      </c>
      <c r="G701">
        <v>73598</v>
      </c>
      <c r="H701" t="s">
        <v>3728</v>
      </c>
      <c r="I701" t="s">
        <v>3724</v>
      </c>
      <c r="J701">
        <f>VLOOKUP(F701,[1]!china_towns_second__2[[Column1]:[Y]],3,FALSE)</f>
        <v>36.544533918989799</v>
      </c>
      <c r="K701">
        <f>VLOOKUP(F701,[1]!china_towns_second__2[[Column1]:[Y]],2,FALSE)</f>
        <v>120.67914089999999</v>
      </c>
      <c r="L701" t="s">
        <v>5534</v>
      </c>
      <c r="M701" t="str">
        <f>VLOOKUP(H701,CHOOSE({1,2},Table17[Native],Table17[Name]),2,0)</f>
        <v>Jímò Qū</v>
      </c>
      <c r="N701" s="15" t="str">
        <f>VLOOKUP(I701,CHOOSE({1,2},Table17[Native],Table17[Name]),2,0)</f>
        <v>Qīngdăo Shì</v>
      </c>
      <c r="O701" s="15" t="str">
        <f t="shared" si="20"/>
        <v>Jinkou Zhen [incl. Dianji Zhen] (Qīngdăo Shì)</v>
      </c>
      <c r="P701" s="15" t="str">
        <f t="shared" si="21"/>
        <v>Jinkou Zhen [incl. Dianji Zhen] (Qīngdăo Shì)</v>
      </c>
    </row>
    <row r="702" spans="1:16" hidden="1" x14ac:dyDescent="0.25">
      <c r="A702" t="s">
        <v>2222</v>
      </c>
      <c r="B702" t="str">
        <f>IF(COUNTIF(A:A,A702)&gt;1,_xlfn.CONCAT(A702," (",N702,")"),A702)</f>
        <v>Jīnkŏulù Jiēdào</v>
      </c>
      <c r="C702" t="str">
        <f>IF(COUNTIF(B:B,B702)&gt;1,_xlfn.CONCAT(A702," (",M702,")"),B702)</f>
        <v>Jīnkŏulù Jiēdào</v>
      </c>
      <c r="D702" t="s">
        <v>2223</v>
      </c>
      <c r="E702" t="s">
        <v>7</v>
      </c>
      <c r="F702" t="str">
        <f>_xlfn.CONCAT(D702,", ",H702,", ",I702,", ","山东省")</f>
        <v>金口路街道, 市南区, 青岛市, 山东省</v>
      </c>
      <c r="G702">
        <v>28728</v>
      </c>
      <c r="H702" t="s">
        <v>3734</v>
      </c>
      <c r="I702" t="s">
        <v>3724</v>
      </c>
      <c r="J702" t="e">
        <f>VLOOKUP(F702,[1]!china_towns_second__2[[Column1]:[Y]],3,FALSE)</f>
        <v>#N/A</v>
      </c>
      <c r="K702" t="e">
        <f>VLOOKUP(F702,[1]!china_towns_second__2[[Column1]:[Y]],2,FALSE)</f>
        <v>#N/A</v>
      </c>
      <c r="L702" t="s">
        <v>5535</v>
      </c>
      <c r="M702" t="str">
        <f>VLOOKUP(H702,CHOOSE({1,2},Table17[Native],Table17[Name]),2,0)</f>
        <v>Shìnán Qū</v>
      </c>
      <c r="N702" s="15" t="str">
        <f>VLOOKUP(I702,CHOOSE({1,2},Table17[Native],Table17[Name]),2,0)</f>
        <v>Qīngdăo Shì</v>
      </c>
      <c r="O702" s="15" t="str">
        <f t="shared" si="20"/>
        <v>Jinkoulu Jiedao (Qīngdăo Shì)</v>
      </c>
      <c r="P702" s="15" t="str">
        <f t="shared" si="21"/>
        <v>Jinkoulu Jiedao (Qīngdăo Shì)</v>
      </c>
    </row>
    <row r="703" spans="1:16" hidden="1" x14ac:dyDescent="0.25">
      <c r="A703" t="s">
        <v>3163</v>
      </c>
      <c r="B703" t="str">
        <f>IF(COUNTIF(A:A,A703)&gt;1,_xlfn.CONCAT(A703," (",N703,")"),A703)</f>
        <v>Jīnlĭng Zhèn (Yāntái Shì)</v>
      </c>
      <c r="C703" t="str">
        <f>IF(COUNTIF(B:B,B703)&gt;1,_xlfn.CONCAT(A703," (",M703,")"),B703)</f>
        <v>Jīnlĭng Zhèn (Yāntái Shì)</v>
      </c>
      <c r="D703" t="s">
        <v>3164</v>
      </c>
      <c r="E703" t="s">
        <v>13</v>
      </c>
      <c r="F703" t="str">
        <f>_xlfn.CONCAT(D703,", ",H703,", ",I703,", ","山东省")</f>
        <v>金岭镇, 招远市, 烟台市, 山东省</v>
      </c>
      <c r="G703">
        <v>37209</v>
      </c>
      <c r="H703" t="s">
        <v>3781</v>
      </c>
      <c r="I703" t="s">
        <v>3771</v>
      </c>
      <c r="J703">
        <f>VLOOKUP(F703,[1]!china_towns_second__2[[Column1]:[Y]],3,FALSE)</f>
        <v>37.379938715382998</v>
      </c>
      <c r="K703">
        <f>VLOOKUP(F703,[1]!china_towns_second__2[[Column1]:[Y]],2,FALSE)</f>
        <v>120.3025533</v>
      </c>
      <c r="L703" t="s">
        <v>5536</v>
      </c>
      <c r="M703" t="str">
        <f>VLOOKUP(H703,CHOOSE({1,2},Table17[Native],Table17[Name]),2,0)</f>
        <v>Zhāoyuăn Shì</v>
      </c>
      <c r="N703" s="15" t="str">
        <f>VLOOKUP(I703,CHOOSE({1,2},Table17[Native],Table17[Name]),2,0)</f>
        <v>Yāntái Shì</v>
      </c>
      <c r="O703" s="15" t="str">
        <f t="shared" si="20"/>
        <v>Jinling Zhen (Yantai Shi) (Yāntái Shì)</v>
      </c>
      <c r="P703" s="15" t="str">
        <f t="shared" si="21"/>
        <v>Jinling Zhen (Yantai Shi) (Yāntái Shì)</v>
      </c>
    </row>
    <row r="704" spans="1:16" hidden="1" x14ac:dyDescent="0.25">
      <c r="A704" t="s">
        <v>3163</v>
      </c>
      <c r="B704" t="str">
        <f>IF(COUNTIF(A:A,A704)&gt;1,_xlfn.CONCAT(A704," (",N704,")"),A704)</f>
        <v>Jīnlĭng Zhèn (Zībó Shì)</v>
      </c>
      <c r="C704" t="str">
        <f>IF(COUNTIF(B:B,B704)&gt;1,_xlfn.CONCAT(A704," (",M704,")"),B704)</f>
        <v>Jīnlĭng Zhèn (Zībó Shì)</v>
      </c>
      <c r="D704" t="s">
        <v>3164</v>
      </c>
      <c r="E704" t="s">
        <v>13</v>
      </c>
      <c r="F704" t="str">
        <f>_xlfn.CONCAT(D704,", ",H704,", ",I704,", ","山东省")</f>
        <v>金岭镇, 临淄区, 淄博市, 山东省</v>
      </c>
      <c r="G704">
        <v>15667</v>
      </c>
      <c r="H704" t="s">
        <v>3795</v>
      </c>
      <c r="I704" t="s">
        <v>3791</v>
      </c>
      <c r="J704">
        <f>VLOOKUP(F704,[1]!china_towns_second__2[[Column1]:[Y]],3,FALSE)</f>
        <v>36.795336674817499</v>
      </c>
      <c r="K704">
        <f>VLOOKUP(F704,[1]!china_towns_second__2[[Column1]:[Y]],2,FALSE)</f>
        <v>118.18582050000001</v>
      </c>
      <c r="L704" t="s">
        <v>5537</v>
      </c>
      <c r="M704" t="str">
        <f>VLOOKUP(H704,CHOOSE({1,2},Table17[Native],Table17[Name]),2,0)</f>
        <v>Línzī Qū</v>
      </c>
      <c r="N704" s="15" t="str">
        <f>VLOOKUP(I704,CHOOSE({1,2},Table17[Native],Table17[Name]),2,0)</f>
        <v>Zībó Shì</v>
      </c>
      <c r="O704" s="15" t="str">
        <f t="shared" si="20"/>
        <v>Jinling Zhen (Zibo Shi) (Zībó Shì)</v>
      </c>
      <c r="P704" s="15" t="str">
        <f t="shared" si="21"/>
        <v>Jinling Zhen (Zibo Shi) (Zībó Shì)</v>
      </c>
    </row>
    <row r="705" spans="1:16" hidden="1" x14ac:dyDescent="0.25">
      <c r="A705" t="s">
        <v>2226</v>
      </c>
      <c r="B705" t="str">
        <f>IF(COUNTIF(A:A,A705)&gt;1,_xlfn.CONCAT(A705," (",N705,")"),A705)</f>
        <v>Jīnménlù Jiēdào</v>
      </c>
      <c r="C705" t="str">
        <f>IF(COUNTIF(B:B,B705)&gt;1,_xlfn.CONCAT(A705," (",M705,")"),B705)</f>
        <v>Jīnménlù Jiēdào</v>
      </c>
      <c r="D705" t="s">
        <v>2227</v>
      </c>
      <c r="E705" t="s">
        <v>7</v>
      </c>
      <c r="F705" t="str">
        <f>_xlfn.CONCAT(D705,", ",H705,", ",I705,", ","山东省")</f>
        <v>金门路街道, 市南区, 青岛市, 山东省</v>
      </c>
      <c r="G705">
        <v>84662</v>
      </c>
      <c r="H705" t="s">
        <v>3734</v>
      </c>
      <c r="I705" t="s">
        <v>3724</v>
      </c>
      <c r="J705">
        <f>VLOOKUP(F705,[1]!china_towns_second__2[[Column1]:[Y]],3,FALSE)</f>
        <v>36.079290650719599</v>
      </c>
      <c r="K705">
        <f>VLOOKUP(F705,[1]!china_towns_second__2[[Column1]:[Y]],2,FALSE)</f>
        <v>120.4057561</v>
      </c>
      <c r="L705" t="s">
        <v>5538</v>
      </c>
      <c r="M705" t="str">
        <f>VLOOKUP(H705,CHOOSE({1,2},Table17[Native],Table17[Name]),2,0)</f>
        <v>Shìnán Qū</v>
      </c>
      <c r="N705" s="15" t="str">
        <f>VLOOKUP(I705,CHOOSE({1,2},Table17[Native],Table17[Name]),2,0)</f>
        <v>Qīngdăo Shì</v>
      </c>
      <c r="O705" s="15" t="str">
        <f t="shared" si="20"/>
        <v>Jinmenlu Jiedao (Qīngdăo Shì)</v>
      </c>
      <c r="P705" s="15" t="str">
        <f t="shared" si="21"/>
        <v>Jinmenlu Jiedao (Qīngdăo Shì)</v>
      </c>
    </row>
    <row r="706" spans="1:16" hidden="1" x14ac:dyDescent="0.25">
      <c r="A706" t="s">
        <v>87</v>
      </c>
      <c r="B706" t="str">
        <f>IF(COUNTIF(A:A,A706)&gt;1,_xlfn.CONCAT(A706," (",N706,")"),A706)</f>
        <v>Jĭnqiū Jiēdào</v>
      </c>
      <c r="C706" t="str">
        <f>IF(COUNTIF(B:B,B706)&gt;1,_xlfn.CONCAT(A706," (",M706,")"),B706)</f>
        <v>Jĭnqiū Jiēdào</v>
      </c>
      <c r="D706" t="s">
        <v>88</v>
      </c>
      <c r="E706" t="s">
        <v>7</v>
      </c>
      <c r="F706" t="str">
        <f>_xlfn.CONCAT(D706,", ",H706,", ",I706,", ","山东省")</f>
        <v>锦秋街道, 博兴县, 滨州市, 山东省</v>
      </c>
      <c r="G706">
        <v>58753</v>
      </c>
      <c r="H706" t="s">
        <v>3634</v>
      </c>
      <c r="I706" t="s">
        <v>3630</v>
      </c>
      <c r="J706">
        <f>VLOOKUP(F706,[1]!china_towns_second__2[[Column1]:[Y]],3,FALSE)</f>
        <v>37.108238502849503</v>
      </c>
      <c r="K706">
        <f>VLOOKUP(F706,[1]!china_towns_second__2[[Column1]:[Y]],2,FALSE)</f>
        <v>118.1064665</v>
      </c>
      <c r="L706" t="s">
        <v>5539</v>
      </c>
      <c r="M706" t="str">
        <f>VLOOKUP(H706,CHOOSE({1,2},Table17[Native],Table17[Name]),2,0)</f>
        <v>Bóxīng Xiàn</v>
      </c>
      <c r="N706" s="15" t="str">
        <f>VLOOKUP(I706,CHOOSE({1,2},Table17[Native],Table17[Name]),2,0)</f>
        <v>Bīnzhōu Shì</v>
      </c>
      <c r="O706" s="15" t="str">
        <f t="shared" ref="O706:O769" si="22">_xlfn.CONCAT(L706," (",N706,")")</f>
        <v>Jinqiu Jiedao (Bīnzhōu Shì)</v>
      </c>
      <c r="P706" s="15" t="str">
        <f t="shared" ref="P706:P769" si="23">IF(COUNTIF(O:O,O706)&gt;1,_xlfn.CONCAT(L706," (",M706,")"),O706)</f>
        <v>Jinqiu Jiedao (Bīnzhōu Shì)</v>
      </c>
    </row>
    <row r="707" spans="1:16" hidden="1" x14ac:dyDescent="0.25">
      <c r="A707" t="s">
        <v>1907</v>
      </c>
      <c r="B707" t="str">
        <f>IF(COUNTIF(A:A,A707)&gt;1,_xlfn.CONCAT(A707," (",N707,")"),A707)</f>
        <v>Jīnquèshān Jiēdào</v>
      </c>
      <c r="C707" t="str">
        <f>IF(COUNTIF(B:B,B707)&gt;1,_xlfn.CONCAT(A707," (",M707,")"),B707)</f>
        <v>Jīnquèshān Jiēdào</v>
      </c>
      <c r="D707" t="s">
        <v>1908</v>
      </c>
      <c r="E707" t="s">
        <v>7</v>
      </c>
      <c r="F707" t="str">
        <f>_xlfn.CONCAT(D707,", ",H707,", ",I707,", ","山东省")</f>
        <v>金雀山街道, 兰山区, 临沂市, 山东省</v>
      </c>
      <c r="G707">
        <v>175890</v>
      </c>
      <c r="H707" t="s">
        <v>3715</v>
      </c>
      <c r="I707" t="s">
        <v>3710</v>
      </c>
      <c r="J707">
        <f>VLOOKUP(F707,[1]!china_towns_second__2[[Column1]:[Y]],3,FALSE)</f>
        <v>35.050560590412701</v>
      </c>
      <c r="K707">
        <f>VLOOKUP(F707,[1]!china_towns_second__2[[Column1]:[Y]],2,FALSE)</f>
        <v>118.34959910000001</v>
      </c>
      <c r="L707" t="s">
        <v>5540</v>
      </c>
      <c r="M707" t="str">
        <f>VLOOKUP(H707,CHOOSE({1,2},Table17[Native],Table17[Name]),2,0)</f>
        <v>Lánshān Qū</v>
      </c>
      <c r="N707" s="15" t="str">
        <f>VLOOKUP(I707,CHOOSE({1,2},Table17[Native],Table17[Name]),2,0)</f>
        <v>Línyí Shì</v>
      </c>
      <c r="O707" s="15" t="str">
        <f t="shared" si="22"/>
        <v>Jinqueshan Jiedao (Línyí Shì)</v>
      </c>
      <c r="P707" s="15" t="str">
        <f t="shared" si="23"/>
        <v>Jinqueshan Jiedao (Línyí Shì)</v>
      </c>
    </row>
    <row r="708" spans="1:16" hidden="1" x14ac:dyDescent="0.25">
      <c r="A708" t="s">
        <v>3521</v>
      </c>
      <c r="B708" t="str">
        <f>IF(COUNTIF(A:A,A708)&gt;1,_xlfn.CONCAT(A708," (",N708,")"),A708)</f>
        <v>Jīnshān Zhèn [incl. Nánwáng Zhèn, Biānhé Zhèn]</v>
      </c>
      <c r="C708" t="str">
        <f>IF(COUNTIF(B:B,B708)&gt;1,_xlfn.CONCAT(A708," (",M708,")"),B708)</f>
        <v>Jīnshān Zhèn [incl. Nánwáng Zhèn, Biānhé Zhèn]</v>
      </c>
      <c r="D708" t="s">
        <v>3522</v>
      </c>
      <c r="E708" t="s">
        <v>13</v>
      </c>
      <c r="F708" t="str">
        <f>_xlfn.CONCAT(D708,", ",H708,", ",I708,", ","山东省")</f>
        <v>金山镇, 临淄区, 淄博市, 山东省</v>
      </c>
      <c r="G708">
        <v>83784</v>
      </c>
      <c r="H708" t="s">
        <v>3795</v>
      </c>
      <c r="I708" t="s">
        <v>3791</v>
      </c>
      <c r="J708">
        <f>VLOOKUP(F708,[1]!china_towns_second__2[[Column1]:[Y]],3,FALSE)</f>
        <v>36.715968398149897</v>
      </c>
      <c r="K708">
        <f>VLOOKUP(F708,[1]!china_towns_second__2[[Column1]:[Y]],2,FALSE)</f>
        <v>118.19194400000001</v>
      </c>
      <c r="L708" t="s">
        <v>5541</v>
      </c>
      <c r="M708" t="str">
        <f>VLOOKUP(H708,CHOOSE({1,2},Table17[Native],Table17[Name]),2,0)</f>
        <v>Línzī Qū</v>
      </c>
      <c r="N708" s="15" t="str">
        <f>VLOOKUP(I708,CHOOSE({1,2},Table17[Native],Table17[Name]),2,0)</f>
        <v>Zībó Shì</v>
      </c>
      <c r="O708" s="15" t="str">
        <f t="shared" si="22"/>
        <v>Jinshan Zhen [incl. Nanwang Zhen, Bianhe Zhen] (Zībó Shì)</v>
      </c>
      <c r="P708" s="15" t="str">
        <f t="shared" si="23"/>
        <v>Jinshan Zhen [incl. Nanwang Zhen, Bianhe Zhen] (Zībó Shì)</v>
      </c>
    </row>
    <row r="709" spans="1:16" hidden="1" x14ac:dyDescent="0.25">
      <c r="A709" t="s">
        <v>1028</v>
      </c>
      <c r="B709" t="str">
        <f>IF(COUNTIF(A:A,A709)&gt;1,_xlfn.CONCAT(A709," (",N709,")"),A709)</f>
        <v>Jĭnshuĭ Jiēdào</v>
      </c>
      <c r="C709" t="str">
        <f>IF(COUNTIF(B:B,B709)&gt;1,_xlfn.CONCAT(A709," (",M709,")"),B709)</f>
        <v>Jĭnshuĭ Jiēdào</v>
      </c>
      <c r="D709" t="s">
        <v>1029</v>
      </c>
      <c r="E709" t="s">
        <v>7</v>
      </c>
      <c r="F709" t="str">
        <f>_xlfn.CONCAT(D709,", ",H709,", ",I709,", ","山东省")</f>
        <v>锦水街道, 平阴县, 济南市, 山东省</v>
      </c>
      <c r="G709">
        <v>31416</v>
      </c>
      <c r="H709" t="s">
        <v>3681</v>
      </c>
      <c r="I709" t="s">
        <v>3673</v>
      </c>
      <c r="J709">
        <f>VLOOKUP(F709,[1]!china_towns_second__2[[Column1]:[Y]],3,FALSE)</f>
        <v>36.288519162538599</v>
      </c>
      <c r="K709">
        <f>VLOOKUP(F709,[1]!china_towns_second__2[[Column1]:[Y]],2,FALSE)</f>
        <v>116.3974351</v>
      </c>
      <c r="L709" t="s">
        <v>5542</v>
      </c>
      <c r="M709" t="str">
        <f>VLOOKUP(H709,CHOOSE({1,2},Table17[Native],Table17[Name]),2,0)</f>
        <v>Píngyīn Xiàn</v>
      </c>
      <c r="N709" s="15" t="str">
        <f>VLOOKUP(I709,CHOOSE({1,2},Table17[Native],Table17[Name]),2,0)</f>
        <v>Jìnán Shì</v>
      </c>
      <c r="O709" s="15" t="str">
        <f t="shared" si="22"/>
        <v>Jinshui Jiedao (Jìnán Shì)</v>
      </c>
      <c r="P709" s="15" t="str">
        <f t="shared" si="23"/>
        <v>Jinshui Jiedao (Jìnán Shì)</v>
      </c>
    </row>
    <row r="710" spans="1:16" hidden="1" x14ac:dyDescent="0.25">
      <c r="A710" t="s">
        <v>1324</v>
      </c>
      <c r="B710" t="str">
        <f>IF(COUNTIF(A:A,A710)&gt;1,_xlfn.CONCAT(A710," (",N710,")"),A710)</f>
        <v>Jīntún Zhèn</v>
      </c>
      <c r="C710" t="str">
        <f>IF(COUNTIF(B:B,B710)&gt;1,_xlfn.CONCAT(A710," (",M710,")"),B710)</f>
        <v>Jīntún Zhèn</v>
      </c>
      <c r="D710" t="s">
        <v>1325</v>
      </c>
      <c r="E710" t="s">
        <v>13</v>
      </c>
      <c r="F710" t="str">
        <f>_xlfn.CONCAT(D710,", ",H710,", ",I710,", ","山东省")</f>
        <v>金屯镇, 嘉祥县, 济宁市, 山东省</v>
      </c>
      <c r="G710">
        <v>58967</v>
      </c>
      <c r="H710" t="s">
        <v>3688</v>
      </c>
      <c r="I710" t="s">
        <v>3687</v>
      </c>
      <c r="J710">
        <f>VLOOKUP(F710,[1]!china_towns_second__2[[Column1]:[Y]],3,FALSE)</f>
        <v>35.272065638136802</v>
      </c>
      <c r="K710">
        <f>VLOOKUP(F710,[1]!china_towns_second__2[[Column1]:[Y]],2,FALSE)</f>
        <v>116.4149324</v>
      </c>
      <c r="L710" t="s">
        <v>5543</v>
      </c>
      <c r="M710" t="str">
        <f>VLOOKUP(H710,CHOOSE({1,2},Table17[Native],Table17[Name]),2,0)</f>
        <v>Jiāxiáng Xiàn</v>
      </c>
      <c r="N710" s="15" t="str">
        <f>VLOOKUP(I710,CHOOSE({1,2},Table17[Native],Table17[Name]),2,0)</f>
        <v>Jìníng Shì</v>
      </c>
      <c r="O710" s="15" t="str">
        <f t="shared" si="22"/>
        <v>Jintun Zhen (Jìníng Shì)</v>
      </c>
      <c r="P710" s="15" t="str">
        <f t="shared" si="23"/>
        <v>Jintun Zhen (Jìníng Shì)</v>
      </c>
    </row>
    <row r="711" spans="1:16" hidden="1" x14ac:dyDescent="0.25">
      <c r="A711" t="s">
        <v>1326</v>
      </c>
      <c r="B711" t="str">
        <f>IF(COUNTIF(A:A,A711)&gt;1,_xlfn.CONCAT(A711," (",N711,")"),A711)</f>
        <v>Jīnxiāng Jiēdào</v>
      </c>
      <c r="C711" t="str">
        <f>IF(COUNTIF(B:B,B711)&gt;1,_xlfn.CONCAT(A711," (",M711,")"),B711)</f>
        <v>Jīnxiāng Jiēdào</v>
      </c>
      <c r="D711" t="s">
        <v>1327</v>
      </c>
      <c r="E711" t="s">
        <v>7</v>
      </c>
      <c r="F711" t="str">
        <f>_xlfn.CONCAT(D711,", ",H711,", ",I711,", ","山东省")</f>
        <v>金乡街道, 金乡县, 济宁市, 山东省</v>
      </c>
      <c r="G711">
        <v>96018</v>
      </c>
      <c r="H711" t="s">
        <v>3689</v>
      </c>
      <c r="I711" t="s">
        <v>3687</v>
      </c>
      <c r="J711">
        <f>VLOOKUP(F711,[1]!china_towns_second__2[[Column1]:[Y]],3,FALSE)</f>
        <v>35.070889136062497</v>
      </c>
      <c r="K711">
        <f>VLOOKUP(F711,[1]!china_towns_second__2[[Column1]:[Y]],2,FALSE)</f>
        <v>116.31334390000001</v>
      </c>
      <c r="L711" t="s">
        <v>5544</v>
      </c>
      <c r="M711" t="str">
        <f>VLOOKUP(H711,CHOOSE({1,2},Table17[Native],Table17[Name]),2,0)</f>
        <v>Jīnxiāng Xiàn</v>
      </c>
      <c r="N711" s="15" t="str">
        <f>VLOOKUP(I711,CHOOSE({1,2},Table17[Native],Table17[Name]),2,0)</f>
        <v>Jìníng Shì</v>
      </c>
      <c r="O711" s="15" t="str">
        <f t="shared" si="22"/>
        <v>Jinxiang Jiedao (Jìníng Shì)</v>
      </c>
      <c r="P711" s="15" t="str">
        <f t="shared" si="23"/>
        <v>Jinxiang Jiedao (Jìníng Shì)</v>
      </c>
    </row>
    <row r="712" spans="1:16" hidden="1" x14ac:dyDescent="0.25">
      <c r="A712" t="s">
        <v>89</v>
      </c>
      <c r="B712" t="str">
        <f>IF(COUNTIF(A:A,A712)&gt;1,_xlfn.CONCAT(A712," (",N712,")"),A712)</f>
        <v>Jīnyáng Jiēdào</v>
      </c>
      <c r="C712" t="str">
        <f>IF(COUNTIF(B:B,B712)&gt;1,_xlfn.CONCAT(A712," (",M712,")"),B712)</f>
        <v>Jīnyáng Jiēdào</v>
      </c>
      <c r="D712" t="s">
        <v>90</v>
      </c>
      <c r="E712" t="s">
        <v>7</v>
      </c>
      <c r="F712" t="str">
        <f>_xlfn.CONCAT(D712,", ",H712,", ",I712,", ","山东省")</f>
        <v>金阳街道, 阳信县, 滨州市, 山东省</v>
      </c>
      <c r="G712">
        <v>38387</v>
      </c>
      <c r="H712" t="s">
        <v>3637</v>
      </c>
      <c r="I712" t="s">
        <v>3630</v>
      </c>
      <c r="J712">
        <f>VLOOKUP(F712,[1]!china_towns_second__2[[Column1]:[Y]],3,FALSE)</f>
        <v>37.667114387039803</v>
      </c>
      <c r="K712">
        <f>VLOOKUP(F712,[1]!china_towns_second__2[[Column1]:[Y]],2,FALSE)</f>
        <v>117.5393791</v>
      </c>
      <c r="L712" t="s">
        <v>5545</v>
      </c>
      <c r="M712" t="str">
        <f>VLOOKUP(H712,CHOOSE({1,2},Table17[Native],Table17[Name]),2,0)</f>
        <v>Yángxìn Xiàn</v>
      </c>
      <c r="N712" s="15" t="str">
        <f>VLOOKUP(I712,CHOOSE({1,2},Table17[Native],Table17[Name]),2,0)</f>
        <v>Bīnzhōu Shì</v>
      </c>
      <c r="O712" s="15" t="str">
        <f t="shared" si="22"/>
        <v>Jinyang Jiedao (Bīnzhōu Shì)</v>
      </c>
      <c r="P712" s="15" t="str">
        <f t="shared" si="23"/>
        <v>Jinyang Jiedao (Bīnzhōu Shì)</v>
      </c>
    </row>
    <row r="713" spans="1:16" hidden="1" x14ac:dyDescent="0.25">
      <c r="A713" t="s">
        <v>2765</v>
      </c>
      <c r="B713" t="str">
        <f>IF(COUNTIF(A:A,A713)&gt;1,_xlfn.CONCAT(A713," (",N713,")"),A713)</f>
        <v>Jīnzhŏngzi Zhèn</v>
      </c>
      <c r="C713" t="str">
        <f>IF(COUNTIF(B:B,B713)&gt;1,_xlfn.CONCAT(A713," (",M713,")"),B713)</f>
        <v>Jīnzhŏngzi Zhèn</v>
      </c>
      <c r="D713" t="s">
        <v>2766</v>
      </c>
      <c r="E713" t="s">
        <v>13</v>
      </c>
      <c r="F713" t="str">
        <f>_xlfn.CONCAT(D713,", ",H713,", ",I713,", ","山东省")</f>
        <v>金冢子镇, 安丘市, 潍坊市, 山东省</v>
      </c>
      <c r="G713">
        <v>39054</v>
      </c>
      <c r="H713" t="s">
        <v>3752</v>
      </c>
      <c r="I713" t="s">
        <v>3751</v>
      </c>
      <c r="J713">
        <f>VLOOKUP(F713,[1]!china_towns_second__2[[Column1]:[Y]],3,FALSE)</f>
        <v>36.338415533348602</v>
      </c>
      <c r="K713">
        <f>VLOOKUP(F713,[1]!china_towns_second__2[[Column1]:[Y]],2,FALSE)</f>
        <v>119.2490562</v>
      </c>
      <c r="L713" t="s">
        <v>5546</v>
      </c>
      <c r="M713" t="str">
        <f>VLOOKUP(H713,CHOOSE({1,2},Table17[Native],Table17[Name]),2,0)</f>
        <v>Ānqiū Shì</v>
      </c>
      <c r="N713" s="15" t="str">
        <f>VLOOKUP(I713,CHOOSE({1,2},Table17[Native],Table17[Name]),2,0)</f>
        <v>Wéifāng Shì</v>
      </c>
      <c r="O713" s="15" t="str">
        <f t="shared" si="22"/>
        <v>Jinzhongzi Zhen (Wéifāng Shì)</v>
      </c>
      <c r="P713" s="15" t="str">
        <f t="shared" si="23"/>
        <v>Jinzhongzi Zhen (Wéifāng Shì)</v>
      </c>
    </row>
    <row r="714" spans="1:16" hidden="1" x14ac:dyDescent="0.25">
      <c r="A714" t="s">
        <v>1328</v>
      </c>
      <c r="B714" t="str">
        <f>IF(COUNTIF(A:A,A714)&gt;1,_xlfn.CONCAT(A714," (",N714,")"),A714)</f>
        <v>Jīnzhuāng Zhèn</v>
      </c>
      <c r="C714" t="str">
        <f>IF(COUNTIF(B:B,B714)&gt;1,_xlfn.CONCAT(A714," (",M714,")"),B714)</f>
        <v>Jīnzhuāng Zhèn</v>
      </c>
      <c r="D714" t="s">
        <v>1329</v>
      </c>
      <c r="E714" t="s">
        <v>13</v>
      </c>
      <c r="F714" t="str">
        <f>_xlfn.CONCAT(D714,", ",H714,", ",I714,", ","山东省")</f>
        <v>金庄镇, 泗水县, 济宁市, 山东省</v>
      </c>
      <c r="G714">
        <v>47288</v>
      </c>
      <c r="H714" t="s">
        <v>3693</v>
      </c>
      <c r="I714" t="s">
        <v>3687</v>
      </c>
      <c r="J714">
        <f>VLOOKUP(F714,[1]!china_towns_second__2[[Column1]:[Y]],3,FALSE)</f>
        <v>35.6249652088433</v>
      </c>
      <c r="K714">
        <f>VLOOKUP(F714,[1]!china_towns_second__2[[Column1]:[Y]],2,FALSE)</f>
        <v>117.194677</v>
      </c>
      <c r="L714" t="s">
        <v>5547</v>
      </c>
      <c r="M714" t="str">
        <f>VLOOKUP(H714,CHOOSE({1,2},Table17[Native],Table17[Name]),2,0)</f>
        <v>Sìshuĭ Xiàn</v>
      </c>
      <c r="N714" s="15" t="str">
        <f>VLOOKUP(I714,CHOOSE({1,2},Table17[Native],Table17[Name]),2,0)</f>
        <v>Jìníng Shì</v>
      </c>
      <c r="O714" s="15" t="str">
        <f t="shared" si="22"/>
        <v>Jinzhuang Zhen (Jìníng Shì)</v>
      </c>
      <c r="P714" s="15" t="str">
        <f t="shared" si="23"/>
        <v>Jinzhuang Zhen (Jìníng Shì)</v>
      </c>
    </row>
    <row r="715" spans="1:16" hidden="1" x14ac:dyDescent="0.25">
      <c r="A715" t="s">
        <v>726</v>
      </c>
      <c r="B715" t="str">
        <f>IF(COUNTIF(A:A,A715)&gt;1,_xlfn.CONCAT(A715," (",N715,")"),A715)</f>
        <v>Jīshān Zhèn</v>
      </c>
      <c r="C715" t="str">
        <f>IF(COUNTIF(B:B,B715)&gt;1,_xlfn.CONCAT(A715," (",M715,")"),B715)</f>
        <v>Jīshān Zhèn</v>
      </c>
      <c r="D715" t="s">
        <v>727</v>
      </c>
      <c r="E715" t="s">
        <v>13</v>
      </c>
      <c r="F715" t="str">
        <f>_xlfn.CONCAT(D715,", ",H715,", ",I715,", ","山东省")</f>
        <v>箕山镇, 鄄城县, 菏泽市, 山东省</v>
      </c>
      <c r="G715">
        <v>46597</v>
      </c>
      <c r="H715" t="s">
        <v>3667</v>
      </c>
      <c r="I715" t="s">
        <v>3662</v>
      </c>
      <c r="J715">
        <f>VLOOKUP(F715,[1]!china_towns_second__2[[Column1]:[Y]],3,FALSE)</f>
        <v>35.615536718018397</v>
      </c>
      <c r="K715">
        <f>VLOOKUP(F715,[1]!china_towns_second__2[[Column1]:[Y]],2,FALSE)</f>
        <v>115.65482369999999</v>
      </c>
      <c r="L715" t="s">
        <v>5548</v>
      </c>
      <c r="M715" t="str">
        <f>VLOOKUP(H715,CHOOSE({1,2},Table17[Native],Table17[Name]),2,0)</f>
        <v>Juànchéng Xiàn</v>
      </c>
      <c r="N715" s="15" t="str">
        <f>VLOOKUP(I715,CHOOSE({1,2},Table17[Native],Table17[Name]),2,0)</f>
        <v>Hézé Shì</v>
      </c>
      <c r="O715" s="15" t="str">
        <f t="shared" si="22"/>
        <v>Jishan Zhen (Hézé Shì)</v>
      </c>
      <c r="P715" s="15" t="str">
        <f t="shared" si="23"/>
        <v>Jishan Zhen (Hézé Shì)</v>
      </c>
    </row>
    <row r="716" spans="1:16" hidden="1" x14ac:dyDescent="0.25">
      <c r="A716" t="s">
        <v>1330</v>
      </c>
      <c r="B716" t="str">
        <f>IF(COUNTIF(A:A,A716)&gt;1,_xlfn.CONCAT(A716," (",N716,")"),A716)</f>
        <v>Jīshŭ Zhèn</v>
      </c>
      <c r="C716" t="str">
        <f>IF(COUNTIF(B:B,B716)&gt;1,_xlfn.CONCAT(A716," (",M716,")"),B716)</f>
        <v>Jīshŭ Zhèn</v>
      </c>
      <c r="D716" t="s">
        <v>1331</v>
      </c>
      <c r="E716" t="s">
        <v>13</v>
      </c>
      <c r="F716" t="str">
        <f>_xlfn.CONCAT(D716,", ",H716,", ",I716,", ","山东省")</f>
        <v>鸡黍镇, 金乡县, 济宁市, 山东省</v>
      </c>
      <c r="G716">
        <v>58829</v>
      </c>
      <c r="H716" t="s">
        <v>3689</v>
      </c>
      <c r="I716" t="s">
        <v>3687</v>
      </c>
      <c r="J716">
        <f>VLOOKUP(F716,[1]!china_towns_second__2[[Column1]:[Y]],3,FALSE)</f>
        <v>34.977414521407901</v>
      </c>
      <c r="K716">
        <f>VLOOKUP(F716,[1]!china_towns_second__2[[Column1]:[Y]],2,FALSE)</f>
        <v>116.21267349999999</v>
      </c>
      <c r="L716" t="s">
        <v>5549</v>
      </c>
      <c r="M716" t="str">
        <f>VLOOKUP(H716,CHOOSE({1,2},Table17[Native],Table17[Name]),2,0)</f>
        <v>Jīnxiāng Xiàn</v>
      </c>
      <c r="N716" s="15" t="str">
        <f>VLOOKUP(I716,CHOOSE({1,2},Table17[Native],Table17[Name]),2,0)</f>
        <v>Jìníng Shì</v>
      </c>
      <c r="O716" s="15" t="str">
        <f t="shared" si="22"/>
        <v>Jishu Zhen (Jìníng Shì)</v>
      </c>
      <c r="P716" s="15" t="str">
        <f t="shared" si="23"/>
        <v>Jishu Zhen (Jìníng Shì)</v>
      </c>
    </row>
    <row r="717" spans="1:16" hidden="1" x14ac:dyDescent="0.25">
      <c r="A717" t="s">
        <v>3393</v>
      </c>
      <c r="B717" t="str">
        <f>IF(COUNTIF(A:A,A717)&gt;1,_xlfn.CONCAT(A717," (",N717,")"),A717)</f>
        <v>Jísuŏ Zhèn</v>
      </c>
      <c r="C717" t="str">
        <f>IF(COUNTIF(B:B,B717)&gt;1,_xlfn.CONCAT(A717," (",M717,")"),B717)</f>
        <v>Jísuŏ Zhèn</v>
      </c>
      <c r="D717" t="s">
        <v>3394</v>
      </c>
      <c r="E717" t="s">
        <v>13</v>
      </c>
      <c r="F717" t="str">
        <f>_xlfn.CONCAT(D717,", ",H717,", ",I717,", ","山东省")</f>
        <v>级索镇, 滕州市, 枣庄市, 山东省</v>
      </c>
      <c r="G717">
        <v>80657</v>
      </c>
      <c r="H717" t="s">
        <v>3787</v>
      </c>
      <c r="I717" t="s">
        <v>3784</v>
      </c>
      <c r="J717">
        <f>VLOOKUP(F717,[1]!china_towns_second__2[[Column1]:[Y]],3,FALSE)</f>
        <v>35.024986475737897</v>
      </c>
      <c r="K717">
        <f>VLOOKUP(F717,[1]!china_towns_second__2[[Column1]:[Y]],2,FALSE)</f>
        <v>116.99426099999999</v>
      </c>
      <c r="L717" t="s">
        <v>5550</v>
      </c>
      <c r="M717" t="str">
        <f>VLOOKUP(H717,CHOOSE({1,2},Table17[Native],Table17[Name]),2,0)</f>
        <v>Téngzhōu Shì</v>
      </c>
      <c r="N717" s="15" t="str">
        <f>VLOOKUP(I717,CHOOSE({1,2},Table17[Native],Table17[Name]),2,0)</f>
        <v>Zăozhuāng Shì</v>
      </c>
      <c r="O717" s="15" t="str">
        <f t="shared" si="22"/>
        <v>Jisuo Zhen (Zăozhuāng Shì)</v>
      </c>
      <c r="P717" s="15" t="str">
        <f t="shared" si="23"/>
        <v>Jisuo Zhen (Zăozhuāng Shì)</v>
      </c>
    </row>
    <row r="718" spans="1:16" hidden="1" x14ac:dyDescent="0.25">
      <c r="A718" t="s">
        <v>2767</v>
      </c>
      <c r="B718" t="str">
        <f>IF(COUNTIF(A:A,A718)&gt;1,_xlfn.CONCAT(A718," (",N718,")"),A718)</f>
        <v>Jìtái Zhèn</v>
      </c>
      <c r="C718" t="str">
        <f>IF(COUNTIF(B:B,B718)&gt;1,_xlfn.CONCAT(A718," (",M718,")"),B718)</f>
        <v>Jìtái Zhèn</v>
      </c>
      <c r="D718" t="s">
        <v>2768</v>
      </c>
      <c r="E718" t="s">
        <v>13</v>
      </c>
      <c r="F718" t="str">
        <f>_xlfn.CONCAT(D718,", ",H718,", ",I718,", ","山东省")</f>
        <v>纪台镇, 寿光市, 潍坊市, 山东省</v>
      </c>
      <c r="G718">
        <v>52144</v>
      </c>
      <c r="H718" t="s">
        <v>3761</v>
      </c>
      <c r="I718" t="s">
        <v>3751</v>
      </c>
      <c r="J718">
        <f>VLOOKUP(F718,[1]!china_towns_second__2[[Column1]:[Y]],3,FALSE)</f>
        <v>36.773120264570601</v>
      </c>
      <c r="K718">
        <f>VLOOKUP(F718,[1]!china_towns_second__2[[Column1]:[Y]],2,FALSE)</f>
        <v>118.7660087</v>
      </c>
      <c r="L718" t="s">
        <v>5551</v>
      </c>
      <c r="M718" t="str">
        <f>VLOOKUP(H718,CHOOSE({1,2},Table17[Native],Table17[Name]),2,0)</f>
        <v>Shòuguāng Shì</v>
      </c>
      <c r="N718" s="15" t="str">
        <f>VLOOKUP(I718,CHOOSE({1,2},Table17[Native],Table17[Name]),2,0)</f>
        <v>Wéifāng Shì</v>
      </c>
      <c r="O718" s="15" t="str">
        <f t="shared" si="22"/>
        <v>Jitai Zhen (Wéifāng Shì)</v>
      </c>
      <c r="P718" s="15" t="str">
        <f t="shared" si="23"/>
        <v>Jitai Zhen (Wéifāng Shì)</v>
      </c>
    </row>
    <row r="719" spans="1:16" hidden="1" x14ac:dyDescent="0.25">
      <c r="A719" t="s">
        <v>728</v>
      </c>
      <c r="B719" t="str">
        <f>IF(COUNTIF(A:A,A719)&gt;1,_xlfn.CONCAT(A719," (",N719,")"),A719)</f>
        <v>Jiùchéng Zhèn</v>
      </c>
      <c r="C719" t="str">
        <f>IF(COUNTIF(B:B,B719)&gt;1,_xlfn.CONCAT(A719," (",M719,")"),B719)</f>
        <v>Jiùchéng Zhèn</v>
      </c>
      <c r="D719" t="s">
        <v>729</v>
      </c>
      <c r="E719" t="s">
        <v>13</v>
      </c>
      <c r="F719" t="str">
        <f>_xlfn.CONCAT(D719,", ",H719,", ",I719,", ","山东省")</f>
        <v>旧城镇, 鄄城县, 菏泽市, 山东省</v>
      </c>
      <c r="G719">
        <v>55028</v>
      </c>
      <c r="H719" t="s">
        <v>3667</v>
      </c>
      <c r="I719" t="s">
        <v>3662</v>
      </c>
      <c r="J719">
        <f>VLOOKUP(F719,[1]!china_towns_second__2[[Column1]:[Y]],3,FALSE)</f>
        <v>35.649645198792498</v>
      </c>
      <c r="K719">
        <f>VLOOKUP(F719,[1]!china_towns_second__2[[Column1]:[Y]],2,FALSE)</f>
        <v>115.4805336</v>
      </c>
      <c r="L719" t="s">
        <v>5552</v>
      </c>
      <c r="M719" t="str">
        <f>VLOOKUP(H719,CHOOSE({1,2},Table17[Native],Table17[Name]),2,0)</f>
        <v>Juànchéng Xiàn</v>
      </c>
      <c r="N719" s="15" t="str">
        <f>VLOOKUP(I719,CHOOSE({1,2},Table17[Native],Table17[Name]),2,0)</f>
        <v>Hézé Shì</v>
      </c>
      <c r="O719" s="15" t="str">
        <f t="shared" si="22"/>
        <v>Jiucheng Zhen (Hézé Shì)</v>
      </c>
      <c r="P719" s="15" t="str">
        <f t="shared" si="23"/>
        <v>Jiucheng Zhen (Hézé Shì)</v>
      </c>
    </row>
    <row r="720" spans="1:16" hidden="1" x14ac:dyDescent="0.25">
      <c r="A720" t="s">
        <v>2228</v>
      </c>
      <c r="B720" t="str">
        <f>IF(COUNTIF(A:A,A720)&gt;1,_xlfn.CONCAT(A720," (",N720,")"),A720)</f>
        <v>Jiùdiàn Zhèn [incl. Dàtián Zhèn, Zhùgōu Zhèn]</v>
      </c>
      <c r="C720" t="str">
        <f>IF(COUNTIF(B:B,B720)&gt;1,_xlfn.CONCAT(A720," (",M720,")"),B720)</f>
        <v>Jiùdiàn Zhèn [incl. Dàtián Zhèn, Zhùgōu Zhèn]</v>
      </c>
      <c r="D720" t="s">
        <v>2229</v>
      </c>
      <c r="E720" t="s">
        <v>13</v>
      </c>
      <c r="F720" t="str">
        <f>_xlfn.CONCAT(D720,", ",H720,", ",I720,", ","山东省")</f>
        <v>旧店镇, 平度市, 青岛市, 山东省</v>
      </c>
      <c r="G720">
        <v>97604</v>
      </c>
      <c r="H720" t="s">
        <v>3732</v>
      </c>
      <c r="I720" t="s">
        <v>3724</v>
      </c>
      <c r="J720">
        <f>VLOOKUP(F720,[1]!china_towns_second__2[[Column1]:[Y]],3,FALSE)</f>
        <v>36.949186946674899</v>
      </c>
      <c r="K720">
        <f>VLOOKUP(F720,[1]!china_towns_second__2[[Column1]:[Y]],2,FALSE)</f>
        <v>120.17257119999999</v>
      </c>
      <c r="L720" t="s">
        <v>5553</v>
      </c>
      <c r="M720" t="str">
        <f>VLOOKUP(H720,CHOOSE({1,2},Table17[Native],Table17[Name]),2,0)</f>
        <v>Píngdù Shì</v>
      </c>
      <c r="N720" s="15" t="str">
        <f>VLOOKUP(I720,CHOOSE({1,2},Table17[Native],Table17[Name]),2,0)</f>
        <v>Qīngdăo Shì</v>
      </c>
      <c r="O720" s="15" t="str">
        <f t="shared" si="22"/>
        <v>Jiudian Zhen [incl. Datian Zhen, Zhugou Zhen] (Qīngdăo Shì)</v>
      </c>
      <c r="P720" s="15" t="str">
        <f t="shared" si="23"/>
        <v>Jiudian Zhen [incl. Datian Zhen, Zhugou Zhen] (Qīngdăo Shì)</v>
      </c>
    </row>
    <row r="721" spans="1:16" hidden="1" x14ac:dyDescent="0.25">
      <c r="A721" t="s">
        <v>91</v>
      </c>
      <c r="B721" t="str">
        <f>IF(COUNTIF(A:A,A721)&gt;1,_xlfn.CONCAT(A721," (",N721,")"),A721)</f>
        <v>Jiŭhù Zhèn</v>
      </c>
      <c r="C721" t="str">
        <f>IF(COUNTIF(B:B,B721)&gt;1,_xlfn.CONCAT(A721," (",M721,")"),B721)</f>
        <v>Jiŭhù Zhèn</v>
      </c>
      <c r="D721" t="s">
        <v>92</v>
      </c>
      <c r="E721" t="s">
        <v>13</v>
      </c>
      <c r="F721" t="str">
        <f>_xlfn.CONCAT(D721,", ",H721,", ",I721,", ","山东省")</f>
        <v>九户镇, 邹平市, 滨州市, 山东省</v>
      </c>
      <c r="G721">
        <v>38921</v>
      </c>
      <c r="H721" t="s">
        <v>3640</v>
      </c>
      <c r="I721" t="s">
        <v>3630</v>
      </c>
      <c r="J721">
        <f>VLOOKUP(F721,[1]!china_towns_second__2[[Column1]:[Y]],3,FALSE)</f>
        <v>37.041354721969697</v>
      </c>
      <c r="K721">
        <f>VLOOKUP(F721,[1]!china_towns_second__2[[Column1]:[Y]],2,FALSE)</f>
        <v>117.60864479999999</v>
      </c>
      <c r="L721" t="s">
        <v>5554</v>
      </c>
      <c r="M721" t="str">
        <f>VLOOKUP(H721,CHOOSE({1,2},Table17[Native],Table17[Name]),2,0)</f>
        <v>Zōupíng Shì</v>
      </c>
      <c r="N721" s="15" t="str">
        <f>VLOOKUP(I721,CHOOSE({1,2},Table17[Native],Table17[Name]),2,0)</f>
        <v>Bīnzhōu Shì</v>
      </c>
      <c r="O721" s="15" t="str">
        <f t="shared" si="22"/>
        <v>Jiuhu Zhen (Bīnzhōu Shì)</v>
      </c>
      <c r="P721" s="15" t="str">
        <f t="shared" si="23"/>
        <v>Jiuhu Zhen (Bīnzhōu Shì)</v>
      </c>
    </row>
    <row r="722" spans="1:16" hidden="1" x14ac:dyDescent="0.25">
      <c r="A722" t="s">
        <v>2230</v>
      </c>
      <c r="B722" t="str">
        <f>IF(COUNTIF(A:A,A722)&gt;1,_xlfn.CONCAT(A722," (",N722,")"),A722)</f>
        <v>Jiŭlóng Jiēdào (Qīngdăo Shì)</v>
      </c>
      <c r="C722" t="str">
        <f>IF(COUNTIF(B:B,B722)&gt;1,_xlfn.CONCAT(A722," (",M722,")"),B722)</f>
        <v>Jiŭlóng Jiēdào (Qīngdăo Shì)</v>
      </c>
      <c r="D722" t="s">
        <v>2231</v>
      </c>
      <c r="E722" t="s">
        <v>7</v>
      </c>
      <c r="F722" t="str">
        <f>_xlfn.CONCAT(D722,", ",H722,", ",I722,", ","山东省")</f>
        <v>九龙街道, 胶州市, 青岛市, 山东省</v>
      </c>
      <c r="G722">
        <v>28138</v>
      </c>
      <c r="H722" t="s">
        <v>3727</v>
      </c>
      <c r="I722" t="s">
        <v>3724</v>
      </c>
      <c r="J722">
        <f>VLOOKUP(F722,[1]!china_towns_second__2[[Column1]:[Y]],3,FALSE)</f>
        <v>36.199083243410897</v>
      </c>
      <c r="K722">
        <f>VLOOKUP(F722,[1]!china_towns_second__2[[Column1]:[Y]],2,FALSE)</f>
        <v>120.04703000000001</v>
      </c>
      <c r="L722" t="s">
        <v>5555</v>
      </c>
      <c r="M722" t="str">
        <f>VLOOKUP(H722,CHOOSE({1,2},Table17[Native],Table17[Name]),2,0)</f>
        <v>Jiāozhōu Shì</v>
      </c>
      <c r="N722" s="15" t="str">
        <f>VLOOKUP(I722,CHOOSE({1,2},Table17[Native],Table17[Name]),2,0)</f>
        <v>Qīngdăo Shì</v>
      </c>
      <c r="O722" s="15" t="str">
        <f t="shared" si="22"/>
        <v>Jiulong Jiedao (Qingdao Shi) (Qīngdăo Shì)</v>
      </c>
      <c r="P722" s="15" t="str">
        <f t="shared" si="23"/>
        <v>Jiulong Jiedao (Qingdao Shi) (Qīngdăo Shì)</v>
      </c>
    </row>
    <row r="723" spans="1:16" hidden="1" x14ac:dyDescent="0.25">
      <c r="A723" t="s">
        <v>2230</v>
      </c>
      <c r="B723" t="str">
        <f>IF(COUNTIF(A:A,A723)&gt;1,_xlfn.CONCAT(A723," (",N723,")"),A723)</f>
        <v>Jiŭlóng Jiēdào (Wéifāng Shì)</v>
      </c>
      <c r="C723" t="str">
        <f>IF(COUNTIF(B:B,B723)&gt;1,_xlfn.CONCAT(A723," (",M723,")"),B723)</f>
        <v>Jiŭlóng Jiēdào (Wéifāng Shì)</v>
      </c>
      <c r="D723" t="s">
        <v>2231</v>
      </c>
      <c r="E723" t="s">
        <v>7</v>
      </c>
      <c r="F723" t="str">
        <f>_xlfn.CONCAT(D723,", ",H723,", ",I723,", ","山东省")</f>
        <v>九龙街道, 坊子区, 潍坊市, 山东省</v>
      </c>
      <c r="G723">
        <v>70327</v>
      </c>
      <c r="H723" t="s">
        <v>3755</v>
      </c>
      <c r="I723" t="s">
        <v>3751</v>
      </c>
      <c r="J723">
        <f>VLOOKUP(F723,[1]!china_towns_second__2[[Column1]:[Y]],3,FALSE)</f>
        <v>36.668658954830398</v>
      </c>
      <c r="K723">
        <f>VLOOKUP(F723,[1]!china_towns_second__2[[Column1]:[Y]],2,FALSE)</f>
        <v>119.3379539</v>
      </c>
      <c r="L723" t="s">
        <v>5556</v>
      </c>
      <c r="M723" t="str">
        <f>VLOOKUP(H723,CHOOSE({1,2},Table17[Native],Table17[Name]),2,0)</f>
        <v>Fāngzi Qū</v>
      </c>
      <c r="N723" s="15" t="str">
        <f>VLOOKUP(I723,CHOOSE({1,2},Table17[Native],Table17[Name]),2,0)</f>
        <v>Wéifāng Shì</v>
      </c>
      <c r="O723" s="15" t="str">
        <f t="shared" si="22"/>
        <v>Jiulong Jiedao (Weifang Shi) (Wéifāng Shì)</v>
      </c>
      <c r="P723" s="15" t="str">
        <f t="shared" si="23"/>
        <v>Jiulong Jiedao (Weifang Shi) (Wéifāng Shì)</v>
      </c>
    </row>
    <row r="724" spans="1:16" hidden="1" x14ac:dyDescent="0.25">
      <c r="A724" t="s">
        <v>1909</v>
      </c>
      <c r="B724" t="str">
        <f>IF(COUNTIF(A:A,A724)&gt;1,_xlfn.CONCAT(A724," (",N724,")"),A724)</f>
        <v>Jiŭqŭ Jiēdào</v>
      </c>
      <c r="C724" t="str">
        <f>IF(COUNTIF(B:B,B724)&gt;1,_xlfn.CONCAT(A724," (",M724,")"),B724)</f>
        <v>Jiŭqŭ Jiēdào</v>
      </c>
      <c r="D724" t="s">
        <v>1910</v>
      </c>
      <c r="E724" t="s">
        <v>7</v>
      </c>
      <c r="F724" t="str">
        <f>_xlfn.CONCAT(D724,", ",H724,", ",I724,", ","山东省")</f>
        <v>九曲街道, 河东区, 临沂市, 山东省</v>
      </c>
      <c r="G724">
        <v>102037</v>
      </c>
      <c r="H724" t="s">
        <v>3712</v>
      </c>
      <c r="I724" t="s">
        <v>3710</v>
      </c>
      <c r="J724">
        <f>VLOOKUP(F724,[1]!china_towns_second__2[[Column1]:[Y]],3,FALSE)</f>
        <v>35.094302315495497</v>
      </c>
      <c r="K724">
        <f>VLOOKUP(F724,[1]!china_towns_second__2[[Column1]:[Y]],2,FALSE)</f>
        <v>118.40635349999999</v>
      </c>
      <c r="L724" t="s">
        <v>5557</v>
      </c>
      <c r="M724" t="str">
        <f>VLOOKUP(H724,CHOOSE({1,2},Table17[Native],Table17[Name]),2,0)</f>
        <v>Hédōng Qū</v>
      </c>
      <c r="N724" s="15" t="str">
        <f>VLOOKUP(I724,CHOOSE({1,2},Table17[Native],Table17[Name]),2,0)</f>
        <v>Línyí Shì</v>
      </c>
      <c r="O724" s="15" t="str">
        <f t="shared" si="22"/>
        <v>Jiuqu Jiedao (Línyí Shì)</v>
      </c>
      <c r="P724" s="15" t="str">
        <f t="shared" si="23"/>
        <v>Jiuqu Jiedao (Línyí Shì)</v>
      </c>
    </row>
    <row r="725" spans="1:16" hidden="1" x14ac:dyDescent="0.25">
      <c r="A725" t="s">
        <v>2769</v>
      </c>
      <c r="B725" t="str">
        <f>IF(COUNTIF(A:A,A725)&gt;1,_xlfn.CONCAT(A725," (",N725,")"),A725)</f>
        <v>Jiŭshān Zhèn</v>
      </c>
      <c r="C725" t="str">
        <f>IF(COUNTIF(B:B,B725)&gt;1,_xlfn.CONCAT(A725," (",M725,")"),B725)</f>
        <v>Jiŭshān Zhèn</v>
      </c>
      <c r="D725" t="s">
        <v>2770</v>
      </c>
      <c r="E725" t="s">
        <v>13</v>
      </c>
      <c r="F725" t="str">
        <f>_xlfn.CONCAT(D725,", ",H725,", ",I725,", ","山东省")</f>
        <v>九山镇, 临朐县, 潍坊市, 山东省</v>
      </c>
      <c r="G725">
        <v>44420</v>
      </c>
      <c r="H725" t="s">
        <v>3759</v>
      </c>
      <c r="I725" t="s">
        <v>3751</v>
      </c>
      <c r="J725">
        <f>VLOOKUP(F725,[1]!china_towns_second__2[[Column1]:[Y]],3,FALSE)</f>
        <v>36.182204165868598</v>
      </c>
      <c r="K725">
        <f>VLOOKUP(F725,[1]!china_towns_second__2[[Column1]:[Y]],2,FALSE)</f>
        <v>118.4877086</v>
      </c>
      <c r="L725" t="s">
        <v>5558</v>
      </c>
      <c r="M725" t="str">
        <f>VLOOKUP(H725,CHOOSE({1,2},Table17[Native],Table17[Name]),2,0)</f>
        <v>Línqú Xiàn</v>
      </c>
      <c r="N725" s="15" t="str">
        <f>VLOOKUP(I725,CHOOSE({1,2},Table17[Native],Table17[Name]),2,0)</f>
        <v>Wéifāng Shì</v>
      </c>
      <c r="O725" s="15" t="str">
        <f t="shared" si="22"/>
        <v>Jiushan Zhen (Wéifāng Shì)</v>
      </c>
      <c r="P725" s="15" t="str">
        <f t="shared" si="23"/>
        <v>Jiushan Zhen (Wéifāng Shì)</v>
      </c>
    </row>
    <row r="726" spans="1:16" hidden="1" x14ac:dyDescent="0.25">
      <c r="A726" t="s">
        <v>2232</v>
      </c>
      <c r="B726" t="str">
        <f>IF(COUNTIF(A:A,A726)&gt;1,_xlfn.CONCAT(A726," (",N726,")"),A726)</f>
        <v>Jiŭshuĭ Jiēdào [incl. Shìyuán Jiēdào]</v>
      </c>
      <c r="C726" t="str">
        <f>IF(COUNTIF(B:B,B726)&gt;1,_xlfn.CONCAT(A726," (",M726,")"),B726)</f>
        <v>Jiŭshuĭ Jiēdào [incl. Shìyuán Jiēdào]</v>
      </c>
      <c r="D726" t="s">
        <v>2233</v>
      </c>
      <c r="E726" t="s">
        <v>7</v>
      </c>
      <c r="F726" t="str">
        <f>_xlfn.CONCAT(D726,", ",H726,", ",I726,", ","山东省")</f>
        <v>九水街道, 李沧区, 青岛市, 山东省</v>
      </c>
      <c r="G726">
        <v>63495</v>
      </c>
      <c r="H726" t="s">
        <v>3731</v>
      </c>
      <c r="I726" t="s">
        <v>3724</v>
      </c>
      <c r="J726" t="e">
        <f>VLOOKUP(F726,[1]!china_towns_second__2[[Column1]:[Y]],3,FALSE)</f>
        <v>#N/A</v>
      </c>
      <c r="K726" t="e">
        <f>VLOOKUP(F726,[1]!china_towns_second__2[[Column1]:[Y]],2,FALSE)</f>
        <v>#N/A</v>
      </c>
      <c r="L726" t="s">
        <v>5559</v>
      </c>
      <c r="M726" t="str">
        <f>VLOOKUP(H726,CHOOSE({1,2},Table17[Native],Table17[Name]),2,0)</f>
        <v>Lĭcāng Qū</v>
      </c>
      <c r="N726" s="15" t="str">
        <f>VLOOKUP(I726,CHOOSE({1,2},Table17[Native],Table17[Name]),2,0)</f>
        <v>Qīngdăo Shì</v>
      </c>
      <c r="O726" s="15" t="str">
        <f t="shared" si="22"/>
        <v>Jiushui Jiedao [incl. Shiyuan Jiedao] (Qīngdăo Shì)</v>
      </c>
      <c r="P726" s="15" t="str">
        <f t="shared" si="23"/>
        <v>Jiushui Jiedao [incl. Shiyuan Jiedao] (Qīngdăo Shì)</v>
      </c>
    </row>
    <row r="727" spans="1:16" hidden="1" x14ac:dyDescent="0.25">
      <c r="A727" t="s">
        <v>2574</v>
      </c>
      <c r="B727" t="str">
        <f>IF(COUNTIF(A:A,A727)&gt;1,_xlfn.CONCAT(A727," (",N727,")"),A727)</f>
        <v>Jiùxiàn Xiāng</v>
      </c>
      <c r="C727" t="str">
        <f>IF(COUNTIF(B:B,B727)&gt;1,_xlfn.CONCAT(A727," (",M727,")"),B727)</f>
        <v>Jiùxiàn Xiāng</v>
      </c>
      <c r="D727" t="s">
        <v>2575</v>
      </c>
      <c r="E727" t="s">
        <v>61</v>
      </c>
      <c r="F727" t="str">
        <f>_xlfn.CONCAT(D727,", ",H727,", ",I727,", ","山东省")</f>
        <v>旧县乡, 东平县, 泰安市, 山东省</v>
      </c>
      <c r="G727">
        <v>24992</v>
      </c>
      <c r="H727" t="s">
        <v>3745</v>
      </c>
      <c r="I727" t="s">
        <v>3743</v>
      </c>
      <c r="J727" t="e">
        <f>VLOOKUP(F727,[1]!china_towns_second__2[[Column1]:[Y]],3,FALSE)</f>
        <v>#N/A</v>
      </c>
      <c r="K727" t="e">
        <f>VLOOKUP(F727,[1]!china_towns_second__2[[Column1]:[Y]],2,FALSE)</f>
        <v>#N/A</v>
      </c>
      <c r="L727" t="s">
        <v>5560</v>
      </c>
      <c r="M727" t="str">
        <f>VLOOKUP(H727,CHOOSE({1,2},Table17[Native],Table17[Name]),2,0)</f>
        <v>Dōngpíng Xiàn</v>
      </c>
      <c r="N727" s="15" t="str">
        <f>VLOOKUP(I727,CHOOSE({1,2},Table17[Native],Table17[Name]),2,0)</f>
        <v>Tài'ān Shì</v>
      </c>
      <c r="O727" s="15" t="str">
        <f t="shared" si="22"/>
        <v>Jiuxian Xiang (Tài'ān Shì)</v>
      </c>
      <c r="P727" s="15" t="str">
        <f t="shared" si="23"/>
        <v>Jiuxian Xiang (Tài'ān Shì)</v>
      </c>
    </row>
    <row r="728" spans="1:16" hidden="1" x14ac:dyDescent="0.25">
      <c r="A728" t="s">
        <v>1332</v>
      </c>
      <c r="B728" t="str">
        <f>IF(COUNTIF(A:A,A728)&gt;1,_xlfn.CONCAT(A728," (",N728,")"),A728)</f>
        <v>Jiŭxiānqiáo Jiēdào</v>
      </c>
      <c r="C728" t="str">
        <f>IF(COUNTIF(B:B,B728)&gt;1,_xlfn.CONCAT(A728," (",M728,")"),B728)</f>
        <v>Jiŭxiānqiáo Jiēdào</v>
      </c>
      <c r="D728" t="s">
        <v>1333</v>
      </c>
      <c r="E728" t="s">
        <v>7</v>
      </c>
      <c r="F728" t="str">
        <f>_xlfn.CONCAT(D728,", ",H728,", ",I728,", ","山东省")</f>
        <v>酒仙桥街道, 兖州区, 济宁市, 山东省</v>
      </c>
      <c r="G728">
        <v>33991</v>
      </c>
      <c r="H728" t="s">
        <v>3696</v>
      </c>
      <c r="I728" t="s">
        <v>3687</v>
      </c>
      <c r="J728">
        <f>VLOOKUP(F728,[1]!china_towns_second__2[[Column1]:[Y]],3,FALSE)</f>
        <v>35.568494204392898</v>
      </c>
      <c r="K728">
        <f>VLOOKUP(F728,[1]!china_towns_second__2[[Column1]:[Y]],2,FALSE)</f>
        <v>116.8384902</v>
      </c>
      <c r="L728" t="s">
        <v>5561</v>
      </c>
      <c r="M728" t="str">
        <f>VLOOKUP(H728,CHOOSE({1,2},Table17[Native],Table17[Name]),2,0)</f>
        <v>Yănzhōu Qū</v>
      </c>
      <c r="N728" s="15" t="str">
        <f>VLOOKUP(I728,CHOOSE({1,2},Table17[Native],Table17[Name]),2,0)</f>
        <v>Jìníng Shì</v>
      </c>
      <c r="O728" s="15" t="str">
        <f t="shared" si="22"/>
        <v>Jiuxianqiao Jiedao (Jìníng Shì)</v>
      </c>
      <c r="P728" s="15" t="str">
        <f t="shared" si="23"/>
        <v>Jiuxianqiao Jiedao (Jìníng Shì)</v>
      </c>
    </row>
    <row r="729" spans="1:16" hidden="1" x14ac:dyDescent="0.25">
      <c r="A729" t="s">
        <v>1911</v>
      </c>
      <c r="B729" t="str">
        <f>IF(COUNTIF(A:A,A729)&gt;1,_xlfn.CONCAT(A729," (",N729,")"),A729)</f>
        <v>Jiùzhài Xiāng</v>
      </c>
      <c r="C729" t="str">
        <f>IF(COUNTIF(B:B,B729)&gt;1,_xlfn.CONCAT(A729," (",M729,")"),B729)</f>
        <v>Jiùzhài Xiāng</v>
      </c>
      <c r="D729" t="s">
        <v>1912</v>
      </c>
      <c r="E729" t="s">
        <v>61</v>
      </c>
      <c r="F729" t="str">
        <f>_xlfn.CONCAT(D729,", ",H729,", ",I729,", ","山东省")</f>
        <v>旧寨乡, 蒙阴县, 临沂市, 山东省</v>
      </c>
      <c r="G729">
        <v>32612</v>
      </c>
      <c r="H729" t="s">
        <v>3718</v>
      </c>
      <c r="I729" t="s">
        <v>3710</v>
      </c>
      <c r="J729" t="e">
        <f>VLOOKUP(F729,[1]!china_towns_second__2[[Column1]:[Y]],3,FALSE)</f>
        <v>#N/A</v>
      </c>
      <c r="K729" t="e">
        <f>VLOOKUP(F729,[1]!china_towns_second__2[[Column1]:[Y]],2,FALSE)</f>
        <v>#N/A</v>
      </c>
      <c r="L729" t="s">
        <v>5562</v>
      </c>
      <c r="M729" t="str">
        <f>VLOOKUP(H729,CHOOSE({1,2},Table17[Native],Table17[Name]),2,0)</f>
        <v>Mĕngyīn Xiàn</v>
      </c>
      <c r="N729" s="15" t="str">
        <f>VLOOKUP(I729,CHOOSE({1,2},Table17[Native],Table17[Name]),2,0)</f>
        <v>Línyí Shì</v>
      </c>
      <c r="O729" s="15" t="str">
        <f t="shared" si="22"/>
        <v>Jiuzhai Xiang (Línyí Shì)</v>
      </c>
      <c r="P729" s="15" t="str">
        <f t="shared" si="23"/>
        <v>Jiuzhai Xiang (Línyí Shì)</v>
      </c>
    </row>
    <row r="730" spans="1:16" hidden="1" x14ac:dyDescent="0.25">
      <c r="A730" t="s">
        <v>3523</v>
      </c>
      <c r="B730" t="str">
        <f>IF(COUNTIF(A:A,A730)&gt;1,_xlfn.CONCAT(A730," (",N730,")"),A730)</f>
        <v>Jìxià Jiēdào</v>
      </c>
      <c r="C730" t="str">
        <f>IF(COUNTIF(B:B,B730)&gt;1,_xlfn.CONCAT(A730," (",M730,")"),B730)</f>
        <v>Jìxià Jiēdào</v>
      </c>
      <c r="D730" t="s">
        <v>3524</v>
      </c>
      <c r="E730" t="s">
        <v>7</v>
      </c>
      <c r="F730" t="str">
        <f>_xlfn.CONCAT(D730,", ",H730,", ",I730,", ","山东省")</f>
        <v>稷下街道, 临淄区, 淄博市, 山东省</v>
      </c>
      <c r="G730">
        <v>65413</v>
      </c>
      <c r="H730" t="s">
        <v>3795</v>
      </c>
      <c r="I730" t="s">
        <v>3791</v>
      </c>
      <c r="J730">
        <f>VLOOKUP(F730,[1]!china_towns_second__2[[Column1]:[Y]],3,FALSE)</f>
        <v>36.826709895244797</v>
      </c>
      <c r="K730">
        <f>VLOOKUP(F730,[1]!china_towns_second__2[[Column1]:[Y]],2,FALSE)</f>
        <v>118.2900054</v>
      </c>
      <c r="L730" t="s">
        <v>5563</v>
      </c>
      <c r="M730" t="str">
        <f>VLOOKUP(H730,CHOOSE({1,2},Table17[Native],Table17[Name]),2,0)</f>
        <v>Línzī Qū</v>
      </c>
      <c r="N730" s="15" t="str">
        <f>VLOOKUP(I730,CHOOSE({1,2},Table17[Native],Table17[Name]),2,0)</f>
        <v>Zībó Shì</v>
      </c>
      <c r="O730" s="15" t="str">
        <f t="shared" si="22"/>
        <v>Jixia Jiedao (Zībó Shì)</v>
      </c>
      <c r="P730" s="15" t="str">
        <f t="shared" si="23"/>
        <v>Jixia Jiedao (Zībó Shì)</v>
      </c>
    </row>
    <row r="731" spans="1:16" hidden="1" x14ac:dyDescent="0.25">
      <c r="A731" t="s">
        <v>1030</v>
      </c>
      <c r="B731" t="str">
        <f>IF(COUNTIF(A:A,A731)&gt;1,_xlfn.CONCAT(A731," (",N731,")"),A731)</f>
        <v>Jìyáng Jiēdào (Jìnán Shì)</v>
      </c>
      <c r="C731" t="str">
        <f>IF(COUNTIF(B:B,B731)&gt;1,_xlfn.CONCAT(A731," (",M731,")"),B731)</f>
        <v>Jìyáng Jiēdào (Jìnán Shì)</v>
      </c>
      <c r="D731" t="s">
        <v>1031</v>
      </c>
      <c r="E731" t="s">
        <v>7</v>
      </c>
      <c r="F731" t="str">
        <f>_xlfn.CONCAT(D731,", ",H731,", ",I731,", ","山东省")</f>
        <v>济阳街道, 济阳区, 济南市, 山东省</v>
      </c>
      <c r="G731">
        <v>73055</v>
      </c>
      <c r="H731" t="s">
        <v>3677</v>
      </c>
      <c r="I731" t="s">
        <v>3673</v>
      </c>
      <c r="J731">
        <f>VLOOKUP(F731,[1]!china_towns_second__2[[Column1]:[Y]],3,FALSE)</f>
        <v>37.0139620479505</v>
      </c>
      <c r="K731">
        <f>VLOOKUP(F731,[1]!china_towns_second__2[[Column1]:[Y]],2,FALSE)</f>
        <v>117.2079213</v>
      </c>
      <c r="L731" t="s">
        <v>5564</v>
      </c>
      <c r="M731" t="str">
        <f>VLOOKUP(H731,CHOOSE({1,2},Table17[Native],Table17[Name]),2,0)</f>
        <v>Jìyáng Qū</v>
      </c>
      <c r="N731" s="15" t="str">
        <f>VLOOKUP(I731,CHOOSE({1,2},Table17[Native],Table17[Name]),2,0)</f>
        <v>Jìnán Shì</v>
      </c>
      <c r="O731" s="15" t="str">
        <f t="shared" si="22"/>
        <v>Jiyang Jiedao (Jinan Shi) (Jìnán Shì)</v>
      </c>
      <c r="P731" s="15" t="str">
        <f t="shared" si="23"/>
        <v>Jiyang Jiedao (Jinan Shi) (Jìnán Shì)</v>
      </c>
    </row>
    <row r="732" spans="1:16" hidden="1" x14ac:dyDescent="0.25">
      <c r="A732" t="s">
        <v>1030</v>
      </c>
      <c r="B732" t="str">
        <f>IF(COUNTIF(A:A,A732)&gt;1,_xlfn.CONCAT(A732," (",N732,")"),A732)</f>
        <v>Jìyáng Jiēdào (Jìníng Shì)</v>
      </c>
      <c r="C732" t="str">
        <f>IF(COUNTIF(B:B,B732)&gt;1,_xlfn.CONCAT(A732," (",M732,")"),B732)</f>
        <v>Jìyáng Jiēdào (Jìníng Shì)</v>
      </c>
      <c r="D732" t="s">
        <v>1031</v>
      </c>
      <c r="E732" t="s">
        <v>7</v>
      </c>
      <c r="F732" t="str">
        <f>_xlfn.CONCAT(D732,", ",H732,", ",I732,", ","山东省")</f>
        <v>济阳街道, 任城区, 济宁市, 山东省</v>
      </c>
      <c r="G732">
        <v>38075</v>
      </c>
      <c r="H732" t="s">
        <v>3692</v>
      </c>
      <c r="I732" t="s">
        <v>3687</v>
      </c>
      <c r="J732">
        <f>VLOOKUP(F732,[1]!china_towns_second__2[[Column1]:[Y]],3,FALSE)</f>
        <v>35.402314592806</v>
      </c>
      <c r="K732">
        <f>VLOOKUP(F732,[1]!china_towns_second__2[[Column1]:[Y]],2,FALSE)</f>
        <v>116.5535544</v>
      </c>
      <c r="L732" t="s">
        <v>5565</v>
      </c>
      <c r="M732" t="str">
        <f>VLOOKUP(H732,CHOOSE({1,2},Table17[Native],Table17[Name]),2,0)</f>
        <v>Rènchéng Qū</v>
      </c>
      <c r="N732" s="15" t="str">
        <f>VLOOKUP(I732,CHOOSE({1,2},Table17[Native],Table17[Name]),2,0)</f>
        <v>Jìníng Shì</v>
      </c>
      <c r="O732" s="15" t="str">
        <f t="shared" si="22"/>
        <v>Jiyang Jiedao (Jining Shi) (Jìníng Shì)</v>
      </c>
      <c r="P732" s="15" t="str">
        <f t="shared" si="23"/>
        <v>Jiyang Jiedao (Jining Shi) (Jìníng Shì)</v>
      </c>
    </row>
    <row r="733" spans="1:16" hidden="1" x14ac:dyDescent="0.25">
      <c r="A733" t="s">
        <v>300</v>
      </c>
      <c r="B733" t="str">
        <f>IF(COUNTIF(A:A,A733)&gt;1,_xlfn.CONCAT(A733," (",N733,")"),A733)</f>
        <v>Jŭ Zhèn [incl. Jŭzhèn Xiāng, Lĭtún Xiāng]</v>
      </c>
      <c r="C733" t="str">
        <f>IF(COUNTIF(B:B,B733)&gt;1,_xlfn.CONCAT(A733," (",M733,")"),B733)</f>
        <v>Jŭ Zhèn [incl. Jŭzhèn Xiāng, Lĭtún Xiāng]</v>
      </c>
      <c r="D733" t="s">
        <v>301</v>
      </c>
      <c r="E733" t="s">
        <v>13</v>
      </c>
      <c r="F733" t="str">
        <f>_xlfn.CONCAT(D733,", ",H733,", ",I733,", ","山东省")</f>
        <v>莒镇, 禹城市, 德州市, 山东省</v>
      </c>
      <c r="G733">
        <v>45435</v>
      </c>
      <c r="H733" t="s">
        <v>3653</v>
      </c>
      <c r="I733" t="s">
        <v>3642</v>
      </c>
      <c r="J733">
        <f>VLOOKUP(F733,[1]!china_towns_second__2[[Column1]:[Y]],3,FALSE)</f>
        <v>36.706992203024001</v>
      </c>
      <c r="K733">
        <f>VLOOKUP(F733,[1]!china_towns_second__2[[Column1]:[Y]],2,FALSE)</f>
        <v>116.48375040000001</v>
      </c>
      <c r="L733" t="s">
        <v>5566</v>
      </c>
      <c r="M733" t="str">
        <f>VLOOKUP(H733,CHOOSE({1,2},Table17[Native],Table17[Name]),2,0)</f>
        <v>Yŭchéng Shì</v>
      </c>
      <c r="N733" s="15" t="str">
        <f>VLOOKUP(I733,CHOOSE({1,2},Table17[Native],Table17[Name]),2,0)</f>
        <v>Dézhōu Shì</v>
      </c>
      <c r="O733" s="15" t="str">
        <f t="shared" si="22"/>
        <v>Ju Zhen [incl. Juzhen Xiang, Litun Xiang] (Dézhōu Shì)</v>
      </c>
      <c r="P733" s="15" t="str">
        <f t="shared" si="23"/>
        <v>Ju Zhen [incl. Juzhen Xiang, Litun Xiang] (Dézhōu Shì)</v>
      </c>
    </row>
    <row r="734" spans="1:16" hidden="1" x14ac:dyDescent="0.25">
      <c r="A734" t="s">
        <v>2434</v>
      </c>
      <c r="B734" t="str">
        <f>IF(COUNTIF(A:A,A734)&gt;1,_xlfn.CONCAT(A734," (",N734,")"),A734)</f>
        <v>Jùfēng Zhèn</v>
      </c>
      <c r="C734" t="str">
        <f>IF(COUNTIF(B:B,B734)&gt;1,_xlfn.CONCAT(A734," (",M734,")"),B734)</f>
        <v>Jùfēng Zhèn</v>
      </c>
      <c r="D734" t="s">
        <v>2435</v>
      </c>
      <c r="E734" t="s">
        <v>13</v>
      </c>
      <c r="F734" t="str">
        <f>_xlfn.CONCAT(D734,", ",H734,", ",I734,", ","山东省")</f>
        <v>巨峰镇, 岚山区, 日照市, 山东省</v>
      </c>
      <c r="G734">
        <v>68872</v>
      </c>
      <c r="H734" t="s">
        <v>3740</v>
      </c>
      <c r="I734" t="s">
        <v>3736</v>
      </c>
      <c r="J734">
        <f>VLOOKUP(F734,[1]!china_towns_second__2[[Column1]:[Y]],3,FALSE)</f>
        <v>35.284401770600198</v>
      </c>
      <c r="K734">
        <f>VLOOKUP(F734,[1]!china_towns_second__2[[Column1]:[Y]],2,FALSE)</f>
        <v>119.23216410000001</v>
      </c>
      <c r="L734" t="s">
        <v>5567</v>
      </c>
      <c r="M734" t="str">
        <f>VLOOKUP(H734,CHOOSE({1,2},Table17[Native],Table17[Name]),2,0)</f>
        <v>Lánshān Qū</v>
      </c>
      <c r="N734" s="15" t="str">
        <f>VLOOKUP(I734,CHOOSE({1,2},Table17[Native],Table17[Name]),2,0)</f>
        <v>Rìzhào Shì</v>
      </c>
      <c r="O734" s="15" t="str">
        <f t="shared" si="22"/>
        <v>Jufeng Zhen (Rìzhào Shì)</v>
      </c>
      <c r="P734" s="15" t="str">
        <f t="shared" si="23"/>
        <v>Jufeng Zhen (Rìzhào Shì)</v>
      </c>
    </row>
    <row r="735" spans="1:16" hidden="1" x14ac:dyDescent="0.25">
      <c r="A735" t="s">
        <v>3165</v>
      </c>
      <c r="B735" t="str">
        <f>IF(COUNTIF(A:A,A735)&gt;1,_xlfn.CONCAT(A735," (",N735,")"),A735)</f>
        <v>Jŭgézhuāng Zhèn</v>
      </c>
      <c r="C735" t="str">
        <f>IF(COUNTIF(B:B,B735)&gt;1,_xlfn.CONCAT(A735," (",M735,")"),B735)</f>
        <v>Jŭgézhuāng Zhèn</v>
      </c>
      <c r="D735" t="s">
        <v>3166</v>
      </c>
      <c r="E735" t="s">
        <v>13</v>
      </c>
      <c r="F735" t="str">
        <f>_xlfn.CONCAT(D735,", ",H735,", ",I735,", ","山东省")</f>
        <v>莒格庄镇, 牟平区, 烟台市, 山东省</v>
      </c>
      <c r="G735">
        <v>17393</v>
      </c>
      <c r="H735" t="s">
        <v>3778</v>
      </c>
      <c r="I735" t="s">
        <v>3771</v>
      </c>
      <c r="J735">
        <f>VLOOKUP(F735,[1]!china_towns_second__2[[Column1]:[Y]],3,FALSE)</f>
        <v>37.167520199999998</v>
      </c>
      <c r="K735">
        <f>VLOOKUP(F735,[1]!china_towns_second__2[[Column1]:[Y]],2,FALSE)</f>
        <v>121.6859853</v>
      </c>
      <c r="L735" t="s">
        <v>5568</v>
      </c>
      <c r="M735" t="str">
        <f>VLOOKUP(H735,CHOOSE({1,2},Table17[Native],Table17[Name]),2,0)</f>
        <v>Mùpíng Qū</v>
      </c>
      <c r="N735" s="15" t="str">
        <f>VLOOKUP(I735,CHOOSE({1,2},Table17[Native],Table17[Name]),2,0)</f>
        <v>Yāntái Shì</v>
      </c>
      <c r="O735" s="15" t="str">
        <f t="shared" si="22"/>
        <v>Jugezhuang Zhen (Yāntái Shì)</v>
      </c>
      <c r="P735" s="15" t="str">
        <f t="shared" si="23"/>
        <v>Jugezhuang Zhen (Yāntái Shì)</v>
      </c>
    </row>
    <row r="736" spans="1:16" hidden="1" x14ac:dyDescent="0.25">
      <c r="A736" t="s">
        <v>1334</v>
      </c>
      <c r="B736" t="str">
        <f>IF(COUNTIF(A:A,A736)&gt;1,_xlfn.CONCAT(A736," (",N736,")"),A736)</f>
        <v>Jūntún Xiāng</v>
      </c>
      <c r="C736" t="str">
        <f>IF(COUNTIF(B:B,B736)&gt;1,_xlfn.CONCAT(A736," (",M736,")"),B736)</f>
        <v>Jūntún Xiāng</v>
      </c>
      <c r="D736" t="s">
        <v>1335</v>
      </c>
      <c r="E736" t="s">
        <v>61</v>
      </c>
      <c r="F736" t="str">
        <f>_xlfn.CONCAT(D736,", ",H736,", ",I736,", ","山东省")</f>
        <v>军屯乡, 汶上县, 济宁市, 山东省</v>
      </c>
      <c r="G736">
        <v>21002</v>
      </c>
      <c r="H736" t="s">
        <v>3695</v>
      </c>
      <c r="I736" t="s">
        <v>3687</v>
      </c>
      <c r="J736" t="e">
        <f>VLOOKUP(F736,[1]!china_towns_second__2[[Column1]:[Y]],3,FALSE)</f>
        <v>#N/A</v>
      </c>
      <c r="K736" t="e">
        <f>VLOOKUP(F736,[1]!china_towns_second__2[[Column1]:[Y]],2,FALSE)</f>
        <v>#N/A</v>
      </c>
      <c r="L736" t="s">
        <v>5569</v>
      </c>
      <c r="M736" t="str">
        <f>VLOOKUP(H736,CHOOSE({1,2},Table17[Native],Table17[Name]),2,0)</f>
        <v>Wènshàng Xiàn</v>
      </c>
      <c r="N736" s="15" t="str">
        <f>VLOOKUP(I736,CHOOSE({1,2},Table17[Native],Table17[Name]),2,0)</f>
        <v>Jìníng Shì</v>
      </c>
      <c r="O736" s="15" t="str">
        <f t="shared" si="22"/>
        <v>Juntun Xiang (Jìníng Shì)</v>
      </c>
      <c r="P736" s="15" t="str">
        <f t="shared" si="23"/>
        <v>Juntun Xiang (Jìníng Shì)</v>
      </c>
    </row>
    <row r="737" spans="1:16" hidden="1" x14ac:dyDescent="0.25">
      <c r="A737" t="s">
        <v>1032</v>
      </c>
      <c r="B737" t="str">
        <f>IF(COUNTIF(A:A,A737)&gt;1,_xlfn.CONCAT(A737," (",N737,")"),A737)</f>
        <v>Jùyĕhé Jiēdào</v>
      </c>
      <c r="C737" t="str">
        <f>IF(COUNTIF(B:B,B737)&gt;1,_xlfn.CONCAT(A737," (",M737,")"),B737)</f>
        <v>Jùyĕhé Jiēdào</v>
      </c>
      <c r="D737" t="s">
        <v>1033</v>
      </c>
      <c r="E737" t="s">
        <v>7</v>
      </c>
      <c r="F737" t="str">
        <f>_xlfn.CONCAT(D737,", ",H737,", ",I737,", ","山东省")</f>
        <v>巨野河街道, 历城区, 济南市, 山东省</v>
      </c>
      <c r="G737">
        <v>54497</v>
      </c>
      <c r="H737" t="s">
        <v>3679</v>
      </c>
      <c r="I737" t="s">
        <v>3673</v>
      </c>
      <c r="J737">
        <f>VLOOKUP(F737,[1]!china_towns_second__2[[Column1]:[Y]],3,FALSE)</f>
        <v>36.672750840086998</v>
      </c>
      <c r="K737">
        <f>VLOOKUP(F737,[1]!china_towns_second__2[[Column1]:[Y]],2,FALSE)</f>
        <v>117.3329329</v>
      </c>
      <c r="L737" t="s">
        <v>5570</v>
      </c>
      <c r="M737" t="str">
        <f>VLOOKUP(H737,CHOOSE({1,2},Table17[Native],Table17[Name]),2,0)</f>
        <v>Lìchéng Qū</v>
      </c>
      <c r="N737" s="15" t="str">
        <f>VLOOKUP(I737,CHOOSE({1,2},Table17[Native],Table17[Name]),2,0)</f>
        <v>Jìnán Shì</v>
      </c>
      <c r="O737" s="15" t="str">
        <f t="shared" si="22"/>
        <v>Juyehe Jiedao (Jìnán Shì)</v>
      </c>
      <c r="P737" s="15" t="str">
        <f t="shared" si="23"/>
        <v>Juyehe Jiedao (Jìnán Shì)</v>
      </c>
    </row>
    <row r="738" spans="1:16" hidden="1" x14ac:dyDescent="0.25">
      <c r="A738" t="s">
        <v>2771</v>
      </c>
      <c r="B738" t="str">
        <f>IF(COUNTIF(A:A,A738)&gt;1,_xlfn.CONCAT(A738," (",N738,")"),A738)</f>
        <v>Kāiyuán Jiēdào</v>
      </c>
      <c r="C738" t="str">
        <f>IF(COUNTIF(B:B,B738)&gt;1,_xlfn.CONCAT(A738," (",M738,")"),B738)</f>
        <v>Kāiyuán Jiēdào</v>
      </c>
      <c r="D738" t="s">
        <v>2772</v>
      </c>
      <c r="E738" t="s">
        <v>7</v>
      </c>
      <c r="F738" t="str">
        <f>_xlfn.CONCAT(D738,", ",H738,", ",I738,", ","山东省")</f>
        <v>开元街道, 寒亭区, 潍坊市, 山东省</v>
      </c>
      <c r="G738">
        <v>32457</v>
      </c>
      <c r="H738" t="s">
        <v>3757</v>
      </c>
      <c r="I738" t="s">
        <v>3751</v>
      </c>
      <c r="J738">
        <f>VLOOKUP(F738,[1]!china_towns_second__2[[Column1]:[Y]],3,FALSE)</f>
        <v>36.804368524331402</v>
      </c>
      <c r="K738">
        <f>VLOOKUP(F738,[1]!china_towns_second__2[[Column1]:[Y]],2,FALSE)</f>
        <v>119.1457716</v>
      </c>
      <c r="L738" t="s">
        <v>5571</v>
      </c>
      <c r="M738" t="str">
        <f>VLOOKUP(H738,CHOOSE({1,2},Table17[Native],Table17[Name]),2,0)</f>
        <v>Hántíng Qū</v>
      </c>
      <c r="N738" s="15" t="str">
        <f>VLOOKUP(I738,CHOOSE({1,2},Table17[Native],Table17[Name]),2,0)</f>
        <v>Wéifāng Shì</v>
      </c>
      <c r="O738" s="15" t="str">
        <f t="shared" si="22"/>
        <v>Kaiyuan Jiedao (Wéifāng Shì)</v>
      </c>
      <c r="P738" s="15" t="str">
        <f t="shared" si="23"/>
        <v>Kaiyuan Jiedao (Wéifāng Shì)</v>
      </c>
    </row>
    <row r="739" spans="1:16" hidden="1" x14ac:dyDescent="0.25">
      <c r="A739" t="s">
        <v>1336</v>
      </c>
      <c r="B739" t="str">
        <f>IF(COUNTIF(A:A,A739)&gt;1,_xlfn.CONCAT(A739," (",N739,")"),A739)</f>
        <v>Kāngyì Zhèn</v>
      </c>
      <c r="C739" t="str">
        <f>IF(COUNTIF(B:B,B739)&gt;1,_xlfn.CONCAT(A739," (",M739,")"),B739)</f>
        <v>Kāngyì Zhèn</v>
      </c>
      <c r="D739" t="s">
        <v>1337</v>
      </c>
      <c r="E739" t="s">
        <v>13</v>
      </c>
      <c r="F739" t="str">
        <f>_xlfn.CONCAT(D739,", ",H739,", ",I739,", ","山东省")</f>
        <v>康驿镇, 汶上县, 济宁市, 山东省</v>
      </c>
      <c r="G739">
        <v>69191</v>
      </c>
      <c r="H739" t="s">
        <v>3695</v>
      </c>
      <c r="I739" t="s">
        <v>3687</v>
      </c>
      <c r="J739">
        <f>VLOOKUP(F739,[1]!china_towns_second__2[[Column1]:[Y]],3,FALSE)</f>
        <v>35.572626799069702</v>
      </c>
      <c r="K739">
        <f>VLOOKUP(F739,[1]!china_towns_second__2[[Column1]:[Y]],2,FALSE)</f>
        <v>116.5109934</v>
      </c>
      <c r="L739" t="s">
        <v>5572</v>
      </c>
      <c r="M739" t="str">
        <f>VLOOKUP(H739,CHOOSE({1,2},Table17[Native],Table17[Name]),2,0)</f>
        <v>Wènshàng Xiàn</v>
      </c>
      <c r="N739" s="15" t="str">
        <f>VLOOKUP(I739,CHOOSE({1,2},Table17[Native],Table17[Name]),2,0)</f>
        <v>Jìníng Shì</v>
      </c>
      <c r="O739" s="15" t="str">
        <f t="shared" si="22"/>
        <v>Kangyi Zhen (Jìníng Shì)</v>
      </c>
      <c r="P739" s="15" t="str">
        <f t="shared" si="23"/>
        <v>Kangyi Zhen (Jìníng Shì)</v>
      </c>
    </row>
    <row r="740" spans="1:16" hidden="1" x14ac:dyDescent="0.25">
      <c r="A740" t="s">
        <v>1636</v>
      </c>
      <c r="B740" t="str">
        <f>IF(COUNTIF(A:A,A740)&gt;1,_xlfn.CONCAT(A740," (",N740,")"),A740)</f>
        <v>Kāngzhuāng Zhèn</v>
      </c>
      <c r="C740" t="str">
        <f>IF(COUNTIF(B:B,B740)&gt;1,_xlfn.CONCAT(A740," (",M740,")"),B740)</f>
        <v>Kāngzhuāng Zhèn</v>
      </c>
      <c r="D740" t="s">
        <v>1637</v>
      </c>
      <c r="E740" t="s">
        <v>13</v>
      </c>
      <c r="F740" t="str">
        <f>_xlfn.CONCAT(D740,", ",H740,", ",I740,", ","山东省")</f>
        <v>康庄镇, 临清市, 聊城市, 山东省</v>
      </c>
      <c r="G740">
        <v>57636</v>
      </c>
      <c r="H740" t="s">
        <v>3706</v>
      </c>
      <c r="I740" t="s">
        <v>3700</v>
      </c>
      <c r="J740">
        <f>VLOOKUP(F740,[1]!china_towns_second__2[[Column1]:[Y]],3,FALSE)</f>
        <v>36.760857505922402</v>
      </c>
      <c r="K740">
        <f>VLOOKUP(F740,[1]!china_towns_second__2[[Column1]:[Y]],2,FALSE)</f>
        <v>115.9401508</v>
      </c>
      <c r="L740" t="s">
        <v>5573</v>
      </c>
      <c r="M740" t="str">
        <f>VLOOKUP(H740,CHOOSE({1,2},Table17[Native],Table17[Name]),2,0)</f>
        <v>Línqīng Shì</v>
      </c>
      <c r="N740" s="15" t="str">
        <f>VLOOKUP(I740,CHOOSE({1,2},Table17[Native],Table17[Name]),2,0)</f>
        <v>Liáochéng Shì</v>
      </c>
      <c r="O740" s="15" t="str">
        <f t="shared" si="22"/>
        <v>Kangzhuang Zhen (Liáochéng Shì)</v>
      </c>
      <c r="P740" s="15" t="str">
        <f t="shared" si="23"/>
        <v>Kangzhuang Zhen (Liáochéng Shì)</v>
      </c>
    </row>
    <row r="741" spans="1:16" hidden="1" x14ac:dyDescent="0.25">
      <c r="A741" t="s">
        <v>2773</v>
      </c>
      <c r="B741" t="str">
        <f>IF(COUNTIF(A:A,A741)&gt;1,_xlfn.CONCAT(A741," (",N741,")"),A741)</f>
        <v>Kànjiā Zhèn</v>
      </c>
      <c r="C741" t="str">
        <f>IF(COUNTIF(B:B,B741)&gt;1,_xlfn.CONCAT(A741," (",M741,")"),B741)</f>
        <v>Kànjiā Zhèn</v>
      </c>
      <c r="D741" t="s">
        <v>2774</v>
      </c>
      <c r="E741" t="s">
        <v>13</v>
      </c>
      <c r="F741" t="str">
        <f>_xlfn.CONCAT(D741,", ",H741,", ",I741,", ","山东省")</f>
        <v>阚家镇, 高密市, 潍坊市, 山东省</v>
      </c>
      <c r="G741">
        <v>75669</v>
      </c>
      <c r="H741" t="s">
        <v>3756</v>
      </c>
      <c r="I741" t="s">
        <v>3751</v>
      </c>
      <c r="J741">
        <f>VLOOKUP(F741,[1]!china_towns_second__2[[Column1]:[Y]],3,FALSE)</f>
        <v>36.388944814140899</v>
      </c>
      <c r="K741">
        <f>VLOOKUP(F741,[1]!china_towns_second__2[[Column1]:[Y]],2,FALSE)</f>
        <v>119.57569959999999</v>
      </c>
      <c r="L741" t="s">
        <v>5574</v>
      </c>
      <c r="M741" t="str">
        <f>VLOOKUP(H741,CHOOSE({1,2},Table17[Native],Table17[Name]),2,0)</f>
        <v>Gāomì Shì</v>
      </c>
      <c r="N741" s="15" t="str">
        <f>VLOOKUP(I741,CHOOSE({1,2},Table17[Native],Table17[Name]),2,0)</f>
        <v>Wéifāng Shì</v>
      </c>
      <c r="O741" s="15" t="str">
        <f t="shared" si="22"/>
        <v>Kanjia Zhen (Wéifāng Shì)</v>
      </c>
      <c r="P741" s="15" t="str">
        <f t="shared" si="23"/>
        <v>Kanjia Zhen (Wéifāng Shì)</v>
      </c>
    </row>
    <row r="742" spans="1:16" hidden="1" x14ac:dyDescent="0.25">
      <c r="A742" t="s">
        <v>1338</v>
      </c>
      <c r="B742" t="str">
        <f>IF(COUNTIF(A:A,A742)&gt;1,_xlfn.CONCAT(A742," (",N742,")"),A742)</f>
        <v>Kànzhuāng Zhèn</v>
      </c>
      <c r="C742" t="str">
        <f>IF(COUNTIF(B:B,B742)&gt;1,_xlfn.CONCAT(A742," (",M742,")"),B742)</f>
        <v>Kànzhuāng Zhèn</v>
      </c>
      <c r="D742" t="s">
        <v>1339</v>
      </c>
      <c r="E742" t="s">
        <v>13</v>
      </c>
      <c r="F742" t="str">
        <f>_xlfn.CONCAT(D742,", ",H742,", ",I742,", ","山东省")</f>
        <v>看庄镇, 邹城市, 济宁市, 山东省</v>
      </c>
      <c r="G742">
        <v>31460</v>
      </c>
      <c r="H742" t="s">
        <v>3698</v>
      </c>
      <c r="I742" t="s">
        <v>3687</v>
      </c>
      <c r="J742">
        <f>VLOOKUP(F742,[1]!china_towns_second__2[[Column1]:[Y]],3,FALSE)</f>
        <v>35.254823976624799</v>
      </c>
      <c r="K742">
        <f>VLOOKUP(F742,[1]!china_towns_second__2[[Column1]:[Y]],2,FALSE)</f>
        <v>117.0667827</v>
      </c>
      <c r="L742" t="s">
        <v>5575</v>
      </c>
      <c r="M742" t="str">
        <f>VLOOKUP(H742,CHOOSE({1,2},Table17[Native],Table17[Name]),2,0)</f>
        <v>Zōuchéng Shì</v>
      </c>
      <c r="N742" s="15" t="str">
        <f>VLOOKUP(I742,CHOOSE({1,2},Table17[Native],Table17[Name]),2,0)</f>
        <v>Jìníng Shì</v>
      </c>
      <c r="O742" s="15" t="str">
        <f t="shared" si="22"/>
        <v>Kanzhuang Zhen (Jìníng Shì)</v>
      </c>
      <c r="P742" s="15" t="str">
        <f t="shared" si="23"/>
        <v>Kanzhuang Zhen (Jìníng Shì)</v>
      </c>
    </row>
    <row r="743" spans="1:16" hidden="1" x14ac:dyDescent="0.25">
      <c r="A743" t="s">
        <v>521</v>
      </c>
      <c r="B743" t="str">
        <f>IF(COUNTIF(A:A,A743)&gt;1,_xlfn.CONCAT(A743," (",N743,")"),A743)</f>
        <v>Kĕndōng Lèisì Xiāngjí Dānwèi</v>
      </c>
      <c r="C743" t="str">
        <f>IF(COUNTIF(B:B,B743)&gt;1,_xlfn.CONCAT(A743," (",M743,")"),B743)</f>
        <v>Kĕndōng Lèisì Xiāngjí Dānwèi</v>
      </c>
      <c r="D743" t="s">
        <v>522</v>
      </c>
      <c r="E743" t="s">
        <v>495</v>
      </c>
      <c r="F743" t="str">
        <f>_xlfn.CONCAT(D743,", ",H743,", ",I743,", ","山东省")</f>
        <v>垦东类似乡级单位, 垦利区, 东营市, 山东省</v>
      </c>
      <c r="G743">
        <v>1888</v>
      </c>
      <c r="H743" t="s">
        <v>3659</v>
      </c>
      <c r="I743" t="s">
        <v>3655</v>
      </c>
      <c r="J743">
        <f>VLOOKUP(F743,[1]!china_towns_second__2[[Column1]:[Y]],3,FALSE)</f>
        <v>37.836000043160404</v>
      </c>
      <c r="K743">
        <f>VLOOKUP(F743,[1]!china_towns_second__2[[Column1]:[Y]],2,FALSE)</f>
        <v>118.9748573</v>
      </c>
      <c r="L743" t="s">
        <v>5576</v>
      </c>
      <c r="M743" t="str">
        <f>VLOOKUP(H743,CHOOSE({1,2},Table17[Native],Table17[Name]),2,0)</f>
        <v>Kĕnlì Qū</v>
      </c>
      <c r="N743" s="15" t="str">
        <f>VLOOKUP(I743,CHOOSE({1,2},Table17[Native],Table17[Name]),2,0)</f>
        <v>Dōngyíng Shì</v>
      </c>
      <c r="O743" s="15" t="str">
        <f t="shared" si="22"/>
        <v>Kendong Leisi Xiangji Danwei (Dōngyíng Shì)</v>
      </c>
      <c r="P743" s="15" t="str">
        <f t="shared" si="23"/>
        <v>Kendong Leisi Xiangji Danwei (Dōngyíng Shì)</v>
      </c>
    </row>
    <row r="744" spans="1:16" hidden="1" x14ac:dyDescent="0.25">
      <c r="A744" t="s">
        <v>523</v>
      </c>
      <c r="B744" t="str">
        <f>IF(COUNTIF(A:A,A744)&gt;1,_xlfn.CONCAT(A744," (",N744,")"),A744)</f>
        <v>Kĕnlì Jiēdào</v>
      </c>
      <c r="C744" t="str">
        <f>IF(COUNTIF(B:B,B744)&gt;1,_xlfn.CONCAT(A744," (",M744,")"),B744)</f>
        <v>Kĕnlì Jiēdào</v>
      </c>
      <c r="D744" t="s">
        <v>524</v>
      </c>
      <c r="E744" t="s">
        <v>7</v>
      </c>
      <c r="F744" t="str">
        <f>_xlfn.CONCAT(D744,", ",H744,", ",I744,", ","山东省")</f>
        <v>垦利街道, 垦利区, 东营市, 山东省</v>
      </c>
      <c r="G744">
        <v>55051</v>
      </c>
      <c r="H744" t="s">
        <v>3659</v>
      </c>
      <c r="I744" t="s">
        <v>3655</v>
      </c>
      <c r="J744">
        <f>VLOOKUP(F744,[1]!china_towns_second__2[[Column1]:[Y]],3,FALSE)</f>
        <v>37.615043929542999</v>
      </c>
      <c r="K744">
        <f>VLOOKUP(F744,[1]!china_towns_second__2[[Column1]:[Y]],2,FALSE)</f>
        <v>118.6251123</v>
      </c>
      <c r="L744" t="s">
        <v>5577</v>
      </c>
      <c r="M744" t="str">
        <f>VLOOKUP(H744,CHOOSE({1,2},Table17[Native],Table17[Name]),2,0)</f>
        <v>Kĕnlì Qū</v>
      </c>
      <c r="N744" s="15" t="str">
        <f>VLOOKUP(I744,CHOOSE({1,2},Table17[Native],Table17[Name]),2,0)</f>
        <v>Dōngyíng Shì</v>
      </c>
      <c r="O744" s="15" t="str">
        <f t="shared" si="22"/>
        <v>Kenli Jiedao (Dōngyíng Shì)</v>
      </c>
      <c r="P744" s="15" t="str">
        <f t="shared" si="23"/>
        <v>Kenli Jiedao (Dōngyíng Shì)</v>
      </c>
    </row>
    <row r="745" spans="1:16" hidden="1" x14ac:dyDescent="0.25">
      <c r="A745" t="s">
        <v>525</v>
      </c>
      <c r="B745" t="str">
        <f>IF(COUNTIF(A:A,A745)&gt;1,_xlfn.CONCAT(A745," (",N745,")"),A745)</f>
        <v>Kĕnlìxiàn Shèqū</v>
      </c>
      <c r="C745" t="str">
        <f>IF(COUNTIF(B:B,B745)&gt;1,_xlfn.CONCAT(A745," (",M745,")"),B745)</f>
        <v>Kĕnlìxiàn Shèqū</v>
      </c>
      <c r="D745" t="s">
        <v>526</v>
      </c>
      <c r="E745" t="s">
        <v>7</v>
      </c>
      <c r="F745" t="str">
        <f>_xlfn.CONCAT(D745,", ",H745,", ",I745,", ","山东省")</f>
        <v>垦利县社区, 垦利区, 东营市, 山东省</v>
      </c>
      <c r="G745">
        <v>34507</v>
      </c>
      <c r="H745" t="s">
        <v>3659</v>
      </c>
      <c r="I745" t="s">
        <v>3655</v>
      </c>
      <c r="J745" t="e">
        <f>VLOOKUP(F745,[1]!china_towns_second__2[[Column1]:[Y]],3,FALSE)</f>
        <v>#N/A</v>
      </c>
      <c r="K745" t="e">
        <f>VLOOKUP(F745,[1]!china_towns_second__2[[Column1]:[Y]],2,FALSE)</f>
        <v>#N/A</v>
      </c>
      <c r="L745" t="s">
        <v>5578</v>
      </c>
      <c r="M745" t="str">
        <f>VLOOKUP(H745,CHOOSE({1,2},Table17[Native],Table17[Name]),2,0)</f>
        <v>Kĕnlì Qū</v>
      </c>
      <c r="N745" s="15" t="str">
        <f>VLOOKUP(I745,CHOOSE({1,2},Table17[Native],Table17[Name]),2,0)</f>
        <v>Dōngyíng Shì</v>
      </c>
      <c r="O745" s="15" t="str">
        <f t="shared" si="22"/>
        <v>Kenlixian Shequ (Dōngyíng Shì)</v>
      </c>
      <c r="P745" s="15" t="str">
        <f t="shared" si="23"/>
        <v>Kenlixian Shequ (Dōngyíng Shì)</v>
      </c>
    </row>
    <row r="746" spans="1:16" hidden="1" x14ac:dyDescent="0.25">
      <c r="A746" t="s">
        <v>3525</v>
      </c>
      <c r="B746" t="str">
        <f>IF(COUNTIF(A:A,A746)&gt;1,_xlfn.CONCAT(A746," (",N746,")"),A746)</f>
        <v>Kēyuàn Jiēdào</v>
      </c>
      <c r="C746" t="str">
        <f>IF(COUNTIF(B:B,B746)&gt;1,_xlfn.CONCAT(A746," (",M746,")"),B746)</f>
        <v>Kēyuàn Jiēdào</v>
      </c>
      <c r="D746" t="s">
        <v>3526</v>
      </c>
      <c r="E746" t="s">
        <v>7</v>
      </c>
      <c r="F746" t="str">
        <f>_xlfn.CONCAT(D746,", ",H746,", ",I746,", ","山东省")</f>
        <v>科苑街道, 张店区, 淄博市, 山东省</v>
      </c>
      <c r="G746">
        <v>129080</v>
      </c>
      <c r="H746" t="s">
        <v>3797</v>
      </c>
      <c r="I746" t="s">
        <v>3791</v>
      </c>
      <c r="J746">
        <f>VLOOKUP(F746,[1]!china_towns_second__2[[Column1]:[Y]],3,FALSE)</f>
        <v>36.823215782467997</v>
      </c>
      <c r="K746">
        <f>VLOOKUP(F746,[1]!china_towns_second__2[[Column1]:[Y]],2,FALSE)</f>
        <v>118.0402282</v>
      </c>
      <c r="L746" t="s">
        <v>5579</v>
      </c>
      <c r="M746" t="str">
        <f>VLOOKUP(H746,CHOOSE({1,2},Table17[Native],Table17[Name]),2,0)</f>
        <v>Zhāngdiàn Qū</v>
      </c>
      <c r="N746" s="15" t="str">
        <f>VLOOKUP(I746,CHOOSE({1,2},Table17[Native],Table17[Name]),2,0)</f>
        <v>Zībó Shì</v>
      </c>
      <c r="O746" s="15" t="str">
        <f t="shared" si="22"/>
        <v>Keyuan Jiedao (Zībó Shì)</v>
      </c>
      <c r="P746" s="15" t="str">
        <f t="shared" si="23"/>
        <v>Keyuan Jiedao (Zībó Shì)</v>
      </c>
    </row>
    <row r="747" spans="1:16" hidden="1" x14ac:dyDescent="0.25">
      <c r="A747" t="s">
        <v>302</v>
      </c>
      <c r="B747" t="str">
        <f>IF(COUNTIF(A:A,A747)&gt;1,_xlfn.CONCAT(A747," (",N747,")"),A747)</f>
        <v>Kŏng Zhèn</v>
      </c>
      <c r="C747" t="str">
        <f>IF(COUNTIF(B:B,B747)&gt;1,_xlfn.CONCAT(A747," (",M747,")"),B747)</f>
        <v>Kŏng Zhèn</v>
      </c>
      <c r="D747" t="s">
        <v>303</v>
      </c>
      <c r="E747" t="s">
        <v>13</v>
      </c>
      <c r="F747" t="str">
        <f>_xlfn.CONCAT(D747,", ",H747,", ",I747,", ","山东省")</f>
        <v>孔镇, 乐陵市, 德州市, 山东省</v>
      </c>
      <c r="G747">
        <v>48186</v>
      </c>
      <c r="H747" t="s">
        <v>3644</v>
      </c>
      <c r="I747" t="s">
        <v>3642</v>
      </c>
      <c r="J747">
        <f>VLOOKUP(F747,[1]!china_towns_second__2[[Column1]:[Y]],3,FALSE)</f>
        <v>37.613111606124598</v>
      </c>
      <c r="K747">
        <f>VLOOKUP(F747,[1]!china_towns_second__2[[Column1]:[Y]],2,FALSE)</f>
        <v>117.0193115</v>
      </c>
      <c r="L747" t="s">
        <v>5580</v>
      </c>
      <c r="M747" t="str">
        <f>VLOOKUP(H747,CHOOSE({1,2},Table17[Native],Table17[Name]),2,0)</f>
        <v>Lèlíng Shì</v>
      </c>
      <c r="N747" s="15" t="str">
        <f>VLOOKUP(I747,CHOOSE({1,2},Table17[Native],Table17[Name]),2,0)</f>
        <v>Dézhōu Shì</v>
      </c>
      <c r="O747" s="15" t="str">
        <f t="shared" si="22"/>
        <v>Kong Zhen (Dézhōu Shì)</v>
      </c>
      <c r="P747" s="15" t="str">
        <f t="shared" si="23"/>
        <v>Kong Zhen (Dézhōu Shì)</v>
      </c>
    </row>
    <row r="748" spans="1:16" hidden="1" x14ac:dyDescent="0.25">
      <c r="A748" t="s">
        <v>1034</v>
      </c>
      <c r="B748" t="str">
        <f>IF(COUNTIF(A:A,A748)&gt;1,_xlfn.CONCAT(A748," (",N748,")"),A748)</f>
        <v>Kŏngcūn Zhèn</v>
      </c>
      <c r="C748" t="str">
        <f>IF(COUNTIF(B:B,B748)&gt;1,_xlfn.CONCAT(A748," (",M748,")"),B748)</f>
        <v>Kŏngcūn Zhèn</v>
      </c>
      <c r="D748" t="s">
        <v>1035</v>
      </c>
      <c r="E748" t="s">
        <v>13</v>
      </c>
      <c r="F748" t="str">
        <f>_xlfn.CONCAT(D748,", ",H748,", ",I748,", ","山东省")</f>
        <v>孔村镇, 平阴县, 济南市, 山东省</v>
      </c>
      <c r="G748">
        <v>33117</v>
      </c>
      <c r="H748" t="s">
        <v>3681</v>
      </c>
      <c r="I748" t="s">
        <v>3673</v>
      </c>
      <c r="J748">
        <f>VLOOKUP(F748,[1]!china_towns_second__2[[Column1]:[Y]],3,FALSE)</f>
        <v>36.166040852386701</v>
      </c>
      <c r="K748">
        <f>VLOOKUP(F748,[1]!china_towns_second__2[[Column1]:[Y]],2,FALSE)</f>
        <v>116.42565260000001</v>
      </c>
      <c r="L748" t="s">
        <v>5581</v>
      </c>
      <c r="M748" t="str">
        <f>VLOOKUP(H748,CHOOSE({1,2},Table17[Native],Table17[Name]),2,0)</f>
        <v>Píngyīn Xiàn</v>
      </c>
      <c r="N748" s="15" t="str">
        <f>VLOOKUP(I748,CHOOSE({1,2},Table17[Native],Table17[Name]),2,0)</f>
        <v>Jìnán Shì</v>
      </c>
      <c r="O748" s="15" t="str">
        <f t="shared" si="22"/>
        <v>Kongcun Zhen (Jìnán Shì)</v>
      </c>
      <c r="P748" s="15" t="str">
        <f t="shared" si="23"/>
        <v>Kongcun Zhen (Jìnán Shì)</v>
      </c>
    </row>
    <row r="749" spans="1:16" hidden="1" x14ac:dyDescent="0.25">
      <c r="A749" t="s">
        <v>2436</v>
      </c>
      <c r="B749" t="str">
        <f>IF(COUNTIF(A:A,A749)&gt;1,_xlfn.CONCAT(A749," (",N749,")"),A749)</f>
        <v>Kòuguān Zhèn</v>
      </c>
      <c r="C749" t="str">
        <f>IF(COUNTIF(B:B,B749)&gt;1,_xlfn.CONCAT(A749," (",M749,")"),B749)</f>
        <v>Kòuguān Zhèn</v>
      </c>
      <c r="D749" t="s">
        <v>2437</v>
      </c>
      <c r="E749" t="s">
        <v>13</v>
      </c>
      <c r="F749" t="str">
        <f>_xlfn.CONCAT(D749,", ",H749,", ",I749,", ","山东省")</f>
        <v>叩官镇, 五莲县, 日照市, 山东省</v>
      </c>
      <c r="G749">
        <v>25763</v>
      </c>
      <c r="H749" t="s">
        <v>3741</v>
      </c>
      <c r="I749" t="s">
        <v>3736</v>
      </c>
      <c r="J749">
        <f>VLOOKUP(F749,[1]!china_towns_second__2[[Column1]:[Y]],3,FALSE)</f>
        <v>35.688450941211002</v>
      </c>
      <c r="K749">
        <f>VLOOKUP(F749,[1]!china_towns_second__2[[Column1]:[Y]],2,FALSE)</f>
        <v>119.43657260000001</v>
      </c>
      <c r="L749" t="s">
        <v>5582</v>
      </c>
      <c r="M749" t="str">
        <f>VLOOKUP(H749,CHOOSE({1,2},Table17[Native],Table17[Name]),2,0)</f>
        <v>Wŭlián Xiàn</v>
      </c>
      <c r="N749" s="15" t="str">
        <f>VLOOKUP(I749,CHOOSE({1,2},Table17[Native],Table17[Name]),2,0)</f>
        <v>Rìzhào Shì</v>
      </c>
      <c r="O749" s="15" t="str">
        <f t="shared" si="22"/>
        <v>Kouguan Zhen (Rìzhào Shì)</v>
      </c>
      <c r="P749" s="15" t="str">
        <f t="shared" si="23"/>
        <v>Kouguan Zhen (Rìzhào Shì)</v>
      </c>
    </row>
    <row r="750" spans="1:16" hidden="1" x14ac:dyDescent="0.25">
      <c r="A750" t="s">
        <v>1036</v>
      </c>
      <c r="B750" t="str">
        <f>IF(COUNTIF(A:A,A750)&gt;1,_xlfn.CONCAT(A750," (",N750,")"),A750)</f>
        <v>Kǒuzhèn Jiēdào</v>
      </c>
      <c r="C750" t="str">
        <f>IF(COUNTIF(B:B,B750)&gt;1,_xlfn.CONCAT(A750," (",M750,")"),B750)</f>
        <v>Kǒuzhèn Jiēdào</v>
      </c>
      <c r="D750" t="s">
        <v>1037</v>
      </c>
      <c r="E750" t="s">
        <v>7</v>
      </c>
      <c r="F750" t="str">
        <f>_xlfn.CONCAT(D750,", ",H750,", ",I750,", ","山东省")</f>
        <v>口镇街道, 莱芜区, 济南市, 山东省</v>
      </c>
      <c r="G750">
        <v>78231</v>
      </c>
      <c r="H750" t="s">
        <v>3678</v>
      </c>
      <c r="I750" t="s">
        <v>3673</v>
      </c>
      <c r="J750" t="e">
        <f>VLOOKUP(F750,[1]!china_towns_second__2[[Column1]:[Y]],3,FALSE)</f>
        <v>#N/A</v>
      </c>
      <c r="K750" t="e">
        <f>VLOOKUP(F750,[1]!china_towns_second__2[[Column1]:[Y]],2,FALSE)</f>
        <v>#N/A</v>
      </c>
      <c r="L750" t="s">
        <v>5583</v>
      </c>
      <c r="M750" t="str">
        <f>VLOOKUP(H750,CHOOSE({1,2},Table17[Native],Table17[Name]),2,0)</f>
        <v>Láiwú Qū</v>
      </c>
      <c r="N750" s="15" t="str">
        <f>VLOOKUP(I750,CHOOSE({1,2},Table17[Native],Table17[Name]),2,0)</f>
        <v>Jìnán Shì</v>
      </c>
      <c r="O750" s="15" t="str">
        <f t="shared" si="22"/>
        <v>Kouzhen Jiedao (Jìnán Shì)</v>
      </c>
      <c r="P750" s="15" t="str">
        <f t="shared" si="23"/>
        <v>Kouzhen Jiedao (Jìnán Shì)</v>
      </c>
    </row>
    <row r="751" spans="1:16" hidden="1" x14ac:dyDescent="0.25">
      <c r="A751" t="s">
        <v>1913</v>
      </c>
      <c r="B751" t="str">
        <f>IF(COUNTIF(A:A,A751)&gt;1,_xlfn.CONCAT(A751," (",N751,")"),A751)</f>
        <v>Kuàngkēng Zhèn</v>
      </c>
      <c r="C751" t="str">
        <f>IF(COUNTIF(B:B,B751)&gt;1,_xlfn.CONCAT(A751," (",M751,")"),B751)</f>
        <v>Kuàngkēng Zhèn</v>
      </c>
      <c r="D751" t="s">
        <v>1914</v>
      </c>
      <c r="E751" t="s">
        <v>13</v>
      </c>
      <c r="F751" t="str">
        <f>_xlfn.CONCAT(D751,", ",H751,", ",I751,", ","山东省")</f>
        <v>矿坑镇, 兰陵县, 临沂市, 山东省</v>
      </c>
      <c r="G751">
        <v>33200</v>
      </c>
      <c r="H751" t="s">
        <v>3714</v>
      </c>
      <c r="I751" t="s">
        <v>3710</v>
      </c>
      <c r="J751">
        <f>VLOOKUP(F751,[1]!china_towns_second__2[[Column1]:[Y]],3,FALSE)</f>
        <v>35.050239687210102</v>
      </c>
      <c r="K751">
        <f>VLOOKUP(F751,[1]!china_towns_second__2[[Column1]:[Y]],2,FALSE)</f>
        <v>118.0664494</v>
      </c>
      <c r="L751" t="s">
        <v>5584</v>
      </c>
      <c r="M751" t="str">
        <f>VLOOKUP(H751,CHOOSE({1,2},Table17[Native],Table17[Name]),2,0)</f>
        <v>Lánlíng Xiàn</v>
      </c>
      <c r="N751" s="15" t="str">
        <f>VLOOKUP(I751,CHOOSE({1,2},Table17[Native],Table17[Name]),2,0)</f>
        <v>Línyí Shì</v>
      </c>
      <c r="O751" s="15" t="str">
        <f t="shared" si="22"/>
        <v>Kuangkeng Zhen (Línyí Shì)</v>
      </c>
      <c r="P751" s="15" t="str">
        <f t="shared" si="23"/>
        <v>Kuangkeng Zhen (Línyí Shì)</v>
      </c>
    </row>
    <row r="752" spans="1:16" hidden="1" x14ac:dyDescent="0.25">
      <c r="A752" t="s">
        <v>3395</v>
      </c>
      <c r="B752" t="str">
        <f>IF(COUNTIF(A:A,A752)&gt;1,_xlfn.CONCAT(A752," (",N752,")"),A752)</f>
        <v>Kuàngqū Jiēdào</v>
      </c>
      <c r="C752" t="str">
        <f>IF(COUNTIF(B:B,B752)&gt;1,_xlfn.CONCAT(A752," (",M752,")"),B752)</f>
        <v>Kuàngqū Jiēdào</v>
      </c>
      <c r="D752" t="s">
        <v>3396</v>
      </c>
      <c r="E752" t="s">
        <v>7</v>
      </c>
      <c r="F752" t="str">
        <f>_xlfn.CONCAT(D752,", ",H752,", ",I752,", ","山东省")</f>
        <v>矿区街道, 市中区, 济南市, 山东省</v>
      </c>
      <c r="G752">
        <v>25050</v>
      </c>
      <c r="H752" t="s">
        <v>3683</v>
      </c>
      <c r="I752" t="s">
        <v>3673</v>
      </c>
      <c r="J752" t="e">
        <f>VLOOKUP(F752,[1]!china_towns_second__2[[Column1]:[Y]],3,FALSE)</f>
        <v>#N/A</v>
      </c>
      <c r="K752" t="e">
        <f>VLOOKUP(F752,[1]!china_towns_second__2[[Column1]:[Y]],2,FALSE)</f>
        <v>#N/A</v>
      </c>
      <c r="L752" t="s">
        <v>5585</v>
      </c>
      <c r="M752" t="str">
        <f>VLOOKUP(H752,CHOOSE({1,2},Table17[Native],Table17[Name]),2,0)</f>
        <v>Shìzhōng Qū</v>
      </c>
      <c r="N752" s="15" t="str">
        <f>VLOOKUP(I752,CHOOSE({1,2},Table17[Native],Table17[Name]),2,0)</f>
        <v>Jìnán Shì</v>
      </c>
      <c r="O752" s="15" t="str">
        <f t="shared" si="22"/>
        <v>Kuangqu Jiedao (Jìnán Shì)</v>
      </c>
      <c r="P752" s="15" t="str">
        <f t="shared" si="23"/>
        <v>Kuangqu Jiedao (Jìnán Shì)</v>
      </c>
    </row>
    <row r="753" spans="1:16" hidden="1" x14ac:dyDescent="0.25">
      <c r="A753" t="s">
        <v>1038</v>
      </c>
      <c r="B753" t="str">
        <f>IF(COUNTIF(A:A,A753)&gt;1,_xlfn.CONCAT(A753," (",N753,")"),A753)</f>
        <v>Kuāngshān Jiēdào</v>
      </c>
      <c r="C753" t="str">
        <f>IF(COUNTIF(B:B,B753)&gt;1,_xlfn.CONCAT(A753," (",M753,")"),B753)</f>
        <v>Kuāngshān Jiēdào</v>
      </c>
      <c r="D753" t="s">
        <v>1039</v>
      </c>
      <c r="E753" t="s">
        <v>7</v>
      </c>
      <c r="F753" t="str">
        <f>_xlfn.CONCAT(D753,", ",H753,", ",I753,", ","山东省")</f>
        <v>匡山街道, 槐荫区, 济南市, 山东省</v>
      </c>
      <c r="G753">
        <v>54145</v>
      </c>
      <c r="H753" t="s">
        <v>3676</v>
      </c>
      <c r="I753" t="s">
        <v>3673</v>
      </c>
      <c r="J753">
        <f>VLOOKUP(F753,[1]!china_towns_second__2[[Column1]:[Y]],3,FALSE)</f>
        <v>36.677383107480203</v>
      </c>
      <c r="K753">
        <f>VLOOKUP(F753,[1]!china_towns_second__2[[Column1]:[Y]],2,FALSE)</f>
        <v>116.9366038</v>
      </c>
      <c r="L753" t="s">
        <v>5586</v>
      </c>
      <c r="M753" t="str">
        <f>VLOOKUP(H753,CHOOSE({1,2},Table17[Native],Table17[Name]),2,0)</f>
        <v>Huáiyìn Qū</v>
      </c>
      <c r="N753" s="15" t="str">
        <f>VLOOKUP(I753,CHOOSE({1,2},Table17[Native],Table17[Name]),2,0)</f>
        <v>Jìnán Shì</v>
      </c>
      <c r="O753" s="15" t="str">
        <f t="shared" si="22"/>
        <v>Kuangshan Jiedao (Jìnán Shì)</v>
      </c>
      <c r="P753" s="15" t="str">
        <f t="shared" si="23"/>
        <v>Kuangshan Jiedao (Jìnán Shì)</v>
      </c>
    </row>
    <row r="754" spans="1:16" hidden="1" x14ac:dyDescent="0.25">
      <c r="A754" t="s">
        <v>2775</v>
      </c>
      <c r="B754" t="str">
        <f>IF(COUNTIF(A:A,A754)&gt;1,_xlfn.CONCAT(A754," (",N754,")"),A754)</f>
        <v>Kuíjù Jiēdào</v>
      </c>
      <c r="C754" t="str">
        <f>IF(COUNTIF(B:B,B754)&gt;1,_xlfn.CONCAT(A754," (",M754,")"),B754)</f>
        <v>Kuíjù Jiēdào</v>
      </c>
      <c r="D754" t="s">
        <v>2776</v>
      </c>
      <c r="E754" t="s">
        <v>7</v>
      </c>
      <c r="F754" t="str">
        <f>_xlfn.CONCAT(D754,", ",H754,", ",I754,", ","山东省")</f>
        <v>奎聚街道, 昌邑市, 潍坊市, 山东省</v>
      </c>
      <c r="G754">
        <v>103591</v>
      </c>
      <c r="H754" t="s">
        <v>3754</v>
      </c>
      <c r="I754" t="s">
        <v>3751</v>
      </c>
      <c r="J754">
        <f>VLOOKUP(F754,[1]!china_towns_second__2[[Column1]:[Y]],3,FALSE)</f>
        <v>36.874969331808799</v>
      </c>
      <c r="K754">
        <f>VLOOKUP(F754,[1]!china_towns_second__2[[Column1]:[Y]],2,FALSE)</f>
        <v>119.389346</v>
      </c>
      <c r="L754" t="s">
        <v>5587</v>
      </c>
      <c r="M754" t="str">
        <f>VLOOKUP(H754,CHOOSE({1,2},Table17[Native],Table17[Name]),2,0)</f>
        <v>Chāngyì Shì</v>
      </c>
      <c r="N754" s="15" t="str">
        <f>VLOOKUP(I754,CHOOSE({1,2},Table17[Native],Table17[Name]),2,0)</f>
        <v>Wéifāng Shì</v>
      </c>
      <c r="O754" s="15" t="str">
        <f t="shared" si="22"/>
        <v>Kuiju Jiedao (Wéifāng Shì)</v>
      </c>
      <c r="P754" s="15" t="str">
        <f t="shared" si="23"/>
        <v>Kuiju Jiedao (Wéifāng Shì)</v>
      </c>
    </row>
    <row r="755" spans="1:16" hidden="1" x14ac:dyDescent="0.25">
      <c r="A755" t="s">
        <v>2438</v>
      </c>
      <c r="B755" t="str">
        <f>IF(COUNTIF(A:A,A755)&gt;1,_xlfn.CONCAT(A755," (",N755,")"),A755)</f>
        <v>Kuíshān Jiēdào</v>
      </c>
      <c r="C755" t="str">
        <f>IF(COUNTIF(B:B,B755)&gt;1,_xlfn.CONCAT(A755," (",M755,")"),B755)</f>
        <v>Kuíshān Jiēdào</v>
      </c>
      <c r="D755" t="s">
        <v>2439</v>
      </c>
      <c r="E755" t="s">
        <v>7</v>
      </c>
      <c r="F755" t="str">
        <f>_xlfn.CONCAT(D755,", ",H755,", ",I755,", ","山东省")</f>
        <v>奎山街道, 东港区, 日照市, 山东省</v>
      </c>
      <c r="G755">
        <v>44052</v>
      </c>
      <c r="H755" t="s">
        <v>3737</v>
      </c>
      <c r="I755" t="s">
        <v>3736</v>
      </c>
      <c r="J755">
        <f>VLOOKUP(F755,[1]!china_towns_second__2[[Column1]:[Y]],3,FALSE)</f>
        <v>35.363993613863698</v>
      </c>
      <c r="K755">
        <f>VLOOKUP(F755,[1]!china_towns_second__2[[Column1]:[Y]],2,FALSE)</f>
        <v>119.4258066</v>
      </c>
      <c r="L755" t="s">
        <v>5588</v>
      </c>
      <c r="M755" t="str">
        <f>VLOOKUP(H755,CHOOSE({1,2},Table17[Native],Table17[Name]),2,0)</f>
        <v>Dōnggăng Qū</v>
      </c>
      <c r="N755" s="15" t="str">
        <f>VLOOKUP(I755,CHOOSE({1,2},Table17[Native],Table17[Name]),2,0)</f>
        <v>Rìzhào Shì</v>
      </c>
      <c r="O755" s="15" t="str">
        <f t="shared" si="22"/>
        <v>Kuishan Jiedao (Rìzhào Shì)</v>
      </c>
      <c r="P755" s="15" t="str">
        <f t="shared" si="23"/>
        <v>Kuishan Jiedao (Rìzhào Shì)</v>
      </c>
    </row>
    <row r="756" spans="1:16" hidden="1" x14ac:dyDescent="0.25">
      <c r="A756" t="s">
        <v>3527</v>
      </c>
      <c r="B756" t="str">
        <f>IF(COUNTIF(A:A,A756)&gt;1,_xlfn.CONCAT(A756," (",N756,")"),A756)</f>
        <v>Kūnlún Zhèn [incl. Cícūn Zhèn]</v>
      </c>
      <c r="C756" t="str">
        <f>IF(COUNTIF(B:B,B756)&gt;1,_xlfn.CONCAT(A756," (",M756,")"),B756)</f>
        <v>Kūnlún Zhèn [incl. Cícūn Zhèn]</v>
      </c>
      <c r="D756" t="s">
        <v>3528</v>
      </c>
      <c r="E756" t="s">
        <v>13</v>
      </c>
      <c r="F756" t="str">
        <f>_xlfn.CONCAT(D756,", ",H756,", ",I756,", ","山东省")</f>
        <v>昆仑镇, 淄川区, 淄博市, 山东省</v>
      </c>
      <c r="G756">
        <v>74287</v>
      </c>
      <c r="H756" t="s">
        <v>3799</v>
      </c>
      <c r="I756" t="s">
        <v>3791</v>
      </c>
      <c r="J756">
        <f>VLOOKUP(F756,[1]!china_towns_second__2[[Column1]:[Y]],3,FALSE)</f>
        <v>36.600466579188598</v>
      </c>
      <c r="K756">
        <f>VLOOKUP(F756,[1]!china_towns_second__2[[Column1]:[Y]],2,FALSE)</f>
        <v>117.8636901</v>
      </c>
      <c r="L756" t="s">
        <v>5589</v>
      </c>
      <c r="M756" t="str">
        <f>VLOOKUP(H756,CHOOSE({1,2},Table17[Native],Table17[Name]),2,0)</f>
        <v>Zīchuān Qū</v>
      </c>
      <c r="N756" s="15" t="str">
        <f>VLOOKUP(I756,CHOOSE({1,2},Table17[Native],Table17[Name]),2,0)</f>
        <v>Zībó Shì</v>
      </c>
      <c r="O756" s="15" t="str">
        <f t="shared" si="22"/>
        <v>Kunlun Zhen [incl. Cicun Zhen] (Zībó Shì)</v>
      </c>
      <c r="P756" s="15" t="str">
        <f t="shared" si="23"/>
        <v>Kunlun Zhen [incl. Cicun Zhen] (Zībó Shì)</v>
      </c>
    </row>
    <row r="757" spans="1:16" hidden="1" x14ac:dyDescent="0.25">
      <c r="A757" t="s">
        <v>2440</v>
      </c>
      <c r="B757" t="str">
        <f>IF(COUNTIF(A:A,A757)&gt;1,_xlfn.CONCAT(A757," (",N757,")"),A757)</f>
        <v>Kùshān Xiāng</v>
      </c>
      <c r="C757" t="str">
        <f>IF(COUNTIF(B:B,B757)&gt;1,_xlfn.CONCAT(A757," (",M757,")"),B757)</f>
        <v>Kùshān Xiāng</v>
      </c>
      <c r="D757" t="s">
        <v>2441</v>
      </c>
      <c r="E757" t="s">
        <v>61</v>
      </c>
      <c r="F757" t="str">
        <f>_xlfn.CONCAT(D757,", ",H757,", ",I757,", ","山东省")</f>
        <v>库山乡, 莒县, 日照市, 山东省</v>
      </c>
      <c r="G757">
        <v>21674</v>
      </c>
      <c r="H757" t="s">
        <v>3739</v>
      </c>
      <c r="I757" t="s">
        <v>3736</v>
      </c>
      <c r="J757" t="e">
        <f>VLOOKUP(F757,[1]!china_towns_second__2[[Column1]:[Y]],3,FALSE)</f>
        <v>#N/A</v>
      </c>
      <c r="K757" t="e">
        <f>VLOOKUP(F757,[1]!china_towns_second__2[[Column1]:[Y]],2,FALSE)</f>
        <v>#N/A</v>
      </c>
      <c r="L757" t="s">
        <v>5590</v>
      </c>
      <c r="M757" t="str">
        <f>VLOOKUP(H757,CHOOSE({1,2},Table17[Native],Table17[Name]),2,0)</f>
        <v>Jŭ Xiàn</v>
      </c>
      <c r="N757" s="15" t="str">
        <f>VLOOKUP(I757,CHOOSE({1,2},Table17[Native],Table17[Name]),2,0)</f>
        <v>Rìzhào Shì</v>
      </c>
      <c r="O757" s="15" t="str">
        <f t="shared" si="22"/>
        <v>Kushan Xiang (Rìzhào Shì)</v>
      </c>
      <c r="P757" s="15" t="str">
        <f t="shared" si="23"/>
        <v>Kushan Xiang (Rìzhào Shì)</v>
      </c>
    </row>
    <row r="758" spans="1:16" hidden="1" x14ac:dyDescent="0.25">
      <c r="A758" t="s">
        <v>730</v>
      </c>
      <c r="B758" t="str">
        <f>IF(COUNTIF(A:A,A758)&gt;1,_xlfn.CONCAT(A758," (",N758,")"),A758)</f>
        <v>Láihé Zhèn</v>
      </c>
      <c r="C758" t="str">
        <f>IF(COUNTIF(B:B,B758)&gt;1,_xlfn.CONCAT(A758," (",M758,")"),B758)</f>
        <v>Láihé Zhèn</v>
      </c>
      <c r="D758" t="s">
        <v>731</v>
      </c>
      <c r="E758" t="s">
        <v>13</v>
      </c>
      <c r="F758" t="str">
        <f>_xlfn.CONCAT(D758,", ",H758,", ",I758,", ","山东省")</f>
        <v>莱河镇, 单县, 菏泽市, 山东省</v>
      </c>
      <c r="G758">
        <v>47402</v>
      </c>
      <c r="H758" t="s">
        <v>3670</v>
      </c>
      <c r="I758" t="s">
        <v>3662</v>
      </c>
      <c r="J758">
        <f>VLOOKUP(F758,[1]!china_towns_second__2[[Column1]:[Y]],3,FALSE)</f>
        <v>34.767142562279503</v>
      </c>
      <c r="K758">
        <f>VLOOKUP(F758,[1]!china_towns_second__2[[Column1]:[Y]],2,FALSE)</f>
        <v>116.00961409999999</v>
      </c>
      <c r="L758" t="s">
        <v>5591</v>
      </c>
      <c r="M758" t="str">
        <f>VLOOKUP(H758,CHOOSE({1,2},Table17[Native],Table17[Name]),2,0)</f>
        <v>Shàn Xiàn</v>
      </c>
      <c r="N758" s="15" t="str">
        <f>VLOOKUP(I758,CHOOSE({1,2},Table17[Native],Table17[Name]),2,0)</f>
        <v>Hézé Shì</v>
      </c>
      <c r="O758" s="15" t="str">
        <f t="shared" si="22"/>
        <v>Laihe Zhen (Hézé Shì)</v>
      </c>
      <c r="P758" s="15" t="str">
        <f t="shared" si="23"/>
        <v>Laihe Zhen (Hézé Shì)</v>
      </c>
    </row>
    <row r="759" spans="1:16" hidden="1" x14ac:dyDescent="0.25">
      <c r="A759" t="s">
        <v>3167</v>
      </c>
      <c r="B759" t="str">
        <f>IF(COUNTIF(A:A,A759)&gt;1,_xlfn.CONCAT(A759," (",N759,")"),A759)</f>
        <v>Láishān Jiēdào</v>
      </c>
      <c r="C759" t="str">
        <f>IF(COUNTIF(B:B,B759)&gt;1,_xlfn.CONCAT(A759," (",M759,")"),B759)</f>
        <v>Láishān Jiēdào</v>
      </c>
      <c r="D759" t="s">
        <v>3168</v>
      </c>
      <c r="E759" t="s">
        <v>7</v>
      </c>
      <c r="F759" t="str">
        <f>_xlfn.CONCAT(D759,", ",H759,", ",I759,", ","山东省")</f>
        <v>莱山街道, 莱山区, 烟台市, 山东省</v>
      </c>
      <c r="G759">
        <v>42125</v>
      </c>
      <c r="H759" t="s">
        <v>3774</v>
      </c>
      <c r="I759" t="s">
        <v>3771</v>
      </c>
      <c r="J759">
        <f>VLOOKUP(F759,[1]!china_towns_second__2[[Column1]:[Y]],3,FALSE)</f>
        <v>37.376436553607299</v>
      </c>
      <c r="K759">
        <f>VLOOKUP(F759,[1]!china_towns_second__2[[Column1]:[Y]],2,FALSE)</f>
        <v>121.38474979999999</v>
      </c>
      <c r="L759" t="s">
        <v>5592</v>
      </c>
      <c r="M759" t="str">
        <f>VLOOKUP(H759,CHOOSE({1,2},Table17[Native],Table17[Name]),2,0)</f>
        <v>Láishān Qū</v>
      </c>
      <c r="N759" s="15" t="str">
        <f>VLOOKUP(I759,CHOOSE({1,2},Table17[Native],Table17[Name]),2,0)</f>
        <v>Yāntái Shì</v>
      </c>
      <c r="O759" s="15" t="str">
        <f t="shared" si="22"/>
        <v>Laishan Jiedao (Yāntái Shì)</v>
      </c>
      <c r="P759" s="15" t="str">
        <f t="shared" si="23"/>
        <v>Laishan Jiedao (Yāntái Shì)</v>
      </c>
    </row>
    <row r="760" spans="1:16" hidden="1" x14ac:dyDescent="0.25">
      <c r="A760" t="s">
        <v>2234</v>
      </c>
      <c r="B760" t="str">
        <f>IF(COUNTIF(A:A,A760)&gt;1,_xlfn.CONCAT(A760," (",N760,")"),A760)</f>
        <v>Láncūn Jiēdào [incl. Nánquán Zhèn]</v>
      </c>
      <c r="C760" t="str">
        <f>IF(COUNTIF(B:B,B760)&gt;1,_xlfn.CONCAT(A760," (",M760,")"),B760)</f>
        <v>Láncūn Jiēdào [incl. Nánquán Zhèn]</v>
      </c>
      <c r="D760" t="s">
        <v>2235</v>
      </c>
      <c r="E760" t="s">
        <v>7</v>
      </c>
      <c r="F760" t="str">
        <f>_xlfn.CONCAT(D760,", ",H760,", ",I760,", ","山东省")</f>
        <v>蓝村街道, 即墨区, 青岛市, 山东省</v>
      </c>
      <c r="G760">
        <v>86224</v>
      </c>
      <c r="H760" t="s">
        <v>3728</v>
      </c>
      <c r="I760" t="s">
        <v>3724</v>
      </c>
      <c r="J760" t="e">
        <f>VLOOKUP(F760,[1]!china_towns_second__2[[Column1]:[Y]],3,FALSE)</f>
        <v>#N/A</v>
      </c>
      <c r="K760" t="e">
        <f>VLOOKUP(F760,[1]!china_towns_second__2[[Column1]:[Y]],2,FALSE)</f>
        <v>#N/A</v>
      </c>
      <c r="L760" t="s">
        <v>5593</v>
      </c>
      <c r="M760" t="str">
        <f>VLOOKUP(H760,CHOOSE({1,2},Table17[Native],Table17[Name]),2,0)</f>
        <v>Jímò Qū</v>
      </c>
      <c r="N760" s="15" t="str">
        <f>VLOOKUP(I760,CHOOSE({1,2},Table17[Native],Table17[Name]),2,0)</f>
        <v>Qīngdăo Shì</v>
      </c>
      <c r="O760" s="15" t="str">
        <f t="shared" si="22"/>
        <v>Lancun Jiedao [incl. Nanquan Zhen] (Qīngdăo Shì)</v>
      </c>
      <c r="P760" s="15" t="str">
        <f t="shared" si="23"/>
        <v>Lancun Jiedao [incl. Nanquan Zhen] (Qīngdăo Shì)</v>
      </c>
    </row>
    <row r="761" spans="1:16" hidden="1" x14ac:dyDescent="0.25">
      <c r="A761" t="s">
        <v>3169</v>
      </c>
      <c r="B761" t="str">
        <f>IF(COUNTIF(A:A,A761)&gt;1,_xlfn.CONCAT(A761," (",N761,")"),A761)</f>
        <v>Lángāo Zhèn</v>
      </c>
      <c r="C761" t="str">
        <f>IF(COUNTIF(B:B,B761)&gt;1,_xlfn.CONCAT(A761," (",M761,")"),B761)</f>
        <v>Lángāo Zhèn</v>
      </c>
      <c r="D761" t="s">
        <v>3170</v>
      </c>
      <c r="E761" t="s">
        <v>13</v>
      </c>
      <c r="F761" t="str">
        <f>_xlfn.CONCAT(D761,", ",H761,", ",I761,", ","山东省")</f>
        <v>兰高镇, 龙口市, 烟台市, 山东省</v>
      </c>
      <c r="G761">
        <v>42643</v>
      </c>
      <c r="H761" t="s">
        <v>3777</v>
      </c>
      <c r="I761" t="s">
        <v>3771</v>
      </c>
      <c r="J761">
        <f>VLOOKUP(F761,[1]!china_towns_second__2[[Column1]:[Y]],3,FALSE)</f>
        <v>37.611763914651199</v>
      </c>
      <c r="K761">
        <f>VLOOKUP(F761,[1]!china_towns_second__2[[Column1]:[Y]],2,FALSE)</f>
        <v>120.60265649999999</v>
      </c>
      <c r="L761" t="s">
        <v>5594</v>
      </c>
      <c r="M761" t="str">
        <f>VLOOKUP(H761,CHOOSE({1,2},Table17[Native],Table17[Name]),2,0)</f>
        <v>Lóngkŏu Shì</v>
      </c>
      <c r="N761" s="15" t="str">
        <f>VLOOKUP(I761,CHOOSE({1,2},Table17[Native],Table17[Name]),2,0)</f>
        <v>Yāntái Shì</v>
      </c>
      <c r="O761" s="15" t="str">
        <f t="shared" si="22"/>
        <v>Langao Zhen (Yāntái Shì)</v>
      </c>
      <c r="P761" s="15" t="str">
        <f t="shared" si="23"/>
        <v>Langao Zhen (Yāntái Shì)</v>
      </c>
    </row>
    <row r="762" spans="1:16" hidden="1" x14ac:dyDescent="0.25">
      <c r="A762" t="s">
        <v>2236</v>
      </c>
      <c r="B762" t="str">
        <f>IF(COUNTIF(A:A,A762)&gt;1,_xlfn.CONCAT(A762," (",N762,")"),A762)</f>
        <v>Lángyá Zhèn</v>
      </c>
      <c r="C762" t="str">
        <f>IF(COUNTIF(B:B,B762)&gt;1,_xlfn.CONCAT(A762," (",M762,")"),B762)</f>
        <v>Lángyá Zhèn</v>
      </c>
      <c r="D762" t="s">
        <v>2237</v>
      </c>
      <c r="E762" t="s">
        <v>13</v>
      </c>
      <c r="F762" t="str">
        <f>_xlfn.CONCAT(D762,", ",H762,", ",I762,", ","山东省")</f>
        <v>琅琊镇, 黄岛区, 青岛市, 山东省</v>
      </c>
      <c r="G762">
        <v>35743</v>
      </c>
      <c r="H762" t="s">
        <v>3726</v>
      </c>
      <c r="I762" t="s">
        <v>3724</v>
      </c>
      <c r="J762">
        <f>VLOOKUP(F762,[1]!china_towns_second__2[[Column1]:[Y]],3,FALSE)</f>
        <v>35.6776646338974</v>
      </c>
      <c r="K762">
        <f>VLOOKUP(F762,[1]!china_towns_second__2[[Column1]:[Y]],2,FALSE)</f>
        <v>119.8739917</v>
      </c>
      <c r="L762" t="s">
        <v>5595</v>
      </c>
      <c r="M762" t="str">
        <f>VLOOKUP(H762,CHOOSE({1,2},Table17[Native],Table17[Name]),2,0)</f>
        <v>Huángdăo Qū</v>
      </c>
      <c r="N762" s="15" t="str">
        <f>VLOOKUP(I762,CHOOSE({1,2},Table17[Native],Table17[Name]),2,0)</f>
        <v>Qīngdăo Shì</v>
      </c>
      <c r="O762" s="15" t="str">
        <f t="shared" si="22"/>
        <v>Langya Zhen (Qīngdăo Shì)</v>
      </c>
      <c r="P762" s="15" t="str">
        <f t="shared" si="23"/>
        <v>Langya Zhen (Qīngdăo Shì)</v>
      </c>
    </row>
    <row r="763" spans="1:16" hidden="1" x14ac:dyDescent="0.25">
      <c r="A763" t="s">
        <v>1915</v>
      </c>
      <c r="B763" t="str">
        <f>IF(COUNTIF(A:A,A763)&gt;1,_xlfn.CONCAT(A763," (",N763,")"),A763)</f>
        <v>Lánlíng Zhèn</v>
      </c>
      <c r="C763" t="str">
        <f>IF(COUNTIF(B:B,B763)&gt;1,_xlfn.CONCAT(A763," (",M763,")"),B763)</f>
        <v>Lánlíng Zhèn</v>
      </c>
      <c r="D763" t="s">
        <v>1916</v>
      </c>
      <c r="E763" t="s">
        <v>13</v>
      </c>
      <c r="F763" t="str">
        <f>_xlfn.CONCAT(D763,", ",H763,", ",I763,", ","山东省")</f>
        <v>兰陵镇, 兰陵县, 临沂市, 山东省</v>
      </c>
      <c r="G763">
        <v>97103</v>
      </c>
      <c r="H763" t="s">
        <v>3714</v>
      </c>
      <c r="I763" t="s">
        <v>3710</v>
      </c>
      <c r="J763">
        <f>VLOOKUP(F763,[1]!china_towns_second__2[[Column1]:[Y]],3,FALSE)</f>
        <v>34.720760806311802</v>
      </c>
      <c r="K763">
        <f>VLOOKUP(F763,[1]!china_towns_second__2[[Column1]:[Y]],2,FALSE)</f>
        <v>117.8714971</v>
      </c>
      <c r="L763" t="s">
        <v>5596</v>
      </c>
      <c r="M763" t="str">
        <f>VLOOKUP(H763,CHOOSE({1,2},Table17[Native],Table17[Name]),2,0)</f>
        <v>Lánlíng Xiàn</v>
      </c>
      <c r="N763" s="15" t="str">
        <f>VLOOKUP(I763,CHOOSE({1,2},Table17[Native],Table17[Name]),2,0)</f>
        <v>Línyí Shì</v>
      </c>
      <c r="O763" s="15" t="str">
        <f t="shared" si="22"/>
        <v>Lanling Zhen (Línyí Shì)</v>
      </c>
      <c r="P763" s="15" t="str">
        <f t="shared" si="23"/>
        <v>Lanling Zhen (Línyí Shì)</v>
      </c>
    </row>
    <row r="764" spans="1:16" hidden="1" x14ac:dyDescent="0.25">
      <c r="A764" t="s">
        <v>1917</v>
      </c>
      <c r="B764" t="str">
        <f>IF(COUNTIF(A:A,A764)&gt;1,_xlfn.CONCAT(A764," (",N764,")"),A764)</f>
        <v>Lánshān Jiēdào [incl. Dàlǐng Zhèn]</v>
      </c>
      <c r="C764" t="str">
        <f>IF(COUNTIF(B:B,B764)&gt;1,_xlfn.CONCAT(A764," (",M764,")"),B764)</f>
        <v>Lánshān Jiēdào [incl. Dàlǐng Zhèn]</v>
      </c>
      <c r="D764" t="s">
        <v>1918</v>
      </c>
      <c r="E764" t="s">
        <v>7</v>
      </c>
      <c r="F764" t="str">
        <f>_xlfn.CONCAT(D764,", ",H764,", ",I764,", ","山东省")</f>
        <v>兰山街道, 兰山区, 临沂市, 山东省</v>
      </c>
      <c r="G764">
        <v>278176</v>
      </c>
      <c r="H764" t="s">
        <v>3715</v>
      </c>
      <c r="I764" t="s">
        <v>3710</v>
      </c>
      <c r="J764">
        <f>VLOOKUP(F764,[1]!china_towns_second__2[[Column1]:[Y]],3,FALSE)</f>
        <v>35.097987558701</v>
      </c>
      <c r="K764">
        <f>VLOOKUP(F764,[1]!china_towns_second__2[[Column1]:[Y]],2,FALSE)</f>
        <v>118.2673415</v>
      </c>
      <c r="L764" t="s">
        <v>5597</v>
      </c>
      <c r="M764" t="str">
        <f>VLOOKUP(H764,CHOOSE({1,2},Table17[Native],Table17[Name]),2,0)</f>
        <v>Lánshān Qū</v>
      </c>
      <c r="N764" s="15" t="str">
        <f>VLOOKUP(I764,CHOOSE({1,2},Table17[Native],Table17[Name]),2,0)</f>
        <v>Línyí Shì</v>
      </c>
      <c r="O764" s="15" t="str">
        <f t="shared" si="22"/>
        <v>Lanshan Jiedao [incl. Daling Zhen] (Línyí Shì)</v>
      </c>
      <c r="P764" s="15" t="str">
        <f t="shared" si="23"/>
        <v>Lanshan Jiedao [incl. Daling Zhen] (Línyí Shì)</v>
      </c>
    </row>
    <row r="765" spans="1:16" hidden="1" x14ac:dyDescent="0.25">
      <c r="A765" t="s">
        <v>2442</v>
      </c>
      <c r="B765" t="str">
        <f>IF(COUNTIF(A:A,A765)&gt;1,_xlfn.CONCAT(A765," (",N765,")"),A765)</f>
        <v>Lánshāntóu Jiēdào</v>
      </c>
      <c r="C765" t="str">
        <f>IF(COUNTIF(B:B,B765)&gt;1,_xlfn.CONCAT(A765," (",M765,")"),B765)</f>
        <v>Lánshāntóu Jiēdào</v>
      </c>
      <c r="D765" t="s">
        <v>2443</v>
      </c>
      <c r="E765" t="s">
        <v>7</v>
      </c>
      <c r="F765" t="str">
        <f>_xlfn.CONCAT(D765,", ",H765,", ",I765,", ","山东省")</f>
        <v>岚山头街道, 兰山区, 临沂市, 山东省</v>
      </c>
      <c r="G765">
        <v>36928</v>
      </c>
      <c r="H765" t="s">
        <v>3715</v>
      </c>
      <c r="I765" t="s">
        <v>3710</v>
      </c>
      <c r="J765" t="e">
        <f>VLOOKUP(F765,[1]!china_towns_second__2[[Column1]:[Y]],3,FALSE)</f>
        <v>#N/A</v>
      </c>
      <c r="K765" t="e">
        <f>VLOOKUP(F765,[1]!china_towns_second__2[[Column1]:[Y]],2,FALSE)</f>
        <v>#N/A</v>
      </c>
      <c r="L765" t="s">
        <v>5598</v>
      </c>
      <c r="M765" t="str">
        <f>VLOOKUP(H765,CHOOSE({1,2},Table17[Native],Table17[Name]),2,0)</f>
        <v>Lánshān Qū</v>
      </c>
      <c r="N765" s="15" t="str">
        <f>VLOOKUP(I765,CHOOSE({1,2},Table17[Native],Table17[Name]),2,0)</f>
        <v>Línyí Shì</v>
      </c>
      <c r="O765" s="15" t="str">
        <f t="shared" si="22"/>
        <v>Lanshantou Jiedao (Línyí Shì)</v>
      </c>
      <c r="P765" s="15" t="str">
        <f t="shared" si="23"/>
        <v>Lanshantou Jiedao (Línyí Shì)</v>
      </c>
    </row>
    <row r="766" spans="1:16" hidden="1" x14ac:dyDescent="0.25">
      <c r="A766" t="s">
        <v>1638</v>
      </c>
      <c r="B766" t="str">
        <f>IF(COUNTIF(A:A,A766)&gt;1,_xlfn.CONCAT(A766," (",N766,")"),A766)</f>
        <v>Lánwò Xiāng</v>
      </c>
      <c r="C766" t="str">
        <f>IF(COUNTIF(B:B,B766)&gt;1,_xlfn.CONCAT(A766," (",M766,")"),B766)</f>
        <v>Lánwò Xiāng</v>
      </c>
      <c r="D766" t="s">
        <v>1639</v>
      </c>
      <c r="E766" t="s">
        <v>61</v>
      </c>
      <c r="F766" t="str">
        <f>_xlfn.CONCAT(D766,", ",H766,", ",I766,", ","山东省")</f>
        <v>兰沃乡, 冠县, 聊城市, 山东省</v>
      </c>
      <c r="G766">
        <v>31346</v>
      </c>
      <c r="H766" t="s">
        <v>3705</v>
      </c>
      <c r="I766" t="s">
        <v>3700</v>
      </c>
      <c r="J766" t="e">
        <f>VLOOKUP(F766,[1]!china_towns_second__2[[Column1]:[Y]],3,FALSE)</f>
        <v>#N/A</v>
      </c>
      <c r="K766" t="e">
        <f>VLOOKUP(F766,[1]!china_towns_second__2[[Column1]:[Y]],2,FALSE)</f>
        <v>#N/A</v>
      </c>
      <c r="L766" t="s">
        <v>5599</v>
      </c>
      <c r="M766" t="str">
        <f>VLOOKUP(H766,CHOOSE({1,2},Table17[Native],Table17[Name]),2,0)</f>
        <v>Guān Xiàn</v>
      </c>
      <c r="N766" s="15" t="str">
        <f>VLOOKUP(I766,CHOOSE({1,2},Table17[Native],Table17[Name]),2,0)</f>
        <v>Liáochéng Shì</v>
      </c>
      <c r="O766" s="15" t="str">
        <f t="shared" si="22"/>
        <v>Lanwo Xiang (Liáochéng Shì)</v>
      </c>
      <c r="P766" s="15" t="str">
        <f t="shared" si="23"/>
        <v>Lanwo Xiang (Liáochéng Shì)</v>
      </c>
    </row>
    <row r="767" spans="1:16" hidden="1" x14ac:dyDescent="0.25">
      <c r="A767" t="s">
        <v>2576</v>
      </c>
      <c r="B767" t="str">
        <f>IF(COUNTIF(A:A,A767)&gt;1,_xlfn.CONCAT(A767," (",N767,")"),A767)</f>
        <v>Lăochéng Jiēdào</v>
      </c>
      <c r="C767" t="str">
        <f>IF(COUNTIF(B:B,B767)&gt;1,_xlfn.CONCAT(A767," (",M767,")"),B767)</f>
        <v>Lăochéng Jiēdào</v>
      </c>
      <c r="D767" t="s">
        <v>2577</v>
      </c>
      <c r="E767" t="s">
        <v>7</v>
      </c>
      <c r="F767" t="str">
        <f>_xlfn.CONCAT(D767,", ",H767,", ",I767,", ","山东省")</f>
        <v>老城街道, 肥城市, 泰安市, 山东省</v>
      </c>
      <c r="G767">
        <v>66057</v>
      </c>
      <c r="H767" t="s">
        <v>3746</v>
      </c>
      <c r="I767" t="s">
        <v>3743</v>
      </c>
      <c r="J767">
        <f>VLOOKUP(F767,[1]!china_towns_second__2[[Column1]:[Y]],3,FALSE)</f>
        <v>36.264654048611497</v>
      </c>
      <c r="K767">
        <f>VLOOKUP(F767,[1]!china_towns_second__2[[Column1]:[Y]],2,FALSE)</f>
        <v>116.777089</v>
      </c>
      <c r="L767" t="s">
        <v>5600</v>
      </c>
      <c r="M767" t="str">
        <f>VLOOKUP(H767,CHOOSE({1,2},Table17[Native],Table17[Name]),2,0)</f>
        <v>Féichéng Shì</v>
      </c>
      <c r="N767" s="15" t="str">
        <f>VLOOKUP(I767,CHOOSE({1,2},Table17[Native],Table17[Name]),2,0)</f>
        <v>Tài'ān Shì</v>
      </c>
      <c r="O767" s="15" t="str">
        <f t="shared" si="22"/>
        <v>Laocheng Jiedao (Tài'ān Shì)</v>
      </c>
      <c r="P767" s="15" t="str">
        <f t="shared" si="23"/>
        <v>Laocheng Jiedao (Tài'ān Shì)</v>
      </c>
    </row>
    <row r="768" spans="1:16" hidden="1" x14ac:dyDescent="0.25">
      <c r="A768" t="s">
        <v>304</v>
      </c>
      <c r="B768" t="str">
        <f>IF(COUNTIF(A:A,A768)&gt;1,_xlfn.CONCAT(A768," (",N768,")"),A768)</f>
        <v>Lăochéng Zhèn [incl. Yángzhuāng Zhèn]</v>
      </c>
      <c r="C768" t="str">
        <f>IF(COUNTIF(B:B,B768)&gt;1,_xlfn.CONCAT(A768," (",M768,")"),B768)</f>
        <v>Lăochéng Zhèn [incl. Yángzhuāng Zhèn]</v>
      </c>
      <c r="D768" t="s">
        <v>305</v>
      </c>
      <c r="E768" t="s">
        <v>13</v>
      </c>
      <c r="F768" t="str">
        <f>_xlfn.CONCAT(D768,", ",H768,", ",I768,", ","山东省")</f>
        <v>老城镇, 武城县, 德州市, 山东省</v>
      </c>
      <c r="G768">
        <v>60467</v>
      </c>
      <c r="H768" t="s">
        <v>3651</v>
      </c>
      <c r="I768" t="s">
        <v>3642</v>
      </c>
      <c r="J768">
        <f>VLOOKUP(F768,[1]!china_towns_second__2[[Column1]:[Y]],3,FALSE)</f>
        <v>37.122008395736501</v>
      </c>
      <c r="K768">
        <f>VLOOKUP(F768,[1]!china_towns_second__2[[Column1]:[Y]],2,FALSE)</f>
        <v>115.91453199999999</v>
      </c>
      <c r="L768" t="s">
        <v>5601</v>
      </c>
      <c r="M768" t="str">
        <f>VLOOKUP(H768,CHOOSE({1,2},Table17[Native],Table17[Name]),2,0)</f>
        <v>Wŭchéng Xiàn</v>
      </c>
      <c r="N768" s="15" t="str">
        <f>VLOOKUP(I768,CHOOSE({1,2},Table17[Native],Table17[Name]),2,0)</f>
        <v>Dézhōu Shì</v>
      </c>
      <c r="O768" s="15" t="str">
        <f t="shared" si="22"/>
        <v>Laocheng Zhen [incl. Yangzhuang Zhen] (Dézhōu Shì)</v>
      </c>
      <c r="P768" s="15" t="str">
        <f t="shared" si="23"/>
        <v>Laocheng Zhen [incl. Yangzhuang Zhen] (Dézhōu Shì)</v>
      </c>
    </row>
    <row r="769" spans="1:16" hidden="1" x14ac:dyDescent="0.25">
      <c r="A769" t="s">
        <v>93</v>
      </c>
      <c r="B769" t="str">
        <f>IF(COUNTIF(A:A,A769)&gt;1,_xlfn.CONCAT(A769," (",N769,")"),A769)</f>
        <v>Láodiàn Zhèn</v>
      </c>
      <c r="C769" t="str">
        <f>IF(COUNTIF(B:B,B769)&gt;1,_xlfn.CONCAT(A769," (",M769,")"),B769)</f>
        <v>Láodiàn Zhèn</v>
      </c>
      <c r="D769" t="s">
        <v>94</v>
      </c>
      <c r="E769" t="s">
        <v>13</v>
      </c>
      <c r="F769" t="str">
        <f>_xlfn.CONCAT(D769,", ",H769,", ",I769,", ","山东省")</f>
        <v>劳店镇, 阳信县, 滨州市, 山东省</v>
      </c>
      <c r="G769">
        <v>42011</v>
      </c>
      <c r="H769" t="s">
        <v>3637</v>
      </c>
      <c r="I769" t="s">
        <v>3630</v>
      </c>
      <c r="J769">
        <f>VLOOKUP(F769,[1]!china_towns_second__2[[Column1]:[Y]],3,FALSE)</f>
        <v>37.658873468835502</v>
      </c>
      <c r="K769">
        <f>VLOOKUP(F769,[1]!china_towns_second__2[[Column1]:[Y]],2,FALSE)</f>
        <v>117.6818643</v>
      </c>
      <c r="L769" t="s">
        <v>5602</v>
      </c>
      <c r="M769" t="str">
        <f>VLOOKUP(H769,CHOOSE({1,2},Table17[Native],Table17[Name]),2,0)</f>
        <v>Yángxìn Xiàn</v>
      </c>
      <c r="N769" s="15" t="str">
        <f>VLOOKUP(I769,CHOOSE({1,2},Table17[Native],Table17[Name]),2,0)</f>
        <v>Bīnzhōu Shì</v>
      </c>
      <c r="O769" s="15" t="str">
        <f t="shared" si="22"/>
        <v>Laodian Zhen (Bīnzhōu Shì)</v>
      </c>
      <c r="P769" s="15" t="str">
        <f t="shared" si="23"/>
        <v>Laodian Zhen (Bīnzhōu Shì)</v>
      </c>
    </row>
    <row r="770" spans="1:16" hidden="1" x14ac:dyDescent="0.25">
      <c r="A770" t="s">
        <v>2578</v>
      </c>
      <c r="B770" t="str">
        <f>IF(COUNTIF(A:A,A770)&gt;1,_xlfn.CONCAT(A770," (",N770,")"),A770)</f>
        <v>Lăohú Zhèn</v>
      </c>
      <c r="C770" t="str">
        <f>IF(COUNTIF(B:B,B770)&gt;1,_xlfn.CONCAT(A770," (",M770,")"),B770)</f>
        <v>Lăohú Zhèn</v>
      </c>
      <c r="D770" t="s">
        <v>2579</v>
      </c>
      <c r="E770" t="s">
        <v>13</v>
      </c>
      <c r="F770" t="str">
        <f>_xlfn.CONCAT(D770,", ",H770,", ",I770,", ","山东省")</f>
        <v>老湖镇, 东平县, 泰安市, 山东省</v>
      </c>
      <c r="G770">
        <v>60800</v>
      </c>
      <c r="H770" t="s">
        <v>3745</v>
      </c>
      <c r="I770" t="s">
        <v>3743</v>
      </c>
      <c r="J770">
        <f>VLOOKUP(F770,[1]!china_towns_second__2[[Column1]:[Y]],3,FALSE)</f>
        <v>35.987808495381302</v>
      </c>
      <c r="K770">
        <f>VLOOKUP(F770,[1]!china_towns_second__2[[Column1]:[Y]],2,FALSE)</f>
        <v>116.2749446</v>
      </c>
      <c r="L770" t="s">
        <v>5603</v>
      </c>
      <c r="M770" t="str">
        <f>VLOOKUP(H770,CHOOSE({1,2},Table17[Native],Table17[Name]),2,0)</f>
        <v>Dōngpíng Xiàn</v>
      </c>
      <c r="N770" s="15" t="str">
        <f>VLOOKUP(I770,CHOOSE({1,2},Table17[Native],Table17[Name]),2,0)</f>
        <v>Tài'ān Shì</v>
      </c>
      <c r="O770" s="15" t="str">
        <f t="shared" ref="O770:O833" si="24">_xlfn.CONCAT(L770," (",N770,")")</f>
        <v>Laohu Zhen (Tài'ān Shì)</v>
      </c>
      <c r="P770" s="15" t="str">
        <f t="shared" ref="P770:P833" si="25">IF(COUNTIF(O:O,O770)&gt;1,_xlfn.CONCAT(L770," (",M770,")"),O770)</f>
        <v>Laohu Zhen (Tài'ān Shì)</v>
      </c>
    </row>
    <row r="771" spans="1:16" hidden="1" x14ac:dyDescent="0.25">
      <c r="A771" t="s">
        <v>1919</v>
      </c>
      <c r="B771" t="str">
        <f>IF(COUNTIF(A:A,A771)&gt;1,_xlfn.CONCAT(A771," (",N771,")"),A771)</f>
        <v>Làopō Zhèn</v>
      </c>
      <c r="C771" t="str">
        <f>IF(COUNTIF(B:B,B771)&gt;1,_xlfn.CONCAT(A771," (",M771,")"),B771)</f>
        <v>Làopō Zhèn</v>
      </c>
      <c r="D771" t="s">
        <v>1920</v>
      </c>
      <c r="E771" t="s">
        <v>13</v>
      </c>
      <c r="F771" t="str">
        <f>_xlfn.CONCAT(D771,", ",H771,", ",I771,", ","山东省")</f>
        <v>涝坡镇, 莒南县, 临沂市, 山东省</v>
      </c>
      <c r="G771">
        <v>48504</v>
      </c>
      <c r="H771" t="s">
        <v>3713</v>
      </c>
      <c r="I771" t="s">
        <v>3710</v>
      </c>
      <c r="J771">
        <f>VLOOKUP(F771,[1]!china_towns_second__2[[Column1]:[Y]],3,FALSE)</f>
        <v>35.284158876583703</v>
      </c>
      <c r="K771">
        <f>VLOOKUP(F771,[1]!china_towns_second__2[[Column1]:[Y]],2,FALSE)</f>
        <v>118.9290871</v>
      </c>
      <c r="L771" t="s">
        <v>5604</v>
      </c>
      <c r="M771" t="str">
        <f>VLOOKUP(H771,CHOOSE({1,2},Table17[Native],Table17[Name]),2,0)</f>
        <v>Jŭnán Xiàn</v>
      </c>
      <c r="N771" s="15" t="str">
        <f>VLOOKUP(I771,CHOOSE({1,2},Table17[Native],Table17[Name]),2,0)</f>
        <v>Línyí Shì</v>
      </c>
      <c r="O771" s="15" t="str">
        <f t="shared" si="24"/>
        <v>Laopo Zhen (Línyí Shì)</v>
      </c>
      <c r="P771" s="15" t="str">
        <f t="shared" si="25"/>
        <v>Laopo Zhen (Línyí Shì)</v>
      </c>
    </row>
    <row r="772" spans="1:16" hidden="1" x14ac:dyDescent="0.25">
      <c r="A772" t="s">
        <v>1340</v>
      </c>
      <c r="B772" t="str">
        <f>IF(COUNTIF(A:A,A772)&gt;1,_xlfn.CONCAT(A772," (",N772,")"),A772)</f>
        <v>Lăosēngtáng Zhèn</v>
      </c>
      <c r="C772" t="str">
        <f>IF(COUNTIF(B:B,B772)&gt;1,_xlfn.CONCAT(A772," (",M772,")"),B772)</f>
        <v>Lăosēngtáng Zhèn</v>
      </c>
      <c r="D772" t="s">
        <v>1341</v>
      </c>
      <c r="E772" t="s">
        <v>13</v>
      </c>
      <c r="F772" t="str">
        <f>_xlfn.CONCAT(D772,", ",H772,", ",I772,", ","山东省")</f>
        <v>老僧堂镇, 嘉祥县, 济宁市, 山东省</v>
      </c>
      <c r="G772">
        <v>38458</v>
      </c>
      <c r="H772" t="s">
        <v>3688</v>
      </c>
      <c r="I772" t="s">
        <v>3687</v>
      </c>
      <c r="J772">
        <f>VLOOKUP(F772,[1]!china_towns_second__2[[Column1]:[Y]],3,FALSE)</f>
        <v>35.528927335820697</v>
      </c>
      <c r="K772">
        <f>VLOOKUP(F772,[1]!china_towns_second__2[[Column1]:[Y]],2,FALSE)</f>
        <v>116.15919</v>
      </c>
      <c r="L772" t="s">
        <v>5605</v>
      </c>
      <c r="M772" t="str">
        <f>VLOOKUP(H772,CHOOSE({1,2},Table17[Native],Table17[Name]),2,0)</f>
        <v>Jiāxiáng Xiàn</v>
      </c>
      <c r="N772" s="15" t="str">
        <f>VLOOKUP(I772,CHOOSE({1,2},Table17[Native],Table17[Name]),2,0)</f>
        <v>Jìníng Shì</v>
      </c>
      <c r="O772" s="15" t="str">
        <f t="shared" si="24"/>
        <v>Laosengtang Zhen (Jìníng Shì)</v>
      </c>
      <c r="P772" s="15" t="str">
        <f t="shared" si="25"/>
        <v>Laosengtang Zhen (Jìníng Shì)</v>
      </c>
    </row>
    <row r="773" spans="1:16" hidden="1" x14ac:dyDescent="0.25">
      <c r="A773" t="s">
        <v>2952</v>
      </c>
      <c r="B773" t="str">
        <f>IF(COUNTIF(A:A,A773)&gt;1,_xlfn.CONCAT(A773," (",N773,")"),A773)</f>
        <v>Láoshān Jiēdào</v>
      </c>
      <c r="C773" t="str">
        <f>IF(COUNTIF(B:B,B773)&gt;1,_xlfn.CONCAT(A773," (",M773,")"),B773)</f>
        <v>Láoshān Jiēdào</v>
      </c>
      <c r="D773" t="s">
        <v>2953</v>
      </c>
      <c r="E773" t="s">
        <v>7</v>
      </c>
      <c r="F773" t="str">
        <f>_xlfn.CONCAT(D773,", ",H773,", ",I773,", ","山东省")</f>
        <v>崂山街道, 荣成市, 威海市, 山东省</v>
      </c>
      <c r="G773">
        <v>18589</v>
      </c>
      <c r="H773" t="s">
        <v>3767</v>
      </c>
      <c r="I773" t="s">
        <v>3765</v>
      </c>
      <c r="J773">
        <f>VLOOKUP(F773,[1]!china_towns_second__2[[Column1]:[Y]],3,FALSE)</f>
        <v>37.0759939636729</v>
      </c>
      <c r="K773">
        <f>VLOOKUP(F773,[1]!china_towns_second__2[[Column1]:[Y]],2,FALSE)</f>
        <v>122.42536920000001</v>
      </c>
      <c r="L773" t="s">
        <v>5606</v>
      </c>
      <c r="M773" t="str">
        <f>VLOOKUP(H773,CHOOSE({1,2},Table17[Native],Table17[Name]),2,0)</f>
        <v>Róngchéng Shì</v>
      </c>
      <c r="N773" s="15" t="str">
        <f>VLOOKUP(I773,CHOOSE({1,2},Table17[Native],Table17[Name]),2,0)</f>
        <v>Wēihăi Shì</v>
      </c>
      <c r="O773" s="15" t="str">
        <f t="shared" si="24"/>
        <v>Laoshan Jiedao (Wēihăi Shì)</v>
      </c>
      <c r="P773" s="15" t="str">
        <f t="shared" si="25"/>
        <v>Laoshan Jiedao (Wēihăi Shì)</v>
      </c>
    </row>
    <row r="774" spans="1:16" hidden="1" x14ac:dyDescent="0.25">
      <c r="A774" t="s">
        <v>1342</v>
      </c>
      <c r="B774" t="str">
        <f>IF(COUNTIF(A:A,A774)&gt;1,_xlfn.CONCAT(A774," (",N774,")"),A774)</f>
        <v>Lăozhài Zhèn</v>
      </c>
      <c r="C774" t="str">
        <f>IF(COUNTIF(B:B,B774)&gt;1,_xlfn.CONCAT(A774," (",M774,")"),B774)</f>
        <v>Lăozhài Zhèn</v>
      </c>
      <c r="D774" t="s">
        <v>1343</v>
      </c>
      <c r="E774" t="s">
        <v>13</v>
      </c>
      <c r="F774" t="str">
        <f>_xlfn.CONCAT(D774,", ",H774,", ",I774,", ","山东省")</f>
        <v>老砦镇, 鱼台县, 济宁市, 山东省</v>
      </c>
      <c r="G774">
        <v>24593</v>
      </c>
      <c r="H774" t="s">
        <v>3697</v>
      </c>
      <c r="I774" t="s">
        <v>3687</v>
      </c>
      <c r="J774">
        <f>VLOOKUP(F774,[1]!china_towns_second__2[[Column1]:[Y]],3,FALSE)</f>
        <v>34.953647667166301</v>
      </c>
      <c r="K774">
        <f>VLOOKUP(F774,[1]!china_towns_second__2[[Column1]:[Y]],2,FALSE)</f>
        <v>116.74995610000001</v>
      </c>
      <c r="L774" t="s">
        <v>5607</v>
      </c>
      <c r="M774" t="str">
        <f>VLOOKUP(H774,CHOOSE({1,2},Table17[Native],Table17[Name]),2,0)</f>
        <v>Yútái Xiàn</v>
      </c>
      <c r="N774" s="15" t="str">
        <f>VLOOKUP(I774,CHOOSE({1,2},Table17[Native],Table17[Name]),2,0)</f>
        <v>Jìníng Shì</v>
      </c>
      <c r="O774" s="15" t="str">
        <f t="shared" si="24"/>
        <v>Laozhai Zhen (Jìníng Shì)</v>
      </c>
      <c r="P774" s="15" t="str">
        <f t="shared" si="25"/>
        <v>Laozhai Zhen (Jìníng Shì)</v>
      </c>
    </row>
    <row r="775" spans="1:16" hidden="1" x14ac:dyDescent="0.25">
      <c r="A775" t="s">
        <v>1640</v>
      </c>
      <c r="B775" t="str">
        <f>IF(COUNTIF(A:A,A775)&gt;1,_xlfn.CONCAT(A775," (",N775,")"),A775)</f>
        <v>Lăozhàozhuāng Zhèn</v>
      </c>
      <c r="C775" t="str">
        <f>IF(COUNTIF(B:B,B775)&gt;1,_xlfn.CONCAT(A775," (",M775,")"),B775)</f>
        <v>Lăozhàozhuāng Zhèn</v>
      </c>
      <c r="D775" t="s">
        <v>1641</v>
      </c>
      <c r="E775" t="s">
        <v>13</v>
      </c>
      <c r="F775" t="str">
        <f>_xlfn.CONCAT(D775,", ",H775,", ",I775,", ","山东省")</f>
        <v>老赵庄镇, 临清市, 聊城市, 山东省</v>
      </c>
      <c r="G775">
        <v>40589</v>
      </c>
      <c r="H775" t="s">
        <v>3706</v>
      </c>
      <c r="I775" t="s">
        <v>3700</v>
      </c>
      <c r="J775">
        <f>VLOOKUP(F775,[1]!china_towns_second__2[[Column1]:[Y]],3,FALSE)</f>
        <v>36.830074222835798</v>
      </c>
      <c r="K775">
        <f>VLOOKUP(F775,[1]!china_towns_second__2[[Column1]:[Y]],2,FALSE)</f>
        <v>115.8639356</v>
      </c>
      <c r="L775" t="s">
        <v>5608</v>
      </c>
      <c r="M775" t="str">
        <f>VLOOKUP(H775,CHOOSE({1,2},Table17[Native],Table17[Name]),2,0)</f>
        <v>Línqīng Shì</v>
      </c>
      <c r="N775" s="15" t="str">
        <f>VLOOKUP(I775,CHOOSE({1,2},Table17[Native],Table17[Name]),2,0)</f>
        <v>Liáochéng Shì</v>
      </c>
      <c r="O775" s="15" t="str">
        <f t="shared" si="24"/>
        <v>Laozhaozhuang Zhen (Liáochéng Shì)</v>
      </c>
      <c r="P775" s="15" t="str">
        <f t="shared" si="25"/>
        <v>Laozhaozhuang Zhen (Liáochéng Shì)</v>
      </c>
    </row>
    <row r="776" spans="1:16" hidden="1" x14ac:dyDescent="0.25">
      <c r="A776" t="s">
        <v>527</v>
      </c>
      <c r="B776" t="str">
        <f>IF(COUNTIF(A:A,A776)&gt;1,_xlfn.CONCAT(A776," (",N776,")"),A776)</f>
        <v>Lè'ān Jiēdào</v>
      </c>
      <c r="C776" t="str">
        <f>IF(COUNTIF(B:B,B776)&gt;1,_xlfn.CONCAT(A776," (",M776,")"),B776)</f>
        <v>Lè'ān Jiēdào</v>
      </c>
      <c r="D776" t="s">
        <v>528</v>
      </c>
      <c r="E776" t="s">
        <v>7</v>
      </c>
      <c r="F776" t="str">
        <f>_xlfn.CONCAT(D776,", ",H776,", ",I776,", ","山东省")</f>
        <v>乐安街道, 广饶县, 东营市, 山东省</v>
      </c>
      <c r="G776">
        <v>49114</v>
      </c>
      <c r="H776" t="s">
        <v>3657</v>
      </c>
      <c r="I776" t="s">
        <v>3655</v>
      </c>
      <c r="J776">
        <f>VLOOKUP(F776,[1]!china_towns_second__2[[Column1]:[Y]],3,FALSE)</f>
        <v>37.092907094186998</v>
      </c>
      <c r="K776">
        <f>VLOOKUP(F776,[1]!china_towns_second__2[[Column1]:[Y]],2,FALSE)</f>
        <v>118.3770827</v>
      </c>
      <c r="L776" t="s">
        <v>5609</v>
      </c>
      <c r="M776" t="str">
        <f>VLOOKUP(H776,CHOOSE({1,2},Table17[Native],Table17[Name]),2,0)</f>
        <v>Guăngráo Xiàn</v>
      </c>
      <c r="N776" s="15" t="str">
        <f>VLOOKUP(I776,CHOOSE({1,2},Table17[Native],Table17[Name]),2,0)</f>
        <v>Dōngyíng Shì</v>
      </c>
      <c r="O776" s="15" t="str">
        <f t="shared" si="24"/>
        <v>Le'an Jiedao (Dōngyíng Shì)</v>
      </c>
      <c r="P776" s="15" t="str">
        <f t="shared" si="25"/>
        <v>Le'an Jiedao (Dōngyíng Shì)</v>
      </c>
    </row>
    <row r="777" spans="1:16" hidden="1" x14ac:dyDescent="0.25">
      <c r="A777" t="s">
        <v>306</v>
      </c>
      <c r="B777" t="str">
        <f>IF(COUNTIF(A:A,A777)&gt;1,_xlfn.CONCAT(A777," (",N777,")"),A777)</f>
        <v>Léijí Zhèn</v>
      </c>
      <c r="C777" t="str">
        <f>IF(COUNTIF(B:B,B777)&gt;1,_xlfn.CONCAT(A777," (",M777,")"),B777)</f>
        <v>Léijí Zhèn</v>
      </c>
      <c r="D777" t="s">
        <v>307</v>
      </c>
      <c r="E777" t="s">
        <v>13</v>
      </c>
      <c r="F777" t="str">
        <f>_xlfn.CONCAT(D777,", ",H777,", ",I777,", ","山东省")</f>
        <v>雷集镇, 夏津县, 德州市, 山东省</v>
      </c>
      <c r="G777">
        <v>37630</v>
      </c>
      <c r="H777" t="s">
        <v>3652</v>
      </c>
      <c r="I777" t="s">
        <v>3642</v>
      </c>
      <c r="J777">
        <f>VLOOKUP(F777,[1]!china_towns_second__2[[Column1]:[Y]],3,FALSE)</f>
        <v>37.074533271937</v>
      </c>
      <c r="K777">
        <f>VLOOKUP(F777,[1]!china_towns_second__2[[Column1]:[Y]],2,FALSE)</f>
        <v>116.20010259999999</v>
      </c>
      <c r="L777" t="s">
        <v>5610</v>
      </c>
      <c r="M777" t="str">
        <f>VLOOKUP(H777,CHOOSE({1,2},Table17[Native],Table17[Name]),2,0)</f>
        <v>Xiàjīn Xiàn</v>
      </c>
      <c r="N777" s="15" t="str">
        <f>VLOOKUP(I777,CHOOSE({1,2},Table17[Native],Table17[Name]),2,0)</f>
        <v>Dézhōu Shì</v>
      </c>
      <c r="O777" s="15" t="str">
        <f t="shared" si="24"/>
        <v>Leiji Zhen (Dézhōu Shì)</v>
      </c>
      <c r="P777" s="15" t="str">
        <f t="shared" si="25"/>
        <v>Leiji Zhen (Dézhōu Shì)</v>
      </c>
    </row>
    <row r="778" spans="1:16" hidden="1" x14ac:dyDescent="0.25">
      <c r="A778" t="s">
        <v>1642</v>
      </c>
      <c r="B778" t="str">
        <f>IF(COUNTIF(A:A,A778)&gt;1,_xlfn.CONCAT(A778," (",N778,")"),A778)</f>
        <v>Lèpíngpū Zhèn</v>
      </c>
      <c r="C778" t="str">
        <f>IF(COUNTIF(B:B,B778)&gt;1,_xlfn.CONCAT(A778," (",M778,")"),B778)</f>
        <v>Lèpíngpū Zhèn</v>
      </c>
      <c r="D778" t="s">
        <v>1643</v>
      </c>
      <c r="E778" t="s">
        <v>13</v>
      </c>
      <c r="F778" t="str">
        <f>_xlfn.CONCAT(D778,", ",H778,", ",I778,", ","山东省")</f>
        <v>乐平铺镇, 茌平区, 聊城市, 山东省</v>
      </c>
      <c r="G778">
        <v>48112</v>
      </c>
      <c r="H778" t="s">
        <v>3701</v>
      </c>
      <c r="I778" t="s">
        <v>3700</v>
      </c>
      <c r="J778">
        <f>VLOOKUP(F778,[1]!china_towns_second__2[[Column1]:[Y]],3,FALSE)</f>
        <v>36.466421883554297</v>
      </c>
      <c r="K778">
        <f>VLOOKUP(F778,[1]!china_towns_second__2[[Column1]:[Y]],2,FALSE)</f>
        <v>116.28244239999999</v>
      </c>
      <c r="L778" t="s">
        <v>5611</v>
      </c>
      <c r="M778" t="str">
        <f>VLOOKUP(H778,CHOOSE({1,2},Table17[Native],Table17[Name]),2,0)</f>
        <v>Chípíng Qū</v>
      </c>
      <c r="N778" s="15" t="str">
        <f>VLOOKUP(I778,CHOOSE({1,2},Table17[Native],Table17[Name]),2,0)</f>
        <v>Liáochéng Shì</v>
      </c>
      <c r="O778" s="15" t="str">
        <f t="shared" si="24"/>
        <v>Lepingpu Zhen (Liáochéng Shì)</v>
      </c>
      <c r="P778" s="15" t="str">
        <f t="shared" si="25"/>
        <v>Lepingpu Zhen (Liáochéng Shì)</v>
      </c>
    </row>
    <row r="779" spans="1:16" hidden="1" x14ac:dyDescent="0.25">
      <c r="A779" t="s">
        <v>1921</v>
      </c>
      <c r="B779" t="str">
        <f>IF(COUNTIF(A:A,A779)&gt;1,_xlfn.CONCAT(A779," (",N779,")"),A779)</f>
        <v>Liánchéng Zhèn</v>
      </c>
      <c r="C779" t="str">
        <f>IF(COUNTIF(B:B,B779)&gt;1,_xlfn.CONCAT(A779," (",M779,")"),B779)</f>
        <v>Liánchéng Zhèn</v>
      </c>
      <c r="D779" t="s">
        <v>1922</v>
      </c>
      <c r="E779" t="s">
        <v>13</v>
      </c>
      <c r="F779" t="str">
        <f>_xlfn.CONCAT(D779,", ",H779,", ",I779,", ","山东省")</f>
        <v>联城镇, 蒙阴县, 临沂市, 山东省</v>
      </c>
      <c r="G779">
        <v>42524</v>
      </c>
      <c r="H779" t="s">
        <v>3718</v>
      </c>
      <c r="I779" t="s">
        <v>3710</v>
      </c>
      <c r="J779">
        <f>VLOOKUP(F779,[1]!china_towns_second__2[[Column1]:[Y]],3,FALSE)</f>
        <v>35.668033734744697</v>
      </c>
      <c r="K779">
        <f>VLOOKUP(F779,[1]!china_towns_second__2[[Column1]:[Y]],2,FALSE)</f>
        <v>117.8332863</v>
      </c>
      <c r="L779" t="s">
        <v>5612</v>
      </c>
      <c r="M779" t="str">
        <f>VLOOKUP(H779,CHOOSE({1,2},Table17[Native],Table17[Name]),2,0)</f>
        <v>Mĕngyīn Xiàn</v>
      </c>
      <c r="N779" s="15" t="str">
        <f>VLOOKUP(I779,CHOOSE({1,2},Table17[Native],Table17[Name]),2,0)</f>
        <v>Línyí Shì</v>
      </c>
      <c r="O779" s="15" t="str">
        <f t="shared" si="24"/>
        <v>Liancheng Zhen (Línyí Shì)</v>
      </c>
      <c r="P779" s="15" t="str">
        <f t="shared" si="25"/>
        <v>Liancheng Zhen (Línyí Shì)</v>
      </c>
    </row>
    <row r="780" spans="1:16" hidden="1" x14ac:dyDescent="0.25">
      <c r="A780" t="s">
        <v>1344</v>
      </c>
      <c r="B780" t="str">
        <f>IF(COUNTIF(A:A,A780)&gt;1,_xlfn.CONCAT(A780," (",N780,")"),A780)</f>
        <v>Liángbăosì Zhèn</v>
      </c>
      <c r="C780" t="str">
        <f>IF(COUNTIF(B:B,B780)&gt;1,_xlfn.CONCAT(A780," (",M780,")"),B780)</f>
        <v>Liángbăosì Zhèn</v>
      </c>
      <c r="D780" t="s">
        <v>1345</v>
      </c>
      <c r="E780" t="s">
        <v>13</v>
      </c>
      <c r="F780" t="str">
        <f>_xlfn.CONCAT(D780,", ",H780,", ",I780,", ","山东省")</f>
        <v>梁宝寺镇, 嘉祥县, 济宁市, 山东省</v>
      </c>
      <c r="G780">
        <v>64944</v>
      </c>
      <c r="H780" t="s">
        <v>3688</v>
      </c>
      <c r="I780" t="s">
        <v>3687</v>
      </c>
      <c r="J780">
        <f>VLOOKUP(F780,[1]!china_towns_second__2[[Column1]:[Y]],3,FALSE)</f>
        <v>35.582930325569002</v>
      </c>
      <c r="K780">
        <f>VLOOKUP(F780,[1]!china_towns_second__2[[Column1]:[Y]],2,FALSE)</f>
        <v>116.23776030000001</v>
      </c>
      <c r="L780" t="s">
        <v>5613</v>
      </c>
      <c r="M780" t="str">
        <f>VLOOKUP(H780,CHOOSE({1,2},Table17[Native],Table17[Name]),2,0)</f>
        <v>Jiāxiáng Xiàn</v>
      </c>
      <c r="N780" s="15" t="str">
        <f>VLOOKUP(I780,CHOOSE({1,2},Table17[Native],Table17[Name]),2,0)</f>
        <v>Jìníng Shì</v>
      </c>
      <c r="O780" s="15" t="str">
        <f t="shared" si="24"/>
        <v>Liangbaosi Zhen (Jìníng Shì)</v>
      </c>
      <c r="P780" s="15" t="str">
        <f t="shared" si="25"/>
        <v>Liangbaosi Zhen (Jìníng Shì)</v>
      </c>
    </row>
    <row r="781" spans="1:16" hidden="1" x14ac:dyDescent="0.25">
      <c r="A781" t="s">
        <v>95</v>
      </c>
      <c r="B781" t="str">
        <f>IF(COUNTIF(A:A,A781)&gt;1,_xlfn.CONCAT(A781," (",N781,")"),A781)</f>
        <v>Liángcái Jiēdào</v>
      </c>
      <c r="C781" t="str">
        <f>IF(COUNTIF(B:B,B781)&gt;1,_xlfn.CONCAT(A781," (",M781,")"),B781)</f>
        <v>Liángcái Jiēdào</v>
      </c>
      <c r="D781" t="s">
        <v>96</v>
      </c>
      <c r="E781" t="s">
        <v>7</v>
      </c>
      <c r="F781" t="str">
        <f>_xlfn.CONCAT(D781,", ",H781,", ",I781,", ","山东省")</f>
        <v>梁才街道, 滨城区, 滨州市, 山东省</v>
      </c>
      <c r="G781">
        <v>31986</v>
      </c>
      <c r="H781" t="s">
        <v>3632</v>
      </c>
      <c r="I781" t="s">
        <v>3630</v>
      </c>
      <c r="J781">
        <f>VLOOKUP(F781,[1]!china_towns_second__2[[Column1]:[Y]],3,FALSE)</f>
        <v>37.4005621809562</v>
      </c>
      <c r="K781">
        <f>VLOOKUP(F781,[1]!china_towns_second__2[[Column1]:[Y]],2,FALSE)</f>
        <v>118.1016541</v>
      </c>
      <c r="L781" t="s">
        <v>5614</v>
      </c>
      <c r="M781" t="str">
        <f>VLOOKUP(H781,CHOOSE({1,2},Table17[Native],Table17[Name]),2,0)</f>
        <v>Bīnchéng Qū</v>
      </c>
      <c r="N781" s="15" t="str">
        <f>VLOOKUP(I781,CHOOSE({1,2},Table17[Native],Table17[Name]),2,0)</f>
        <v>Bīnzhōu Shì</v>
      </c>
      <c r="O781" s="15" t="str">
        <f t="shared" si="24"/>
        <v>Liangcai Jiedao (Bīnzhōu Shì)</v>
      </c>
      <c r="P781" s="15" t="str">
        <f t="shared" si="25"/>
        <v>Liangcai Jiedao (Bīnzhōu Shì)</v>
      </c>
    </row>
    <row r="782" spans="1:16" hidden="1" x14ac:dyDescent="0.25">
      <c r="A782" t="s">
        <v>2444</v>
      </c>
      <c r="B782" t="str">
        <f>IF(COUNTIF(A:A,A782)&gt;1,_xlfn.CONCAT(A782," (",N782,")"),A782)</f>
        <v>Liăngchéng Jiēdào</v>
      </c>
      <c r="C782" t="str">
        <f>IF(COUNTIF(B:B,B782)&gt;1,_xlfn.CONCAT(A782," (",M782,")"),B782)</f>
        <v>Liăngchéng Jiēdào</v>
      </c>
      <c r="D782" t="s">
        <v>2445</v>
      </c>
      <c r="E782" t="s">
        <v>7</v>
      </c>
      <c r="F782" t="str">
        <f>_xlfn.CONCAT(D782,", ",H782,", ",I782,", ","山东省")</f>
        <v>两城街道, 东港区, 日照市, 山东省</v>
      </c>
      <c r="G782">
        <v>38253</v>
      </c>
      <c r="H782" t="s">
        <v>3737</v>
      </c>
      <c r="I782" t="s">
        <v>3736</v>
      </c>
      <c r="J782" t="e">
        <f>VLOOKUP(F782,[1]!china_towns_second__2[[Column1]:[Y]],3,FALSE)</f>
        <v>#N/A</v>
      </c>
      <c r="K782" t="e">
        <f>VLOOKUP(F782,[1]!china_towns_second__2[[Column1]:[Y]],2,FALSE)</f>
        <v>#N/A</v>
      </c>
      <c r="L782" t="s">
        <v>5615</v>
      </c>
      <c r="M782" t="str">
        <f>VLOOKUP(H782,CHOOSE({1,2},Table17[Native],Table17[Name]),2,0)</f>
        <v>Dōnggăng Qū</v>
      </c>
      <c r="N782" s="15" t="str">
        <f>VLOOKUP(I782,CHOOSE({1,2},Table17[Native],Table17[Name]),2,0)</f>
        <v>Rìzhào Shì</v>
      </c>
      <c r="O782" s="15" t="str">
        <f t="shared" si="24"/>
        <v>Liangcheng Jiedao (Rìzhào Shì)</v>
      </c>
      <c r="P782" s="15" t="str">
        <f t="shared" si="25"/>
        <v>Liangcheng Jiedao (Rìzhào Shì)</v>
      </c>
    </row>
    <row r="783" spans="1:16" hidden="1" x14ac:dyDescent="0.25">
      <c r="A783" t="s">
        <v>1346</v>
      </c>
      <c r="B783" t="str">
        <f>IF(COUNTIF(A:A,A783)&gt;1,_xlfn.CONCAT(A783," (",N783,")"),A783)</f>
        <v>Liăngchéng Zhèn</v>
      </c>
      <c r="C783" t="str">
        <f>IF(COUNTIF(B:B,B783)&gt;1,_xlfn.CONCAT(A783," (",M783,")"),B783)</f>
        <v>Liăngchéng Zhèn</v>
      </c>
      <c r="D783" t="s">
        <v>1347</v>
      </c>
      <c r="E783" t="s">
        <v>13</v>
      </c>
      <c r="F783" t="str">
        <f>_xlfn.CONCAT(D783,", ",H783,", ",I783,", ","山东省")</f>
        <v>两城镇, 微山县, 济宁市, 山东省</v>
      </c>
      <c r="G783">
        <v>60258</v>
      </c>
      <c r="H783" t="s">
        <v>3694</v>
      </c>
      <c r="I783" t="s">
        <v>3687</v>
      </c>
      <c r="J783">
        <f>VLOOKUP(F783,[1]!china_towns_second__2[[Column1]:[Y]],3,FALSE)</f>
        <v>35.134293725143003</v>
      </c>
      <c r="K783">
        <f>VLOOKUP(F783,[1]!china_towns_second__2[[Column1]:[Y]],2,FALSE)</f>
        <v>116.7608323</v>
      </c>
      <c r="L783" t="s">
        <v>5616</v>
      </c>
      <c r="M783" t="str">
        <f>VLOOKUP(H783,CHOOSE({1,2},Table17[Native],Table17[Name]),2,0)</f>
        <v>Wēishān Xiàn</v>
      </c>
      <c r="N783" s="15" t="str">
        <f>VLOOKUP(I783,CHOOSE({1,2},Table17[Native],Table17[Name]),2,0)</f>
        <v>Jìníng Shì</v>
      </c>
      <c r="O783" s="15" t="str">
        <f t="shared" si="24"/>
        <v>Liangcheng Zhen (Jìníng Shì)</v>
      </c>
      <c r="P783" s="15" t="str">
        <f t="shared" si="25"/>
        <v>Liangcheng Zhen (Jìníng Shì)</v>
      </c>
    </row>
    <row r="784" spans="1:16" hidden="1" x14ac:dyDescent="0.25">
      <c r="A784" t="s">
        <v>1644</v>
      </c>
      <c r="B784" t="str">
        <f>IF(COUNTIF(A:A,A784)&gt;1,_xlfn.CONCAT(A784," (",N784,")"),A784)</f>
        <v>Liángcūn Zhèn</v>
      </c>
      <c r="C784" t="str">
        <f>IF(COUNTIF(B:B,B784)&gt;1,_xlfn.CONCAT(A784," (",M784,")"),B784)</f>
        <v>Liángcūn Zhèn</v>
      </c>
      <c r="D784" t="s">
        <v>1645</v>
      </c>
      <c r="E784" t="s">
        <v>13</v>
      </c>
      <c r="F784" t="str">
        <f>_xlfn.CONCAT(D784,", ",H784,", ",I784,", ","山东省")</f>
        <v>梁村镇, 高唐县, 聊城市, 山东省</v>
      </c>
      <c r="G784">
        <v>36639</v>
      </c>
      <c r="H784" t="s">
        <v>3704</v>
      </c>
      <c r="I784" t="s">
        <v>3700</v>
      </c>
      <c r="J784">
        <f>VLOOKUP(F784,[1]!china_towns_second__2[[Column1]:[Y]],3,FALSE)</f>
        <v>36.960552141331398</v>
      </c>
      <c r="K784">
        <f>VLOOKUP(F784,[1]!china_towns_second__2[[Column1]:[Y]],2,FALSE)</f>
        <v>116.2379658</v>
      </c>
      <c r="L784" t="s">
        <v>5617</v>
      </c>
      <c r="M784" t="str">
        <f>VLOOKUP(H784,CHOOSE({1,2},Table17[Native],Table17[Name]),2,0)</f>
        <v>Gāotáng Xiàn</v>
      </c>
      <c r="N784" s="15" t="str">
        <f>VLOOKUP(I784,CHOOSE({1,2},Table17[Native],Table17[Name]),2,0)</f>
        <v>Liáochéng Shì</v>
      </c>
      <c r="O784" s="15" t="str">
        <f t="shared" si="24"/>
        <v>Liangcun Zhen (Liáochéng Shì)</v>
      </c>
      <c r="P784" s="15" t="str">
        <f t="shared" si="25"/>
        <v>Liangcun Zhen (Liáochéng Shì)</v>
      </c>
    </row>
    <row r="785" spans="1:16" hidden="1" x14ac:dyDescent="0.25">
      <c r="A785" t="s">
        <v>732</v>
      </c>
      <c r="B785" t="str">
        <f>IF(COUNTIF(A:A,A785)&gt;1,_xlfn.CONCAT(A785," (",N785,")"),A785)</f>
        <v>Liángdītóu Zhèn</v>
      </c>
      <c r="C785" t="str">
        <f>IF(COUNTIF(B:B,B785)&gt;1,_xlfn.CONCAT(A785," (",M785,")"),B785)</f>
        <v>Liángdītóu Zhèn</v>
      </c>
      <c r="D785" t="s">
        <v>733</v>
      </c>
      <c r="E785" t="s">
        <v>13</v>
      </c>
      <c r="F785" t="str">
        <f>_xlfn.CONCAT(D785,", ",H785,", ",I785,", ","山东省")</f>
        <v>梁堤头镇, 曹县, 菏泽市, 山东省</v>
      </c>
      <c r="G785">
        <v>38240</v>
      </c>
      <c r="H785" t="s">
        <v>3663</v>
      </c>
      <c r="I785" t="s">
        <v>3662</v>
      </c>
      <c r="J785">
        <f>VLOOKUP(F785,[1]!china_towns_second__2[[Column1]:[Y]],3,FALSE)</f>
        <v>34.6155820521994</v>
      </c>
      <c r="K785">
        <f>VLOOKUP(F785,[1]!china_towns_second__2[[Column1]:[Y]],2,FALSE)</f>
        <v>115.5785832</v>
      </c>
      <c r="L785" t="s">
        <v>5618</v>
      </c>
      <c r="M785" t="str">
        <f>VLOOKUP(H785,CHOOSE({1,2},Table17[Native],Table17[Name]),2,0)</f>
        <v>Cáo Xiàn</v>
      </c>
      <c r="N785" s="15" t="str">
        <f>VLOOKUP(I785,CHOOSE({1,2},Table17[Native],Table17[Name]),2,0)</f>
        <v>Hézé Shì</v>
      </c>
      <c r="O785" s="15" t="str">
        <f t="shared" si="24"/>
        <v>Liangditou Zhen (Hézé Shì)</v>
      </c>
      <c r="P785" s="15" t="str">
        <f t="shared" si="25"/>
        <v>Liangditou Zhen (Hézé Shì)</v>
      </c>
    </row>
    <row r="786" spans="1:16" hidden="1" x14ac:dyDescent="0.25">
      <c r="A786" t="s">
        <v>308</v>
      </c>
      <c r="B786" t="str">
        <f>IF(COUNTIF(A:A,A786)&gt;1,_xlfn.CONCAT(A786," (",N786,")"),A786)</f>
        <v>Liángjiā Zhèn</v>
      </c>
      <c r="C786" t="str">
        <f>IF(COUNTIF(B:B,B786)&gt;1,_xlfn.CONCAT(A786," (",M786,")"),B786)</f>
        <v>Liángjiā Zhèn</v>
      </c>
      <c r="D786" t="s">
        <v>309</v>
      </c>
      <c r="E786" t="s">
        <v>13</v>
      </c>
      <c r="F786" t="str">
        <f>_xlfn.CONCAT(D786,", ",H786,", ",I786,", ","山东省")</f>
        <v>梁家镇, 禹城市, 德州市, 山东省</v>
      </c>
      <c r="G786">
        <v>40147</v>
      </c>
      <c r="H786" t="s">
        <v>3653</v>
      </c>
      <c r="I786" t="s">
        <v>3642</v>
      </c>
      <c r="J786">
        <f>VLOOKUP(F786,[1]!china_towns_second__2[[Column1]:[Y]],3,FALSE)</f>
        <v>37.0329301135123</v>
      </c>
      <c r="K786">
        <f>VLOOKUP(F786,[1]!china_towns_second__2[[Column1]:[Y]],2,FALSE)</f>
        <v>116.6675044</v>
      </c>
      <c r="L786" t="s">
        <v>5619</v>
      </c>
      <c r="M786" t="str">
        <f>VLOOKUP(H786,CHOOSE({1,2},Table17[Native],Table17[Name]),2,0)</f>
        <v>Yŭchéng Shì</v>
      </c>
      <c r="N786" s="15" t="str">
        <f>VLOOKUP(I786,CHOOSE({1,2},Table17[Native],Table17[Name]),2,0)</f>
        <v>Dézhōu Shì</v>
      </c>
      <c r="O786" s="15" t="str">
        <f t="shared" si="24"/>
        <v>Liangjia Zhen (Dézhōu Shì)</v>
      </c>
      <c r="P786" s="15" t="str">
        <f t="shared" si="25"/>
        <v>Liangjia Zhen (Dézhōu Shì)</v>
      </c>
    </row>
    <row r="787" spans="1:16" hidden="1" x14ac:dyDescent="0.25">
      <c r="A787" t="s">
        <v>1923</v>
      </c>
      <c r="B787" t="str">
        <f>IF(COUNTIF(A:A,A787)&gt;1,_xlfn.CONCAT(A787," (",N787,")"),A787)</f>
        <v>Liángqiū Zhèn</v>
      </c>
      <c r="C787" t="str">
        <f>IF(COUNTIF(B:B,B787)&gt;1,_xlfn.CONCAT(A787," (",M787,")"),B787)</f>
        <v>Liángqiū Zhèn</v>
      </c>
      <c r="D787" t="s">
        <v>1924</v>
      </c>
      <c r="E787" t="s">
        <v>13</v>
      </c>
      <c r="F787" t="str">
        <f>_xlfn.CONCAT(D787,", ",H787,", ",I787,", ","山东省")</f>
        <v>梁邱镇, 费县, 临沂市, 山东省</v>
      </c>
      <c r="G787">
        <v>79786</v>
      </c>
      <c r="H787" t="s">
        <v>3711</v>
      </c>
      <c r="I787" t="s">
        <v>3710</v>
      </c>
      <c r="J787">
        <f>VLOOKUP(F787,[1]!china_towns_second__2[[Column1]:[Y]],3,FALSE)</f>
        <v>35.145056454195398</v>
      </c>
      <c r="K787">
        <f>VLOOKUP(F787,[1]!china_towns_second__2[[Column1]:[Y]],2,FALSE)</f>
        <v>117.7424183</v>
      </c>
      <c r="L787" t="s">
        <v>5620</v>
      </c>
      <c r="M787" t="str">
        <f>VLOOKUP(H787,CHOOSE({1,2},Table17[Native],Table17[Name]),2,0)</f>
        <v>Fèi Xiàn</v>
      </c>
      <c r="N787" s="15" t="str">
        <f>VLOOKUP(I787,CHOOSE({1,2},Table17[Native],Table17[Name]),2,0)</f>
        <v>Línyí Shì</v>
      </c>
      <c r="O787" s="15" t="str">
        <f t="shared" si="24"/>
        <v>Liangqiu Zhen (Línyí Shì)</v>
      </c>
      <c r="P787" s="15" t="str">
        <f t="shared" si="25"/>
        <v>Liangqiu Zhen (Línyí Shì)</v>
      </c>
    </row>
    <row r="788" spans="1:16" hidden="1" x14ac:dyDescent="0.25">
      <c r="A788" t="s">
        <v>1348</v>
      </c>
      <c r="B788" t="str">
        <f>IF(COUNTIF(A:A,A788)&gt;1,_xlfn.CONCAT(A788," (",N788,")"),A788)</f>
        <v>Liángshān Jiēdào</v>
      </c>
      <c r="C788" t="str">
        <f>IF(COUNTIF(B:B,B788)&gt;1,_xlfn.CONCAT(A788," (",M788,")"),B788)</f>
        <v>Liángshān Jiēdào</v>
      </c>
      <c r="D788" t="s">
        <v>1349</v>
      </c>
      <c r="E788" t="s">
        <v>7</v>
      </c>
      <c r="F788" t="str">
        <f>_xlfn.CONCAT(D788,", ",H788,", ",I788,", ","山东省")</f>
        <v>梁山街道, 梁山县, 济宁市, 山东省</v>
      </c>
      <c r="G788">
        <v>80415</v>
      </c>
      <c r="H788" t="s">
        <v>3690</v>
      </c>
      <c r="I788" t="s">
        <v>3687</v>
      </c>
      <c r="J788">
        <f>VLOOKUP(F788,[1]!china_towns_second__2[[Column1]:[Y]],3,FALSE)</f>
        <v>35.779627383741499</v>
      </c>
      <c r="K788">
        <f>VLOOKUP(F788,[1]!china_towns_second__2[[Column1]:[Y]],2,FALSE)</f>
        <v>116.1072322</v>
      </c>
      <c r="L788" t="s">
        <v>5621</v>
      </c>
      <c r="M788" t="str">
        <f>VLOOKUP(H788,CHOOSE({1,2},Table17[Native],Table17[Name]),2,0)</f>
        <v>Liángshān Xiàn</v>
      </c>
      <c r="N788" s="15" t="str">
        <f>VLOOKUP(I788,CHOOSE({1,2},Table17[Native],Table17[Name]),2,0)</f>
        <v>Jìníng Shì</v>
      </c>
      <c r="O788" s="15" t="str">
        <f t="shared" si="24"/>
        <v>Liangshan Jiedao (Jìníng Shì)</v>
      </c>
      <c r="P788" s="15" t="str">
        <f t="shared" si="25"/>
        <v>Liangshan Jiedao (Jìníng Shì)</v>
      </c>
    </row>
    <row r="789" spans="1:16" hidden="1" x14ac:dyDescent="0.25">
      <c r="A789" t="s">
        <v>1646</v>
      </c>
      <c r="B789" t="str">
        <f>IF(COUNTIF(A:A,A789)&gt;1,_xlfn.CONCAT(A789," (",N789,")"),A789)</f>
        <v>Liángshuĭ Zhèn</v>
      </c>
      <c r="C789" t="str">
        <f>IF(COUNTIF(B:B,B789)&gt;1,_xlfn.CONCAT(A789," (",M789,")"),B789)</f>
        <v>Liángshuĭ Zhèn</v>
      </c>
      <c r="D789" t="s">
        <v>1647</v>
      </c>
      <c r="E789" t="s">
        <v>13</v>
      </c>
      <c r="F789" t="str">
        <f>_xlfn.CONCAT(D789,", ",H789,", ",I789,", ","山东省")</f>
        <v>梁水镇, 东昌府区, 聊城市, 山东省</v>
      </c>
      <c r="G789">
        <v>62061</v>
      </c>
      <c r="H789" t="s">
        <v>3702</v>
      </c>
      <c r="I789" t="s">
        <v>3700</v>
      </c>
      <c r="J789">
        <f>VLOOKUP(F789,[1]!china_towns_second__2[[Column1]:[Y]],3,FALSE)</f>
        <v>36.589109667655002</v>
      </c>
      <c r="K789">
        <f>VLOOKUP(F789,[1]!china_towns_second__2[[Column1]:[Y]],2,FALSE)</f>
        <v>115.836313</v>
      </c>
      <c r="L789" t="s">
        <v>5622</v>
      </c>
      <c r="M789" t="str">
        <f>VLOOKUP(H789,CHOOSE({1,2},Table17[Native],Table17[Name]),2,0)</f>
        <v>Dōngchāngfŭ Qū</v>
      </c>
      <c r="N789" s="15" t="str">
        <f>VLOOKUP(I789,CHOOSE({1,2},Table17[Native],Table17[Name]),2,0)</f>
        <v>Liáochéng Shì</v>
      </c>
      <c r="O789" s="15" t="str">
        <f t="shared" si="24"/>
        <v>Liangshui Zhen (Liáochéng Shì)</v>
      </c>
      <c r="P789" s="15" t="str">
        <f t="shared" si="25"/>
        <v>Liangshui Zhen (Liáochéng Shì)</v>
      </c>
    </row>
    <row r="790" spans="1:16" hidden="1" x14ac:dyDescent="0.25">
      <c r="A790" t="s">
        <v>1648</v>
      </c>
      <c r="B790" t="str">
        <f>IF(COUNTIF(A:A,A790)&gt;1,_xlfn.CONCAT(A790," (",N790,")"),A790)</f>
        <v>Liángtáng Zhèn</v>
      </c>
      <c r="C790" t="str">
        <f>IF(COUNTIF(B:B,B790)&gt;1,_xlfn.CONCAT(A790," (",M790,")"),B790)</f>
        <v>Liángtáng Zhèn</v>
      </c>
      <c r="D790" t="s">
        <v>1649</v>
      </c>
      <c r="E790" t="s">
        <v>13</v>
      </c>
      <c r="F790" t="str">
        <f>_xlfn.CONCAT(D790,", ",H790,", ",I790,", ","山东省")</f>
        <v>梁堂镇, 冠县, 聊城市, 山东省</v>
      </c>
      <c r="G790">
        <v>32237</v>
      </c>
      <c r="H790" t="s">
        <v>3705</v>
      </c>
      <c r="I790" t="s">
        <v>3700</v>
      </c>
      <c r="J790">
        <f>VLOOKUP(F790,[1]!china_towns_second__2[[Column1]:[Y]],3,FALSE)</f>
        <v>36.404529403071002</v>
      </c>
      <c r="K790">
        <f>VLOOKUP(F790,[1]!china_towns_second__2[[Column1]:[Y]],2,FALSE)</f>
        <v>115.4542368</v>
      </c>
      <c r="L790" t="s">
        <v>5623</v>
      </c>
      <c r="M790" t="str">
        <f>VLOOKUP(H790,CHOOSE({1,2},Table17[Native],Table17[Name]),2,0)</f>
        <v>Guān Xiàn</v>
      </c>
      <c r="N790" s="15" t="str">
        <f>VLOOKUP(I790,CHOOSE({1,2},Table17[Native],Table17[Name]),2,0)</f>
        <v>Liáochéng Shì</v>
      </c>
      <c r="O790" s="15" t="str">
        <f t="shared" si="24"/>
        <v>Liangtang Zhen (Liáochéng Shì)</v>
      </c>
      <c r="P790" s="15" t="str">
        <f t="shared" si="25"/>
        <v>Liangtang Zhen (Liáochéng Shì)</v>
      </c>
    </row>
    <row r="791" spans="1:16" hidden="1" x14ac:dyDescent="0.25">
      <c r="A791" t="s">
        <v>2580</v>
      </c>
      <c r="B791" t="str">
        <f>IF(COUNTIF(A:A,A791)&gt;1,_xlfn.CONCAT(A791," (",N791,")"),A791)</f>
        <v>Liángzhuāng Zhèn</v>
      </c>
      <c r="C791" t="str">
        <f>IF(COUNTIF(B:B,B791)&gt;1,_xlfn.CONCAT(A791," (",M791,")"),B791)</f>
        <v>Liángzhuāng Zhèn</v>
      </c>
      <c r="D791" t="s">
        <v>2581</v>
      </c>
      <c r="E791" t="s">
        <v>13</v>
      </c>
      <c r="F791" t="str">
        <f>_xlfn.CONCAT(D791,", ",H791,", ",I791,", ","山东省")</f>
        <v>良庄镇, 岱岳区, 泰安市, 山东省</v>
      </c>
      <c r="G791">
        <v>69986</v>
      </c>
      <c r="H791" t="s">
        <v>3744</v>
      </c>
      <c r="I791" t="s">
        <v>3743</v>
      </c>
      <c r="J791">
        <f>VLOOKUP(F791,[1]!china_towns_second__2[[Column1]:[Y]],3,FALSE)</f>
        <v>35.960065658660703</v>
      </c>
      <c r="K791">
        <f>VLOOKUP(F791,[1]!china_towns_second__2[[Column1]:[Y]],2,FALSE)</f>
        <v>117.2672252</v>
      </c>
      <c r="L791" t="s">
        <v>5624</v>
      </c>
      <c r="M791" t="str">
        <f>VLOOKUP(H791,CHOOSE({1,2},Table17[Native],Table17[Name]),2,0)</f>
        <v>Dàiyuè Qū</v>
      </c>
      <c r="N791" s="15" t="str">
        <f>VLOOKUP(I791,CHOOSE({1,2},Table17[Native],Table17[Name]),2,0)</f>
        <v>Tài'ān Shì</v>
      </c>
      <c r="O791" s="15" t="str">
        <f t="shared" si="24"/>
        <v>Liangzhuang Zhen (Tài'ān Shì)</v>
      </c>
      <c r="P791" s="15" t="str">
        <f t="shared" si="25"/>
        <v>Liangzhuang Zhen (Tài'ān Shì)</v>
      </c>
    </row>
    <row r="792" spans="1:16" hidden="1" x14ac:dyDescent="0.25">
      <c r="A792" t="s">
        <v>2238</v>
      </c>
      <c r="B792" t="str">
        <f>IF(COUNTIF(A:A,A792)&gt;1,_xlfn.CONCAT(A792," (",N792,")"),A792)</f>
        <v>Liăolán Zhèn [incl. Wànjiā Zhèn]</v>
      </c>
      <c r="C792" t="str">
        <f>IF(COUNTIF(B:B,B792)&gt;1,_xlfn.CONCAT(A792," (",M792,")"),B792)</f>
        <v>Liăolán Zhèn [incl. Wànjiā Zhèn]</v>
      </c>
      <c r="D792" t="s">
        <v>2239</v>
      </c>
      <c r="E792" t="s">
        <v>13</v>
      </c>
      <c r="F792" t="str">
        <f>_xlfn.CONCAT(D792,", ",H792,", ",I792,", ","山东省")</f>
        <v>蓼兰镇, 平度市, 青岛市, 山东省</v>
      </c>
      <c r="G792">
        <v>84306</v>
      </c>
      <c r="H792" t="s">
        <v>3732</v>
      </c>
      <c r="I792" t="s">
        <v>3724</v>
      </c>
      <c r="J792">
        <f>VLOOKUP(F792,[1]!china_towns_second__2[[Column1]:[Y]],3,FALSE)</f>
        <v>36.621775598579298</v>
      </c>
      <c r="K792">
        <f>VLOOKUP(F792,[1]!china_towns_second__2[[Column1]:[Y]],2,FALSE)</f>
        <v>119.8968263</v>
      </c>
      <c r="L792" t="s">
        <v>5625</v>
      </c>
      <c r="M792" t="str">
        <f>VLOOKUP(H792,CHOOSE({1,2},Table17[Native],Table17[Name]),2,0)</f>
        <v>Píngdù Shì</v>
      </c>
      <c r="N792" s="15" t="str">
        <f>VLOOKUP(I792,CHOOSE({1,2},Table17[Native],Table17[Name]),2,0)</f>
        <v>Qīngdăo Shì</v>
      </c>
      <c r="O792" s="15" t="str">
        <f t="shared" si="24"/>
        <v>Liaolan Zhen [incl. Wanjia Zhen] (Qīngdăo Shì)</v>
      </c>
      <c r="P792" s="15" t="str">
        <f t="shared" si="25"/>
        <v>Liaolan Zhen [incl. Wanjia Zhen] (Qīngdăo Shì)</v>
      </c>
    </row>
    <row r="793" spans="1:16" hidden="1" x14ac:dyDescent="0.25">
      <c r="A793" t="s">
        <v>2240</v>
      </c>
      <c r="B793" t="str">
        <f>IF(COUNTIF(A:A,A793)&gt;1,_xlfn.CONCAT(A793," (",N793,")"),A793)</f>
        <v>Liáonínglù Jiēdào</v>
      </c>
      <c r="C793" t="str">
        <f>IF(COUNTIF(B:B,B793)&gt;1,_xlfn.CONCAT(A793," (",M793,")"),B793)</f>
        <v>Liáonínglù Jiēdào</v>
      </c>
      <c r="D793" t="s">
        <v>2241</v>
      </c>
      <c r="E793" t="s">
        <v>7</v>
      </c>
      <c r="F793" t="str">
        <f>_xlfn.CONCAT(D793,", ",H793,", ",I793,", ","山东省")</f>
        <v>辽宁路街道, 市北区, 青岛市, 山东省</v>
      </c>
      <c r="G793">
        <v>51199</v>
      </c>
      <c r="H793" t="s">
        <v>3733</v>
      </c>
      <c r="I793" t="s">
        <v>3724</v>
      </c>
      <c r="J793">
        <f>VLOOKUP(F793,[1]!china_towns_second__2[[Column1]:[Y]],3,FALSE)</f>
        <v>36.079824428911103</v>
      </c>
      <c r="K793">
        <f>VLOOKUP(F793,[1]!china_towns_second__2[[Column1]:[Y]],2,FALSE)</f>
        <v>120.32851460000001</v>
      </c>
      <c r="L793" t="s">
        <v>5626</v>
      </c>
      <c r="M793" t="str">
        <f>VLOOKUP(H793,CHOOSE({1,2},Table17[Native],Table17[Name]),2,0)</f>
        <v>Shìbĕi Qū</v>
      </c>
      <c r="N793" s="15" t="str">
        <f>VLOOKUP(I793,CHOOSE({1,2},Table17[Native],Table17[Name]),2,0)</f>
        <v>Qīngdăo Shì</v>
      </c>
      <c r="O793" s="15" t="str">
        <f t="shared" si="24"/>
        <v>Liaoninglu Jiedao (Qīngdăo Shì)</v>
      </c>
      <c r="P793" s="15" t="str">
        <f t="shared" si="25"/>
        <v>Liaoninglu Jiedao (Qīngdăo Shì)</v>
      </c>
    </row>
    <row r="794" spans="1:16" hidden="1" x14ac:dyDescent="0.25">
      <c r="A794" t="s">
        <v>2242</v>
      </c>
      <c r="B794" t="str">
        <f>IF(COUNTIF(A:A,A794)&gt;1,_xlfn.CONCAT(A794," (",N794,")"),A794)</f>
        <v>Liáoyuánlù Jiēdào</v>
      </c>
      <c r="C794" t="str">
        <f>IF(COUNTIF(B:B,B794)&gt;1,_xlfn.CONCAT(A794," (",M794,")"),B794)</f>
        <v>Liáoyuánlù Jiēdào</v>
      </c>
      <c r="D794" t="s">
        <v>2243</v>
      </c>
      <c r="E794" t="s">
        <v>7</v>
      </c>
      <c r="F794" t="str">
        <f>_xlfn.CONCAT(D794,", ",H794,", ",I794,", ","山东省")</f>
        <v>辽源路街道, 市北区, 青岛市, 山东省</v>
      </c>
      <c r="G794">
        <v>45462</v>
      </c>
      <c r="H794" t="s">
        <v>3733</v>
      </c>
      <c r="I794" t="s">
        <v>3724</v>
      </c>
      <c r="J794">
        <f>VLOOKUP(F794,[1]!china_towns_second__2[[Column1]:[Y]],3,FALSE)</f>
        <v>36.098310824445498</v>
      </c>
      <c r="K794">
        <f>VLOOKUP(F794,[1]!china_towns_second__2[[Column1]:[Y]],2,FALSE)</f>
        <v>120.386516</v>
      </c>
      <c r="L794" t="s">
        <v>5627</v>
      </c>
      <c r="M794" t="str">
        <f>VLOOKUP(H794,CHOOSE({1,2},Table17[Native],Table17[Name]),2,0)</f>
        <v>Shìbĕi Qū</v>
      </c>
      <c r="N794" s="15" t="str">
        <f>VLOOKUP(I794,CHOOSE({1,2},Table17[Native],Table17[Name]),2,0)</f>
        <v>Qīngdăo Shì</v>
      </c>
      <c r="O794" s="15" t="str">
        <f t="shared" si="24"/>
        <v>Liaoyuanlu Jiedao (Qīngdăo Shì)</v>
      </c>
      <c r="P794" s="15" t="str">
        <f t="shared" si="25"/>
        <v>Liaoyuanlu Jiedao (Qīngdăo Shì)</v>
      </c>
    </row>
    <row r="795" spans="1:16" hidden="1" x14ac:dyDescent="0.25">
      <c r="A795" t="s">
        <v>2244</v>
      </c>
      <c r="B795" t="str">
        <f>IF(COUNTIF(A:A,A795)&gt;1,_xlfn.CONCAT(A795," (",N795,")"),A795)</f>
        <v>Lĭchà Zhèn [incl. Zhāngyīng Zhèn]</v>
      </c>
      <c r="C795" t="str">
        <f>IF(COUNTIF(B:B,B795)&gt;1,_xlfn.CONCAT(A795," (",M795,")"),B795)</f>
        <v>Lĭchà Zhèn [incl. Zhāngyīng Zhèn]</v>
      </c>
      <c r="D795" t="s">
        <v>2245</v>
      </c>
      <c r="E795" t="s">
        <v>13</v>
      </c>
      <c r="F795" t="str">
        <f>_xlfn.CONCAT(D795,", ",H795,", ",I795,", ","山东省")</f>
        <v>里岔镇, 胶州市, 青岛市, 山东省</v>
      </c>
      <c r="G795">
        <v>55140</v>
      </c>
      <c r="H795" t="s">
        <v>3727</v>
      </c>
      <c r="I795" t="s">
        <v>3724</v>
      </c>
      <c r="J795">
        <f>VLOOKUP(F795,[1]!china_towns_second__2[[Column1]:[Y]],3,FALSE)</f>
        <v>36.088816976302297</v>
      </c>
      <c r="K795">
        <f>VLOOKUP(F795,[1]!china_towns_second__2[[Column1]:[Y]],2,FALSE)</f>
        <v>119.7945977</v>
      </c>
      <c r="L795" t="s">
        <v>5628</v>
      </c>
      <c r="M795" t="str">
        <f>VLOOKUP(H795,CHOOSE({1,2},Table17[Native],Table17[Name]),2,0)</f>
        <v>Jiāozhōu Shì</v>
      </c>
      <c r="N795" s="15" t="str">
        <f>VLOOKUP(I795,CHOOSE({1,2},Table17[Native],Table17[Name]),2,0)</f>
        <v>Qīngdăo Shì</v>
      </c>
      <c r="O795" s="15" t="str">
        <f t="shared" si="24"/>
        <v>Licha Zhen [incl. Zhangying Zhen] (Qīngdăo Shì)</v>
      </c>
      <c r="P795" s="15" t="str">
        <f t="shared" si="25"/>
        <v>Licha Zhen [incl. Zhangying Zhen] (Qīngdăo Shì)</v>
      </c>
    </row>
    <row r="796" spans="1:16" hidden="1" x14ac:dyDescent="0.25">
      <c r="A796" t="s">
        <v>2246</v>
      </c>
      <c r="B796" t="str">
        <f>IF(COUNTIF(A:A,A796)&gt;1,_xlfn.CONCAT(A796," (",N796,")"),A796)</f>
        <v>Lĭcūn Jiēdào</v>
      </c>
      <c r="C796" t="str">
        <f>IF(COUNTIF(B:B,B796)&gt;1,_xlfn.CONCAT(A796," (",M796,")"),B796)</f>
        <v>Lĭcūn Jiēdào</v>
      </c>
      <c r="D796" t="s">
        <v>2247</v>
      </c>
      <c r="E796" t="s">
        <v>7</v>
      </c>
      <c r="F796" t="str">
        <f>_xlfn.CONCAT(D796,", ",H796,", ",I796,", ","山东省")</f>
        <v>李村街道, 李沧区, 青岛市, 山东省</v>
      </c>
      <c r="G796">
        <v>91592</v>
      </c>
      <c r="H796" t="s">
        <v>3731</v>
      </c>
      <c r="I796" t="s">
        <v>3724</v>
      </c>
      <c r="J796">
        <f>VLOOKUP(F796,[1]!china_towns_second__2[[Column1]:[Y]],3,FALSE)</f>
        <v>36.159982367492397</v>
      </c>
      <c r="K796">
        <f>VLOOKUP(F796,[1]!china_towns_second__2[[Column1]:[Y]],2,FALSE)</f>
        <v>120.4137224</v>
      </c>
      <c r="L796" t="s">
        <v>5629</v>
      </c>
      <c r="M796" t="str">
        <f>VLOOKUP(H796,CHOOSE({1,2},Table17[Native],Table17[Name]),2,0)</f>
        <v>Lĭcāng Qū</v>
      </c>
      <c r="N796" s="15" t="str">
        <f>VLOOKUP(I796,CHOOSE({1,2},Table17[Native],Table17[Name]),2,0)</f>
        <v>Qīngdăo Shì</v>
      </c>
      <c r="O796" s="15" t="str">
        <f t="shared" si="24"/>
        <v>Licun Jiedao (Qīngdăo Shì)</v>
      </c>
      <c r="P796" s="15" t="str">
        <f t="shared" si="25"/>
        <v>Licun Jiedao (Qīngdăo Shì)</v>
      </c>
    </row>
    <row r="797" spans="1:16" hidden="1" x14ac:dyDescent="0.25">
      <c r="A797" t="s">
        <v>734</v>
      </c>
      <c r="B797" t="str">
        <f>IF(COUNTIF(A:A,A797)&gt;1,_xlfn.CONCAT(A797," (",N797,")"),A797)</f>
        <v>Lĭcūn Zhèn</v>
      </c>
      <c r="C797" t="str">
        <f>IF(COUNTIF(B:B,B797)&gt;1,_xlfn.CONCAT(A797," (",M797,")"),B797)</f>
        <v>Lĭcūn Zhèn</v>
      </c>
      <c r="D797" t="s">
        <v>735</v>
      </c>
      <c r="E797" t="s">
        <v>13</v>
      </c>
      <c r="F797" t="str">
        <f>_xlfn.CONCAT(D797,", ",H797,", ",I797,", ","山东省")</f>
        <v>李村镇, 牡丹区, 菏泽市, 山东省</v>
      </c>
      <c r="G797">
        <v>52868</v>
      </c>
      <c r="H797" t="s">
        <v>3669</v>
      </c>
      <c r="I797" t="s">
        <v>3662</v>
      </c>
      <c r="J797">
        <f>VLOOKUP(F797,[1]!china_towns_second__2[[Column1]:[Y]],3,FALSE)</f>
        <v>35.403848318787603</v>
      </c>
      <c r="K797">
        <f>VLOOKUP(F797,[1]!china_towns_second__2[[Column1]:[Y]],2,FALSE)</f>
        <v>115.2594474</v>
      </c>
      <c r="L797" t="s">
        <v>5630</v>
      </c>
      <c r="M797" t="str">
        <f>VLOOKUP(H797,CHOOSE({1,2},Table17[Native],Table17[Name]),2,0)</f>
        <v>Mŭdān Qū</v>
      </c>
      <c r="N797" s="15" t="str">
        <f>VLOOKUP(I797,CHOOSE({1,2},Table17[Native],Table17[Name]),2,0)</f>
        <v>Hézé Shì</v>
      </c>
      <c r="O797" s="15" t="str">
        <f t="shared" si="24"/>
        <v>Licun Zhen (Hézé Shì)</v>
      </c>
      <c r="P797" s="15" t="str">
        <f t="shared" si="25"/>
        <v>Licun Zhen (Hézé Shì)</v>
      </c>
    </row>
    <row r="798" spans="1:16" hidden="1" x14ac:dyDescent="0.25">
      <c r="A798" t="s">
        <v>2954</v>
      </c>
      <c r="B798" t="str">
        <f>IF(COUNTIF(A:A,A798)&gt;1,_xlfn.CONCAT(A798," (",N798,")"),A798)</f>
        <v>Lĭdăo Zhèn</v>
      </c>
      <c r="C798" t="str">
        <f>IF(COUNTIF(B:B,B798)&gt;1,_xlfn.CONCAT(A798," (",M798,")"),B798)</f>
        <v>Lĭdăo Zhèn</v>
      </c>
      <c r="D798" t="s">
        <v>2955</v>
      </c>
      <c r="E798" t="s">
        <v>13</v>
      </c>
      <c r="F798" t="str">
        <f>_xlfn.CONCAT(D798,", ",H798,", ",I798,", ","山东省")</f>
        <v>俚岛镇, 荣成市, 威海市, 山东省</v>
      </c>
      <c r="G798">
        <v>42137</v>
      </c>
      <c r="H798" t="s">
        <v>3767</v>
      </c>
      <c r="I798" t="s">
        <v>3765</v>
      </c>
      <c r="J798">
        <f>VLOOKUP(F798,[1]!china_towns_second__2[[Column1]:[Y]],3,FALSE)</f>
        <v>37.256099863586599</v>
      </c>
      <c r="K798">
        <f>VLOOKUP(F798,[1]!china_towns_second__2[[Column1]:[Y]],2,FALSE)</f>
        <v>122.5376033</v>
      </c>
      <c r="L798" t="s">
        <v>5631</v>
      </c>
      <c r="M798" t="str">
        <f>VLOOKUP(H798,CHOOSE({1,2},Table17[Native],Table17[Name]),2,0)</f>
        <v>Róngchéng Shì</v>
      </c>
      <c r="N798" s="15" t="str">
        <f>VLOOKUP(I798,CHOOSE({1,2},Table17[Native],Table17[Name]),2,0)</f>
        <v>Wēihăi Shì</v>
      </c>
      <c r="O798" s="15" t="str">
        <f t="shared" si="24"/>
        <v>Lidao Zhen (Wēihăi Shì)</v>
      </c>
      <c r="P798" s="15" t="str">
        <f t="shared" si="25"/>
        <v>Lidao Zhen (Wēihăi Shì)</v>
      </c>
    </row>
    <row r="799" spans="1:16" hidden="1" x14ac:dyDescent="0.25">
      <c r="A799" t="s">
        <v>1350</v>
      </c>
      <c r="B799" t="str">
        <f>IF(COUNTIF(A:A,A799)&gt;1,_xlfn.CONCAT(A799," (",N799,")"),A799)</f>
        <v>Lĭgé Zhèn</v>
      </c>
      <c r="C799" t="str">
        <f>IF(COUNTIF(B:B,B799)&gt;1,_xlfn.CONCAT(A799," (",M799,")"),B799)</f>
        <v>Lĭgé Zhèn</v>
      </c>
      <c r="D799" t="s">
        <v>1351</v>
      </c>
      <c r="E799" t="s">
        <v>13</v>
      </c>
      <c r="F799" t="str">
        <f>_xlfn.CONCAT(D799,", ",H799,", ",I799,", ","山东省")</f>
        <v>李阁镇, 鱼台县, 济宁市, 山东省</v>
      </c>
      <c r="G799">
        <v>37330</v>
      </c>
      <c r="H799" t="s">
        <v>3697</v>
      </c>
      <c r="I799" t="s">
        <v>3687</v>
      </c>
      <c r="J799">
        <f>VLOOKUP(F799,[1]!china_towns_second__2[[Column1]:[Y]],3,FALSE)</f>
        <v>35.003283478582098</v>
      </c>
      <c r="K799">
        <f>VLOOKUP(F799,[1]!china_towns_second__2[[Column1]:[Y]],2,FALSE)</f>
        <v>116.4609327</v>
      </c>
      <c r="L799" t="s">
        <v>5632</v>
      </c>
      <c r="M799" t="str">
        <f>VLOOKUP(H799,CHOOSE({1,2},Table17[Native],Table17[Name]),2,0)</f>
        <v>Yútái Xiàn</v>
      </c>
      <c r="N799" s="15" t="str">
        <f>VLOOKUP(I799,CHOOSE({1,2},Table17[Native],Table17[Name]),2,0)</f>
        <v>Jìníng Shì</v>
      </c>
      <c r="O799" s="15" t="str">
        <f t="shared" si="24"/>
        <v>Lige Zhen (Jìníng Shì)</v>
      </c>
      <c r="P799" s="15" t="str">
        <f t="shared" si="25"/>
        <v>Lige Zhen (Jìníng Shì)</v>
      </c>
    </row>
    <row r="800" spans="1:16" hidden="1" x14ac:dyDescent="0.25">
      <c r="A800" t="s">
        <v>2248</v>
      </c>
      <c r="B800" t="str">
        <f>IF(COUNTIF(A:A,A800)&gt;1,_xlfn.CONCAT(A800," (",N800,")"),A800)</f>
        <v>Lĭgēzhuāng Zhèn</v>
      </c>
      <c r="C800" t="str">
        <f>IF(COUNTIF(B:B,B800)&gt;1,_xlfn.CONCAT(A800," (",M800,")"),B800)</f>
        <v>Lĭgēzhuāng Zhèn</v>
      </c>
      <c r="D800" t="s">
        <v>2249</v>
      </c>
      <c r="E800" t="s">
        <v>13</v>
      </c>
      <c r="F800" t="str">
        <f>_xlfn.CONCAT(D800,", ",H800,", ",I800,", ","山东省")</f>
        <v>李哥庄镇, 胶州市, 青岛市, 山东省</v>
      </c>
      <c r="G800">
        <v>65714</v>
      </c>
      <c r="H800" t="s">
        <v>3727</v>
      </c>
      <c r="I800" t="s">
        <v>3724</v>
      </c>
      <c r="J800">
        <f>VLOOKUP(F800,[1]!china_towns_second__2[[Column1]:[Y]],3,FALSE)</f>
        <v>36.357016557302799</v>
      </c>
      <c r="K800">
        <f>VLOOKUP(F800,[1]!china_towns_second__2[[Column1]:[Y]],2,FALSE)</f>
        <v>120.1507256</v>
      </c>
      <c r="L800" t="s">
        <v>5633</v>
      </c>
      <c r="M800" t="str">
        <f>VLOOKUP(H800,CHOOSE({1,2},Table17[Native],Table17[Name]),2,0)</f>
        <v>Jiāozhōu Shì</v>
      </c>
      <c r="N800" s="15" t="str">
        <f>VLOOKUP(I800,CHOOSE({1,2},Table17[Native],Table17[Name]),2,0)</f>
        <v>Qīngdăo Shì</v>
      </c>
      <c r="O800" s="15" t="str">
        <f t="shared" si="24"/>
        <v>Ligezhuang Zhen (Qīngdăo Shì)</v>
      </c>
      <c r="P800" s="15" t="str">
        <f t="shared" si="25"/>
        <v>Ligezhuang Zhen (Qīngdăo Shì)</v>
      </c>
    </row>
    <row r="801" spans="1:16" hidden="1" x14ac:dyDescent="0.25">
      <c r="A801" t="s">
        <v>1925</v>
      </c>
      <c r="B801" t="str">
        <f>IF(COUNTIF(A:A,A801)&gt;1,_xlfn.CONCAT(A801," (",N801,")"),A801)</f>
        <v>Lĭguān Zhèn</v>
      </c>
      <c r="C801" t="str">
        <f>IF(COUNTIF(B:B,B801)&gt;1,_xlfn.CONCAT(A801," (",M801,")"),B801)</f>
        <v>Lĭguān Zhèn</v>
      </c>
      <c r="D801" t="s">
        <v>1926</v>
      </c>
      <c r="E801" t="s">
        <v>13</v>
      </c>
      <c r="F801" t="str">
        <f>_xlfn.CONCAT(D801,", ",H801,", ",I801,", ","山东省")</f>
        <v>李官镇, 兰山区, 临沂市, 山东省</v>
      </c>
      <c r="G801">
        <v>42035</v>
      </c>
      <c r="H801" t="s">
        <v>3715</v>
      </c>
      <c r="I801" t="s">
        <v>3710</v>
      </c>
      <c r="J801">
        <f>VLOOKUP(F801,[1]!china_towns_second__2[[Column1]:[Y]],3,FALSE)</f>
        <v>35.294175835122601</v>
      </c>
      <c r="K801">
        <f>VLOOKUP(F801,[1]!china_towns_second__2[[Column1]:[Y]],2,FALSE)</f>
        <v>118.4088294</v>
      </c>
      <c r="L801" t="s">
        <v>5634</v>
      </c>
      <c r="M801" t="str">
        <f>VLOOKUP(H801,CHOOSE({1,2},Table17[Native],Table17[Name]),2,0)</f>
        <v>Lánshān Qū</v>
      </c>
      <c r="N801" s="15" t="str">
        <f>VLOOKUP(I801,CHOOSE({1,2},Table17[Native],Table17[Name]),2,0)</f>
        <v>Línyí Shì</v>
      </c>
      <c r="O801" s="15" t="str">
        <f t="shared" si="24"/>
        <v>Liguan Zhen (Línyí Shì)</v>
      </c>
      <c r="P801" s="15" t="str">
        <f t="shared" si="25"/>
        <v>Liguan Zhen (Línyí Shì)</v>
      </c>
    </row>
    <row r="802" spans="1:16" hidden="1" x14ac:dyDescent="0.25">
      <c r="A802" t="s">
        <v>97</v>
      </c>
      <c r="B802" t="str">
        <f>IF(COUNTIF(A:A,A802)&gt;1,_xlfn.CONCAT(A802," (",N802,")"),A802)</f>
        <v>Lìguó Xiāng</v>
      </c>
      <c r="C802" t="str">
        <f>IF(COUNTIF(B:B,B802)&gt;1,_xlfn.CONCAT(A802," (",M802,")"),B802)</f>
        <v>Lìguó Xiāng</v>
      </c>
      <c r="D802" t="s">
        <v>98</v>
      </c>
      <c r="E802" t="s">
        <v>61</v>
      </c>
      <c r="F802" t="str">
        <f>_xlfn.CONCAT(D802,", ",H802,", ",I802,", ","山东省")</f>
        <v>利国乡, 沾化区, 滨州市, 山东省</v>
      </c>
      <c r="G802">
        <v>11829</v>
      </c>
      <c r="H802" t="s">
        <v>3638</v>
      </c>
      <c r="I802" t="s">
        <v>3630</v>
      </c>
      <c r="J802" t="e">
        <f>VLOOKUP(F802,[1]!china_towns_second__2[[Column1]:[Y]],3,FALSE)</f>
        <v>#N/A</v>
      </c>
      <c r="K802" t="e">
        <f>VLOOKUP(F802,[1]!china_towns_second__2[[Column1]:[Y]],2,FALSE)</f>
        <v>#N/A</v>
      </c>
      <c r="L802" t="s">
        <v>5635</v>
      </c>
      <c r="M802" t="str">
        <f>VLOOKUP(H802,CHOOSE({1,2},Table17[Native],Table17[Name]),2,0)</f>
        <v>Zhānhuà Qū</v>
      </c>
      <c r="N802" s="15" t="str">
        <f>VLOOKUP(I802,CHOOSE({1,2},Table17[Native],Table17[Name]),2,0)</f>
        <v>Bīnzhōu Shì</v>
      </c>
      <c r="O802" s="15" t="str">
        <f t="shared" si="24"/>
        <v>Liguo Xiang (Bīnzhōu Shì)</v>
      </c>
      <c r="P802" s="15" t="str">
        <f t="shared" si="25"/>
        <v>Liguo Xiang (Bīnzhōu Shì)</v>
      </c>
    </row>
    <row r="803" spans="1:16" hidden="1" x14ac:dyDescent="0.25">
      <c r="A803" t="s">
        <v>310</v>
      </c>
      <c r="B803" t="str">
        <f>IF(COUNTIF(A:A,A803)&gt;1,_xlfn.CONCAT(A803," (",N803,")"),A803)</f>
        <v>Lĭhéwù Zhèn</v>
      </c>
      <c r="C803" t="str">
        <f>IF(COUNTIF(B:B,B803)&gt;1,_xlfn.CONCAT(A803," (",M803,")"),B803)</f>
        <v>Lĭhéwù Zhèn</v>
      </c>
      <c r="D803" t="s">
        <v>311</v>
      </c>
      <c r="E803" t="s">
        <v>13</v>
      </c>
      <c r="F803" t="str">
        <f>_xlfn.CONCAT(D803,", ",H803,", ",I803,", ","山东省")</f>
        <v>理合务镇, 临邑县, 德州市, 山东省</v>
      </c>
      <c r="G803">
        <v>25574</v>
      </c>
      <c r="H803" t="s">
        <v>3646</v>
      </c>
      <c r="I803" t="s">
        <v>3642</v>
      </c>
      <c r="J803">
        <f>VLOOKUP(F803,[1]!china_towns_second__2[[Column1]:[Y]],3,FALSE)</f>
        <v>37.358999936844597</v>
      </c>
      <c r="K803">
        <f>VLOOKUP(F803,[1]!china_towns_second__2[[Column1]:[Y]],2,FALSE)</f>
        <v>116.9554132</v>
      </c>
      <c r="L803" t="s">
        <v>5636</v>
      </c>
      <c r="M803" t="str">
        <f>VLOOKUP(H803,CHOOSE({1,2},Table17[Native],Table17[Name]),2,0)</f>
        <v>Línyì Xiàn</v>
      </c>
      <c r="N803" s="15" t="str">
        <f>VLOOKUP(I803,CHOOSE({1,2},Table17[Native],Table17[Name]),2,0)</f>
        <v>Dézhōu Shì</v>
      </c>
      <c r="O803" s="15" t="str">
        <f t="shared" si="24"/>
        <v>Lihewu Zhen (Dézhōu Shì)</v>
      </c>
      <c r="P803" s="15" t="str">
        <f t="shared" si="25"/>
        <v>Lihewu Zhen (Dézhōu Shì)</v>
      </c>
    </row>
    <row r="804" spans="1:16" hidden="1" x14ac:dyDescent="0.25">
      <c r="A804" t="s">
        <v>738</v>
      </c>
      <c r="B804" t="str">
        <f>IF(COUNTIF(A:A,A804)&gt;1,_xlfn.CONCAT(A804," (",N804,")"),A804)</f>
        <v>Lĭjí Zhèn</v>
      </c>
      <c r="C804" t="str">
        <f>IF(COUNTIF(B:B,B804)&gt;1,_xlfn.CONCAT(A804," (",M804,")"),B804)</f>
        <v>Lĭjí Zhèn</v>
      </c>
      <c r="D804" t="s">
        <v>739</v>
      </c>
      <c r="E804" t="s">
        <v>13</v>
      </c>
      <c r="F804" t="str">
        <f>_xlfn.CONCAT(D804,", ",H804,", ",I804,", ","山东省")</f>
        <v>李集镇, 郓城县, 菏泽市, 山东省</v>
      </c>
      <c r="G804">
        <v>45596</v>
      </c>
      <c r="H804" t="s">
        <v>3671</v>
      </c>
      <c r="I804" t="s">
        <v>3662</v>
      </c>
      <c r="J804">
        <f>VLOOKUP(F804,[1]!china_towns_second__2[[Column1]:[Y]],3,FALSE)</f>
        <v>35.793871139458403</v>
      </c>
      <c r="K804">
        <f>VLOOKUP(F804,[1]!china_towns_second__2[[Column1]:[Y]],2,FALSE)</f>
        <v>115.74790419999999</v>
      </c>
      <c r="L804" t="s">
        <v>5637</v>
      </c>
      <c r="M804" t="str">
        <f>VLOOKUP(H804,CHOOSE({1,2},Table17[Native],Table17[Name]),2,0)</f>
        <v>Yùnchéng Xiàn</v>
      </c>
      <c r="N804" s="15" t="str">
        <f>VLOOKUP(I804,CHOOSE({1,2},Table17[Native],Table17[Name]),2,0)</f>
        <v>Hézé Shì</v>
      </c>
      <c r="O804" s="15" t="str">
        <f t="shared" si="24"/>
        <v>Liji Zhen (Hézé Shì)</v>
      </c>
      <c r="P804" s="15" t="str">
        <f t="shared" si="25"/>
        <v>Liji Zhen (Hézé Shì)</v>
      </c>
    </row>
    <row r="805" spans="1:16" hidden="1" x14ac:dyDescent="0.25">
      <c r="A805" t="s">
        <v>312</v>
      </c>
      <c r="B805" t="str">
        <f>IF(COUNTIF(A:A,A805)&gt;1,_xlfn.CONCAT(A805," (",N805,")"),A805)</f>
        <v>Lĭjiāhù Zhèn</v>
      </c>
      <c r="C805" t="str">
        <f>IF(COUNTIF(B:B,B805)&gt;1,_xlfn.CONCAT(A805," (",M805,")"),B805)</f>
        <v>Lĭjiāhù Zhèn</v>
      </c>
      <c r="D805" t="s">
        <v>313</v>
      </c>
      <c r="E805" t="s">
        <v>13</v>
      </c>
      <c r="F805" t="str">
        <f>_xlfn.CONCAT(D805,", ",H805,", ",I805,", ","山东省")</f>
        <v>李家户镇, 武城县, 德州市, 山东省</v>
      </c>
      <c r="G805">
        <v>27263</v>
      </c>
      <c r="H805" t="s">
        <v>3651</v>
      </c>
      <c r="I805" t="s">
        <v>3642</v>
      </c>
      <c r="J805">
        <f>VLOOKUP(F805,[1]!china_towns_second__2[[Column1]:[Y]],3,FALSE)</f>
        <v>37.145045498457499</v>
      </c>
      <c r="K805">
        <f>VLOOKUP(F805,[1]!china_towns_second__2[[Column1]:[Y]],2,FALSE)</f>
        <v>115.99910300000001</v>
      </c>
      <c r="L805" t="s">
        <v>5638</v>
      </c>
      <c r="M805" t="str">
        <f>VLOOKUP(H805,CHOOSE({1,2},Table17[Native],Table17[Name]),2,0)</f>
        <v>Wŭchéng Xiàn</v>
      </c>
      <c r="N805" s="15" t="str">
        <f>VLOOKUP(I805,CHOOSE({1,2},Table17[Native],Table17[Name]),2,0)</f>
        <v>Dézhōu Shì</v>
      </c>
      <c r="O805" s="15" t="str">
        <f t="shared" si="24"/>
        <v>Lijiahu Zhen (Dézhōu Shì)</v>
      </c>
      <c r="P805" s="15" t="str">
        <f t="shared" si="25"/>
        <v>Lijiahu Zhen (Dézhōu Shì)</v>
      </c>
    </row>
    <row r="806" spans="1:16" hidden="1" x14ac:dyDescent="0.25">
      <c r="A806" t="s">
        <v>529</v>
      </c>
      <c r="B806" t="str">
        <f>IF(COUNTIF(A:A,A806)&gt;1,_xlfn.CONCAT(A806," (",N806,")"),A806)</f>
        <v>Lìjīn Jiēdào</v>
      </c>
      <c r="C806" t="str">
        <f>IF(COUNTIF(B:B,B806)&gt;1,_xlfn.CONCAT(A806," (",M806,")"),B806)</f>
        <v>Lìjīn Jiēdào</v>
      </c>
      <c r="D806" t="s">
        <v>530</v>
      </c>
      <c r="E806" t="s">
        <v>7</v>
      </c>
      <c r="F806" t="str">
        <f>_xlfn.CONCAT(D806,", ",H806,", ",I806,", ","山东省")</f>
        <v>利津街道, 利津县, 东营市, 山东省</v>
      </c>
      <c r="G806">
        <v>31710</v>
      </c>
      <c r="H806" t="s">
        <v>3660</v>
      </c>
      <c r="I806" t="s">
        <v>3655</v>
      </c>
      <c r="J806">
        <f>VLOOKUP(F806,[1]!china_towns_second__2[[Column1]:[Y]],3,FALSE)</f>
        <v>37.550609809491398</v>
      </c>
      <c r="K806">
        <f>VLOOKUP(F806,[1]!china_towns_second__2[[Column1]:[Y]],2,FALSE)</f>
        <v>118.2785399</v>
      </c>
      <c r="L806" t="s">
        <v>5639</v>
      </c>
      <c r="M806" t="str">
        <f>VLOOKUP(H806,CHOOSE({1,2},Table17[Native],Table17[Name]),2,0)</f>
        <v>Lìjīn Xiàn</v>
      </c>
      <c r="N806" s="15" t="str">
        <f>VLOOKUP(I806,CHOOSE({1,2},Table17[Native],Table17[Name]),2,0)</f>
        <v>Dōngyíng Shì</v>
      </c>
      <c r="O806" s="15" t="str">
        <f t="shared" si="24"/>
        <v>Lijin Jiedao (Dōngyíng Shì)</v>
      </c>
      <c r="P806" s="15" t="str">
        <f t="shared" si="25"/>
        <v>Lijin Jiedao (Dōngyíng Shì)</v>
      </c>
    </row>
    <row r="807" spans="1:16" hidden="1" x14ac:dyDescent="0.25">
      <c r="A807" t="s">
        <v>531</v>
      </c>
      <c r="B807" t="str">
        <f>IF(COUNTIF(A:A,A807)&gt;1,_xlfn.CONCAT(A807," (",N807,")"),A807)</f>
        <v>Lìjīn Xiàn Jīngjì Kāifāqū</v>
      </c>
      <c r="C807" t="str">
        <f>IF(COUNTIF(B:B,B807)&gt;1,_xlfn.CONCAT(A807," (",M807,")"),B807)</f>
        <v>Lìjīn Xiàn Jīngjì Kāifāqū</v>
      </c>
      <c r="D807" t="s">
        <v>532</v>
      </c>
      <c r="E807" t="s">
        <v>495</v>
      </c>
      <c r="F807" t="str">
        <f>_xlfn.CONCAT(D807,", ",H807,", ",I807,", ","山东省")</f>
        <v>利津县经济开发区, 利津县, 东营市, 山东省</v>
      </c>
      <c r="G807">
        <v>28347</v>
      </c>
      <c r="H807" t="s">
        <v>3660</v>
      </c>
      <c r="I807" t="s">
        <v>3655</v>
      </c>
      <c r="J807">
        <f>VLOOKUP(F807,[1]!china_towns_second__2[[Column1]:[Y]],3,FALSE)</f>
        <v>37.512897747000601</v>
      </c>
      <c r="K807">
        <f>VLOOKUP(F807,[1]!china_towns_second__2[[Column1]:[Y]],2,FALSE)</f>
        <v>118.23405649999999</v>
      </c>
      <c r="L807" t="s">
        <v>5640</v>
      </c>
      <c r="M807" t="str">
        <f>VLOOKUP(H807,CHOOSE({1,2},Table17[Native],Table17[Name]),2,0)</f>
        <v>Lìjīn Xiàn</v>
      </c>
      <c r="N807" s="15" t="str">
        <f>VLOOKUP(I807,CHOOSE({1,2},Table17[Native],Table17[Name]),2,0)</f>
        <v>Dōngyíng Shì</v>
      </c>
      <c r="O807" s="15" t="str">
        <f t="shared" si="24"/>
        <v>Lijin Xian Jingji Kaifaqu (Dōngyíng Shì)</v>
      </c>
      <c r="P807" s="15" t="str">
        <f t="shared" si="25"/>
        <v>Lijin Xian Jingji Kaifaqu (Dōngyíng Shì)</v>
      </c>
    </row>
    <row r="808" spans="1:16" hidden="1" x14ac:dyDescent="0.25">
      <c r="A808" t="s">
        <v>736</v>
      </c>
      <c r="B808" t="str">
        <f>IF(COUNTIF(A:A,A808)&gt;1,_xlfn.CONCAT(A808," (",N808,")"),A808)</f>
        <v>Lĭjìnshìtáng Zhèn</v>
      </c>
      <c r="C808" t="str">
        <f>IF(COUNTIF(B:B,B808)&gt;1,_xlfn.CONCAT(A808," (",M808,")"),B808)</f>
        <v>Lĭjìnshìtáng Zhèn</v>
      </c>
      <c r="D808" t="s">
        <v>737</v>
      </c>
      <c r="E808" t="s">
        <v>13</v>
      </c>
      <c r="F808" t="str">
        <f>_xlfn.CONCAT(D808,", ",H808,", ",I808,", ","山东省")</f>
        <v>李进士堂镇, 鄄城县, 菏泽市, 山东省</v>
      </c>
      <c r="G808">
        <v>24589</v>
      </c>
      <c r="H808" t="s">
        <v>3667</v>
      </c>
      <c r="I808" t="s">
        <v>3662</v>
      </c>
      <c r="J808">
        <f>VLOOKUP(F808,[1]!china_towns_second__2[[Column1]:[Y]],3,FALSE)</f>
        <v>35.698319835210903</v>
      </c>
      <c r="K808">
        <f>VLOOKUP(F808,[1]!china_towns_second__2[[Column1]:[Y]],2,FALSE)</f>
        <v>115.55316639999999</v>
      </c>
      <c r="L808" t="s">
        <v>5641</v>
      </c>
      <c r="M808" t="str">
        <f>VLOOKUP(H808,CHOOSE({1,2},Table17[Native],Table17[Name]),2,0)</f>
        <v>Juànchéng Xiàn</v>
      </c>
      <c r="N808" s="15" t="str">
        <f>VLOOKUP(I808,CHOOSE({1,2},Table17[Native],Table17[Name]),2,0)</f>
        <v>Hézé Shì</v>
      </c>
      <c r="O808" s="15" t="str">
        <f t="shared" si="24"/>
        <v>Lijinshitang Zhen (Hézé Shì)</v>
      </c>
      <c r="P808" s="15" t="str">
        <f t="shared" si="25"/>
        <v>Lijinshitang Zhen (Hézé Shì)</v>
      </c>
    </row>
    <row r="809" spans="1:16" hidden="1" x14ac:dyDescent="0.25">
      <c r="A809" t="s">
        <v>3397</v>
      </c>
      <c r="B809" t="str">
        <f>IF(COUNTIF(A:A,A809)&gt;1,_xlfn.CONCAT(A809," (",N809,")"),A809)</f>
        <v>Línchéng Jiēdào</v>
      </c>
      <c r="C809" t="str">
        <f>IF(COUNTIF(B:B,B809)&gt;1,_xlfn.CONCAT(A809," (",M809,")"),B809)</f>
        <v>Línchéng Jiēdào</v>
      </c>
      <c r="D809" t="s">
        <v>3398</v>
      </c>
      <c r="E809" t="s">
        <v>7</v>
      </c>
      <c r="F809" t="str">
        <f>_xlfn.CONCAT(D809,", ",H809,", ",I809,", ","山东省")</f>
        <v>临城街道, 薛城区, 枣庄市, 山东省</v>
      </c>
      <c r="G809">
        <v>84860</v>
      </c>
      <c r="H809" t="s">
        <v>3788</v>
      </c>
      <c r="I809" t="s">
        <v>3784</v>
      </c>
      <c r="J809">
        <f>VLOOKUP(F809,[1]!china_towns_second__2[[Column1]:[Y]],3,FALSE)</f>
        <v>34.800676305036397</v>
      </c>
      <c r="K809">
        <f>VLOOKUP(F809,[1]!china_towns_second__2[[Column1]:[Y]],2,FALSE)</f>
        <v>117.2451015</v>
      </c>
      <c r="L809" t="s">
        <v>5642</v>
      </c>
      <c r="M809" t="str">
        <f>VLOOKUP(H809,CHOOSE({1,2},Table17[Native],Table17[Name]),2,0)</f>
        <v>Xuēchéng Qū</v>
      </c>
      <c r="N809" s="15" t="str">
        <f>VLOOKUP(I809,CHOOSE({1,2},Table17[Native],Table17[Name]),2,0)</f>
        <v>Zăozhuāng Shì</v>
      </c>
      <c r="O809" s="15" t="str">
        <f t="shared" si="24"/>
        <v>Lincheng Jiedao (Zăozhuāng Shì)</v>
      </c>
      <c r="P809" s="15" t="str">
        <f t="shared" si="25"/>
        <v>Lincheng Jiedao (Zăozhuāng Shì)</v>
      </c>
    </row>
    <row r="810" spans="1:16" hidden="1" x14ac:dyDescent="0.25">
      <c r="A810" t="s">
        <v>99</v>
      </c>
      <c r="B810" t="str">
        <f>IF(COUNTIF(A:A,A810)&gt;1,_xlfn.CONCAT(A810," (",N810,")"),A810)</f>
        <v>Línchí Zhèn</v>
      </c>
      <c r="C810" t="str">
        <f>IF(COUNTIF(B:B,B810)&gt;1,_xlfn.CONCAT(A810," (",M810,")"),B810)</f>
        <v>Línchí Zhèn</v>
      </c>
      <c r="D810" t="s">
        <v>100</v>
      </c>
      <c r="E810" t="s">
        <v>13</v>
      </c>
      <c r="F810" t="str">
        <f>_xlfn.CONCAT(D810,", ",H810,", ",I810,", ","山东省")</f>
        <v>临池镇, 邹平市, 滨州市, 山东省</v>
      </c>
      <c r="G810">
        <v>28802</v>
      </c>
      <c r="H810" t="s">
        <v>3640</v>
      </c>
      <c r="I810" t="s">
        <v>3630</v>
      </c>
      <c r="J810">
        <f>VLOOKUP(F810,[1]!china_towns_second__2[[Column1]:[Y]],3,FALSE)</f>
        <v>36.734510719119697</v>
      </c>
      <c r="K810">
        <f>VLOOKUP(F810,[1]!china_towns_second__2[[Column1]:[Y]],2,FALSE)</f>
        <v>117.77461719999999</v>
      </c>
      <c r="L810" t="s">
        <v>5643</v>
      </c>
      <c r="M810" t="str">
        <f>VLOOKUP(H810,CHOOSE({1,2},Table17[Native],Table17[Name]),2,0)</f>
        <v>Zōupíng Shì</v>
      </c>
      <c r="N810" s="15" t="str">
        <f>VLOOKUP(I810,CHOOSE({1,2},Table17[Native],Table17[Name]),2,0)</f>
        <v>Bīnzhōu Shì</v>
      </c>
      <c r="O810" s="15" t="str">
        <f t="shared" si="24"/>
        <v>Linchi Zhen (Bīnzhōu Shì)</v>
      </c>
      <c r="P810" s="15" t="str">
        <f t="shared" si="25"/>
        <v>Linchi Zhen (Bīnzhōu Shì)</v>
      </c>
    </row>
    <row r="811" spans="1:16" hidden="1" x14ac:dyDescent="0.25">
      <c r="A811" t="s">
        <v>1040</v>
      </c>
      <c r="B811" t="str">
        <f>IF(COUNTIF(A:A,A811)&gt;1,_xlfn.CONCAT(A811," (",N811,")"),A811)</f>
        <v>Língăng Jiēdào</v>
      </c>
      <c r="C811" t="str">
        <f>IF(COUNTIF(B:B,B811)&gt;1,_xlfn.CONCAT(A811," (",M811,")"),B811)</f>
        <v>Língăng Jiēdào</v>
      </c>
      <c r="D811" t="s">
        <v>1041</v>
      </c>
      <c r="E811" t="s">
        <v>7</v>
      </c>
      <c r="F811" t="str">
        <f>_xlfn.CONCAT(D811,", ",H811,", ",I811,", ","山东省")</f>
        <v>临港街道, 历城区, 济南市, 山东省</v>
      </c>
      <c r="G811">
        <v>35533</v>
      </c>
      <c r="H811" t="s">
        <v>3679</v>
      </c>
      <c r="I811" t="s">
        <v>3673</v>
      </c>
      <c r="J811">
        <f>VLOOKUP(F811,[1]!china_towns_second__2[[Column1]:[Y]],3,FALSE)</f>
        <v>36.813088511180702</v>
      </c>
      <c r="K811">
        <f>VLOOKUP(F811,[1]!china_towns_second__2[[Column1]:[Y]],2,FALSE)</f>
        <v>117.2221548</v>
      </c>
      <c r="L811" t="s">
        <v>5644</v>
      </c>
      <c r="M811" t="str">
        <f>VLOOKUP(H811,CHOOSE({1,2},Table17[Native],Table17[Name]),2,0)</f>
        <v>Lìchéng Qū</v>
      </c>
      <c r="N811" s="15" t="str">
        <f>VLOOKUP(I811,CHOOSE({1,2},Table17[Native],Table17[Name]),2,0)</f>
        <v>Jìnán Shì</v>
      </c>
      <c r="O811" s="15" t="str">
        <f t="shared" si="24"/>
        <v>Lingang Jiedao (Jìnán Shì)</v>
      </c>
      <c r="P811" s="15" t="str">
        <f t="shared" si="25"/>
        <v>Lingang Jiedao (Jìnán Shì)</v>
      </c>
    </row>
    <row r="812" spans="1:16" hidden="1" x14ac:dyDescent="0.25">
      <c r="A812" t="s">
        <v>1352</v>
      </c>
      <c r="B812" t="str">
        <f>IF(COUNTIF(A:A,A812)&gt;1,_xlfn.CONCAT(A812," (",N812,")"),A812)</f>
        <v>Língchéng Zhèn</v>
      </c>
      <c r="C812" t="str">
        <f>IF(COUNTIF(B:B,B812)&gt;1,_xlfn.CONCAT(A812," (",M812,")"),B812)</f>
        <v>Língchéng Zhèn</v>
      </c>
      <c r="D812" t="s">
        <v>1353</v>
      </c>
      <c r="E812" t="s">
        <v>13</v>
      </c>
      <c r="F812" t="str">
        <f>_xlfn.CONCAT(D812,", ",H812,", ",I812,", ","山东省")</f>
        <v>陵城镇, 曲阜市, 济宁市, 山东省</v>
      </c>
      <c r="G812">
        <v>60259</v>
      </c>
      <c r="H812" t="s">
        <v>3691</v>
      </c>
      <c r="I812" t="s">
        <v>3687</v>
      </c>
      <c r="J812">
        <f>VLOOKUP(F812,[1]!china_towns_second__2[[Column1]:[Y]],3,FALSE)</f>
        <v>35.530875649688298</v>
      </c>
      <c r="K812">
        <f>VLOOKUP(F812,[1]!china_towns_second__2[[Column1]:[Y]],2,FALSE)</f>
        <v>116.9121</v>
      </c>
      <c r="L812" t="s">
        <v>5645</v>
      </c>
      <c r="M812" t="str">
        <f>VLOOKUP(H812,CHOOSE({1,2},Table17[Native],Table17[Name]),2,0)</f>
        <v>Qŭfù Shì</v>
      </c>
      <c r="N812" s="15" t="str">
        <f>VLOOKUP(I812,CHOOSE({1,2},Table17[Native],Table17[Name]),2,0)</f>
        <v>Jìníng Shì</v>
      </c>
      <c r="O812" s="15" t="str">
        <f t="shared" si="24"/>
        <v>Lingcheng Zhen (Jìníng Shì)</v>
      </c>
      <c r="P812" s="15" t="str">
        <f t="shared" si="25"/>
        <v>Lingcheng Zhen (Jìníng Shì)</v>
      </c>
    </row>
    <row r="813" spans="1:16" hidden="1" x14ac:dyDescent="0.25">
      <c r="A813" t="s">
        <v>2777</v>
      </c>
      <c r="B813" t="str">
        <f>IF(COUNTIF(A:A,A813)&gt;1,_xlfn.CONCAT(A813," (",N813,")"),A813)</f>
        <v>Línghé Jiēdào</v>
      </c>
      <c r="C813" t="str">
        <f>IF(COUNTIF(B:B,B813)&gt;1,_xlfn.CONCAT(A813," (",M813,")"),B813)</f>
        <v>Línghé Jiēdào</v>
      </c>
      <c r="D813" t="s">
        <v>2778</v>
      </c>
      <c r="E813" t="s">
        <v>7</v>
      </c>
      <c r="F813" t="str">
        <f>_xlfn.CONCAT(D813,", ",H813,", ",I813,", ","山东省")</f>
        <v>凌河街道, 安丘市, 潍坊市, 山东省</v>
      </c>
      <c r="G813">
        <v>99069</v>
      </c>
      <c r="H813" t="s">
        <v>3752</v>
      </c>
      <c r="I813" t="s">
        <v>3751</v>
      </c>
      <c r="J813" t="e">
        <f>VLOOKUP(F813,[1]!china_towns_second__2[[Column1]:[Y]],3,FALSE)</f>
        <v>#N/A</v>
      </c>
      <c r="K813" t="e">
        <f>VLOOKUP(F813,[1]!china_towns_second__2[[Column1]:[Y]],2,FALSE)</f>
        <v>#N/A</v>
      </c>
      <c r="L813" t="s">
        <v>5646</v>
      </c>
      <c r="M813" t="str">
        <f>VLOOKUP(H813,CHOOSE({1,2},Table17[Native],Table17[Name]),2,0)</f>
        <v>Ānqiū Shì</v>
      </c>
      <c r="N813" s="15" t="str">
        <f>VLOOKUP(I813,CHOOSE({1,2},Table17[Native],Table17[Name]),2,0)</f>
        <v>Wéifāng Shì</v>
      </c>
      <c r="O813" s="15" t="str">
        <f t="shared" si="24"/>
        <v>Linghe Jiedao (Wéifāng Shì)</v>
      </c>
      <c r="P813" s="15" t="str">
        <f t="shared" si="25"/>
        <v>Linghe Jiedao (Wéifāng Shì)</v>
      </c>
    </row>
    <row r="814" spans="1:16" hidden="1" x14ac:dyDescent="0.25">
      <c r="A814" t="s">
        <v>3171</v>
      </c>
      <c r="B814" t="str">
        <f>IF(COUNTIF(A:A,A814)&gt;1,_xlfn.CONCAT(A814," (",N814,")"),A814)</f>
        <v>Línglóng Zhèn</v>
      </c>
      <c r="C814" t="str">
        <f>IF(COUNTIF(B:B,B814)&gt;1,_xlfn.CONCAT(A814," (",M814,")"),B814)</f>
        <v>Línglóng Zhèn</v>
      </c>
      <c r="D814" t="s">
        <v>3172</v>
      </c>
      <c r="E814" t="s">
        <v>13</v>
      </c>
      <c r="F814" t="str">
        <f>_xlfn.CONCAT(D814,", ",H814,", ",I814,", ","山东省")</f>
        <v>玲珑镇, 招远市, 烟台市, 山东省</v>
      </c>
      <c r="G814">
        <v>27888</v>
      </c>
      <c r="H814" t="s">
        <v>3781</v>
      </c>
      <c r="I814" t="s">
        <v>3771</v>
      </c>
      <c r="J814">
        <f>VLOOKUP(F814,[1]!china_towns_second__2[[Column1]:[Y]],3,FALSE)</f>
        <v>37.424743542942998</v>
      </c>
      <c r="K814">
        <f>VLOOKUP(F814,[1]!china_towns_second__2[[Column1]:[Y]],2,FALSE)</f>
        <v>120.48674870000001</v>
      </c>
      <c r="L814" t="s">
        <v>5647</v>
      </c>
      <c r="M814" t="str">
        <f>VLOOKUP(H814,CHOOSE({1,2},Table17[Native],Table17[Name]),2,0)</f>
        <v>Zhāoyuăn Shì</v>
      </c>
      <c r="N814" s="15" t="str">
        <f>VLOOKUP(I814,CHOOSE({1,2},Table17[Native],Table17[Name]),2,0)</f>
        <v>Yāntái Shì</v>
      </c>
      <c r="O814" s="15" t="str">
        <f t="shared" si="24"/>
        <v>Linglong Zhen (Yāntái Shì)</v>
      </c>
      <c r="P814" s="15" t="str">
        <f t="shared" si="25"/>
        <v>Linglong Zhen (Yāntái Shì)</v>
      </c>
    </row>
    <row r="815" spans="1:16" hidden="1" x14ac:dyDescent="0.25">
      <c r="A815" t="s">
        <v>1927</v>
      </c>
      <c r="B815" t="str">
        <f>IF(COUNTIF(A:A,A815)&gt;1,_xlfn.CONCAT(A815," (",N815,")"),A815)</f>
        <v>Lĭngquán Zhèn</v>
      </c>
      <c r="C815" t="str">
        <f>IF(COUNTIF(B:B,B815)&gt;1,_xlfn.CONCAT(A815," (",M815,")"),B815)</f>
        <v>Lĭngquán Zhèn</v>
      </c>
      <c r="D815" t="s">
        <v>1928</v>
      </c>
      <c r="E815" t="s">
        <v>13</v>
      </c>
      <c r="F815" t="str">
        <f>_xlfn.CONCAT(D815,", ",H815,", ",I815,", ","山东省")</f>
        <v>岭泉镇, 莒南县, 临沂市, 山东省</v>
      </c>
      <c r="G815">
        <v>36277</v>
      </c>
      <c r="H815" t="s">
        <v>3713</v>
      </c>
      <c r="I815" t="s">
        <v>3710</v>
      </c>
      <c r="J815">
        <f>VLOOKUP(F815,[1]!china_towns_second__2[[Column1]:[Y]],3,FALSE)</f>
        <v>35.218349993149197</v>
      </c>
      <c r="K815">
        <f>VLOOKUP(F815,[1]!china_towns_second__2[[Column1]:[Y]],2,FALSE)</f>
        <v>118.7160143</v>
      </c>
      <c r="L815" t="s">
        <v>5648</v>
      </c>
      <c r="M815" t="str">
        <f>VLOOKUP(H815,CHOOSE({1,2},Table17[Native],Table17[Name]),2,0)</f>
        <v>Jŭnán Xiàn</v>
      </c>
      <c r="N815" s="15" t="str">
        <f>VLOOKUP(I815,CHOOSE({1,2},Table17[Native],Table17[Name]),2,0)</f>
        <v>Línyí Shì</v>
      </c>
      <c r="O815" s="15" t="str">
        <f t="shared" si="24"/>
        <v>Lingquan Zhen (Línyí Shì)</v>
      </c>
      <c r="P815" s="15" t="str">
        <f t="shared" si="25"/>
        <v>Lingquan Zhen (Línyí Shì)</v>
      </c>
    </row>
    <row r="816" spans="1:16" hidden="1" x14ac:dyDescent="0.25">
      <c r="A816" t="s">
        <v>2250</v>
      </c>
      <c r="B816" t="str">
        <f>IF(COUNTIF(A:A,A816)&gt;1,_xlfn.CONCAT(A816," (",N816,")"),A816)</f>
        <v>Língshān Jiēdào [incl. Huáshān Zhèn]</v>
      </c>
      <c r="C816" t="str">
        <f>IF(COUNTIF(B:B,B816)&gt;1,_xlfn.CONCAT(A816," (",M816,")"),B816)</f>
        <v>Língshān Jiēdào [incl. Huáshān Zhèn]</v>
      </c>
      <c r="D816" t="s">
        <v>2251</v>
      </c>
      <c r="E816" t="s">
        <v>7</v>
      </c>
      <c r="F816" t="str">
        <f>_xlfn.CONCAT(D816,", ",H816,", ",I816,", ","山东省")</f>
        <v>灵山街道, 即墨区, 青岛市, 山东省</v>
      </c>
      <c r="G816">
        <v>67569</v>
      </c>
      <c r="H816" t="s">
        <v>3728</v>
      </c>
      <c r="I816" t="s">
        <v>3724</v>
      </c>
      <c r="J816" t="e">
        <f>VLOOKUP(F816,[1]!china_towns_second__2[[Column1]:[Y]],3,FALSE)</f>
        <v>#N/A</v>
      </c>
      <c r="K816" t="e">
        <f>VLOOKUP(F816,[1]!china_towns_second__2[[Column1]:[Y]],2,FALSE)</f>
        <v>#N/A</v>
      </c>
      <c r="L816" t="s">
        <v>5649</v>
      </c>
      <c r="M816" t="str">
        <f>VLOOKUP(H816,CHOOSE({1,2},Table17[Native],Table17[Name]),2,0)</f>
        <v>Jímò Qū</v>
      </c>
      <c r="N816" s="15" t="str">
        <f>VLOOKUP(I816,CHOOSE({1,2},Table17[Native],Table17[Name]),2,0)</f>
        <v>Qīngdăo Shì</v>
      </c>
      <c r="O816" s="15" t="str">
        <f t="shared" si="24"/>
        <v>Lingshan Jiedao [incl. Huashan Zhen] (Qīngdăo Shì)</v>
      </c>
      <c r="P816" s="15" t="str">
        <f t="shared" si="25"/>
        <v>Lingshan Jiedao [incl. Huashan Zhen] (Qīngdăo Shì)</v>
      </c>
    </row>
    <row r="817" spans="1:16" hidden="1" x14ac:dyDescent="0.25">
      <c r="A817" t="s">
        <v>2252</v>
      </c>
      <c r="B817" t="str">
        <f>IF(COUNTIF(A:A,A817)&gt;1,_xlfn.CONCAT(A817," (",N817,")"),A817)</f>
        <v>Língshānwèi Jiēdào</v>
      </c>
      <c r="C817" t="str">
        <f>IF(COUNTIF(B:B,B817)&gt;1,_xlfn.CONCAT(A817," (",M817,")"),B817)</f>
        <v>Língshānwèi Jiēdào</v>
      </c>
      <c r="D817" t="s">
        <v>2253</v>
      </c>
      <c r="E817" t="s">
        <v>7</v>
      </c>
      <c r="F817" t="str">
        <f>_xlfn.CONCAT(D817,", ",H817,", ",I817,", ","山东省")</f>
        <v>灵山卫街道, 黄岛区, 青岛市, 山东省</v>
      </c>
      <c r="G817">
        <v>60168</v>
      </c>
      <c r="H817" t="s">
        <v>3726</v>
      </c>
      <c r="I817" t="s">
        <v>3724</v>
      </c>
      <c r="J817">
        <f>VLOOKUP(F817,[1]!china_towns_second__2[[Column1]:[Y]],3,FALSE)</f>
        <v>35.917670296597002</v>
      </c>
      <c r="K817">
        <f>VLOOKUP(F817,[1]!china_towns_second__2[[Column1]:[Y]],2,FALSE)</f>
        <v>120.1059669</v>
      </c>
      <c r="L817" t="s">
        <v>5650</v>
      </c>
      <c r="M817" t="str">
        <f>VLOOKUP(H817,CHOOSE({1,2},Table17[Native],Table17[Name]),2,0)</f>
        <v>Huángdăo Qū</v>
      </c>
      <c r="N817" s="15" t="str">
        <f>VLOOKUP(I817,CHOOSE({1,2},Table17[Native],Table17[Name]),2,0)</f>
        <v>Qīngdăo Shì</v>
      </c>
      <c r="O817" s="15" t="str">
        <f t="shared" si="24"/>
        <v>Lingshanwei Jiedao (Qīngdăo Shì)</v>
      </c>
      <c r="P817" s="15" t="str">
        <f t="shared" si="25"/>
        <v>Lingshanwei Jiedao (Qīngdăo Shì)</v>
      </c>
    </row>
    <row r="818" spans="1:16" hidden="1" x14ac:dyDescent="0.25">
      <c r="A818" t="s">
        <v>2446</v>
      </c>
      <c r="B818" t="str">
        <f>IF(COUNTIF(A:A,A818)&gt;1,_xlfn.CONCAT(A818," (",N818,")"),A818)</f>
        <v>Língyáng Jiēdào</v>
      </c>
      <c r="C818" t="str">
        <f>IF(COUNTIF(B:B,B818)&gt;1,_xlfn.CONCAT(A818," (",M818,")"),B818)</f>
        <v>Língyáng Jiēdào</v>
      </c>
      <c r="D818" t="s">
        <v>2447</v>
      </c>
      <c r="E818" t="s">
        <v>7</v>
      </c>
      <c r="F818" t="str">
        <f>_xlfn.CONCAT(D818,", ",H818,", ",I818,", ","山东省")</f>
        <v>陵阳街道, 莒县, 日照市, 山东省</v>
      </c>
      <c r="G818">
        <v>37691</v>
      </c>
      <c r="H818" t="s">
        <v>3739</v>
      </c>
      <c r="I818" t="s">
        <v>3736</v>
      </c>
      <c r="J818" t="e">
        <f>VLOOKUP(F818,[1]!china_towns_second__2[[Column1]:[Y]],3,FALSE)</f>
        <v>#N/A</v>
      </c>
      <c r="K818" t="e">
        <f>VLOOKUP(F818,[1]!china_towns_second__2[[Column1]:[Y]],2,FALSE)</f>
        <v>#N/A</v>
      </c>
      <c r="L818" t="s">
        <v>5651</v>
      </c>
      <c r="M818" t="str">
        <f>VLOOKUP(H818,CHOOSE({1,2},Table17[Native],Table17[Name]),2,0)</f>
        <v>Jŭ Xiàn</v>
      </c>
      <c r="N818" s="15" t="str">
        <f>VLOOKUP(I818,CHOOSE({1,2},Table17[Native],Table17[Name]),2,0)</f>
        <v>Rìzhào Shì</v>
      </c>
      <c r="O818" s="15" t="str">
        <f t="shared" si="24"/>
        <v>Lingyang Jiedao (Rìzhào Shì)</v>
      </c>
      <c r="P818" s="15" t="str">
        <f t="shared" si="25"/>
        <v>Lingyang Jiedao (Rìzhào Shì)</v>
      </c>
    </row>
    <row r="819" spans="1:16" hidden="1" x14ac:dyDescent="0.25">
      <c r="A819" t="s">
        <v>2254</v>
      </c>
      <c r="B819" t="str">
        <f>IF(COUNTIF(A:A,A819)&gt;1,_xlfn.CONCAT(A819," (",N819,")"),A819)</f>
        <v>Língzhūshān Jiēdào [Liŭhuābó Jiēdào]</v>
      </c>
      <c r="C819" t="str">
        <f>IF(COUNTIF(B:B,B819)&gt;1,_xlfn.CONCAT(A819," (",M819,")"),B819)</f>
        <v>Língzhūshān Jiēdào [Liŭhuābó Jiēdào]</v>
      </c>
      <c r="D819" t="s">
        <v>2255</v>
      </c>
      <c r="E819" t="s">
        <v>7</v>
      </c>
      <c r="F819" t="str">
        <f>_xlfn.CONCAT(D819,", ",H819,", ",I819,", ","山东省")</f>
        <v>灵珠山街道, 黄岛区, 青岛市, 山东省</v>
      </c>
      <c r="G819">
        <v>12939</v>
      </c>
      <c r="H819" t="s">
        <v>3726</v>
      </c>
      <c r="I819" t="s">
        <v>3724</v>
      </c>
      <c r="J819">
        <f>VLOOKUP(F819,[1]!china_towns_second__2[[Column1]:[Y]],3,FALSE)</f>
        <v>36.006215078020197</v>
      </c>
      <c r="K819">
        <f>VLOOKUP(F819,[1]!china_towns_second__2[[Column1]:[Y]],2,FALSE)</f>
        <v>120.0636025</v>
      </c>
      <c r="L819" t="s">
        <v>5652</v>
      </c>
      <c r="M819" t="str">
        <f>VLOOKUP(H819,CHOOSE({1,2},Table17[Native],Table17[Name]),2,0)</f>
        <v>Huángdăo Qū</v>
      </c>
      <c r="N819" s="15" t="str">
        <f>VLOOKUP(I819,CHOOSE({1,2},Table17[Native],Table17[Name]),2,0)</f>
        <v>Qīngdăo Shì</v>
      </c>
      <c r="O819" s="15" t="str">
        <f t="shared" si="24"/>
        <v>Lingzhushan Jiedao [Liuhuabo Jiedao] (Qīngdăo Shì)</v>
      </c>
      <c r="P819" s="15" t="str">
        <f t="shared" si="25"/>
        <v>Lingzhushan Jiedao [Liuhuabo Jiedao] (Qīngdăo Shì)</v>
      </c>
    </row>
    <row r="820" spans="1:16" hidden="1" x14ac:dyDescent="0.25">
      <c r="A820" t="s">
        <v>3529</v>
      </c>
      <c r="B820" t="str">
        <f>IF(COUNTIF(A:A,A820)&gt;1,_xlfn.CONCAT(A820," (",N820,")"),A820)</f>
        <v>Lĭngzi Zhèn</v>
      </c>
      <c r="C820" t="str">
        <f>IF(COUNTIF(B:B,B820)&gt;1,_xlfn.CONCAT(A820," (",M820,")"),B820)</f>
        <v>Lĭngzi Zhèn</v>
      </c>
      <c r="D820" t="s">
        <v>3530</v>
      </c>
      <c r="E820" t="s">
        <v>13</v>
      </c>
      <c r="F820" t="str">
        <f>_xlfn.CONCAT(D820,", ",H820,", ",I820,", ","山东省")</f>
        <v>岭子镇, 淄川区, 淄博市, 山东省</v>
      </c>
      <c r="G820">
        <v>35205</v>
      </c>
      <c r="H820" t="s">
        <v>3799</v>
      </c>
      <c r="I820" t="s">
        <v>3791</v>
      </c>
      <c r="J820">
        <f>VLOOKUP(F820,[1]!china_towns_second__2[[Column1]:[Y]],3,FALSE)</f>
        <v>36.616395957788903</v>
      </c>
      <c r="K820">
        <f>VLOOKUP(F820,[1]!china_towns_second__2[[Column1]:[Y]],2,FALSE)</f>
        <v>117.7492247</v>
      </c>
      <c r="L820" t="s">
        <v>5653</v>
      </c>
      <c r="M820" t="str">
        <f>VLOOKUP(H820,CHOOSE({1,2},Table17[Native],Table17[Name]),2,0)</f>
        <v>Zīchuān Qū</v>
      </c>
      <c r="N820" s="15" t="str">
        <f>VLOOKUP(I820,CHOOSE({1,2},Table17[Native],Table17[Name]),2,0)</f>
        <v>Zībó Shì</v>
      </c>
      <c r="O820" s="15" t="str">
        <f t="shared" si="24"/>
        <v>Lingzi Zhen (Zībó Shì)</v>
      </c>
      <c r="P820" s="15" t="str">
        <f t="shared" si="25"/>
        <v>Lingzi Zhen (Zībó Shì)</v>
      </c>
    </row>
    <row r="821" spans="1:16" hidden="1" x14ac:dyDescent="0.25">
      <c r="A821" t="s">
        <v>2779</v>
      </c>
      <c r="B821" t="str">
        <f>IF(COUNTIF(A:A,A821)&gt;1,_xlfn.CONCAT(A821," (",N821,")"),A821)</f>
        <v>Línjiācūn Zhèn</v>
      </c>
      <c r="C821" t="str">
        <f>IF(COUNTIF(B:B,B821)&gt;1,_xlfn.CONCAT(A821," (",M821,")"),B821)</f>
        <v>Línjiācūn Zhèn</v>
      </c>
      <c r="D821" t="s">
        <v>2780</v>
      </c>
      <c r="E821" t="s">
        <v>13</v>
      </c>
      <c r="F821" t="str">
        <f>_xlfn.CONCAT(D821,", ",H821,", ",I821,", ","山东省")</f>
        <v>林家村镇, 诸城市, 潍坊市, 山东省</v>
      </c>
      <c r="G821">
        <v>88509</v>
      </c>
      <c r="H821" t="s">
        <v>3763</v>
      </c>
      <c r="I821" t="s">
        <v>3751</v>
      </c>
      <c r="J821">
        <f>VLOOKUP(F821,[1]!china_towns_second__2[[Column1]:[Y]],3,FALSE)</f>
        <v>35.933990721012599</v>
      </c>
      <c r="K821">
        <f>VLOOKUP(F821,[1]!china_towns_second__2[[Column1]:[Y]],2,FALSE)</f>
        <v>119.62406489999999</v>
      </c>
      <c r="L821" t="s">
        <v>5654</v>
      </c>
      <c r="M821" t="str">
        <f>VLOOKUP(H821,CHOOSE({1,2},Table17[Native],Table17[Name]),2,0)</f>
        <v>Zhūchéng Shì</v>
      </c>
      <c r="N821" s="15" t="str">
        <f>VLOOKUP(I821,CHOOSE({1,2},Table17[Native],Table17[Name]),2,0)</f>
        <v>Wéifāng Shì</v>
      </c>
      <c r="O821" s="15" t="str">
        <f t="shared" si="24"/>
        <v>Linjiacun Zhen (Wéifāng Shì)</v>
      </c>
      <c r="P821" s="15" t="str">
        <f t="shared" si="25"/>
        <v>Linjiacun Zhen (Wéifāng Shì)</v>
      </c>
    </row>
    <row r="822" spans="1:16" hidden="1" x14ac:dyDescent="0.25">
      <c r="A822" t="s">
        <v>1929</v>
      </c>
      <c r="B822" t="str">
        <f>IF(COUNTIF(A:A,A822)&gt;1,_xlfn.CONCAT(A822," (",N822,")"),A822)</f>
        <v>Línjiàn Zhèn</v>
      </c>
      <c r="C822" t="str">
        <f>IF(COUNTIF(B:B,B822)&gt;1,_xlfn.CONCAT(A822," (",M822,")"),B822)</f>
        <v>Línjiàn Zhèn</v>
      </c>
      <c r="D822" t="s">
        <v>1930</v>
      </c>
      <c r="E822" t="s">
        <v>13</v>
      </c>
      <c r="F822" t="str">
        <f>_xlfn.CONCAT(D822,", ",H822,", ",I822,", ","山东省")</f>
        <v>临涧镇, 平邑县, 临沂市, 山东省</v>
      </c>
      <c r="G822">
        <v>37543</v>
      </c>
      <c r="H822" t="s">
        <v>3719</v>
      </c>
      <c r="I822" t="s">
        <v>3710</v>
      </c>
      <c r="J822">
        <f>VLOOKUP(F822,[1]!china_towns_second__2[[Column1]:[Y]],3,FALSE)</f>
        <v>35.357804691064302</v>
      </c>
      <c r="K822">
        <f>VLOOKUP(F822,[1]!china_towns_second__2[[Column1]:[Y]],2,FALSE)</f>
        <v>117.5059672</v>
      </c>
      <c r="L822" t="s">
        <v>5655</v>
      </c>
      <c r="M822" t="str">
        <f>VLOOKUP(H822,CHOOSE({1,2},Table17[Native],Table17[Name]),2,0)</f>
        <v>Píngyì Xiàn</v>
      </c>
      <c r="N822" s="15" t="str">
        <f>VLOOKUP(I822,CHOOSE({1,2},Table17[Native],Table17[Name]),2,0)</f>
        <v>Línyí Shì</v>
      </c>
      <c r="O822" s="15" t="str">
        <f t="shared" si="24"/>
        <v>Linjian Zhen (Línyí Shì)</v>
      </c>
      <c r="P822" s="15" t="str">
        <f t="shared" si="25"/>
        <v>Linjian Zhen (Línyí Shì)</v>
      </c>
    </row>
    <row r="823" spans="1:16" hidden="1" x14ac:dyDescent="0.25">
      <c r="A823" t="s">
        <v>314</v>
      </c>
      <c r="B823" t="str">
        <f>IF(COUNTIF(A:A,A823)&gt;1,_xlfn.CONCAT(A823," (",N823,")"),A823)</f>
        <v>Línnán Zhèn</v>
      </c>
      <c r="C823" t="str">
        <f>IF(COUNTIF(B:B,B823)&gt;1,_xlfn.CONCAT(A823," (",M823,")"),B823)</f>
        <v>Línnán Zhèn</v>
      </c>
      <c r="D823" t="s">
        <v>315</v>
      </c>
      <c r="E823" t="s">
        <v>13</v>
      </c>
      <c r="F823" t="str">
        <f>_xlfn.CONCAT(D823,", ",H823,", ",I823,", ","山东省")</f>
        <v>临南镇, 临邑县, 德州市, 山东省</v>
      </c>
      <c r="G823">
        <v>42432</v>
      </c>
      <c r="H823" t="s">
        <v>3646</v>
      </c>
      <c r="I823" t="s">
        <v>3642</v>
      </c>
      <c r="J823">
        <f>VLOOKUP(F823,[1]!china_towns_second__2[[Column1]:[Y]],3,FALSE)</f>
        <v>37.062188560106001</v>
      </c>
      <c r="K823">
        <f>VLOOKUP(F823,[1]!china_towns_second__2[[Column1]:[Y]],2,FALSE)</f>
        <v>116.8710937</v>
      </c>
      <c r="L823" t="s">
        <v>5656</v>
      </c>
      <c r="M823" t="str">
        <f>VLOOKUP(H823,CHOOSE({1,2},Table17[Native],Table17[Name]),2,0)</f>
        <v>Línyì Xiàn</v>
      </c>
      <c r="N823" s="15" t="str">
        <f>VLOOKUP(I823,CHOOSE({1,2},Table17[Native],Table17[Name]),2,0)</f>
        <v>Dézhōu Shì</v>
      </c>
      <c r="O823" s="15" t="str">
        <f t="shared" si="24"/>
        <v>Linnan Zhen (Dézhōu Shì)</v>
      </c>
      <c r="P823" s="15" t="str">
        <f t="shared" si="25"/>
        <v>Linnan Zhen (Dézhōu Shì)</v>
      </c>
    </row>
    <row r="824" spans="1:16" hidden="1" x14ac:dyDescent="0.25">
      <c r="A824" t="s">
        <v>316</v>
      </c>
      <c r="B824" t="str">
        <f>IF(COUNTIF(A:A,A824)&gt;1,_xlfn.CONCAT(A824," (",N824,")"),A824)</f>
        <v>Línpán Jiēdào</v>
      </c>
      <c r="C824" t="str">
        <f>IF(COUNTIF(B:B,B824)&gt;1,_xlfn.CONCAT(A824," (",M824,")"),B824)</f>
        <v>Línpán Jiēdào</v>
      </c>
      <c r="D824" t="s">
        <v>317</v>
      </c>
      <c r="E824" t="s">
        <v>7</v>
      </c>
      <c r="F824" t="str">
        <f>_xlfn.CONCAT(D824,", ",H824,", ",I824,", ","山东省")</f>
        <v>临盘街道, 临邑县, 德州市, 山东省</v>
      </c>
      <c r="G824">
        <v>78233</v>
      </c>
      <c r="H824" t="s">
        <v>3646</v>
      </c>
      <c r="I824" t="s">
        <v>3642</v>
      </c>
      <c r="J824">
        <f>VLOOKUP(F824,[1]!china_towns_second__2[[Column1]:[Y]],3,FALSE)</f>
        <v>37.180663538516903</v>
      </c>
      <c r="K824">
        <f>VLOOKUP(F824,[1]!china_towns_second__2[[Column1]:[Y]],2,FALSE)</f>
        <v>116.7782461</v>
      </c>
      <c r="L824" t="s">
        <v>5657</v>
      </c>
      <c r="M824" t="str">
        <f>VLOOKUP(H824,CHOOSE({1,2},Table17[Native],Table17[Name]),2,0)</f>
        <v>Línyì Xiàn</v>
      </c>
      <c r="N824" s="15" t="str">
        <f>VLOOKUP(I824,CHOOSE({1,2},Table17[Native],Table17[Name]),2,0)</f>
        <v>Dézhōu Shì</v>
      </c>
      <c r="O824" s="15" t="str">
        <f t="shared" si="24"/>
        <v>Linpan Jiedao (Dézhōu Shì)</v>
      </c>
      <c r="P824" s="15" t="str">
        <f t="shared" si="25"/>
        <v>Linpan Jiedao (Dézhōu Shì)</v>
      </c>
    </row>
    <row r="825" spans="1:16" hidden="1" x14ac:dyDescent="0.25">
      <c r="A825" t="s">
        <v>740</v>
      </c>
      <c r="B825" t="str">
        <f>IF(COUNTIF(A:A,A825)&gt;1,_xlfn.CONCAT(A825," (",N825,")"),A825)</f>
        <v>Línpú Zhèn</v>
      </c>
      <c r="C825" t="str">
        <f>IF(COUNTIF(B:B,B825)&gt;1,_xlfn.CONCAT(A825," (",M825,")"),B825)</f>
        <v>Línpú Zhèn</v>
      </c>
      <c r="D825" t="s">
        <v>741</v>
      </c>
      <c r="E825" t="s">
        <v>13</v>
      </c>
      <c r="F825" t="str">
        <f>_xlfn.CONCAT(D825,", ",H825,", ",I825,", ","山东省")</f>
        <v>临濮镇, 鄄城县, 菏泽市, 山东省</v>
      </c>
      <c r="G825">
        <v>32725</v>
      </c>
      <c r="H825" t="s">
        <v>3667</v>
      </c>
      <c r="I825" t="s">
        <v>3662</v>
      </c>
      <c r="J825">
        <f>VLOOKUP(F825,[1]!china_towns_second__2[[Column1]:[Y]],3,FALSE)</f>
        <v>35.4594827077755</v>
      </c>
      <c r="K825">
        <f>VLOOKUP(F825,[1]!china_towns_second__2[[Column1]:[Y]],2,FALSE)</f>
        <v>115.36057839999999</v>
      </c>
      <c r="L825" t="s">
        <v>5658</v>
      </c>
      <c r="M825" t="str">
        <f>VLOOKUP(H825,CHOOSE({1,2},Table17[Native],Table17[Name]),2,0)</f>
        <v>Juànchéng Xiàn</v>
      </c>
      <c r="N825" s="15" t="str">
        <f>VLOOKUP(I825,CHOOSE({1,2},Table17[Native],Table17[Name]),2,0)</f>
        <v>Hézé Shì</v>
      </c>
      <c r="O825" s="15" t="str">
        <f t="shared" si="24"/>
        <v>Linpu Zhen (Hézé Shì)</v>
      </c>
      <c r="P825" s="15" t="str">
        <f t="shared" si="25"/>
        <v>Linpu Zhen (Hézé Shì)</v>
      </c>
    </row>
    <row r="826" spans="1:16" hidden="1" x14ac:dyDescent="0.25">
      <c r="A826" t="s">
        <v>318</v>
      </c>
      <c r="B826" t="str">
        <f>IF(COUNTIF(A:A,A826)&gt;1,_xlfn.CONCAT(A826," (",N826,")"),A826)</f>
        <v>Línqí Jiēdào</v>
      </c>
      <c r="C826" t="str">
        <f>IF(COUNTIF(B:B,B826)&gt;1,_xlfn.CONCAT(A826," (",M826,")"),B826)</f>
        <v>Línqí Jiēdào</v>
      </c>
      <c r="D826" t="s">
        <v>319</v>
      </c>
      <c r="E826" t="s">
        <v>7</v>
      </c>
      <c r="F826" t="str">
        <f>_xlfn.CONCAT(D826,", ",H826,", ",I826,", ","山东省")</f>
        <v>临齐街道, 陵城区, 德州市, 山东省</v>
      </c>
      <c r="G826">
        <v>136701</v>
      </c>
      <c r="H826" t="s">
        <v>3645</v>
      </c>
      <c r="I826" t="s">
        <v>3642</v>
      </c>
      <c r="J826">
        <f>VLOOKUP(F826,[1]!china_towns_second__2[[Column1]:[Y]],3,FALSE)</f>
        <v>37.304490294510401</v>
      </c>
      <c r="K826">
        <f>VLOOKUP(F826,[1]!china_towns_second__2[[Column1]:[Y]],2,FALSE)</f>
        <v>116.6126726</v>
      </c>
      <c r="L826" t="s">
        <v>5659</v>
      </c>
      <c r="M826" t="str">
        <f>VLOOKUP(H826,CHOOSE({1,2},Table17[Native],Table17[Name]),2,0)</f>
        <v>Língchéng Qū</v>
      </c>
      <c r="N826" s="15" t="str">
        <f>VLOOKUP(I826,CHOOSE({1,2},Table17[Native],Table17[Name]),2,0)</f>
        <v>Dézhōu Shì</v>
      </c>
      <c r="O826" s="15" t="str">
        <f t="shared" si="24"/>
        <v>Linqi Jiedao (Dézhōu Shì)</v>
      </c>
      <c r="P826" s="15" t="str">
        <f t="shared" si="25"/>
        <v>Linqi Jiedao (Dézhōu Shì)</v>
      </c>
    </row>
    <row r="827" spans="1:16" hidden="1" x14ac:dyDescent="0.25">
      <c r="A827" t="s">
        <v>1931</v>
      </c>
      <c r="B827" t="str">
        <f>IF(COUNTIF(A:A,A827)&gt;1,_xlfn.CONCAT(A827," (",N827,")"),A827)</f>
        <v>Línshù Jiēdào</v>
      </c>
      <c r="C827" t="str">
        <f>IF(COUNTIF(B:B,B827)&gt;1,_xlfn.CONCAT(A827," (",M827,")"),B827)</f>
        <v>Línshù Jiēdào</v>
      </c>
      <c r="D827" t="s">
        <v>1932</v>
      </c>
      <c r="E827" t="s">
        <v>7</v>
      </c>
      <c r="F827" t="str">
        <f>_xlfn.CONCAT(D827,", ",H827,", ",I827,", ","山东省")</f>
        <v>临沭街道, 临沭县, 临沂市, 山东省</v>
      </c>
      <c r="G827">
        <v>152027</v>
      </c>
      <c r="H827" t="s">
        <v>3716</v>
      </c>
      <c r="I827" t="s">
        <v>3710</v>
      </c>
      <c r="J827">
        <f>VLOOKUP(F827,[1]!china_towns_second__2[[Column1]:[Y]],3,FALSE)</f>
        <v>34.908518842539898</v>
      </c>
      <c r="K827">
        <f>VLOOKUP(F827,[1]!china_towns_second__2[[Column1]:[Y]],2,FALSE)</f>
        <v>118.6613052</v>
      </c>
      <c r="L827" t="s">
        <v>5660</v>
      </c>
      <c r="M827" t="str">
        <f>VLOOKUP(H827,CHOOSE({1,2},Table17[Native],Table17[Name]),2,0)</f>
        <v>Línshù Xiàn</v>
      </c>
      <c r="N827" s="15" t="str">
        <f>VLOOKUP(I827,CHOOSE({1,2},Table17[Native],Table17[Name]),2,0)</f>
        <v>Línyí Shì</v>
      </c>
      <c r="O827" s="15" t="str">
        <f t="shared" si="24"/>
        <v>Linshu Jiedao (Línyí Shì)</v>
      </c>
      <c r="P827" s="15" t="str">
        <f t="shared" si="25"/>
        <v>Linshu Jiedao (Línyí Shì)</v>
      </c>
    </row>
    <row r="828" spans="1:16" hidden="1" x14ac:dyDescent="0.25">
      <c r="A828" t="s">
        <v>320</v>
      </c>
      <c r="B828" t="str">
        <f>IF(COUNTIF(A:A,A828)&gt;1,_xlfn.CONCAT(A828," (",N828,")"),A828)</f>
        <v>Línyì Zhèn</v>
      </c>
      <c r="C828" t="str">
        <f>IF(COUNTIF(B:B,B828)&gt;1,_xlfn.CONCAT(A828," (",M828,")"),B828)</f>
        <v>Línyì Zhèn</v>
      </c>
      <c r="D828" t="s">
        <v>321</v>
      </c>
      <c r="E828" t="s">
        <v>13</v>
      </c>
      <c r="F828" t="str">
        <f>_xlfn.CONCAT(D828,", ",H828,", ",I828,", ","山东省")</f>
        <v>临邑镇, 临邑县, 德州市, 山东省</v>
      </c>
      <c r="G828">
        <v>45667</v>
      </c>
      <c r="H828" t="s">
        <v>3646</v>
      </c>
      <c r="I828" t="s">
        <v>3642</v>
      </c>
      <c r="J828">
        <f>VLOOKUP(F828,[1]!china_towns_second__2[[Column1]:[Y]],3,FALSE)</f>
        <v>37.240583767943598</v>
      </c>
      <c r="K828">
        <f>VLOOKUP(F828,[1]!china_towns_second__2[[Column1]:[Y]],2,FALSE)</f>
        <v>116.9002201</v>
      </c>
      <c r="L828" t="s">
        <v>5661</v>
      </c>
      <c r="M828" t="str">
        <f>VLOOKUP(H828,CHOOSE({1,2},Table17[Native],Table17[Name]),2,0)</f>
        <v>Línyì Xiàn</v>
      </c>
      <c r="N828" s="15" t="str">
        <f>VLOOKUP(I828,CHOOSE({1,2},Table17[Native],Table17[Name]),2,0)</f>
        <v>Dézhōu Shì</v>
      </c>
      <c r="O828" s="15" t="str">
        <f t="shared" si="24"/>
        <v>Linyi Zhen (Dézhōu Shì)</v>
      </c>
      <c r="P828" s="15" t="str">
        <f t="shared" si="25"/>
        <v>Linyi Zhen (Dézhōu Shì)</v>
      </c>
    </row>
    <row r="829" spans="1:16" hidden="1" x14ac:dyDescent="0.25">
      <c r="A829" t="s">
        <v>322</v>
      </c>
      <c r="B829" t="str">
        <f>IF(COUNTIF(A:A,A829)&gt;1,_xlfn.CONCAT(A829," (",N829,")"),A829)</f>
        <v>Línzi Zhèn</v>
      </c>
      <c r="C829" t="str">
        <f>IF(COUNTIF(B:B,B829)&gt;1,_xlfn.CONCAT(A829," (",M829,")"),B829)</f>
        <v>Línzi Zhèn</v>
      </c>
      <c r="D829" t="s">
        <v>323</v>
      </c>
      <c r="E829" t="s">
        <v>13</v>
      </c>
      <c r="F829" t="str">
        <f>_xlfn.CONCAT(D829,", ",H829,", ",I829,", ","山东省")</f>
        <v>林子镇, 临邑县, 德州市, 山东省</v>
      </c>
      <c r="G829">
        <v>21812</v>
      </c>
      <c r="H829" t="s">
        <v>3646</v>
      </c>
      <c r="I829" t="s">
        <v>3642</v>
      </c>
      <c r="J829">
        <f>VLOOKUP(F829,[1]!china_towns_second__2[[Column1]:[Y]],3,FALSE)</f>
        <v>37.304086345155703</v>
      </c>
      <c r="K829">
        <f>VLOOKUP(F829,[1]!china_towns_second__2[[Column1]:[Y]],2,FALSE)</f>
        <v>116.8587991</v>
      </c>
      <c r="L829" t="s">
        <v>5662</v>
      </c>
      <c r="M829" t="str">
        <f>VLOOKUP(H829,CHOOSE({1,2},Table17[Native],Table17[Name]),2,0)</f>
        <v>Línyì Xiàn</v>
      </c>
      <c r="N829" s="15" t="str">
        <f>VLOOKUP(I829,CHOOSE({1,2},Table17[Native],Table17[Name]),2,0)</f>
        <v>Dézhōu Shì</v>
      </c>
      <c r="O829" s="15" t="str">
        <f t="shared" si="24"/>
        <v>Linzi Zhen (Dézhōu Shì)</v>
      </c>
      <c r="P829" s="15" t="str">
        <f t="shared" si="25"/>
        <v>Linzi Zhen (Dézhōu Shì)</v>
      </c>
    </row>
    <row r="830" spans="1:16" hidden="1" x14ac:dyDescent="0.25">
      <c r="A830" t="s">
        <v>533</v>
      </c>
      <c r="B830" t="str">
        <f>IF(COUNTIF(A:A,A830)&gt;1,_xlfn.CONCAT(A830," (",N830,")"),A830)</f>
        <v>Lĭquè Zhèn</v>
      </c>
      <c r="C830" t="str">
        <f>IF(COUNTIF(B:B,B830)&gt;1,_xlfn.CONCAT(A830," (",M830,")"),B830)</f>
        <v>Lĭquè Zhèn</v>
      </c>
      <c r="D830" t="s">
        <v>534</v>
      </c>
      <c r="E830" t="s">
        <v>13</v>
      </c>
      <c r="F830" t="str">
        <f>_xlfn.CONCAT(D830,", ",H830,", ",I830,", ","山东省")</f>
        <v>李鹊镇, 广饶县, 东营市, 山东省</v>
      </c>
      <c r="G830">
        <v>34672</v>
      </c>
      <c r="H830" t="s">
        <v>3657</v>
      </c>
      <c r="I830" t="s">
        <v>3655</v>
      </c>
      <c r="J830">
        <f>VLOOKUP(F830,[1]!china_towns_second__2[[Column1]:[Y]],3,FALSE)</f>
        <v>36.9968321427164</v>
      </c>
      <c r="K830">
        <f>VLOOKUP(F830,[1]!china_towns_second__2[[Column1]:[Y]],2,FALSE)</f>
        <v>118.3446386</v>
      </c>
      <c r="L830" t="s">
        <v>5663</v>
      </c>
      <c r="M830" t="str">
        <f>VLOOKUP(H830,CHOOSE({1,2},Table17[Native],Table17[Name]),2,0)</f>
        <v>Guăngráo Xiàn</v>
      </c>
      <c r="N830" s="15" t="str">
        <f>VLOOKUP(I830,CHOOSE({1,2},Table17[Native],Table17[Name]),2,0)</f>
        <v>Dōngyíng Shì</v>
      </c>
      <c r="O830" s="15" t="str">
        <f t="shared" si="24"/>
        <v>Lique Zhen (Dōngyíng Shì)</v>
      </c>
      <c r="P830" s="15" t="str">
        <f t="shared" si="25"/>
        <v>Lique Zhen (Dōngyíng Shì)</v>
      </c>
    </row>
    <row r="831" spans="1:16" hidden="1" x14ac:dyDescent="0.25">
      <c r="A831" t="s">
        <v>3531</v>
      </c>
      <c r="B831" t="str">
        <f>IF(COUNTIF(A:A,A831)&gt;1,_xlfn.CONCAT(A831," (",N831,")"),A831)</f>
        <v>Lìshān Jiēdào</v>
      </c>
      <c r="C831" t="str">
        <f>IF(COUNTIF(B:B,B831)&gt;1,_xlfn.CONCAT(A831," (",M831,")"),B831)</f>
        <v>Lìshān Jiēdào</v>
      </c>
      <c r="D831" t="s">
        <v>3532</v>
      </c>
      <c r="E831" t="s">
        <v>7</v>
      </c>
      <c r="F831" t="str">
        <f>_xlfn.CONCAT(D831,", ",H831,", ",I831,", ","山东省")</f>
        <v>历山街道, 沂源县, 淄博市, 山东省</v>
      </c>
      <c r="G831">
        <v>97248</v>
      </c>
      <c r="H831" t="s">
        <v>3796</v>
      </c>
      <c r="I831" t="s">
        <v>3791</v>
      </c>
      <c r="J831">
        <f>VLOOKUP(F831,[1]!china_towns_second__2[[Column1]:[Y]],3,FALSE)</f>
        <v>36.195303033952698</v>
      </c>
      <c r="K831">
        <f>VLOOKUP(F831,[1]!china_towns_second__2[[Column1]:[Y]],2,FALSE)</f>
        <v>118.1914949</v>
      </c>
      <c r="L831" t="s">
        <v>5664</v>
      </c>
      <c r="M831" t="str">
        <f>VLOOKUP(H831,CHOOSE({1,2},Table17[Native],Table17[Name]),2,0)</f>
        <v>Yíyuán Xiàn</v>
      </c>
      <c r="N831" s="15" t="str">
        <f>VLOOKUP(I831,CHOOSE({1,2},Table17[Native],Table17[Name]),2,0)</f>
        <v>Zībó Shì</v>
      </c>
      <c r="O831" s="15" t="str">
        <f t="shared" si="24"/>
        <v>Lishan Jiedao (Zībó Shì)</v>
      </c>
      <c r="P831" s="15" t="str">
        <f t="shared" si="25"/>
        <v>Lishan Jiedao (Zībó Shì)</v>
      </c>
    </row>
    <row r="832" spans="1:16" hidden="1" x14ac:dyDescent="0.25">
      <c r="A832" t="s">
        <v>1650</v>
      </c>
      <c r="B832" t="str">
        <f>IF(COUNTIF(A:A,A832)&gt;1,_xlfn.CONCAT(A832," (",N832,")"),A832)</f>
        <v>Lĭtái Zhèn</v>
      </c>
      <c r="C832" t="str">
        <f>IF(COUNTIF(B:B,B832)&gt;1,_xlfn.CONCAT(A832," (",M832,")"),B832)</f>
        <v>Lĭtái Zhèn</v>
      </c>
      <c r="D832" t="s">
        <v>1651</v>
      </c>
      <c r="E832" t="s">
        <v>13</v>
      </c>
      <c r="F832" t="str">
        <f>_xlfn.CONCAT(D832,", ",H832,", ",I832,", ","山东省")</f>
        <v>李台镇, 阳谷县, 聊城市, 山东省</v>
      </c>
      <c r="G832">
        <v>35814</v>
      </c>
      <c r="H832" t="s">
        <v>3708</v>
      </c>
      <c r="I832" t="s">
        <v>3700</v>
      </c>
      <c r="J832">
        <f>VLOOKUP(F832,[1]!china_towns_second__2[[Column1]:[Y]],3,FALSE)</f>
        <v>35.999723975656899</v>
      </c>
      <c r="K832">
        <f>VLOOKUP(F832,[1]!china_towns_second__2[[Column1]:[Y]],2,FALSE)</f>
        <v>115.75205219999999</v>
      </c>
      <c r="L832" t="s">
        <v>5665</v>
      </c>
      <c r="M832" t="str">
        <f>VLOOKUP(H832,CHOOSE({1,2},Table17[Native],Table17[Name]),2,0)</f>
        <v>Yánggŭ Xiàn</v>
      </c>
      <c r="N832" s="15" t="str">
        <f>VLOOKUP(I832,CHOOSE({1,2},Table17[Native],Table17[Name]),2,0)</f>
        <v>Liáochéng Shì</v>
      </c>
      <c r="O832" s="15" t="str">
        <f t="shared" si="24"/>
        <v>Litai Zhen (Liáochéng Shì)</v>
      </c>
      <c r="P832" s="15" t="str">
        <f t="shared" si="25"/>
        <v>Litai Zhen (Liáochéng Shì)</v>
      </c>
    </row>
    <row r="833" spans="1:16" hidden="1" x14ac:dyDescent="0.25">
      <c r="A833" t="s">
        <v>742</v>
      </c>
      <c r="B833" t="str">
        <f>IF(COUNTIF(A:A,A833)&gt;1,_xlfn.CONCAT(A833," (",N833,")"),A833)</f>
        <v>Lĭtiánlóu Zhèn</v>
      </c>
      <c r="C833" t="str">
        <f>IF(COUNTIF(B:B,B833)&gt;1,_xlfn.CONCAT(A833," (",M833,")"),B833)</f>
        <v>Lĭtiánlóu Zhèn</v>
      </c>
      <c r="D833" t="s">
        <v>743</v>
      </c>
      <c r="E833" t="s">
        <v>13</v>
      </c>
      <c r="F833" t="str">
        <f>_xlfn.CONCAT(D833,", ",H833,", ",I833,", ","山东省")</f>
        <v>李田楼镇, 单县, 菏泽市, 山东省</v>
      </c>
      <c r="G833">
        <v>43067</v>
      </c>
      <c r="H833" t="s">
        <v>3670</v>
      </c>
      <c r="I833" t="s">
        <v>3662</v>
      </c>
      <c r="J833">
        <f>VLOOKUP(F833,[1]!china_towns_second__2[[Column1]:[Y]],3,FALSE)</f>
        <v>34.777303048621597</v>
      </c>
      <c r="K833">
        <f>VLOOKUP(F833,[1]!china_towns_second__2[[Column1]:[Y]],2,FALSE)</f>
        <v>116.20109739999999</v>
      </c>
      <c r="L833" t="s">
        <v>5666</v>
      </c>
      <c r="M833" t="str">
        <f>VLOOKUP(H833,CHOOSE({1,2},Table17[Native],Table17[Name]),2,0)</f>
        <v>Shàn Xiàn</v>
      </c>
      <c r="N833" s="15" t="str">
        <f>VLOOKUP(I833,CHOOSE({1,2},Table17[Native],Table17[Name]),2,0)</f>
        <v>Hézé Shì</v>
      </c>
      <c r="O833" s="15" t="str">
        <f t="shared" si="24"/>
        <v>Litianlou Zhen (Hézé Shì)</v>
      </c>
      <c r="P833" s="15" t="str">
        <f t="shared" si="25"/>
        <v>Litianlou Zhen (Hézé Shì)</v>
      </c>
    </row>
    <row r="834" spans="1:16" hidden="1" x14ac:dyDescent="0.25">
      <c r="A834" t="s">
        <v>101</v>
      </c>
      <c r="B834" t="str">
        <f>IF(COUNTIF(A:A,A834)&gt;1,_xlfn.CONCAT(A834," (",N834,")"),A834)</f>
        <v>Liŭbăo Zhèn</v>
      </c>
      <c r="C834" t="str">
        <f>IF(COUNTIF(B:B,B834)&gt;1,_xlfn.CONCAT(A834," (",M834,")"),B834)</f>
        <v>Liŭbăo Zhèn</v>
      </c>
      <c r="D834" t="s">
        <v>102</v>
      </c>
      <c r="E834" t="s">
        <v>13</v>
      </c>
      <c r="F834" t="str">
        <f>_xlfn.CONCAT(D834,", ",H834,", ",I834,", ","山东省")</f>
        <v>柳堡镇, 无棣县, 滨州市, 山东省</v>
      </c>
      <c r="G834">
        <v>30119</v>
      </c>
      <c r="H834" t="s">
        <v>3636</v>
      </c>
      <c r="I834" t="s">
        <v>3630</v>
      </c>
      <c r="J834">
        <f>VLOOKUP(F834,[1]!china_towns_second__2[[Column1]:[Y]],3,FALSE)</f>
        <v>37.9441400817974</v>
      </c>
      <c r="K834">
        <f>VLOOKUP(F834,[1]!china_towns_second__2[[Column1]:[Y]],2,FALSE)</f>
        <v>117.84397079999999</v>
      </c>
      <c r="L834" t="s">
        <v>5667</v>
      </c>
      <c r="M834" t="str">
        <f>VLOOKUP(H834,CHOOSE({1,2},Table17[Native],Table17[Name]),2,0)</f>
        <v>Wúdì Xiàn</v>
      </c>
      <c r="N834" s="15" t="str">
        <f>VLOOKUP(I834,CHOOSE({1,2},Table17[Native],Table17[Name]),2,0)</f>
        <v>Bīnzhōu Shì</v>
      </c>
      <c r="O834" s="15" t="str">
        <f t="shared" ref="O834:O897" si="26">_xlfn.CONCAT(L834," (",N834,")")</f>
        <v>Liubao Zhen (Bīnzhōu Shì)</v>
      </c>
      <c r="P834" s="15" t="str">
        <f t="shared" ref="P834:P897" si="27">IF(COUNTIF(O:O,O834)&gt;1,_xlfn.CONCAT(L834," (",M834,")"),O834)</f>
        <v>Liubao Zhen (Bīnzhōu Shì)</v>
      </c>
    </row>
    <row r="835" spans="1:16" hidden="1" x14ac:dyDescent="0.25">
      <c r="A835" t="s">
        <v>1042</v>
      </c>
      <c r="B835" t="str">
        <f>IF(COUNTIF(A:A,A835)&gt;1,_xlfn.CONCAT(A835," (",N835,")"),A835)</f>
        <v>Liŭbù Jiēdào</v>
      </c>
      <c r="C835" t="str">
        <f>IF(COUNTIF(B:B,B835)&gt;1,_xlfn.CONCAT(A835," (",M835,")"),B835)</f>
        <v>Liŭbù Jiēdào</v>
      </c>
      <c r="D835" t="s">
        <v>1043</v>
      </c>
      <c r="E835" t="s">
        <v>7</v>
      </c>
      <c r="F835" t="str">
        <f>_xlfn.CONCAT(D835,", ",H835,", ",I835,", ","山东省")</f>
        <v>柳埠街道, 历城区, 济南市, 山东省</v>
      </c>
      <c r="G835">
        <v>55307</v>
      </c>
      <c r="H835" t="s">
        <v>3679</v>
      </c>
      <c r="I835" t="s">
        <v>3673</v>
      </c>
      <c r="J835" t="e">
        <f>VLOOKUP(F835,[1]!china_towns_second__2[[Column1]:[Y]],3,FALSE)</f>
        <v>#N/A</v>
      </c>
      <c r="K835" t="e">
        <f>VLOOKUP(F835,[1]!china_towns_second__2[[Column1]:[Y]],2,FALSE)</f>
        <v>#N/A</v>
      </c>
      <c r="L835" t="s">
        <v>5668</v>
      </c>
      <c r="M835" t="str">
        <f>VLOOKUP(H835,CHOOSE({1,2},Table17[Native],Table17[Name]),2,0)</f>
        <v>Lìchéng Qū</v>
      </c>
      <c r="N835" s="15" t="str">
        <f>VLOOKUP(I835,CHOOSE({1,2},Table17[Native],Table17[Name]),2,0)</f>
        <v>Jìnán Shì</v>
      </c>
      <c r="O835" s="15" t="str">
        <f t="shared" si="26"/>
        <v>Liubu Jiedao (Jìnán Shì)</v>
      </c>
      <c r="P835" s="15" t="str">
        <f t="shared" si="27"/>
        <v>Liubu Jiedao (Jìnán Shì)</v>
      </c>
    </row>
    <row r="836" spans="1:16" hidden="1" x14ac:dyDescent="0.25">
      <c r="A836" t="s">
        <v>2582</v>
      </c>
      <c r="B836" t="str">
        <f>IF(COUNTIF(A:A,A836)&gt;1,_xlfn.CONCAT(A836," (",N836,")"),A836)</f>
        <v>Liúdù Zhèn</v>
      </c>
      <c r="C836" t="str">
        <f>IF(COUNTIF(B:B,B836)&gt;1,_xlfn.CONCAT(A836," (",M836,")"),B836)</f>
        <v>Liúdù Zhèn</v>
      </c>
      <c r="D836" t="s">
        <v>2583</v>
      </c>
      <c r="E836" t="s">
        <v>13</v>
      </c>
      <c r="F836" t="str">
        <f>_xlfn.CONCAT(D836,", ",H836,", ",I836,", ","山东省")</f>
        <v>刘杜镇, 新泰市, 泰安市, 山东省</v>
      </c>
      <c r="G836">
        <v>28492</v>
      </c>
      <c r="H836" t="s">
        <v>3749</v>
      </c>
      <c r="I836" t="s">
        <v>3743</v>
      </c>
      <c r="J836">
        <f>VLOOKUP(F836,[1]!china_towns_second__2[[Column1]:[Y]],3,FALSE)</f>
        <v>35.839657563314901</v>
      </c>
      <c r="K836">
        <f>VLOOKUP(F836,[1]!china_towns_second__2[[Column1]:[Y]],2,FALSE)</f>
        <v>117.5826465</v>
      </c>
      <c r="L836" t="s">
        <v>5669</v>
      </c>
      <c r="M836" t="str">
        <f>VLOOKUP(H836,CHOOSE({1,2},Table17[Native],Table17[Name]),2,0)</f>
        <v>Xīntài Shì</v>
      </c>
      <c r="N836" s="15" t="str">
        <f>VLOOKUP(I836,CHOOSE({1,2},Table17[Native],Table17[Name]),2,0)</f>
        <v>Tài'ān Shì</v>
      </c>
      <c r="O836" s="15" t="str">
        <f t="shared" si="26"/>
        <v>Liudu Zhen (Tài'ān Shì)</v>
      </c>
      <c r="P836" s="15" t="str">
        <f t="shared" si="27"/>
        <v>Liudu Zhen (Tài'ān Shì)</v>
      </c>
    </row>
    <row r="837" spans="1:16" hidden="1" x14ac:dyDescent="0.25">
      <c r="A837" t="s">
        <v>1652</v>
      </c>
      <c r="B837" t="str">
        <f>IF(COUNTIF(A:A,A837)&gt;1,_xlfn.CONCAT(A837," (",N837,")"),A837)</f>
        <v>Liúgāizi Zhèn</v>
      </c>
      <c r="C837" t="str">
        <f>IF(COUNTIF(B:B,B837)&gt;1,_xlfn.CONCAT(A837," (",M837,")"),B837)</f>
        <v>Liúgāizi Zhèn</v>
      </c>
      <c r="D837" t="s">
        <v>1653</v>
      </c>
      <c r="E837" t="s">
        <v>13</v>
      </c>
      <c r="F837" t="str">
        <f>_xlfn.CONCAT(D837,", ",H837,", ",I837,", ","山东省")</f>
        <v>刘垓子镇, 临清市, 聊城市, 山东省</v>
      </c>
      <c r="G837">
        <v>27587</v>
      </c>
      <c r="H837" t="s">
        <v>3706</v>
      </c>
      <c r="I837" t="s">
        <v>3700</v>
      </c>
      <c r="J837">
        <f>VLOOKUP(F837,[1]!china_towns_second__2[[Column1]:[Y]],3,FALSE)</f>
        <v>36.7329258850068</v>
      </c>
      <c r="K837">
        <f>VLOOKUP(F837,[1]!china_towns_second__2[[Column1]:[Y]],2,FALSE)</f>
        <v>115.7861236</v>
      </c>
      <c r="L837" t="s">
        <v>5670</v>
      </c>
      <c r="M837" t="str">
        <f>VLOOKUP(H837,CHOOSE({1,2},Table17[Native],Table17[Name]),2,0)</f>
        <v>Línqīng Shì</v>
      </c>
      <c r="N837" s="15" t="str">
        <f>VLOOKUP(I837,CHOOSE({1,2},Table17[Native],Table17[Name]),2,0)</f>
        <v>Liáochéng Shì</v>
      </c>
      <c r="O837" s="15" t="str">
        <f t="shared" si="26"/>
        <v>Liugaizi Zhen (Liáochéng Shì)</v>
      </c>
      <c r="P837" s="15" t="str">
        <f t="shared" si="27"/>
        <v>Liugaizi Zhen (Liáochéng Shì)</v>
      </c>
    </row>
    <row r="838" spans="1:16" hidden="1" x14ac:dyDescent="0.25">
      <c r="A838" t="s">
        <v>3173</v>
      </c>
      <c r="B838" t="str">
        <f>IF(COUNTIF(A:A,A838)&gt;1,_xlfn.CONCAT(A838," (",N838,")"),A838)</f>
        <v>Liúgézhuāng Zhèn</v>
      </c>
      <c r="C838" t="str">
        <f>IF(COUNTIF(B:B,B838)&gt;1,_xlfn.CONCAT(A838," (",M838,")"),B838)</f>
        <v>Liúgézhuāng Zhèn</v>
      </c>
      <c r="D838" t="s">
        <v>3174</v>
      </c>
      <c r="E838" t="s">
        <v>13</v>
      </c>
      <c r="F838" t="str">
        <f>_xlfn.CONCAT(D838,", ",H838,", ",I838,", ","山东省")</f>
        <v>留格庄镇, 海阳市, 烟台市, 山东省</v>
      </c>
      <c r="G838">
        <v>59418</v>
      </c>
      <c r="H838" t="s">
        <v>3773</v>
      </c>
      <c r="I838" t="s">
        <v>3771</v>
      </c>
      <c r="J838">
        <f>VLOOKUP(F838,[1]!china_towns_second__2[[Column1]:[Y]],3,FALSE)</f>
        <v>36.773860263711299</v>
      </c>
      <c r="K838">
        <f>VLOOKUP(F838,[1]!china_towns_second__2[[Column1]:[Y]],2,FALSE)</f>
        <v>121.3483779</v>
      </c>
      <c r="L838" t="s">
        <v>5671</v>
      </c>
      <c r="M838" t="str">
        <f>VLOOKUP(H838,CHOOSE({1,2},Table17[Native],Table17[Name]),2,0)</f>
        <v>Hăiyáng Shì</v>
      </c>
      <c r="N838" s="15" t="str">
        <f>VLOOKUP(I838,CHOOSE({1,2},Table17[Native],Table17[Name]),2,0)</f>
        <v>Yāntái Shì</v>
      </c>
      <c r="O838" s="15" t="str">
        <f t="shared" si="26"/>
        <v>Liugezhuang Zhen (Yāntái Shì)</v>
      </c>
      <c r="P838" s="15" t="str">
        <f t="shared" si="27"/>
        <v>Liugezhuang Zhen (Yāntái Shì)</v>
      </c>
    </row>
    <row r="839" spans="1:16" hidden="1" x14ac:dyDescent="0.25">
      <c r="A839" t="s">
        <v>2448</v>
      </c>
      <c r="B839" t="str">
        <f>IF(COUNTIF(A:A,A839)&gt;1,_xlfn.CONCAT(A839," (",N839,")"),A839)</f>
        <v>Liúguānzhuāng Zhèn</v>
      </c>
      <c r="C839" t="str">
        <f>IF(COUNTIF(B:B,B839)&gt;1,_xlfn.CONCAT(A839," (",M839,")"),B839)</f>
        <v>Liúguānzhuāng Zhèn</v>
      </c>
      <c r="D839" t="s">
        <v>2449</v>
      </c>
      <c r="E839" t="s">
        <v>13</v>
      </c>
      <c r="F839" t="str">
        <f>_xlfn.CONCAT(D839,", ",H839,", ",I839,", ","山东省")</f>
        <v>刘官庄镇, 莒县, 日照市, 山东省</v>
      </c>
      <c r="G839">
        <v>59552</v>
      </c>
      <c r="H839" t="s">
        <v>3739</v>
      </c>
      <c r="I839" t="s">
        <v>3736</v>
      </c>
      <c r="J839">
        <f>VLOOKUP(F839,[1]!china_towns_second__2[[Column1]:[Y]],3,FALSE)</f>
        <v>35.5240726831491</v>
      </c>
      <c r="K839">
        <f>VLOOKUP(F839,[1]!china_towns_second__2[[Column1]:[Y]],2,FALSE)</f>
        <v>118.7577505</v>
      </c>
      <c r="L839" t="s">
        <v>5672</v>
      </c>
      <c r="M839" t="str">
        <f>VLOOKUP(H839,CHOOSE({1,2},Table17[Native],Table17[Name]),2,0)</f>
        <v>Jŭ Xiàn</v>
      </c>
      <c r="N839" s="15" t="str">
        <f>VLOOKUP(I839,CHOOSE({1,2},Table17[Native],Table17[Name]),2,0)</f>
        <v>Rìzhào Shì</v>
      </c>
      <c r="O839" s="15" t="str">
        <f t="shared" si="26"/>
        <v>Liuguanzhuang Zhen (Rìzhào Shì)</v>
      </c>
      <c r="P839" s="15" t="str">
        <f t="shared" si="27"/>
        <v>Liuguanzhuang Zhen (Rìzhào Shì)</v>
      </c>
    </row>
    <row r="840" spans="1:16" hidden="1" x14ac:dyDescent="0.25">
      <c r="A840" t="s">
        <v>535</v>
      </c>
      <c r="B840" t="str">
        <f>IF(COUNTIF(A:A,A840)&gt;1,_xlfn.CONCAT(A840," (",N840,")"),A840)</f>
        <v>Liùhé Jiēdào</v>
      </c>
      <c r="C840" t="str">
        <f>IF(COUNTIF(B:B,B840)&gt;1,_xlfn.CONCAT(A840," (",M840,")"),B840)</f>
        <v>Liùhé Jiēdào</v>
      </c>
      <c r="D840" t="s">
        <v>536</v>
      </c>
      <c r="E840" t="s">
        <v>7</v>
      </c>
      <c r="F840" t="str">
        <f>_xlfn.CONCAT(D840,", ",H840,", ",I840,", ","山东省")</f>
        <v>六合街道, 河口区, 东营市, 山东省</v>
      </c>
      <c r="G840">
        <v>30476</v>
      </c>
      <c r="H840" t="s">
        <v>3658</v>
      </c>
      <c r="I840" t="s">
        <v>3655</v>
      </c>
      <c r="J840">
        <f>VLOOKUP(F840,[1]!china_towns_second__2[[Column1]:[Y]],3,FALSE)</f>
        <v>37.851367177279499</v>
      </c>
      <c r="K840">
        <f>VLOOKUP(F840,[1]!china_towns_second__2[[Column1]:[Y]],2,FALSE)</f>
        <v>118.6022701</v>
      </c>
      <c r="L840" t="s">
        <v>5673</v>
      </c>
      <c r="M840" t="str">
        <f>VLOOKUP(H840,CHOOSE({1,2},Table17[Native],Table17[Name]),2,0)</f>
        <v>Hékŏu Qū</v>
      </c>
      <c r="N840" s="15" t="str">
        <f>VLOOKUP(I840,CHOOSE({1,2},Table17[Native],Table17[Name]),2,0)</f>
        <v>Dōngyíng Shì</v>
      </c>
      <c r="O840" s="15" t="str">
        <f t="shared" si="26"/>
        <v>Liuhe Jiedao (Dōngyíng Shì)</v>
      </c>
      <c r="P840" s="15" t="str">
        <f t="shared" si="27"/>
        <v>Liuhe Jiedao (Dōngyíng Shì)</v>
      </c>
    </row>
    <row r="841" spans="1:16" hidden="1" x14ac:dyDescent="0.25">
      <c r="A841" t="s">
        <v>537</v>
      </c>
      <c r="B841" t="str">
        <f>IF(COUNTIF(A:A,A841)&gt;1,_xlfn.CONCAT(A841," (",N841,")"),A841)</f>
        <v>Liùhù Zhèn</v>
      </c>
      <c r="C841" t="str">
        <f>IF(COUNTIF(B:B,B841)&gt;1,_xlfn.CONCAT(A841," (",M841,")"),B841)</f>
        <v>Liùhù Zhèn</v>
      </c>
      <c r="D841" t="s">
        <v>538</v>
      </c>
      <c r="E841" t="s">
        <v>13</v>
      </c>
      <c r="F841" t="str">
        <f>_xlfn.CONCAT(D841,", ",H841,", ",I841,", ","山东省")</f>
        <v>六户镇, 东营区, 东营市, 山东省</v>
      </c>
      <c r="G841">
        <v>16219</v>
      </c>
      <c r="H841" t="s">
        <v>3656</v>
      </c>
      <c r="I841" t="s">
        <v>3655</v>
      </c>
      <c r="J841">
        <f>VLOOKUP(F841,[1]!china_towns_second__2[[Column1]:[Y]],3,FALSE)</f>
        <v>37.356969578746899</v>
      </c>
      <c r="K841">
        <f>VLOOKUP(F841,[1]!china_towns_second__2[[Column1]:[Y]],2,FALSE)</f>
        <v>118.6231944</v>
      </c>
      <c r="L841" t="s">
        <v>5674</v>
      </c>
      <c r="M841" t="str">
        <f>VLOOKUP(H841,CHOOSE({1,2},Table17[Native],Table17[Name]),2,0)</f>
        <v>Dōngyíng Qū</v>
      </c>
      <c r="N841" s="15" t="str">
        <f>VLOOKUP(I841,CHOOSE({1,2},Table17[Native],Table17[Name]),2,0)</f>
        <v>Dōngyíng Shì</v>
      </c>
      <c r="O841" s="15" t="str">
        <f t="shared" si="26"/>
        <v>Liuhu Zhen (Dōngyíng Shì)</v>
      </c>
      <c r="P841" s="15" t="str">
        <f t="shared" si="27"/>
        <v>Liuhu Zhen (Dōngyíng Shì)</v>
      </c>
    </row>
    <row r="842" spans="1:16" hidden="1" x14ac:dyDescent="0.25">
      <c r="A842" t="s">
        <v>1654</v>
      </c>
      <c r="B842" t="str">
        <f>IF(COUNTIF(A:A,A842)&gt;1,_xlfn.CONCAT(A842," (",N842,")"),A842)</f>
        <v>Liújí Zhèn</v>
      </c>
      <c r="C842" t="str">
        <f>IF(COUNTIF(B:B,B842)&gt;1,_xlfn.CONCAT(A842," (",M842,")"),B842)</f>
        <v>Liújí Zhèn</v>
      </c>
      <c r="D842" t="s">
        <v>1655</v>
      </c>
      <c r="E842" t="s">
        <v>13</v>
      </c>
      <c r="F842" t="str">
        <f>_xlfn.CONCAT(D842,", ",H842,", ",I842,", ","山东省")</f>
        <v>刘集镇, 东阿县, 聊城市, 山东省</v>
      </c>
      <c r="G842">
        <v>59761</v>
      </c>
      <c r="H842" t="s">
        <v>3703</v>
      </c>
      <c r="I842" t="s">
        <v>3700</v>
      </c>
      <c r="J842">
        <f>VLOOKUP(F842,[1]!china_towns_second__2[[Column1]:[Y]],3,FALSE)</f>
        <v>36.2081290897518</v>
      </c>
      <c r="K842">
        <f>VLOOKUP(F842,[1]!china_towns_second__2[[Column1]:[Y]],2,FALSE)</f>
        <v>116.1058003</v>
      </c>
      <c r="L842" t="s">
        <v>5675</v>
      </c>
      <c r="M842" t="str">
        <f>VLOOKUP(H842,CHOOSE({1,2},Table17[Native],Table17[Name]),2,0)</f>
        <v>Dōng'ē Xiàn</v>
      </c>
      <c r="N842" s="15" t="str">
        <f>VLOOKUP(I842,CHOOSE({1,2},Table17[Native],Table17[Name]),2,0)</f>
        <v>Liáochéng Shì</v>
      </c>
      <c r="O842" s="15" t="str">
        <f t="shared" si="26"/>
        <v>Liuji Zhen (Liáochéng Shì)</v>
      </c>
      <c r="P842" s="15" t="str">
        <f t="shared" si="27"/>
        <v>Liuji Zhen (Liáochéng Shì)</v>
      </c>
    </row>
    <row r="843" spans="1:16" hidden="1" x14ac:dyDescent="0.25">
      <c r="A843" t="s">
        <v>3175</v>
      </c>
      <c r="B843" t="str">
        <f>IF(COUNTIF(A:A,A843)&gt;1,_xlfn.CONCAT(A843," (",N843,")"),A843)</f>
        <v>Liújiāgōu Zhèn</v>
      </c>
      <c r="C843" t="str">
        <f>IF(COUNTIF(B:B,B843)&gt;1,_xlfn.CONCAT(A843," (",M843,")"),B843)</f>
        <v>Liújiāgōu Zhèn</v>
      </c>
      <c r="D843" t="s">
        <v>3176</v>
      </c>
      <c r="E843" t="s">
        <v>13</v>
      </c>
      <c r="F843" t="str">
        <f>_xlfn.CONCAT(D843,", ",H843,", ",I843,", ","山东省")</f>
        <v>刘家沟镇, 蓬莱区, 烟台市, 山东省</v>
      </c>
      <c r="G843">
        <v>28547</v>
      </c>
      <c r="H843" t="s">
        <v>3779</v>
      </c>
      <c r="I843" t="s">
        <v>3771</v>
      </c>
      <c r="J843">
        <f>VLOOKUP(F843,[1]!china_towns_second__2[[Column1]:[Y]],3,FALSE)</f>
        <v>37.742195448455902</v>
      </c>
      <c r="K843">
        <f>VLOOKUP(F843,[1]!china_towns_second__2[[Column1]:[Y]],2,FALSE)</f>
        <v>120.92012250000001</v>
      </c>
      <c r="L843" t="s">
        <v>5676</v>
      </c>
      <c r="M843" t="str">
        <f>VLOOKUP(H843,CHOOSE({1,2},Table17[Native],Table17[Name]),2,0)</f>
        <v>Pénglái Qū</v>
      </c>
      <c r="N843" s="15" t="str">
        <f>VLOOKUP(I843,CHOOSE({1,2},Table17[Native],Table17[Name]),2,0)</f>
        <v>Yāntái Shì</v>
      </c>
      <c r="O843" s="15" t="str">
        <f t="shared" si="26"/>
        <v>Liujiagou Zhen (Yāntái Shì)</v>
      </c>
      <c r="P843" s="15" t="str">
        <f t="shared" si="27"/>
        <v>Liujiagou Zhen (Yāntái Shì)</v>
      </c>
    </row>
    <row r="844" spans="1:16" hidden="1" x14ac:dyDescent="0.25">
      <c r="A844" t="s">
        <v>744</v>
      </c>
      <c r="B844" t="str">
        <f>IF(COUNTIF(A:A,A844)&gt;1,_xlfn.CONCAT(A844," (",N844,")"),A844)</f>
        <v>Liŭlín Zhèn (Hézé Shì)</v>
      </c>
      <c r="C844" t="str">
        <f>IF(COUNTIF(B:B,B844)&gt;1,_xlfn.CONCAT(A844," (",M844,")"),B844)</f>
        <v>Liŭlín Zhèn (Hézé Shì)</v>
      </c>
      <c r="D844" t="s">
        <v>745</v>
      </c>
      <c r="E844" t="s">
        <v>13</v>
      </c>
      <c r="F844" t="str">
        <f>_xlfn.CONCAT(D844,", ",H844,", ",I844,", ","山东省")</f>
        <v>柳林镇, 巨野县, 菏泽市, 山东省</v>
      </c>
      <c r="G844">
        <v>50907</v>
      </c>
      <c r="H844" t="s">
        <v>3668</v>
      </c>
      <c r="I844" t="s">
        <v>3662</v>
      </c>
      <c r="J844">
        <f>VLOOKUP(F844,[1]!china_towns_second__2[[Column1]:[Y]],3,FALSE)</f>
        <v>35.197466889814002</v>
      </c>
      <c r="K844">
        <f>VLOOKUP(F844,[1]!china_towns_second__2[[Column1]:[Y]],2,FALSE)</f>
        <v>115.8365956</v>
      </c>
      <c r="L844" t="s">
        <v>5677</v>
      </c>
      <c r="M844" t="str">
        <f>VLOOKUP(H844,CHOOSE({1,2},Table17[Native],Table17[Name]),2,0)</f>
        <v>Jùyĕ Xiàn</v>
      </c>
      <c r="N844" s="15" t="str">
        <f>VLOOKUP(I844,CHOOSE({1,2},Table17[Native],Table17[Name]),2,0)</f>
        <v>Hézé Shì</v>
      </c>
      <c r="O844" s="15" t="str">
        <f t="shared" si="26"/>
        <v>Liulin Zhen (Heze Shi) (Hézé Shì)</v>
      </c>
      <c r="P844" s="15" t="str">
        <f t="shared" si="27"/>
        <v>Liulin Zhen (Heze Shi) (Hézé Shì)</v>
      </c>
    </row>
    <row r="845" spans="1:16" hidden="1" x14ac:dyDescent="0.25">
      <c r="A845" t="s">
        <v>744</v>
      </c>
      <c r="B845" t="str">
        <f>IF(COUNTIF(A:A,A845)&gt;1,_xlfn.CONCAT(A845," (",N845,")"),A845)</f>
        <v>Liŭlín Zhèn (Liáochéng Shì)</v>
      </c>
      <c r="C845" t="str">
        <f>IF(COUNTIF(B:B,B845)&gt;1,_xlfn.CONCAT(A845," (",M845,")"),B845)</f>
        <v>Liŭlín Zhèn (Liáochéng Shì)</v>
      </c>
      <c r="D845" t="s">
        <v>745</v>
      </c>
      <c r="E845" t="s">
        <v>13</v>
      </c>
      <c r="F845" t="str">
        <f>_xlfn.CONCAT(D845,", ",H845,", ",I845,", ","山东省")</f>
        <v>柳林镇, 冠县, 聊城市, 山东省</v>
      </c>
      <c r="G845">
        <v>49376</v>
      </c>
      <c r="H845" t="s">
        <v>3705</v>
      </c>
      <c r="I845" t="s">
        <v>3700</v>
      </c>
      <c r="J845">
        <f>VLOOKUP(F845,[1]!china_towns_second__2[[Column1]:[Y]],3,FALSE)</f>
        <v>36.652555574058503</v>
      </c>
      <c r="K845">
        <f>VLOOKUP(F845,[1]!china_towns_second__2[[Column1]:[Y]],2,FALSE)</f>
        <v>115.7030963</v>
      </c>
      <c r="L845" t="s">
        <v>5678</v>
      </c>
      <c r="M845" t="str">
        <f>VLOOKUP(H845,CHOOSE({1,2},Table17[Native],Table17[Name]),2,0)</f>
        <v>Guān Xiàn</v>
      </c>
      <c r="N845" s="15" t="str">
        <f>VLOOKUP(I845,CHOOSE({1,2},Table17[Native],Table17[Name]),2,0)</f>
        <v>Liáochéng Shì</v>
      </c>
      <c r="O845" s="15" t="str">
        <f t="shared" si="26"/>
        <v>Liulin Zhen (Liaocheng Shi) (Liáochéng Shì)</v>
      </c>
      <c r="P845" s="15" t="str">
        <f t="shared" si="27"/>
        <v>Liulin Zhen (Liaocheng Shi) (Liáochéng Shì)</v>
      </c>
    </row>
    <row r="846" spans="1:16" hidden="1" x14ac:dyDescent="0.25">
      <c r="A846" t="s">
        <v>1044</v>
      </c>
      <c r="B846" t="str">
        <f>IF(COUNTIF(A:A,A846)&gt;1,_xlfn.CONCAT(A846," (",N846,")"),A846)</f>
        <v>Liùlĭshān Jiēdào</v>
      </c>
      <c r="C846" t="str">
        <f>IF(COUNTIF(B:B,B846)&gt;1,_xlfn.CONCAT(A846," (",M846,")"),B846)</f>
        <v>Liùlĭshān Jiēdào</v>
      </c>
      <c r="D846" t="s">
        <v>1045</v>
      </c>
      <c r="E846" t="s">
        <v>7</v>
      </c>
      <c r="F846" t="str">
        <f>_xlfn.CONCAT(D846,", ",H846,", ",I846,", ","山东省")</f>
        <v>六里山街道, 市中区, 济南市, 山东省</v>
      </c>
      <c r="G846">
        <v>56414</v>
      </c>
      <c r="H846" t="s">
        <v>3683</v>
      </c>
      <c r="I846" t="s">
        <v>3673</v>
      </c>
      <c r="J846">
        <f>VLOOKUP(F846,[1]!china_towns_second__2[[Column1]:[Y]],3,FALSE)</f>
        <v>36.618524384499899</v>
      </c>
      <c r="K846">
        <f>VLOOKUP(F846,[1]!china_towns_second__2[[Column1]:[Y]],2,FALSE)</f>
        <v>116.9975374</v>
      </c>
      <c r="L846" t="s">
        <v>5679</v>
      </c>
      <c r="M846" t="str">
        <f>VLOOKUP(H846,CHOOSE({1,2},Table17[Native],Table17[Name]),2,0)</f>
        <v>Shìzhōng Qū</v>
      </c>
      <c r="N846" s="15" t="str">
        <f>VLOOKUP(I846,CHOOSE({1,2},Table17[Native],Table17[Name]),2,0)</f>
        <v>Jìnán Shì</v>
      </c>
      <c r="O846" s="15" t="str">
        <f t="shared" si="26"/>
        <v>Liulishan Jiedao (Jìnán Shì)</v>
      </c>
      <c r="P846" s="15" t="str">
        <f t="shared" si="27"/>
        <v>Liulishan Jiedao (Jìnán Shì)</v>
      </c>
    </row>
    <row r="847" spans="1:16" hidden="1" x14ac:dyDescent="0.25">
      <c r="A847" t="s">
        <v>1656</v>
      </c>
      <c r="B847" t="str">
        <f>IF(COUNTIF(A:A,A847)&gt;1,_xlfn.CONCAT(A847," (",N847,")"),A847)</f>
        <v>Liúlísì Zhèn</v>
      </c>
      <c r="C847" t="str">
        <f>IF(COUNTIF(B:B,B847)&gt;1,_xlfn.CONCAT(A847," (",M847,")"),B847)</f>
        <v>Liúlísì Zhèn</v>
      </c>
      <c r="D847" t="s">
        <v>1657</v>
      </c>
      <c r="E847" t="s">
        <v>13</v>
      </c>
      <c r="F847" t="str">
        <f>_xlfn.CONCAT(D847,", ",H847,", ",I847,", ","山东省")</f>
        <v>琉璃寺镇, 高唐县, 聊城市, 山东省</v>
      </c>
      <c r="G847">
        <v>31444</v>
      </c>
      <c r="H847" t="s">
        <v>3704</v>
      </c>
      <c r="I847" t="s">
        <v>3700</v>
      </c>
      <c r="J847">
        <f>VLOOKUP(F847,[1]!china_towns_second__2[[Column1]:[Y]],3,FALSE)</f>
        <v>36.700415723013897</v>
      </c>
      <c r="K847">
        <f>VLOOKUP(F847,[1]!china_towns_second__2[[Column1]:[Y]],2,FALSE)</f>
        <v>116.3481441</v>
      </c>
      <c r="L847" t="s">
        <v>5680</v>
      </c>
      <c r="M847" t="str">
        <f>VLOOKUP(H847,CHOOSE({1,2},Table17[Native],Table17[Name]),2,0)</f>
        <v>Gāotáng Xiàn</v>
      </c>
      <c r="N847" s="15" t="str">
        <f>VLOOKUP(I847,CHOOSE({1,2},Table17[Native],Table17[Name]),2,0)</f>
        <v>Liáochéng Shì</v>
      </c>
      <c r="O847" s="15" t="str">
        <f t="shared" si="26"/>
        <v>Liulisi Zhen (Liáochéng Shì)</v>
      </c>
      <c r="P847" s="15" t="str">
        <f t="shared" si="27"/>
        <v>Liulisi Zhen (Liáochéng Shì)</v>
      </c>
    </row>
    <row r="848" spans="1:16" hidden="1" x14ac:dyDescent="0.25">
      <c r="A848" t="s">
        <v>746</v>
      </c>
      <c r="B848" t="str">
        <f>IF(COUNTIF(A:A,A848)&gt;1,_xlfn.CONCAT(A848," (",N848,")"),A848)</f>
        <v>Liúlóu Zhèn (Hézé Shì)</v>
      </c>
      <c r="C848" t="str">
        <f>IF(COUNTIF(B:B,B848)&gt;1,_xlfn.CONCAT(A848," (",M848,")"),B848)</f>
        <v>Liúlóu Zhèn (Hézé Shì)</v>
      </c>
      <c r="D848" t="s">
        <v>747</v>
      </c>
      <c r="E848" t="s">
        <v>13</v>
      </c>
      <c r="F848" t="str">
        <f>_xlfn.CONCAT(D848,", ",H848,", ",I848,", ","山东省")</f>
        <v>刘楼镇, 东明县, 菏泽市, 山东省</v>
      </c>
      <c r="G848">
        <v>42438</v>
      </c>
      <c r="H848" t="s">
        <v>3666</v>
      </c>
      <c r="I848" t="s">
        <v>3662</v>
      </c>
      <c r="J848">
        <f>VLOOKUP(F848,[1]!china_towns_second__2[[Column1]:[Y]],3,FALSE)</f>
        <v>35.1401608184837</v>
      </c>
      <c r="K848">
        <f>VLOOKUP(F848,[1]!china_towns_second__2[[Column1]:[Y]],2,FALSE)</f>
        <v>114.9906076</v>
      </c>
      <c r="L848" t="s">
        <v>5681</v>
      </c>
      <c r="M848" t="str">
        <f>VLOOKUP(H848,CHOOSE({1,2},Table17[Native],Table17[Name]),2,0)</f>
        <v>Dōngmíng Xiàn</v>
      </c>
      <c r="N848" s="15" t="str">
        <f>VLOOKUP(I848,CHOOSE({1,2},Table17[Native],Table17[Name]),2,0)</f>
        <v>Hézé Shì</v>
      </c>
      <c r="O848" s="15" t="str">
        <f t="shared" si="26"/>
        <v>Liulou Zhen (Heze Shi) (Hézé Shì)</v>
      </c>
      <c r="P848" s="15" t="str">
        <f t="shared" si="27"/>
        <v>Liulou Zhen (Heze Shi) (Hézé Shì)</v>
      </c>
    </row>
    <row r="849" spans="1:16" hidden="1" x14ac:dyDescent="0.25">
      <c r="A849" t="s">
        <v>746</v>
      </c>
      <c r="B849" t="str">
        <f>IF(COUNTIF(A:A,A849)&gt;1,_xlfn.CONCAT(A849," (",N849,")"),A849)</f>
        <v>Liúlóu Zhèn (Jìníng Shì)</v>
      </c>
      <c r="C849" t="str">
        <f>IF(COUNTIF(B:B,B849)&gt;1,_xlfn.CONCAT(A849," (",M849,")"),B849)</f>
        <v>Liúlóu Zhèn (Jìníng Shì)</v>
      </c>
      <c r="D849" t="s">
        <v>747</v>
      </c>
      <c r="E849" t="s">
        <v>13</v>
      </c>
      <c r="F849" t="str">
        <f>_xlfn.CONCAT(D849,", ",H849,", ",I849,", ","山东省")</f>
        <v>刘楼镇, 汶上县, 济宁市, 山东省</v>
      </c>
      <c r="G849">
        <v>33429</v>
      </c>
      <c r="H849" t="s">
        <v>3695</v>
      </c>
      <c r="I849" t="s">
        <v>3687</v>
      </c>
      <c r="J849">
        <f>VLOOKUP(F849,[1]!china_towns_second__2[[Column1]:[Y]],3,FALSE)</f>
        <v>35.608748113423196</v>
      </c>
      <c r="K849">
        <f>VLOOKUP(F849,[1]!china_towns_second__2[[Column1]:[Y]],2,FALSE)</f>
        <v>116.4041907</v>
      </c>
      <c r="L849" t="s">
        <v>5682</v>
      </c>
      <c r="M849" t="str">
        <f>VLOOKUP(H849,CHOOSE({1,2},Table17[Native],Table17[Name]),2,0)</f>
        <v>Wènshàng Xiàn</v>
      </c>
      <c r="N849" s="15" t="str">
        <f>VLOOKUP(I849,CHOOSE({1,2},Table17[Native],Table17[Name]),2,0)</f>
        <v>Jìníng Shì</v>
      </c>
      <c r="O849" s="15" t="str">
        <f t="shared" si="26"/>
        <v>Liulou Zhen (Jining Shi) (Jìníng Shì)</v>
      </c>
      <c r="P849" s="15" t="str">
        <f t="shared" si="27"/>
        <v>Liulou Zhen (Jining Shi) (Jìníng Shì)</v>
      </c>
    </row>
    <row r="850" spans="1:16" hidden="1" x14ac:dyDescent="0.25">
      <c r="A850" t="s">
        <v>103</v>
      </c>
      <c r="B850" t="str">
        <f>IF(COUNTIF(A:A,A850)&gt;1,_xlfn.CONCAT(A850," (",N850,")"),A850)</f>
        <v>Liúpōwù Zhèn</v>
      </c>
      <c r="C850" t="str">
        <f>IF(COUNTIF(B:B,B850)&gt;1,_xlfn.CONCAT(A850," (",M850,")"),B850)</f>
        <v>Liúpōwù Zhèn</v>
      </c>
      <c r="D850" t="s">
        <v>104</v>
      </c>
      <c r="E850" t="s">
        <v>13</v>
      </c>
      <c r="F850" t="str">
        <f>_xlfn.CONCAT(D850,", ",H850,", ",I850,", ","山东省")</f>
        <v>流坡坞镇, 阳信县, 滨州市, 山东省</v>
      </c>
      <c r="G850">
        <v>38395</v>
      </c>
      <c r="H850" t="s">
        <v>3637</v>
      </c>
      <c r="I850" t="s">
        <v>3630</v>
      </c>
      <c r="J850">
        <f>VLOOKUP(F850,[1]!china_towns_second__2[[Column1]:[Y]],3,FALSE)</f>
        <v>37.627238052015002</v>
      </c>
      <c r="K850">
        <f>VLOOKUP(F850,[1]!china_towns_second__2[[Column1]:[Y]],2,FALSE)</f>
        <v>117.423928</v>
      </c>
      <c r="L850" t="s">
        <v>5683</v>
      </c>
      <c r="M850" t="str">
        <f>VLOOKUP(H850,CHOOSE({1,2},Table17[Native],Table17[Name]),2,0)</f>
        <v>Yángxìn Xiàn</v>
      </c>
      <c r="N850" s="15" t="str">
        <f>VLOOKUP(I850,CHOOSE({1,2},Table17[Native],Table17[Name]),2,0)</f>
        <v>Bīnzhōu Shì</v>
      </c>
      <c r="O850" s="15" t="str">
        <f t="shared" si="26"/>
        <v>Liupowu Zhen (Bīnzhōu Shì)</v>
      </c>
      <c r="P850" s="15" t="str">
        <f t="shared" si="27"/>
        <v>Liupowu Zhen (Bīnzhōu Shì)</v>
      </c>
    </row>
    <row r="851" spans="1:16" hidden="1" x14ac:dyDescent="0.25">
      <c r="A851" t="s">
        <v>324</v>
      </c>
      <c r="B851" t="str">
        <f>IF(COUNTIF(A:A,A851)&gt;1,_xlfn.CONCAT(A851," (",N851,")"),A851)</f>
        <v>Liúqiáo Zhèn</v>
      </c>
      <c r="C851" t="str">
        <f>IF(COUNTIF(B:B,B851)&gt;1,_xlfn.CONCAT(A851," (",M851,")"),B851)</f>
        <v>Liúqiáo Zhèn</v>
      </c>
      <c r="D851" t="s">
        <v>325</v>
      </c>
      <c r="E851" t="s">
        <v>13</v>
      </c>
      <c r="F851" t="str">
        <f>_xlfn.CONCAT(D851,", ",H851,", ",I851,", ","山东省")</f>
        <v>刘桥镇, 齐河县, 德州市, 山东省</v>
      </c>
      <c r="G851">
        <v>34649</v>
      </c>
      <c r="H851" t="s">
        <v>3649</v>
      </c>
      <c r="I851" t="s">
        <v>3642</v>
      </c>
      <c r="J851">
        <f>VLOOKUP(F851,[1]!china_towns_second__2[[Column1]:[Y]],3,FALSE)</f>
        <v>36.712387947691298</v>
      </c>
      <c r="K851">
        <f>VLOOKUP(F851,[1]!china_towns_second__2[[Column1]:[Y]],2,FALSE)</f>
        <v>116.60046389999999</v>
      </c>
      <c r="L851" t="s">
        <v>5684</v>
      </c>
      <c r="M851" t="str">
        <f>VLOOKUP(H851,CHOOSE({1,2},Table17[Native],Table17[Name]),2,0)</f>
        <v>Qíhé Xiàn</v>
      </c>
      <c r="N851" s="15" t="str">
        <f>VLOOKUP(I851,CHOOSE({1,2},Table17[Native],Table17[Name]),2,0)</f>
        <v>Dézhōu Shì</v>
      </c>
      <c r="O851" s="15" t="str">
        <f t="shared" si="26"/>
        <v>Liuqiao Zhen (Dézhōu Shì)</v>
      </c>
      <c r="P851" s="15" t="str">
        <f t="shared" si="27"/>
        <v>Liuqiao Zhen (Dézhōu Shì)</v>
      </c>
    </row>
    <row r="852" spans="1:16" hidden="1" x14ac:dyDescent="0.25">
      <c r="A852" t="s">
        <v>1933</v>
      </c>
      <c r="B852" t="str">
        <f>IF(COUNTIF(A:A,A852)&gt;1,_xlfn.CONCAT(A852," (",N852,")"),A852)</f>
        <v>Liǔqīng Jiēdào [Nánfāng Jiēdào]</v>
      </c>
      <c r="C852" t="str">
        <f>IF(COUNTIF(B:B,B852)&gt;1,_xlfn.CONCAT(A852," (",M852,")"),B852)</f>
        <v>Liǔqīng Jiēdào [Nánfāng Jiēdào]</v>
      </c>
      <c r="D852" t="s">
        <v>1934</v>
      </c>
      <c r="E852" t="s">
        <v>7</v>
      </c>
      <c r="F852" t="str">
        <f>_xlfn.CONCAT(D852,", ",H852,", ",I852,", ","山东省")</f>
        <v>柳青街道, 兰山区, 临沂市, 山东省</v>
      </c>
      <c r="G852">
        <v>98687</v>
      </c>
      <c r="H852" t="s">
        <v>3715</v>
      </c>
      <c r="I852" t="s">
        <v>3710</v>
      </c>
      <c r="J852">
        <f>VLOOKUP(F852,[1]!china_towns_second__2[[Column1]:[Y]],3,FALSE)</f>
        <v>35.128487538859702</v>
      </c>
      <c r="K852">
        <f>VLOOKUP(F852,[1]!china_towns_second__2[[Column1]:[Y]],2,FALSE)</f>
        <v>118.3458351</v>
      </c>
      <c r="L852" t="s">
        <v>5685</v>
      </c>
      <c r="M852" t="str">
        <f>VLOOKUP(H852,CHOOSE({1,2},Table17[Native],Table17[Name]),2,0)</f>
        <v>Lánshān Qū</v>
      </c>
      <c r="N852" s="15" t="str">
        <f>VLOOKUP(I852,CHOOSE({1,2},Table17[Native],Table17[Name]),2,0)</f>
        <v>Línyí Shì</v>
      </c>
      <c r="O852" s="15" t="str">
        <f t="shared" si="26"/>
        <v>Liuqing Jiedao [Nanfang Jiedao] (Línyí Shì)</v>
      </c>
      <c r="P852" s="15" t="str">
        <f t="shared" si="27"/>
        <v>Liuqing Jiedao [Nanfang Jiedao] (Línyí Shì)</v>
      </c>
    </row>
    <row r="853" spans="1:16" hidden="1" x14ac:dyDescent="0.25">
      <c r="A853" t="s">
        <v>2781</v>
      </c>
      <c r="B853" t="str">
        <f>IF(COUNTIF(A:A,A853)&gt;1,_xlfn.CONCAT(A853," (",N853,")"),A853)</f>
        <v>Liŭshān Zhèn</v>
      </c>
      <c r="C853" t="str">
        <f>IF(COUNTIF(B:B,B853)&gt;1,_xlfn.CONCAT(A853," (",M853,")"),B853)</f>
        <v>Liŭshān Zhèn</v>
      </c>
      <c r="D853" t="s">
        <v>2782</v>
      </c>
      <c r="E853" t="s">
        <v>13</v>
      </c>
      <c r="F853" t="str">
        <f>_xlfn.CONCAT(D853,", ",H853,", ",I853,", ","山东省")</f>
        <v>柳山镇, 临朐县, 潍坊市, 山东省</v>
      </c>
      <c r="G853">
        <v>33992</v>
      </c>
      <c r="H853" t="s">
        <v>3759</v>
      </c>
      <c r="I853" t="s">
        <v>3751</v>
      </c>
      <c r="J853">
        <f>VLOOKUP(F853,[1]!china_towns_second__2[[Column1]:[Y]],3,FALSE)</f>
        <v>36.436420524005896</v>
      </c>
      <c r="K853">
        <f>VLOOKUP(F853,[1]!china_towns_second__2[[Column1]:[Y]],2,FALSE)</f>
        <v>118.7469674</v>
      </c>
      <c r="L853" t="s">
        <v>5686</v>
      </c>
      <c r="M853" t="str">
        <f>VLOOKUP(H853,CHOOSE({1,2},Table17[Native],Table17[Name]),2,0)</f>
        <v>Línqú Xiàn</v>
      </c>
      <c r="N853" s="15" t="str">
        <f>VLOOKUP(I853,CHOOSE({1,2},Table17[Native],Table17[Name]),2,0)</f>
        <v>Wéifāng Shì</v>
      </c>
      <c r="O853" s="15" t="str">
        <f t="shared" si="26"/>
        <v>Liushan Zhen (Wéifāng Shì)</v>
      </c>
      <c r="P853" s="15" t="str">
        <f t="shared" si="27"/>
        <v>Liushan Zhen (Wéifāng Shì)</v>
      </c>
    </row>
    <row r="854" spans="1:16" hidden="1" x14ac:dyDescent="0.25">
      <c r="A854" t="s">
        <v>2256</v>
      </c>
      <c r="B854" t="str">
        <f>IF(COUNTIF(A:A,A854)&gt;1,_xlfn.CONCAT(A854," (",N854,")"),A854)</f>
        <v>Liútíng Jiēdào</v>
      </c>
      <c r="C854" t="str">
        <f>IF(COUNTIF(B:B,B854)&gt;1,_xlfn.CONCAT(A854," (",M854,")"),B854)</f>
        <v>Liútíng Jiēdào</v>
      </c>
      <c r="D854" t="s">
        <v>2257</v>
      </c>
      <c r="E854" t="s">
        <v>7</v>
      </c>
      <c r="F854" t="str">
        <f>_xlfn.CONCAT(D854,", ",H854,", ",I854,", ","山东省")</f>
        <v>流亭街道, 城阳区, 青岛市, 山东省</v>
      </c>
      <c r="G854">
        <v>132978</v>
      </c>
      <c r="H854" t="s">
        <v>3725</v>
      </c>
      <c r="I854" t="s">
        <v>3724</v>
      </c>
      <c r="J854">
        <f>VLOOKUP(F854,[1]!china_towns_second__2[[Column1]:[Y]],3,FALSE)</f>
        <v>36.255877226373002</v>
      </c>
      <c r="K854">
        <f>VLOOKUP(F854,[1]!china_towns_second__2[[Column1]:[Y]],2,FALSE)</f>
        <v>120.3642495</v>
      </c>
      <c r="L854" t="s">
        <v>5687</v>
      </c>
      <c r="M854" t="str">
        <f>VLOOKUP(H854,CHOOSE({1,2},Table17[Native],Table17[Name]),2,0)</f>
        <v>Chéngyáng Qū</v>
      </c>
      <c r="N854" s="15" t="str">
        <f>VLOOKUP(I854,CHOOSE({1,2},Table17[Native],Table17[Name]),2,0)</f>
        <v>Qīngdăo Shì</v>
      </c>
      <c r="O854" s="15" t="str">
        <f t="shared" si="26"/>
        <v>Liuting Jiedao (Qīngdăo Shì)</v>
      </c>
      <c r="P854" s="15" t="str">
        <f t="shared" si="27"/>
        <v>Liuting Jiedao (Qīngdăo Shì)</v>
      </c>
    </row>
    <row r="855" spans="1:16" hidden="1" x14ac:dyDescent="0.25">
      <c r="A855" t="s">
        <v>2783</v>
      </c>
      <c r="B855" t="str">
        <f>IF(COUNTIF(A:A,A855)&gt;1,_xlfn.CONCAT(A855," (",N855,")"),A855)</f>
        <v>Liŭtuăn Zhèn</v>
      </c>
      <c r="C855" t="str">
        <f>IF(COUNTIF(B:B,B855)&gt;1,_xlfn.CONCAT(A855," (",M855,")"),B855)</f>
        <v>Liŭtuăn Zhèn</v>
      </c>
      <c r="D855" t="s">
        <v>2784</v>
      </c>
      <c r="E855" t="s">
        <v>13</v>
      </c>
      <c r="F855" t="str">
        <f>_xlfn.CONCAT(D855,", ",H855,", ",I855,", ","山东省")</f>
        <v>柳疃镇, 昌邑市, 潍坊市, 山东省</v>
      </c>
      <c r="G855">
        <v>48469</v>
      </c>
      <c r="H855" t="s">
        <v>3754</v>
      </c>
      <c r="I855" t="s">
        <v>3751</v>
      </c>
      <c r="J855">
        <f>VLOOKUP(F855,[1]!china_towns_second__2[[Column1]:[Y]],3,FALSE)</f>
        <v>37.039185027291701</v>
      </c>
      <c r="K855">
        <f>VLOOKUP(F855,[1]!china_towns_second__2[[Column1]:[Y]],2,FALSE)</f>
        <v>119.39928310000001</v>
      </c>
      <c r="L855" t="s">
        <v>5688</v>
      </c>
      <c r="M855" t="str">
        <f>VLOOKUP(H855,CHOOSE({1,2},Table17[Native],Table17[Name]),2,0)</f>
        <v>Chāngyì Shì</v>
      </c>
      <c r="N855" s="15" t="str">
        <f>VLOOKUP(I855,CHOOSE({1,2},Table17[Native],Table17[Name]),2,0)</f>
        <v>Wéifāng Shì</v>
      </c>
      <c r="O855" s="15" t="str">
        <f t="shared" si="26"/>
        <v>Liutuan Zhen (Wéifāng Shì)</v>
      </c>
      <c r="P855" s="15" t="str">
        <f t="shared" si="27"/>
        <v>Liutuan Zhen (Wéifāng Shì)</v>
      </c>
    </row>
    <row r="856" spans="1:16" hidden="1" x14ac:dyDescent="0.25">
      <c r="A856" t="s">
        <v>2258</v>
      </c>
      <c r="B856" t="str">
        <f>IF(COUNTIF(A:A,A856)&gt;1,_xlfn.CONCAT(A856," (",N856,")"),A856)</f>
        <v>Liùwāng Zhèn</v>
      </c>
      <c r="C856" t="str">
        <f>IF(COUNTIF(B:B,B856)&gt;1,_xlfn.CONCAT(A856," (",M856,")"),B856)</f>
        <v>Liùwāng Zhèn</v>
      </c>
      <c r="D856" t="s">
        <v>2259</v>
      </c>
      <c r="E856" t="s">
        <v>13</v>
      </c>
      <c r="F856" t="str">
        <f>_xlfn.CONCAT(D856,", ",H856,", ",I856,", ","山东省")</f>
        <v>六汪镇, 黄岛区, 青岛市, 山东省</v>
      </c>
      <c r="G856">
        <v>42384</v>
      </c>
      <c r="H856" t="s">
        <v>3726</v>
      </c>
      <c r="I856" t="s">
        <v>3724</v>
      </c>
      <c r="J856">
        <f>VLOOKUP(F856,[1]!china_towns_second__2[[Column1]:[Y]],3,FALSE)</f>
        <v>35.954626141790797</v>
      </c>
      <c r="K856">
        <f>VLOOKUP(F856,[1]!china_towns_second__2[[Column1]:[Y]],2,FALSE)</f>
        <v>119.7637019</v>
      </c>
      <c r="L856" t="s">
        <v>5689</v>
      </c>
      <c r="M856" t="str">
        <f>VLOOKUP(H856,CHOOSE({1,2},Table17[Native],Table17[Name]),2,0)</f>
        <v>Huángdăo Qū</v>
      </c>
      <c r="N856" s="15" t="str">
        <f>VLOOKUP(I856,CHOOSE({1,2},Table17[Native],Table17[Name]),2,0)</f>
        <v>Qīngdăo Shì</v>
      </c>
      <c r="O856" s="15" t="str">
        <f t="shared" si="26"/>
        <v>Liuwang Zhen (Qīngdăo Shì)</v>
      </c>
      <c r="P856" s="15" t="str">
        <f t="shared" si="27"/>
        <v>Liuwang Zhen (Qīngdăo Shì)</v>
      </c>
    </row>
    <row r="857" spans="1:16" hidden="1" x14ac:dyDescent="0.25">
      <c r="A857" t="s">
        <v>1354</v>
      </c>
      <c r="B857" t="str">
        <f>IF(COUNTIF(A:A,A857)&gt;1,_xlfn.CONCAT(A857," (",N857,")"),A857)</f>
        <v>Liŭxíng Jiēdào</v>
      </c>
      <c r="C857" t="str">
        <f>IF(COUNTIF(B:B,B857)&gt;1,_xlfn.CONCAT(A857," (",M857,")"),B857)</f>
        <v>Liŭxíng Jiēdào</v>
      </c>
      <c r="D857" t="s">
        <v>1355</v>
      </c>
      <c r="E857" t="s">
        <v>7</v>
      </c>
      <c r="F857" t="str">
        <f>_xlfn.CONCAT(D857,", ",H857,", ",I857,", ","山东省")</f>
        <v>柳行街道, 任城区, 济宁市, 山东省</v>
      </c>
      <c r="G857">
        <v>36530</v>
      </c>
      <c r="H857" t="s">
        <v>3692</v>
      </c>
      <c r="I857" t="s">
        <v>3687</v>
      </c>
      <c r="J857">
        <f>VLOOKUP(F857,[1]!china_towns_second__2[[Column1]:[Y]],3,FALSE)</f>
        <v>35.448719651059498</v>
      </c>
      <c r="K857">
        <f>VLOOKUP(F857,[1]!china_towns_second__2[[Column1]:[Y]],2,FALSE)</f>
        <v>116.66350660000001</v>
      </c>
      <c r="L857" t="s">
        <v>5690</v>
      </c>
      <c r="M857" t="str">
        <f>VLOOKUP(H857,CHOOSE({1,2},Table17[Native],Table17[Name]),2,0)</f>
        <v>Rènchéng Qū</v>
      </c>
      <c r="N857" s="15" t="str">
        <f>VLOOKUP(I857,CHOOSE({1,2},Table17[Native],Table17[Name]),2,0)</f>
        <v>Jìníng Shì</v>
      </c>
      <c r="O857" s="15" t="str">
        <f t="shared" si="26"/>
        <v>Liuxing Jiedao (Jìníng Shì)</v>
      </c>
      <c r="P857" s="15" t="str">
        <f t="shared" si="27"/>
        <v>Liuxing Jiedao (Jìníng Shì)</v>
      </c>
    </row>
    <row r="858" spans="1:16" hidden="1" x14ac:dyDescent="0.25">
      <c r="A858" t="s">
        <v>326</v>
      </c>
      <c r="B858" t="str">
        <f>IF(COUNTIF(A:A,A858)&gt;1,_xlfn.CONCAT(A858," (",N858,")"),A858)</f>
        <v>Liúyíngwŭ Xiāng</v>
      </c>
      <c r="C858" t="str">
        <f>IF(COUNTIF(B:B,B858)&gt;1,_xlfn.CONCAT(A858," (",M858,")"),B858)</f>
        <v>Liúyíngwŭ Xiāng</v>
      </c>
      <c r="D858" t="s">
        <v>327</v>
      </c>
      <c r="E858" t="s">
        <v>61</v>
      </c>
      <c r="F858" t="str">
        <f>_xlfn.CONCAT(D858,", ",H858,", ",I858,", ","山东省")</f>
        <v>刘营伍乡, 宁津县, 德州市, 山东省</v>
      </c>
      <c r="G858">
        <v>21122</v>
      </c>
      <c r="H858" t="s">
        <v>3647</v>
      </c>
      <c r="I858" t="s">
        <v>3642</v>
      </c>
      <c r="J858" t="e">
        <f>VLOOKUP(F858,[1]!china_towns_second__2[[Column1]:[Y]],3,FALSE)</f>
        <v>#N/A</v>
      </c>
      <c r="K858" t="e">
        <f>VLOOKUP(F858,[1]!china_towns_second__2[[Column1]:[Y]],2,FALSE)</f>
        <v>#N/A</v>
      </c>
      <c r="L858" t="s">
        <v>5691</v>
      </c>
      <c r="M858" t="str">
        <f>VLOOKUP(H858,CHOOSE({1,2},Table17[Native],Table17[Name]),2,0)</f>
        <v>Níngjīn Xiàn</v>
      </c>
      <c r="N858" s="15" t="str">
        <f>VLOOKUP(I858,CHOOSE({1,2},Table17[Native],Table17[Name]),2,0)</f>
        <v>Dézhōu Shì</v>
      </c>
      <c r="O858" s="15" t="str">
        <f t="shared" si="26"/>
        <v>Liuyingwu Xiang (Dézhōu Shì)</v>
      </c>
      <c r="P858" s="15" t="str">
        <f t="shared" si="27"/>
        <v>Liuyingwu Xiang (Dézhōu Shì)</v>
      </c>
    </row>
    <row r="859" spans="1:16" hidden="1" x14ac:dyDescent="0.25">
      <c r="A859" t="s">
        <v>1935</v>
      </c>
      <c r="B859" t="str">
        <f>IF(COUNTIF(A:A,A859)&gt;1,_xlfn.CONCAT(A859," (",N859,")"),A859)</f>
        <v>Liúyù Zhèn</v>
      </c>
      <c r="C859" t="str">
        <f>IF(COUNTIF(B:B,B859)&gt;1,_xlfn.CONCAT(A859," (",M859,")"),B859)</f>
        <v>Liúyù Zhèn</v>
      </c>
      <c r="D859" t="s">
        <v>1936</v>
      </c>
      <c r="E859" t="s">
        <v>13</v>
      </c>
      <c r="F859" t="str">
        <f>_xlfn.CONCAT(D859,", ",H859,", ",I859,", ","山东省")</f>
        <v>流峪镇, 平邑县, 临沂市, 山东省</v>
      </c>
      <c r="G859">
        <v>46133</v>
      </c>
      <c r="H859" t="s">
        <v>3719</v>
      </c>
      <c r="I859" t="s">
        <v>3710</v>
      </c>
      <c r="J859">
        <f>VLOOKUP(F859,[1]!china_towns_second__2[[Column1]:[Y]],3,FALSE)</f>
        <v>35.384771204952699</v>
      </c>
      <c r="K859">
        <f>VLOOKUP(F859,[1]!china_towns_second__2[[Column1]:[Y]],2,FALSE)</f>
        <v>117.5956134</v>
      </c>
      <c r="L859" t="s">
        <v>5692</v>
      </c>
      <c r="M859" t="str">
        <f>VLOOKUP(H859,CHOOSE({1,2},Table17[Native],Table17[Name]),2,0)</f>
        <v>Píngyì Xiàn</v>
      </c>
      <c r="N859" s="15" t="str">
        <f>VLOOKUP(I859,CHOOSE({1,2},Table17[Native],Table17[Name]),2,0)</f>
        <v>Línyí Shì</v>
      </c>
      <c r="O859" s="15" t="str">
        <f t="shared" si="26"/>
        <v>Liuyu Zhen (Línyí Shì)</v>
      </c>
      <c r="P859" s="15" t="str">
        <f t="shared" si="27"/>
        <v>Liuyu Zhen (Línyí Shì)</v>
      </c>
    </row>
    <row r="860" spans="1:16" hidden="1" x14ac:dyDescent="0.25">
      <c r="A860" t="s">
        <v>1658</v>
      </c>
      <c r="B860" t="str">
        <f>IF(COUNTIF(A:A,A860)&gt;1,_xlfn.CONCAT(A860," (",N860,")"),A860)</f>
        <v>Liŭyuán Jiēdào</v>
      </c>
      <c r="C860" t="str">
        <f>IF(COUNTIF(B:B,B860)&gt;1,_xlfn.CONCAT(A860," (",M860,")"),B860)</f>
        <v>Liŭyuán Jiēdào</v>
      </c>
      <c r="D860" t="s">
        <v>1659</v>
      </c>
      <c r="E860" t="s">
        <v>7</v>
      </c>
      <c r="F860" t="str">
        <f>_xlfn.CONCAT(D860,", ",H860,", ",I860,", ","山东省")</f>
        <v>柳园街道, 东昌府区, 聊城市, 山东省</v>
      </c>
      <c r="G860">
        <v>137260</v>
      </c>
      <c r="H860" t="s">
        <v>3702</v>
      </c>
      <c r="I860" t="s">
        <v>3700</v>
      </c>
      <c r="J860">
        <f>VLOOKUP(F860,[1]!china_towns_second__2[[Column1]:[Y]],3,FALSE)</f>
        <v>36.4353621639587</v>
      </c>
      <c r="K860">
        <f>VLOOKUP(F860,[1]!china_towns_second__2[[Column1]:[Y]],2,FALSE)</f>
        <v>115.9954741</v>
      </c>
      <c r="L860" t="s">
        <v>5693</v>
      </c>
      <c r="M860" t="str">
        <f>VLOOKUP(H860,CHOOSE({1,2},Table17[Native],Table17[Name]),2,0)</f>
        <v>Dōngchāngfŭ Qū</v>
      </c>
      <c r="N860" s="15" t="str">
        <f>VLOOKUP(I860,CHOOSE({1,2},Table17[Native],Table17[Name]),2,0)</f>
        <v>Liáochéng Shì</v>
      </c>
      <c r="O860" s="15" t="str">
        <f t="shared" si="26"/>
        <v>Liuyuan Jiedao (Liáochéng Shì)</v>
      </c>
      <c r="P860" s="15" t="str">
        <f t="shared" si="27"/>
        <v>Liuyuan Jiedao (Liáochéng Shì)</v>
      </c>
    </row>
    <row r="861" spans="1:16" hidden="1" x14ac:dyDescent="0.25">
      <c r="A861" t="s">
        <v>3399</v>
      </c>
      <c r="B861" t="str">
        <f>IF(COUNTIF(A:A,A861)&gt;1,_xlfn.CONCAT(A861," (",N861,")"),A861)</f>
        <v>Liúyuán Zhèn</v>
      </c>
      <c r="C861" t="str">
        <f>IF(COUNTIF(B:B,B861)&gt;1,_xlfn.CONCAT(A861," (",M861,")"),B861)</f>
        <v>Liúyuán Zhèn</v>
      </c>
      <c r="D861" t="s">
        <v>3400</v>
      </c>
      <c r="E861" t="s">
        <v>13</v>
      </c>
      <c r="F861" t="str">
        <f>_xlfn.CONCAT(D861,", ",H861,", ",I861,", ","山东省")</f>
        <v>榴园镇, 峄城区, 枣庄市, 山东省</v>
      </c>
      <c r="G861">
        <v>56488</v>
      </c>
      <c r="H861" t="s">
        <v>3789</v>
      </c>
      <c r="I861" t="s">
        <v>3784</v>
      </c>
      <c r="J861">
        <f>VLOOKUP(F861,[1]!china_towns_second__2[[Column1]:[Y]],3,FALSE)</f>
        <v>34.743770920659699</v>
      </c>
      <c r="K861">
        <f>VLOOKUP(F861,[1]!china_towns_second__2[[Column1]:[Y]],2,FALSE)</f>
        <v>117.490848</v>
      </c>
      <c r="L861" t="s">
        <v>5694</v>
      </c>
      <c r="M861" t="str">
        <f>VLOOKUP(H861,CHOOSE({1,2},Table17[Native],Table17[Name]),2,0)</f>
        <v>Yìchéng Qū</v>
      </c>
      <c r="N861" s="15" t="str">
        <f>VLOOKUP(I861,CHOOSE({1,2},Table17[Native],Table17[Name]),2,0)</f>
        <v>Zăozhuāng Shì</v>
      </c>
      <c r="O861" s="15" t="str">
        <f t="shared" si="26"/>
        <v>Liuyuan Zhen (Zăozhuāng Shì)</v>
      </c>
      <c r="P861" s="15" t="str">
        <f t="shared" si="27"/>
        <v>Liuyuan Zhen (Zăozhuāng Shì)</v>
      </c>
    </row>
    <row r="862" spans="1:16" hidden="1" x14ac:dyDescent="0.25">
      <c r="A862" t="s">
        <v>1356</v>
      </c>
      <c r="B862" t="str">
        <f>IF(COUNTIF(A:A,A862)&gt;1,_xlfn.CONCAT(A862," (",N862,")"),A862)</f>
        <v>Liúzhuāng Zhèn</v>
      </c>
      <c r="C862" t="str">
        <f>IF(COUNTIF(B:B,B862)&gt;1,_xlfn.CONCAT(A862," (",M862,")"),B862)</f>
        <v>Liúzhuāng Zhèn</v>
      </c>
      <c r="D862" t="s">
        <v>1357</v>
      </c>
      <c r="E862" t="s">
        <v>13</v>
      </c>
      <c r="F862" t="str">
        <f>_xlfn.CONCAT(D862,", ",H862,", ",I862,", ","山东省")</f>
        <v>留庄镇, 微山县, 济宁市, 山东省</v>
      </c>
      <c r="G862">
        <v>50386</v>
      </c>
      <c r="H862" t="s">
        <v>3694</v>
      </c>
      <c r="I862" t="s">
        <v>3687</v>
      </c>
      <c r="J862">
        <f>VLOOKUP(F862,[1]!china_towns_second__2[[Column1]:[Y]],3,FALSE)</f>
        <v>35.0076600962743</v>
      </c>
      <c r="K862">
        <f>VLOOKUP(F862,[1]!china_towns_second__2[[Column1]:[Y]],2,FALSE)</f>
        <v>116.89100310000001</v>
      </c>
      <c r="L862" t="s">
        <v>5695</v>
      </c>
      <c r="M862" t="str">
        <f>VLOOKUP(H862,CHOOSE({1,2},Table17[Native],Table17[Name]),2,0)</f>
        <v>Wēishān Xiàn</v>
      </c>
      <c r="N862" s="15" t="str">
        <f>VLOOKUP(I862,CHOOSE({1,2},Table17[Native],Table17[Name]),2,0)</f>
        <v>Jìníng Shì</v>
      </c>
      <c r="O862" s="15" t="str">
        <f t="shared" si="26"/>
        <v>Liuzhuang Zhen (Jìníng Shì)</v>
      </c>
      <c r="P862" s="15" t="str">
        <f t="shared" si="27"/>
        <v>Liuzhuang Zhen (Jìníng Shì)</v>
      </c>
    </row>
    <row r="863" spans="1:16" hidden="1" x14ac:dyDescent="0.25">
      <c r="A863" t="s">
        <v>1046</v>
      </c>
      <c r="B863" t="str">
        <f>IF(COUNTIF(A:A,A863)&gt;1,_xlfn.CONCAT(A863," (",N863,")"),A863)</f>
        <v>Lĭxīn Jiēdào</v>
      </c>
      <c r="C863" t="str">
        <f>IF(COUNTIF(B:B,B863)&gt;1,_xlfn.CONCAT(A863," (",M863,")"),B863)</f>
        <v>Lĭxīn Jiēdào</v>
      </c>
      <c r="D863" t="s">
        <v>1047</v>
      </c>
      <c r="E863" t="s">
        <v>7</v>
      </c>
      <c r="F863" t="str">
        <f>_xlfn.CONCAT(D863,", ",H863,", ",I863,", ","山东省")</f>
        <v>里辛街道, 钢城区, 济南市, 山东省</v>
      </c>
      <c r="G863">
        <v>59969</v>
      </c>
      <c r="H863" t="s">
        <v>3675</v>
      </c>
      <c r="I863" t="s">
        <v>3673</v>
      </c>
      <c r="J863" t="e">
        <f>VLOOKUP(F863,[1]!china_towns_second__2[[Column1]:[Y]],3,FALSE)</f>
        <v>#N/A</v>
      </c>
      <c r="K863" t="e">
        <f>VLOOKUP(F863,[1]!china_towns_second__2[[Column1]:[Y]],2,FALSE)</f>
        <v>#N/A</v>
      </c>
      <c r="L863" t="s">
        <v>5696</v>
      </c>
      <c r="M863" t="str">
        <f>VLOOKUP(H863,CHOOSE({1,2},Table17[Native],Table17[Name]),2,0)</f>
        <v>Gāngchéng Qū</v>
      </c>
      <c r="N863" s="15" t="str">
        <f>VLOOKUP(I863,CHOOSE({1,2},Table17[Native],Table17[Name]),2,0)</f>
        <v>Jìnán Shì</v>
      </c>
      <c r="O863" s="15" t="str">
        <f t="shared" si="26"/>
        <v>Lixin Jiedao (Jìnán Shì)</v>
      </c>
      <c r="P863" s="15" t="str">
        <f t="shared" si="27"/>
        <v>Lixin Jiedao (Jìnán Shì)</v>
      </c>
    </row>
    <row r="864" spans="1:16" hidden="1" x14ac:dyDescent="0.25">
      <c r="A864" t="s">
        <v>748</v>
      </c>
      <c r="B864" t="str">
        <f>IF(COUNTIF(A:A,A864)&gt;1,_xlfn.CONCAT(A864," (",N864,")"),A864)</f>
        <v>Lĭxīnzhuāng Zhèn</v>
      </c>
      <c r="C864" t="str">
        <f>IF(COUNTIF(B:B,B864)&gt;1,_xlfn.CONCAT(A864," (",M864,")"),B864)</f>
        <v>Lĭxīnzhuāng Zhèn</v>
      </c>
      <c r="D864" t="s">
        <v>749</v>
      </c>
      <c r="E864" t="s">
        <v>13</v>
      </c>
      <c r="F864" t="str">
        <f>_xlfn.CONCAT(D864,", ",H864,", ",I864,", ","山东省")</f>
        <v>李新庄镇, 单县, 菏泽市, 山东省</v>
      </c>
      <c r="G864">
        <v>34010</v>
      </c>
      <c r="H864" t="s">
        <v>3670</v>
      </c>
      <c r="I864" t="s">
        <v>3662</v>
      </c>
      <c r="J864">
        <f>VLOOKUP(F864,[1]!china_towns_second__2[[Column1]:[Y]],3,FALSE)</f>
        <v>34.9020569229099</v>
      </c>
      <c r="K864">
        <f>VLOOKUP(F864,[1]!china_towns_second__2[[Column1]:[Y]],2,FALSE)</f>
        <v>116.0674389</v>
      </c>
      <c r="L864" t="s">
        <v>5697</v>
      </c>
      <c r="M864" t="str">
        <f>VLOOKUP(H864,CHOOSE({1,2},Table17[Native],Table17[Name]),2,0)</f>
        <v>Shàn Xiàn</v>
      </c>
      <c r="N864" s="15" t="str">
        <f>VLOOKUP(I864,CHOOSE({1,2},Table17[Native],Table17[Name]),2,0)</f>
        <v>Hézé Shì</v>
      </c>
      <c r="O864" s="15" t="str">
        <f t="shared" si="26"/>
        <v>Lixinzhuang Zhen (Hézé Shì)</v>
      </c>
      <c r="P864" s="15" t="str">
        <f t="shared" si="27"/>
        <v>Lixinzhuang Zhen (Hézé Shì)</v>
      </c>
    </row>
    <row r="865" spans="1:16" hidden="1" x14ac:dyDescent="0.25">
      <c r="A865" t="s">
        <v>1358</v>
      </c>
      <c r="B865" t="str">
        <f>IF(COUNTIF(A:A,A865)&gt;1,_xlfn.CONCAT(A865," (",N865,")"),A865)</f>
        <v>Lĭyíng Jiēdào</v>
      </c>
      <c r="C865" t="str">
        <f>IF(COUNTIF(B:B,B865)&gt;1,_xlfn.CONCAT(A865," (",M865,")"),B865)</f>
        <v>Lĭyíng Jiēdào</v>
      </c>
      <c r="D865" t="s">
        <v>1359</v>
      </c>
      <c r="E865" t="s">
        <v>7</v>
      </c>
      <c r="F865" t="str">
        <f>_xlfn.CONCAT(D865,", ",H865,", ",I865,", ","山东省")</f>
        <v>李营街道, 任城区, 济宁市, 山东省</v>
      </c>
      <c r="G865">
        <v>88346</v>
      </c>
      <c r="H865" t="s">
        <v>3692</v>
      </c>
      <c r="I865" t="s">
        <v>3687</v>
      </c>
      <c r="J865">
        <f>VLOOKUP(F865,[1]!china_towns_second__2[[Column1]:[Y]],3,FALSE)</f>
        <v>35.481198621881099</v>
      </c>
      <c r="K865">
        <f>VLOOKUP(F865,[1]!china_towns_second__2[[Column1]:[Y]],2,FALSE)</f>
        <v>116.61038790000001</v>
      </c>
      <c r="L865" t="s">
        <v>5698</v>
      </c>
      <c r="M865" t="str">
        <f>VLOOKUP(H865,CHOOSE({1,2},Table17[Native],Table17[Name]),2,0)</f>
        <v>Rènchéng Qū</v>
      </c>
      <c r="N865" s="15" t="str">
        <f>VLOOKUP(I865,CHOOSE({1,2},Table17[Native],Table17[Name]),2,0)</f>
        <v>Jìníng Shì</v>
      </c>
      <c r="O865" s="15" t="str">
        <f t="shared" si="26"/>
        <v>Liying Jiedao (Jìníng Shì)</v>
      </c>
      <c r="P865" s="15" t="str">
        <f t="shared" si="27"/>
        <v>Liying Jiedao (Jìníng Shì)</v>
      </c>
    </row>
    <row r="866" spans="1:16" hidden="1" x14ac:dyDescent="0.25">
      <c r="A866" t="s">
        <v>2785</v>
      </c>
      <c r="B866" t="str">
        <f>IF(COUNTIF(A:A,A866)&gt;1,_xlfn.CONCAT(A866," (",N866,")"),A866)</f>
        <v>Líyuán Jiēdào</v>
      </c>
      <c r="C866" t="str">
        <f>IF(COUNTIF(B:B,B866)&gt;1,_xlfn.CONCAT(A866," (",M866,")"),B866)</f>
        <v>Líyuán Jiēdào</v>
      </c>
      <c r="D866" t="s">
        <v>2786</v>
      </c>
      <c r="E866" t="s">
        <v>7</v>
      </c>
      <c r="F866" t="str">
        <f>_xlfn.CONCAT(D866,", ",H866,", ",I866,", ","山东省")</f>
        <v>梨园街道, 奎文区, 潍坊市, 山东省</v>
      </c>
      <c r="G866">
        <v>50651</v>
      </c>
      <c r="H866" t="s">
        <v>3758</v>
      </c>
      <c r="I866" t="s">
        <v>3751</v>
      </c>
      <c r="J866">
        <f>VLOOKUP(F866,[1]!china_towns_second__2[[Column1]:[Y]],3,FALSE)</f>
        <v>36.685009557691203</v>
      </c>
      <c r="K866">
        <f>VLOOKUP(F866,[1]!china_towns_second__2[[Column1]:[Y]],2,FALSE)</f>
        <v>119.1387423</v>
      </c>
      <c r="L866" t="s">
        <v>5699</v>
      </c>
      <c r="M866" t="str">
        <f>VLOOKUP(H866,CHOOSE({1,2},Table17[Native],Table17[Name]),2,0)</f>
        <v>Kuíwén Qū</v>
      </c>
      <c r="N866" s="15" t="str">
        <f>VLOOKUP(I866,CHOOSE({1,2},Table17[Native],Table17[Name]),2,0)</f>
        <v>Wéifāng Shì</v>
      </c>
      <c r="O866" s="15" t="str">
        <f t="shared" si="26"/>
        <v>Liyuan Jiedao (Wéifāng Shì)</v>
      </c>
      <c r="P866" s="15" t="str">
        <f t="shared" si="27"/>
        <v>Liyuan Jiedao (Wéifāng Shì)</v>
      </c>
    </row>
    <row r="867" spans="1:16" hidden="1" x14ac:dyDescent="0.25">
      <c r="A867" t="s">
        <v>2260</v>
      </c>
      <c r="B867" t="str">
        <f>IF(COUNTIF(A:A,A867)&gt;1,_xlfn.CONCAT(A867," (",N867,")"),A867)</f>
        <v>Lĭyuán Jiēdào [incl. Méncūn Zhèn]</v>
      </c>
      <c r="C867" t="str">
        <f>IF(COUNTIF(B:B,B867)&gt;1,_xlfn.CONCAT(A867," (",M867,")"),B867)</f>
        <v>Lĭyuán Jiēdào [incl. Méncūn Zhèn]</v>
      </c>
      <c r="D867" t="s">
        <v>2261</v>
      </c>
      <c r="E867" t="s">
        <v>7</v>
      </c>
      <c r="F867" t="str">
        <f>_xlfn.CONCAT(D867,", ",H867,", ",I867,", ","山东省")</f>
        <v>李园街道, 平度市, 青岛市, 山东省</v>
      </c>
      <c r="G867">
        <v>114107</v>
      </c>
      <c r="H867" t="s">
        <v>3732</v>
      </c>
      <c r="I867" t="s">
        <v>3724</v>
      </c>
      <c r="J867">
        <f>VLOOKUP(F867,[1]!china_towns_second__2[[Column1]:[Y]],3,FALSE)</f>
        <v>36.821577656145998</v>
      </c>
      <c r="K867">
        <f>VLOOKUP(F867,[1]!china_towns_second__2[[Column1]:[Y]],2,FALSE)</f>
        <v>119.870299</v>
      </c>
      <c r="L867" t="s">
        <v>5700</v>
      </c>
      <c r="M867" t="str">
        <f>VLOOKUP(H867,CHOOSE({1,2},Table17[Native],Table17[Name]),2,0)</f>
        <v>Píngdù Shì</v>
      </c>
      <c r="N867" s="15" t="str">
        <f>VLOOKUP(I867,CHOOSE({1,2},Table17[Native],Table17[Name]),2,0)</f>
        <v>Qīngdăo Shì</v>
      </c>
      <c r="O867" s="15" t="str">
        <f t="shared" si="26"/>
        <v>Liyuan Jiedao [incl. Mencun Zhen] (Qīngdăo Shì)</v>
      </c>
      <c r="P867" s="15" t="str">
        <f t="shared" si="27"/>
        <v>Liyuan Jiedao [incl. Mencun Zhen] (Qīngdăo Shì)</v>
      </c>
    </row>
    <row r="868" spans="1:16" hidden="1" x14ac:dyDescent="0.25">
      <c r="A868" t="s">
        <v>105</v>
      </c>
      <c r="B868" t="str">
        <f>IF(COUNTIF(A:A,A868)&gt;1,_xlfn.CONCAT(A868," (",N868,")"),A868)</f>
        <v>Lĭzé Jiēdào</v>
      </c>
      <c r="C868" t="str">
        <f>IF(COUNTIF(B:B,B868)&gt;1,_xlfn.CONCAT(A868," (",M868,")"),B868)</f>
        <v>Lĭzé Jiēdào</v>
      </c>
      <c r="D868" t="s">
        <v>106</v>
      </c>
      <c r="E868" t="s">
        <v>7</v>
      </c>
      <c r="F868" t="str">
        <f>_xlfn.CONCAT(D868,", ",H868,", ",I868,", ","山东省")</f>
        <v>里则街道, 滨城区, 滨州市, 山东省</v>
      </c>
      <c r="G868">
        <v>43582</v>
      </c>
      <c r="H868" t="s">
        <v>3632</v>
      </c>
      <c r="I868" t="s">
        <v>3630</v>
      </c>
      <c r="J868">
        <f>VLOOKUP(F868,[1]!china_towns_second__2[[Column1]:[Y]],3,FALSE)</f>
        <v>37.336696857037197</v>
      </c>
      <c r="K868">
        <f>VLOOKUP(F868,[1]!china_towns_second__2[[Column1]:[Y]],2,FALSE)</f>
        <v>117.8408665</v>
      </c>
      <c r="L868" t="s">
        <v>5701</v>
      </c>
      <c r="M868" t="str">
        <f>VLOOKUP(H868,CHOOSE({1,2},Table17[Native],Table17[Name]),2,0)</f>
        <v>Bīnchéng Qū</v>
      </c>
      <c r="N868" s="15" t="str">
        <f>VLOOKUP(I868,CHOOSE({1,2},Table17[Native],Table17[Name]),2,0)</f>
        <v>Bīnzhōu Shì</v>
      </c>
      <c r="O868" s="15" t="str">
        <f t="shared" si="26"/>
        <v>Lize Jiedao (Bīnzhōu Shì)</v>
      </c>
      <c r="P868" s="15" t="str">
        <f t="shared" si="27"/>
        <v>Lize Jiedao (Bīnzhōu Shì)</v>
      </c>
    </row>
    <row r="869" spans="1:16" hidden="1" x14ac:dyDescent="0.25">
      <c r="A869" t="s">
        <v>107</v>
      </c>
      <c r="B869" t="str">
        <f>IF(COUNTIF(A:A,A869)&gt;1,_xlfn.CONCAT(A869," (",N869,")"),A869)</f>
        <v>Lĭzhuāng Zhèn</v>
      </c>
      <c r="C869" t="str">
        <f>IF(COUNTIF(B:B,B869)&gt;1,_xlfn.CONCAT(A869," (",M869,")"),B869)</f>
        <v>Lĭzhuāng Zhèn</v>
      </c>
      <c r="D869" t="s">
        <v>108</v>
      </c>
      <c r="E869" t="s">
        <v>13</v>
      </c>
      <c r="F869" t="str">
        <f>_xlfn.CONCAT(D869,", ",H869,", ",I869,", ","山东省")</f>
        <v>李庄镇, 惠民县, 滨州市, 山东省</v>
      </c>
      <c r="G869">
        <v>52457</v>
      </c>
      <c r="H869" t="s">
        <v>3635</v>
      </c>
      <c r="I869" t="s">
        <v>3630</v>
      </c>
      <c r="J869">
        <f>VLOOKUP(F869,[1]!china_towns_second__2[[Column1]:[Y]],3,FALSE)</f>
        <v>37.267292301169398</v>
      </c>
      <c r="K869">
        <f>VLOOKUP(F869,[1]!china_towns_second__2[[Column1]:[Y]],2,FALSE)</f>
        <v>117.5856543</v>
      </c>
      <c r="L869" t="s">
        <v>5702</v>
      </c>
      <c r="M869" t="str">
        <f>VLOOKUP(H869,CHOOSE({1,2},Table17[Native],Table17[Name]),2,0)</f>
        <v>Huìmín Xiàn</v>
      </c>
      <c r="N869" s="15" t="str">
        <f>VLOOKUP(I869,CHOOSE({1,2},Table17[Native],Table17[Name]),2,0)</f>
        <v>Bīnzhōu Shì</v>
      </c>
      <c r="O869" s="15" t="str">
        <f t="shared" si="26"/>
        <v>Lizhuang Zhen (Bīnzhōu Shì)</v>
      </c>
      <c r="P869" s="15" t="str">
        <f t="shared" si="27"/>
        <v>Lizhuang Zhen (Bīnzhōu Shì)</v>
      </c>
    </row>
    <row r="870" spans="1:16" hidden="1" x14ac:dyDescent="0.25">
      <c r="A870" t="s">
        <v>1937</v>
      </c>
      <c r="B870" t="str">
        <f>IF(COUNTIF(A:A,A870)&gt;1,_xlfn.CONCAT(A870," (",N870,")"),A870)</f>
        <v>Lĭzhuāng Zhèn [incl. Shādūn Zhèn]</v>
      </c>
      <c r="C870" t="str">
        <f>IF(COUNTIF(B:B,B870)&gt;1,_xlfn.CONCAT(A870," (",M870,")"),B870)</f>
        <v>Lĭzhuāng Zhèn [incl. Shādūn Zhèn]</v>
      </c>
      <c r="D870" t="s">
        <v>108</v>
      </c>
      <c r="E870" t="s">
        <v>13</v>
      </c>
      <c r="F870" t="str">
        <f>_xlfn.CONCAT(D870,", ",H870,", ",I870,", ","山东省")</f>
        <v>李庄镇, 郯城县, 临沂市, 山东省</v>
      </c>
      <c r="G870">
        <v>95118</v>
      </c>
      <c r="H870" t="s">
        <v>3720</v>
      </c>
      <c r="I870" t="s">
        <v>3710</v>
      </c>
      <c r="J870">
        <f>VLOOKUP(F870,[1]!china_towns_second__2[[Column1]:[Y]],3,FALSE)</f>
        <v>34.845316220482502</v>
      </c>
      <c r="K870">
        <f>VLOOKUP(F870,[1]!china_towns_second__2[[Column1]:[Y]],2,FALSE)</f>
        <v>118.4025319</v>
      </c>
      <c r="L870" t="s">
        <v>5703</v>
      </c>
      <c r="M870" t="str">
        <f>VLOOKUP(H870,CHOOSE({1,2},Table17[Native],Table17[Name]),2,0)</f>
        <v>Tánchéng Xiàn</v>
      </c>
      <c r="N870" s="15" t="str">
        <f>VLOOKUP(I870,CHOOSE({1,2},Table17[Native],Table17[Name]),2,0)</f>
        <v>Línyí Shì</v>
      </c>
      <c r="O870" s="15" t="str">
        <f t="shared" si="26"/>
        <v>Lizhuang Zhen [incl. Shadun Zhen] (Línyí Shì)</v>
      </c>
      <c r="P870" s="15" t="str">
        <f t="shared" si="27"/>
        <v>Lizhuang Zhen [incl. Shadun Zhen] (Línyí Shì)</v>
      </c>
    </row>
    <row r="871" spans="1:16" hidden="1" x14ac:dyDescent="0.25">
      <c r="A871" t="s">
        <v>2787</v>
      </c>
      <c r="B871" t="str">
        <f>IF(COUNTIF(A:A,A871)&gt;1,_xlfn.CONCAT(A871," (",N871,")"),A871)</f>
        <v>Lóngchí Zhèn</v>
      </c>
      <c r="C871" t="str">
        <f>IF(COUNTIF(B:B,B871)&gt;1,_xlfn.CONCAT(A871," (",M871,")"),B871)</f>
        <v>Lóngchí Zhèn</v>
      </c>
      <c r="D871" t="s">
        <v>2788</v>
      </c>
      <c r="E871" t="s">
        <v>13</v>
      </c>
      <c r="F871" t="str">
        <f>_xlfn.CONCAT(D871,", ",H871,", ",I871,", ","山东省")</f>
        <v>龙池镇, 昌邑市, 潍坊市, 山东省</v>
      </c>
      <c r="G871">
        <v>25923</v>
      </c>
      <c r="H871" t="s">
        <v>3754</v>
      </c>
      <c r="I871" t="s">
        <v>3751</v>
      </c>
      <c r="J871">
        <f>VLOOKUP(F871,[1]!china_towns_second__2[[Column1]:[Y]],3,FALSE)</f>
        <v>37.0019326430088</v>
      </c>
      <c r="K871">
        <f>VLOOKUP(F871,[1]!china_towns_second__2[[Column1]:[Y]],2,FALSE)</f>
        <v>119.2953667</v>
      </c>
      <c r="L871" t="s">
        <v>5704</v>
      </c>
      <c r="M871" t="str">
        <f>VLOOKUP(H871,CHOOSE({1,2},Table17[Native],Table17[Name]),2,0)</f>
        <v>Chāngyì Shì</v>
      </c>
      <c r="N871" s="15" t="str">
        <f>VLOOKUP(I871,CHOOSE({1,2},Table17[Native],Table17[Name]),2,0)</f>
        <v>Wéifāng Shì</v>
      </c>
      <c r="O871" s="15" t="str">
        <f t="shared" si="26"/>
        <v>Longchi Zhen (Wéifāng Shì)</v>
      </c>
      <c r="P871" s="15" t="str">
        <f t="shared" si="27"/>
        <v>Longchi Zhen (Wéifāng Shì)</v>
      </c>
    </row>
    <row r="872" spans="1:16" hidden="1" x14ac:dyDescent="0.25">
      <c r="A872" t="s">
        <v>1048</v>
      </c>
      <c r="B872" t="str">
        <f>IF(COUNTIF(A:A,A872)&gt;1,_xlfn.CONCAT(A872," (",N872,")"),A872)</f>
        <v>Lóngdòng Jiēdào</v>
      </c>
      <c r="C872" t="str">
        <f>IF(COUNTIF(B:B,B872)&gt;1,_xlfn.CONCAT(A872," (",M872,")"),B872)</f>
        <v>Lóngdòng Jiēdào</v>
      </c>
      <c r="D872" t="s">
        <v>1049</v>
      </c>
      <c r="E872" t="s">
        <v>7</v>
      </c>
      <c r="F872" t="str">
        <f>_xlfn.CONCAT(D872,", ",H872,", ",I872,", ","山东省")</f>
        <v>龙洞街道, 历下区, 济南市, 山东省</v>
      </c>
      <c r="G872">
        <v>31328</v>
      </c>
      <c r="H872" t="s">
        <v>3680</v>
      </c>
      <c r="I872" t="s">
        <v>3673</v>
      </c>
      <c r="J872">
        <f>VLOOKUP(F872,[1]!china_towns_second__2[[Column1]:[Y]],3,FALSE)</f>
        <v>36.6259413827974</v>
      </c>
      <c r="K872">
        <f>VLOOKUP(F872,[1]!china_towns_second__2[[Column1]:[Y]],2,FALSE)</f>
        <v>117.1056316</v>
      </c>
      <c r="L872" t="s">
        <v>5705</v>
      </c>
      <c r="M872" t="str">
        <f>VLOOKUP(H872,CHOOSE({1,2},Table17[Native],Table17[Name]),2,0)</f>
        <v>Lìxià Qū</v>
      </c>
      <c r="N872" s="15" t="str">
        <f>VLOOKUP(I872,CHOOSE({1,2},Table17[Native],Table17[Name]),2,0)</f>
        <v>Jìnán Shì</v>
      </c>
      <c r="O872" s="15" t="str">
        <f t="shared" si="26"/>
        <v>Longdong Jiedao (Jìnán Shì)</v>
      </c>
      <c r="P872" s="15" t="str">
        <f t="shared" si="27"/>
        <v>Longdong Jiedao (Jìnán Shì)</v>
      </c>
    </row>
    <row r="873" spans="1:16" hidden="1" x14ac:dyDescent="0.25">
      <c r="A873" t="s">
        <v>2789</v>
      </c>
      <c r="B873" t="str">
        <f>IF(COUNTIF(A:A,A873)&gt;1,_xlfn.CONCAT(A873," (",N873,")"),A873)</f>
        <v>Lóngdū Jiēdào</v>
      </c>
      <c r="C873" t="str">
        <f>IF(COUNTIF(B:B,B873)&gt;1,_xlfn.CONCAT(A873," (",M873,")"),B873)</f>
        <v>Lóngdū Jiēdào</v>
      </c>
      <c r="D873" t="s">
        <v>2790</v>
      </c>
      <c r="E873" t="s">
        <v>7</v>
      </c>
      <c r="F873" t="str">
        <f>_xlfn.CONCAT(D873,", ",H873,", ",I873,", ","山东省")</f>
        <v>龙都街道, 诸城市, 潍坊市, 山东省</v>
      </c>
      <c r="G873">
        <v>150143</v>
      </c>
      <c r="H873" t="s">
        <v>3763</v>
      </c>
      <c r="I873" t="s">
        <v>3751</v>
      </c>
      <c r="J873">
        <f>VLOOKUP(F873,[1]!china_towns_second__2[[Column1]:[Y]],3,FALSE)</f>
        <v>35.951641112655203</v>
      </c>
      <c r="K873">
        <f>VLOOKUP(F873,[1]!china_towns_second__2[[Column1]:[Y]],2,FALSE)</f>
        <v>119.3395866</v>
      </c>
      <c r="L873" t="s">
        <v>5706</v>
      </c>
      <c r="M873" t="str">
        <f>VLOOKUP(H873,CHOOSE({1,2},Table17[Native],Table17[Name]),2,0)</f>
        <v>Zhūchéng Shì</v>
      </c>
      <c r="N873" s="15" t="str">
        <f>VLOOKUP(I873,CHOOSE({1,2},Table17[Native],Table17[Name]),2,0)</f>
        <v>Wéifāng Shì</v>
      </c>
      <c r="O873" s="15" t="str">
        <f t="shared" si="26"/>
        <v>Longdu Jiedao (Wéifāng Shì)</v>
      </c>
      <c r="P873" s="15" t="str">
        <f t="shared" si="27"/>
        <v>Longdu Jiedao (Wéifāng Shì)</v>
      </c>
    </row>
    <row r="874" spans="1:16" hidden="1" x14ac:dyDescent="0.25">
      <c r="A874" t="s">
        <v>3177</v>
      </c>
      <c r="B874" t="str">
        <f>IF(COUNTIF(A:A,A874)&gt;1,_xlfn.CONCAT(A874," (",N874,")"),A874)</f>
        <v>Lónggăng Jiēdào</v>
      </c>
      <c r="C874" t="str">
        <f>IF(COUNTIF(B:B,B874)&gt;1,_xlfn.CONCAT(A874," (",M874,")"),B874)</f>
        <v>Lónggăng Jiēdào</v>
      </c>
      <c r="D874" t="s">
        <v>3178</v>
      </c>
      <c r="E874" t="s">
        <v>7</v>
      </c>
      <c r="F874" t="str">
        <f>_xlfn.CONCAT(D874,", ",H874,", ",I874,", ","山东省")</f>
        <v>龙港街道, 龙口市, 烟台市, 山东省</v>
      </c>
      <c r="G874">
        <v>145140</v>
      </c>
      <c r="H874" t="s">
        <v>3777</v>
      </c>
      <c r="I874" t="s">
        <v>3771</v>
      </c>
      <c r="J874">
        <f>VLOOKUP(F874,[1]!china_towns_second__2[[Column1]:[Y]],3,FALSE)</f>
        <v>37.638672604578403</v>
      </c>
      <c r="K874">
        <f>VLOOKUP(F874,[1]!china_towns_second__2[[Column1]:[Y]],2,FALSE)</f>
        <v>120.3021293</v>
      </c>
      <c r="L874" t="s">
        <v>5707</v>
      </c>
      <c r="M874" t="str">
        <f>VLOOKUP(H874,CHOOSE({1,2},Table17[Native],Table17[Name]),2,0)</f>
        <v>Lóngkŏu Shì</v>
      </c>
      <c r="N874" s="15" t="str">
        <f>VLOOKUP(I874,CHOOSE({1,2},Table17[Native],Table17[Name]),2,0)</f>
        <v>Yāntái Shì</v>
      </c>
      <c r="O874" s="15" t="str">
        <f t="shared" si="26"/>
        <v>Longgang Jiedao (Yāntái Shì)</v>
      </c>
      <c r="P874" s="15" t="str">
        <f t="shared" si="27"/>
        <v>Longgang Jiedao (Yāntái Shì)</v>
      </c>
    </row>
    <row r="875" spans="1:16" hidden="1" x14ac:dyDescent="0.25">
      <c r="A875" t="s">
        <v>750</v>
      </c>
      <c r="B875" t="str">
        <f>IF(COUNTIF(A:A,A875)&gt;1,_xlfn.CONCAT(A875," (",N875,")"),A875)</f>
        <v>Lónggù Zhèn</v>
      </c>
      <c r="C875" t="str">
        <f>IF(COUNTIF(B:B,B875)&gt;1,_xlfn.CONCAT(A875," (",M875,")"),B875)</f>
        <v>Lónggù Zhèn</v>
      </c>
      <c r="D875" t="s">
        <v>751</v>
      </c>
      <c r="E875" t="s">
        <v>13</v>
      </c>
      <c r="F875" t="str">
        <f>_xlfn.CONCAT(D875,", ",H875,", ",I875,", ","山东省")</f>
        <v>龙固镇, 巨野县, 菏泽市, 山东省</v>
      </c>
      <c r="G875">
        <v>54953</v>
      </c>
      <c r="H875" t="s">
        <v>3668</v>
      </c>
      <c r="I875" t="s">
        <v>3662</v>
      </c>
      <c r="J875">
        <f>VLOOKUP(F875,[1]!china_towns_second__2[[Column1]:[Y]],3,FALSE)</f>
        <v>35.284377266031399</v>
      </c>
      <c r="K875">
        <f>VLOOKUP(F875,[1]!china_towns_second__2[[Column1]:[Y]],2,FALSE)</f>
        <v>115.86170009999999</v>
      </c>
      <c r="L875" t="s">
        <v>5708</v>
      </c>
      <c r="M875" t="str">
        <f>VLOOKUP(H875,CHOOSE({1,2},Table17[Native],Table17[Name]),2,0)</f>
        <v>Jùyĕ Xiàn</v>
      </c>
      <c r="N875" s="15" t="str">
        <f>VLOOKUP(I875,CHOOSE({1,2},Table17[Native],Table17[Name]),2,0)</f>
        <v>Hézé Shì</v>
      </c>
      <c r="O875" s="15" t="str">
        <f t="shared" si="26"/>
        <v>Longgu Zhen (Hézé Shì)</v>
      </c>
      <c r="P875" s="15" t="str">
        <f t="shared" si="27"/>
        <v>Longgu Zhen (Hézé Shì)</v>
      </c>
    </row>
    <row r="876" spans="1:16" hidden="1" x14ac:dyDescent="0.25">
      <c r="A876" t="s">
        <v>1938</v>
      </c>
      <c r="B876" t="str">
        <f>IF(COUNTIF(A:A,A876)&gt;1,_xlfn.CONCAT(A876," (",N876,")"),A876)</f>
        <v>Lóngjiāquān Jiēdào</v>
      </c>
      <c r="C876" t="str">
        <f>IF(COUNTIF(B:B,B876)&gt;1,_xlfn.CONCAT(A876," (",M876,")"),B876)</f>
        <v>Lóngjiāquān Jiēdào</v>
      </c>
      <c r="D876" t="s">
        <v>1939</v>
      </c>
      <c r="E876" t="s">
        <v>7</v>
      </c>
      <c r="F876" t="str">
        <f>_xlfn.CONCAT(D876,", ",H876,", ",I876,", ","山东省")</f>
        <v>龙家圈街道, 沂水县, 临沂市, 山东省</v>
      </c>
      <c r="G876">
        <v>59744</v>
      </c>
      <c r="H876" t="s">
        <v>3722</v>
      </c>
      <c r="I876" t="s">
        <v>3710</v>
      </c>
      <c r="J876" t="e">
        <f>VLOOKUP(F876,[1]!china_towns_second__2[[Column1]:[Y]],3,FALSE)</f>
        <v>#N/A</v>
      </c>
      <c r="K876" t="e">
        <f>VLOOKUP(F876,[1]!china_towns_second__2[[Column1]:[Y]],2,FALSE)</f>
        <v>#N/A</v>
      </c>
      <c r="L876" t="s">
        <v>5709</v>
      </c>
      <c r="M876" t="str">
        <f>VLOOKUP(H876,CHOOSE({1,2},Table17[Native],Table17[Name]),2,0)</f>
        <v>Yíshuĭ Xiàn</v>
      </c>
      <c r="N876" s="15" t="str">
        <f>VLOOKUP(I876,CHOOSE({1,2},Table17[Native],Table17[Name]),2,0)</f>
        <v>Línyí Shì</v>
      </c>
      <c r="O876" s="15" t="str">
        <f t="shared" si="26"/>
        <v>Longjiaquan Jiedao (Línyí Shì)</v>
      </c>
      <c r="P876" s="15" t="str">
        <f t="shared" si="27"/>
        <v>Longjiaquan Jiedao (Línyí Shì)</v>
      </c>
    </row>
    <row r="877" spans="1:16" hidden="1" x14ac:dyDescent="0.25">
      <c r="A877" t="s">
        <v>539</v>
      </c>
      <c r="B877" t="str">
        <f>IF(COUNTIF(A:A,A877)&gt;1,_xlfn.CONCAT(A877," (",N877,")"),A877)</f>
        <v>Lóngjū Zhèn</v>
      </c>
      <c r="C877" t="str">
        <f>IF(COUNTIF(B:B,B877)&gt;1,_xlfn.CONCAT(A877," (",M877,")"),B877)</f>
        <v>Lóngjū Zhèn</v>
      </c>
      <c r="D877" t="s">
        <v>540</v>
      </c>
      <c r="E877" t="s">
        <v>13</v>
      </c>
      <c r="F877" t="str">
        <f>_xlfn.CONCAT(D877,", ",H877,", ",I877,", ","山东省")</f>
        <v>龙居镇, 东营区, 东营市, 山东省</v>
      </c>
      <c r="G877">
        <v>31934</v>
      </c>
      <c r="H877" t="s">
        <v>3656</v>
      </c>
      <c r="I877" t="s">
        <v>3655</v>
      </c>
      <c r="J877">
        <f>VLOOKUP(F877,[1]!china_towns_second__2[[Column1]:[Y]],3,FALSE)</f>
        <v>37.374056628145901</v>
      </c>
      <c r="K877">
        <f>VLOOKUP(F877,[1]!china_towns_second__2[[Column1]:[Y]],2,FALSE)</f>
        <v>118.2968169</v>
      </c>
      <c r="L877" t="s">
        <v>5710</v>
      </c>
      <c r="M877" t="str">
        <f>VLOOKUP(H877,CHOOSE({1,2},Table17[Native],Table17[Name]),2,0)</f>
        <v>Dōngyíng Qū</v>
      </c>
      <c r="N877" s="15" t="str">
        <f>VLOOKUP(I877,CHOOSE({1,2},Table17[Native],Table17[Name]),2,0)</f>
        <v>Dōngyíng Shì</v>
      </c>
      <c r="O877" s="15" t="str">
        <f t="shared" si="26"/>
        <v>Longju Zhen (Dōngyíng Shì)</v>
      </c>
      <c r="P877" s="15" t="str">
        <f t="shared" si="27"/>
        <v>Longju Zhen (Dōngyíng Shì)</v>
      </c>
    </row>
    <row r="878" spans="1:16" hidden="1" x14ac:dyDescent="0.25">
      <c r="A878" t="s">
        <v>328</v>
      </c>
      <c r="B878" t="str">
        <f>IF(COUNTIF(A:A,A878)&gt;1,_xlfn.CONCAT(A878," (",N878,")"),A878)</f>
        <v>Lóngmén Jiēdào</v>
      </c>
      <c r="C878" t="str">
        <f>IF(COUNTIF(B:B,B878)&gt;1,_xlfn.CONCAT(A878," (",M878,")"),B878)</f>
        <v>Lóngmén Jiēdào</v>
      </c>
      <c r="D878" t="s">
        <v>329</v>
      </c>
      <c r="E878" t="s">
        <v>7</v>
      </c>
      <c r="F878" t="str">
        <f>_xlfn.CONCAT(D878,", ",H878,", ",I878,", ","山东省")</f>
        <v>龙门街道, 平原县, 德州市, 山东省</v>
      </c>
      <c r="G878">
        <v>85793</v>
      </c>
      <c r="H878" t="s">
        <v>3648</v>
      </c>
      <c r="I878" t="s">
        <v>3642</v>
      </c>
      <c r="J878">
        <f>VLOOKUP(F878,[1]!china_towns_second__2[[Column1]:[Y]],3,FALSE)</f>
        <v>37.1703756948164</v>
      </c>
      <c r="K878">
        <f>VLOOKUP(F878,[1]!china_towns_second__2[[Column1]:[Y]],2,FALSE)</f>
        <v>116.4255658</v>
      </c>
      <c r="L878" t="s">
        <v>5711</v>
      </c>
      <c r="M878" t="str">
        <f>VLOOKUP(H878,CHOOSE({1,2},Table17[Native],Table17[Name]),2,0)</f>
        <v>Píngyuán Xiàn</v>
      </c>
      <c r="N878" s="15" t="str">
        <f>VLOOKUP(I878,CHOOSE({1,2},Table17[Native],Table17[Name]),2,0)</f>
        <v>Dézhōu Shì</v>
      </c>
      <c r="O878" s="15" t="str">
        <f t="shared" si="26"/>
        <v>Longmen Jiedao (Dézhōu Shì)</v>
      </c>
      <c r="P878" s="15" t="str">
        <f t="shared" si="27"/>
        <v>Longmen Jiedao (Dézhōu Shì)</v>
      </c>
    </row>
    <row r="879" spans="1:16" hidden="1" x14ac:dyDescent="0.25">
      <c r="A879" t="s">
        <v>1360</v>
      </c>
      <c r="B879" t="str">
        <f>IF(COUNTIF(A:A,A879)&gt;1,_xlfn.CONCAT(A879," (",N879,")"),A879)</f>
        <v>Lóngqiáo Jiēdào</v>
      </c>
      <c r="C879" t="str">
        <f>IF(COUNTIF(B:B,B879)&gt;1,_xlfn.CONCAT(A879," (",M879,")"),B879)</f>
        <v>Lóngqiáo Jiēdào</v>
      </c>
      <c r="D879" t="s">
        <v>1361</v>
      </c>
      <c r="E879" t="s">
        <v>7</v>
      </c>
      <c r="F879" t="str">
        <f>_xlfn.CONCAT(D879,", ",H879,", ",I879,", ","山东省")</f>
        <v>龙桥街道, 兖州区, 济宁市, 山东省</v>
      </c>
      <c r="G879">
        <v>38081</v>
      </c>
      <c r="H879" t="s">
        <v>3696</v>
      </c>
      <c r="I879" t="s">
        <v>3687</v>
      </c>
      <c r="J879">
        <f>VLOOKUP(F879,[1]!china_towns_second__2[[Column1]:[Y]],3,FALSE)</f>
        <v>35.554025384047101</v>
      </c>
      <c r="K879">
        <f>VLOOKUP(F879,[1]!china_towns_second__2[[Column1]:[Y]],2,FALSE)</f>
        <v>116.782093</v>
      </c>
      <c r="L879" t="s">
        <v>5712</v>
      </c>
      <c r="M879" t="str">
        <f>VLOOKUP(H879,CHOOSE({1,2},Table17[Native],Table17[Name]),2,0)</f>
        <v>Yănzhōu Qū</v>
      </c>
      <c r="N879" s="15" t="str">
        <f>VLOOKUP(I879,CHOOSE({1,2},Table17[Native],Table17[Name]),2,0)</f>
        <v>Jìníng Shì</v>
      </c>
      <c r="O879" s="15" t="str">
        <f t="shared" si="26"/>
        <v>Longqiao Jiedao (Jìníng Shì)</v>
      </c>
      <c r="P879" s="15" t="str">
        <f t="shared" si="27"/>
        <v>Longqiao Jiedao (Jìníng Shì)</v>
      </c>
    </row>
    <row r="880" spans="1:16" hidden="1" x14ac:dyDescent="0.25">
      <c r="A880" t="s">
        <v>2262</v>
      </c>
      <c r="B880" t="str">
        <f>IF(COUNTIF(A:A,A880)&gt;1,_xlfn.CONCAT(A880," (",N880,")"),A880)</f>
        <v>Lóngquán Jiēdào (Qīngdăo Shì)</v>
      </c>
      <c r="C880" t="str">
        <f>IF(COUNTIF(B:B,B880)&gt;1,_xlfn.CONCAT(A880," (",M880,")"),B880)</f>
        <v>Lóngquán Jiēdào (Qīngdăo Shì)</v>
      </c>
      <c r="D880" t="s">
        <v>2263</v>
      </c>
      <c r="E880" t="s">
        <v>7</v>
      </c>
      <c r="F880" t="str">
        <f>_xlfn.CONCAT(D880,", ",H880,", ",I880,", ","山东省")</f>
        <v>龙泉街道, 即墨区, 青岛市, 山东省</v>
      </c>
      <c r="G880">
        <v>48421</v>
      </c>
      <c r="H880" t="s">
        <v>3728</v>
      </c>
      <c r="I880" t="s">
        <v>3724</v>
      </c>
      <c r="J880">
        <f>VLOOKUP(F880,[1]!china_towns_second__2[[Column1]:[Y]],3,FALSE)</f>
        <v>36.447881346993199</v>
      </c>
      <c r="K880">
        <f>VLOOKUP(F880,[1]!china_towns_second__2[[Column1]:[Y]],2,FALSE)</f>
        <v>120.5554886</v>
      </c>
      <c r="L880" t="s">
        <v>5713</v>
      </c>
      <c r="M880" t="str">
        <f>VLOOKUP(H880,CHOOSE({1,2},Table17[Native],Table17[Name]),2,0)</f>
        <v>Jímò Qū</v>
      </c>
      <c r="N880" s="15" t="str">
        <f>VLOOKUP(I880,CHOOSE({1,2},Table17[Native],Table17[Name]),2,0)</f>
        <v>Qīngdăo Shì</v>
      </c>
      <c r="O880" s="15" t="str">
        <f t="shared" si="26"/>
        <v>Longquan Jiedao (Qingdao Shi) (Qīngdăo Shì)</v>
      </c>
      <c r="P880" s="15" t="str">
        <f t="shared" si="27"/>
        <v>Longquan Jiedao (Qingdao Shi) (Qīngdăo Shì)</v>
      </c>
    </row>
    <row r="881" spans="1:16" hidden="1" x14ac:dyDescent="0.25">
      <c r="A881" t="s">
        <v>2262</v>
      </c>
      <c r="B881" t="str">
        <f>IF(COUNTIF(A:A,A881)&gt;1,_xlfn.CONCAT(A881," (",N881,")"),A881)</f>
        <v>Lóngquán Jiēdào (Zăozhuāng Shì)</v>
      </c>
      <c r="C881" t="str">
        <f>IF(COUNTIF(B:B,B881)&gt;1,_xlfn.CONCAT(A881," (",M881,")"),B881)</f>
        <v>Lóngquán Jiēdào (Zăozhuāng Shì)</v>
      </c>
      <c r="D881" t="s">
        <v>2263</v>
      </c>
      <c r="E881" t="s">
        <v>7</v>
      </c>
      <c r="F881" t="str">
        <f>_xlfn.CONCAT(D881,", ",H881,", ",I881,", ","山东省")</f>
        <v>龙泉街道, 滕州市, 枣庄市, 山东省</v>
      </c>
      <c r="G881">
        <v>160898</v>
      </c>
      <c r="H881" t="s">
        <v>3787</v>
      </c>
      <c r="I881" t="s">
        <v>3784</v>
      </c>
      <c r="J881">
        <f>VLOOKUP(F881,[1]!china_towns_second__2[[Column1]:[Y]],3,FALSE)</f>
        <v>35.085826651541701</v>
      </c>
      <c r="K881">
        <f>VLOOKUP(F881,[1]!china_towns_second__2[[Column1]:[Y]],2,FALSE)</f>
        <v>117.1860855</v>
      </c>
      <c r="L881" t="s">
        <v>5714</v>
      </c>
      <c r="M881" t="str">
        <f>VLOOKUP(H881,CHOOSE({1,2},Table17[Native],Table17[Name]),2,0)</f>
        <v>Téngzhōu Shì</v>
      </c>
      <c r="N881" s="15" t="str">
        <f>VLOOKUP(I881,CHOOSE({1,2},Table17[Native],Table17[Name]),2,0)</f>
        <v>Zăozhuāng Shì</v>
      </c>
      <c r="O881" s="15" t="str">
        <f t="shared" si="26"/>
        <v>Longquan Jiedao (Zaozhuang Shi) (Zăozhuāng Shì)</v>
      </c>
      <c r="P881" s="15" t="str">
        <f t="shared" si="27"/>
        <v>Longquan Jiedao (Zaozhuang Shi) (Zăozhuāng Shì)</v>
      </c>
    </row>
    <row r="882" spans="1:16" hidden="1" x14ac:dyDescent="0.25">
      <c r="A882" t="s">
        <v>3179</v>
      </c>
      <c r="B882" t="str">
        <f>IF(COUNTIF(A:A,A882)&gt;1,_xlfn.CONCAT(A882," (",N882,")"),A882)</f>
        <v>Lóngquán Zhèn (Yāntái Shì)</v>
      </c>
      <c r="C882" t="str">
        <f>IF(COUNTIF(B:B,B882)&gt;1,_xlfn.CONCAT(A882," (",M882,")"),B882)</f>
        <v>Lóngquán Zhèn (Yāntái Shì)</v>
      </c>
      <c r="D882" t="s">
        <v>3180</v>
      </c>
      <c r="E882" t="s">
        <v>13</v>
      </c>
      <c r="F882" t="str">
        <f>_xlfn.CONCAT(D882,", ",H882,", ",I882,", ","山东省")</f>
        <v>龙泉镇, 牟平区, 烟台市, 山东省</v>
      </c>
      <c r="G882">
        <v>24154</v>
      </c>
      <c r="H882" t="s">
        <v>3778</v>
      </c>
      <c r="I882" t="s">
        <v>3771</v>
      </c>
      <c r="J882">
        <f>VLOOKUP(F882,[1]!china_towns_second__2[[Column1]:[Y]],3,FALSE)</f>
        <v>37.345554645247503</v>
      </c>
      <c r="K882">
        <f>VLOOKUP(F882,[1]!china_towns_second__2[[Column1]:[Y]],2,FALSE)</f>
        <v>121.7773663</v>
      </c>
      <c r="L882" t="s">
        <v>5715</v>
      </c>
      <c r="M882" t="str">
        <f>VLOOKUP(H882,CHOOSE({1,2},Table17[Native],Table17[Name]),2,0)</f>
        <v>Mùpíng Qū</v>
      </c>
      <c r="N882" s="15" t="str">
        <f>VLOOKUP(I882,CHOOSE({1,2},Table17[Native],Table17[Name]),2,0)</f>
        <v>Yāntái Shì</v>
      </c>
      <c r="O882" s="15" t="str">
        <f t="shared" si="26"/>
        <v>Longquan Zhen (Yantai Shi) (Yāntái Shì)</v>
      </c>
      <c r="P882" s="15" t="str">
        <f t="shared" si="27"/>
        <v>Longquan Zhen (Yantai Shi) (Yāntái Shì)</v>
      </c>
    </row>
    <row r="883" spans="1:16" hidden="1" x14ac:dyDescent="0.25">
      <c r="A883" t="s">
        <v>3179</v>
      </c>
      <c r="B883" t="str">
        <f>IF(COUNTIF(A:A,A883)&gt;1,_xlfn.CONCAT(A883," (",N883,")"),A883)</f>
        <v>Lóngquán Zhèn (Zībó Shì)</v>
      </c>
      <c r="C883" t="str">
        <f>IF(COUNTIF(B:B,B883)&gt;1,_xlfn.CONCAT(A883," (",M883,")"),B883)</f>
        <v>Lóngquán Zhèn (Zībó Shì)</v>
      </c>
      <c r="D883" t="s">
        <v>3180</v>
      </c>
      <c r="E883" t="s">
        <v>13</v>
      </c>
      <c r="F883" t="str">
        <f>_xlfn.CONCAT(D883,", ",H883,", ",I883,", ","山东省")</f>
        <v>龙泉镇, 淄川区, 淄博市, 山东省</v>
      </c>
      <c r="G883">
        <v>40380</v>
      </c>
      <c r="H883" t="s">
        <v>3799</v>
      </c>
      <c r="I883" t="s">
        <v>3791</v>
      </c>
      <c r="J883">
        <f>VLOOKUP(F883,[1]!china_towns_second__2[[Column1]:[Y]],3,FALSE)</f>
        <v>36.574451057421797</v>
      </c>
      <c r="K883">
        <f>VLOOKUP(F883,[1]!china_towns_second__2[[Column1]:[Y]],2,FALSE)</f>
        <v>117.96988709999999</v>
      </c>
      <c r="L883" t="s">
        <v>5716</v>
      </c>
      <c r="M883" t="str">
        <f>VLOOKUP(H883,CHOOSE({1,2},Table17[Native],Table17[Name]),2,0)</f>
        <v>Zīchuān Qū</v>
      </c>
      <c r="N883" s="15" t="str">
        <f>VLOOKUP(I883,CHOOSE({1,2},Table17[Native],Table17[Name]),2,0)</f>
        <v>Zībó Shì</v>
      </c>
      <c r="O883" s="15" t="str">
        <f t="shared" si="26"/>
        <v>Longquan Zhen (Zibo Shi) (Zībó Shì)</v>
      </c>
      <c r="P883" s="15" t="str">
        <f t="shared" si="27"/>
        <v>Longquan Zhen (Zibo Shi) (Zībó Shì)</v>
      </c>
    </row>
    <row r="884" spans="1:16" hidden="1" x14ac:dyDescent="0.25">
      <c r="A884" t="s">
        <v>1050</v>
      </c>
      <c r="B884" t="str">
        <f>IF(COUNTIF(A:A,A884)&gt;1,_xlfn.CONCAT(A884," (",N884,")"),A884)</f>
        <v>Lóngsāngsì Zhèn</v>
      </c>
      <c r="C884" t="str">
        <f>IF(COUNTIF(B:B,B884)&gt;1,_xlfn.CONCAT(A884," (",M884,")"),B884)</f>
        <v>Lóngsāngsì Zhèn</v>
      </c>
      <c r="D884" t="s">
        <v>1051</v>
      </c>
      <c r="E884" t="s">
        <v>13</v>
      </c>
      <c r="F884" t="str">
        <f>_xlfn.CONCAT(D884,", ",H884,", ",I884,", ","山东省")</f>
        <v>龙桑寺镇, 商河县, 济南市, 山东省</v>
      </c>
      <c r="G884">
        <v>38933</v>
      </c>
      <c r="H884" t="s">
        <v>3682</v>
      </c>
      <c r="I884" t="s">
        <v>3673</v>
      </c>
      <c r="J884">
        <f>VLOOKUP(F884,[1]!china_towns_second__2[[Column1]:[Y]],3,FALSE)</f>
        <v>37.373527318611004</v>
      </c>
      <c r="K884">
        <f>VLOOKUP(F884,[1]!china_towns_second__2[[Column1]:[Y]],2,FALSE)</f>
        <v>117.3270155</v>
      </c>
      <c r="L884" t="s">
        <v>5717</v>
      </c>
      <c r="M884" t="str">
        <f>VLOOKUP(H884,CHOOSE({1,2},Table17[Native],Table17[Name]),2,0)</f>
        <v>Shānghé Xiàn</v>
      </c>
      <c r="N884" s="15" t="str">
        <f>VLOOKUP(I884,CHOOSE({1,2},Table17[Native],Table17[Name]),2,0)</f>
        <v>Jìnán Shì</v>
      </c>
      <c r="O884" s="15" t="str">
        <f t="shared" si="26"/>
        <v>Longsangsi Zhen (Jìnán Shì)</v>
      </c>
      <c r="P884" s="15" t="str">
        <f t="shared" si="27"/>
        <v>Longsangsi Zhen (Jìnán Shì)</v>
      </c>
    </row>
    <row r="885" spans="1:16" hidden="1" x14ac:dyDescent="0.25">
      <c r="A885" t="s">
        <v>1052</v>
      </c>
      <c r="B885" t="str">
        <f>IF(COUNTIF(A:A,A885)&gt;1,_xlfn.CONCAT(A885," (",N885,")"),A885)</f>
        <v>Lóngshān Jiēdào (Jìnán Shì)</v>
      </c>
      <c r="C885" t="str">
        <f>IF(COUNTIF(B:B,B885)&gt;1,_xlfn.CONCAT(A885," (",M885,")"),B885)</f>
        <v>Lóngshān Jiēdào (Jìnán Shì)</v>
      </c>
      <c r="D885" t="s">
        <v>1053</v>
      </c>
      <c r="E885" t="s">
        <v>7</v>
      </c>
      <c r="F885" t="str">
        <f>_xlfn.CONCAT(D885,", ",H885,", ",I885,", ","山东省")</f>
        <v>龙山街道, 章丘区, 济南市, 山东省</v>
      </c>
      <c r="G885">
        <v>57558</v>
      </c>
      <c r="H885" t="s">
        <v>3685</v>
      </c>
      <c r="I885" t="s">
        <v>3673</v>
      </c>
      <c r="J885">
        <f>VLOOKUP(F885,[1]!china_towns_second__2[[Column1]:[Y]],3,FALSE)</f>
        <v>36.7642922150294</v>
      </c>
      <c r="K885">
        <f>VLOOKUP(F885,[1]!china_towns_second__2[[Column1]:[Y]],2,FALSE)</f>
        <v>117.3752209</v>
      </c>
      <c r="L885" t="s">
        <v>5718</v>
      </c>
      <c r="M885" t="str">
        <f>VLOOKUP(H885,CHOOSE({1,2},Table17[Native],Table17[Name]),2,0)</f>
        <v>Zhāngqiū Qū</v>
      </c>
      <c r="N885" s="15" t="str">
        <f>VLOOKUP(I885,CHOOSE({1,2},Table17[Native],Table17[Name]),2,0)</f>
        <v>Jìnán Shì</v>
      </c>
      <c r="O885" s="15" t="str">
        <f t="shared" si="26"/>
        <v>Longshan Jiedao (Jinan Shi) (Jìnán Shì)</v>
      </c>
      <c r="P885" s="15" t="str">
        <f t="shared" si="27"/>
        <v>Longshan Jiedao (Jinan Shi) (Jìnán Shì)</v>
      </c>
    </row>
    <row r="886" spans="1:16" hidden="1" x14ac:dyDescent="0.25">
      <c r="A886" t="s">
        <v>1052</v>
      </c>
      <c r="B886" t="str">
        <f>IF(COUNTIF(A:A,A886)&gt;1,_xlfn.CONCAT(A886," (",N886,")"),A886)</f>
        <v>Lóngshān Jiēdào (Qīngdăo Shì)</v>
      </c>
      <c r="C886" t="str">
        <f>IF(COUNTIF(B:B,B886)&gt;1,_xlfn.CONCAT(A886," (",M886,")"),B886)</f>
        <v>Lóngshān Jiēdào (Qīngdăo Shì)</v>
      </c>
      <c r="D886" t="s">
        <v>1053</v>
      </c>
      <c r="E886" t="s">
        <v>7</v>
      </c>
      <c r="F886" t="str">
        <f>_xlfn.CONCAT(D886,", ",H886,", ",I886,", ","山东省")</f>
        <v>龙山街道, 即墨区, 青岛市, 山东省</v>
      </c>
      <c r="G886">
        <v>42214</v>
      </c>
      <c r="H886" t="s">
        <v>3728</v>
      </c>
      <c r="I886" t="s">
        <v>3724</v>
      </c>
      <c r="J886">
        <f>VLOOKUP(F886,[1]!china_towns_second__2[[Column1]:[Y]],3,FALSE)</f>
        <v>36.368888259229898</v>
      </c>
      <c r="K886">
        <f>VLOOKUP(F886,[1]!china_towns_second__2[[Column1]:[Y]],2,FALSE)</f>
        <v>120.5367636</v>
      </c>
      <c r="L886" t="s">
        <v>5719</v>
      </c>
      <c r="M886" t="str">
        <f>VLOOKUP(H886,CHOOSE({1,2},Table17[Native],Table17[Name]),2,0)</f>
        <v>Jímò Qū</v>
      </c>
      <c r="N886" s="15" t="str">
        <f>VLOOKUP(I886,CHOOSE({1,2},Table17[Native],Table17[Name]),2,0)</f>
        <v>Qīngdăo Shì</v>
      </c>
      <c r="O886" s="15" t="str">
        <f t="shared" si="26"/>
        <v>Longshan Jiedao (Qingdao Shi) (Qīngdăo Shì)</v>
      </c>
      <c r="P886" s="15" t="str">
        <f t="shared" si="27"/>
        <v>Longshan Jiedao (Qingdao Shi) (Qīngdăo Shì)</v>
      </c>
    </row>
    <row r="887" spans="1:16" hidden="1" x14ac:dyDescent="0.25">
      <c r="A887" t="s">
        <v>3181</v>
      </c>
      <c r="B887" t="str">
        <f>IF(COUNTIF(A:A,A887)&gt;1,_xlfn.CONCAT(A887," (",N887,")"),A887)</f>
        <v>Lóngshān Jiēdào [Dàyánjiā Zhèn]</v>
      </c>
      <c r="C887" t="str">
        <f>IF(COUNTIF(B:B,B887)&gt;1,_xlfn.CONCAT(A887," (",M887,")"),B887)</f>
        <v>Lóngshān Jiēdào [Dàyánjiā Zhèn]</v>
      </c>
      <c r="D887" t="s">
        <v>1053</v>
      </c>
      <c r="E887" t="s">
        <v>7</v>
      </c>
      <c r="F887" t="str">
        <f>_xlfn.CONCAT(D887,", ",H887,", ",I887,", ","山东省")</f>
        <v>龙山街道, 海阳市, 烟台市, 山东省</v>
      </c>
      <c r="G887">
        <v>27151</v>
      </c>
      <c r="H887" t="s">
        <v>3773</v>
      </c>
      <c r="I887" t="s">
        <v>3771</v>
      </c>
      <c r="J887">
        <f>VLOOKUP(F887,[1]!china_towns_second__2[[Column1]:[Y]],3,FALSE)</f>
        <v>36.6682507257811</v>
      </c>
      <c r="K887">
        <f>VLOOKUP(F887,[1]!china_towns_second__2[[Column1]:[Y]],2,FALSE)</f>
        <v>121.1074816</v>
      </c>
      <c r="L887" t="s">
        <v>5720</v>
      </c>
      <c r="M887" t="str">
        <f>VLOOKUP(H887,CHOOSE({1,2},Table17[Native],Table17[Name]),2,0)</f>
        <v>Hăiyáng Shì</v>
      </c>
      <c r="N887" s="15" t="str">
        <f>VLOOKUP(I887,CHOOSE({1,2},Table17[Native],Table17[Name]),2,0)</f>
        <v>Yāntái Shì</v>
      </c>
      <c r="O887" s="15" t="str">
        <f t="shared" si="26"/>
        <v>Longshan Jiedao [Dayanjia Zhen] (Yāntái Shì)</v>
      </c>
      <c r="P887" s="15" t="str">
        <f t="shared" si="27"/>
        <v>Longshan Jiedao [Dayanjia Zhen] (Yāntái Shì)</v>
      </c>
    </row>
    <row r="888" spans="1:16" hidden="1" x14ac:dyDescent="0.25">
      <c r="A888" t="s">
        <v>2450</v>
      </c>
      <c r="B888" t="str">
        <f>IF(COUNTIF(A:A,A888)&gt;1,_xlfn.CONCAT(A888," (",N888,")"),A888)</f>
        <v>Lóngshān Zhèn</v>
      </c>
      <c r="C888" t="str">
        <f>IF(COUNTIF(B:B,B888)&gt;1,_xlfn.CONCAT(A888," (",M888,")"),B888)</f>
        <v>Lóngshān Zhèn</v>
      </c>
      <c r="D888" t="s">
        <v>2451</v>
      </c>
      <c r="E888" t="s">
        <v>13</v>
      </c>
      <c r="F888" t="str">
        <f>_xlfn.CONCAT(D888,", ",H888,", ",I888,", ","山东省")</f>
        <v>龙山镇, 莒县, 日照市, 山东省</v>
      </c>
      <c r="G888">
        <v>35253</v>
      </c>
      <c r="H888" t="s">
        <v>3739</v>
      </c>
      <c r="I888" t="s">
        <v>3736</v>
      </c>
      <c r="J888">
        <f>VLOOKUP(F888,[1]!china_towns_second__2[[Column1]:[Y]],3,FALSE)</f>
        <v>35.526986914699002</v>
      </c>
      <c r="K888">
        <f>VLOOKUP(F888,[1]!china_towns_second__2[[Column1]:[Y]],2,FALSE)</f>
        <v>118.9893356</v>
      </c>
      <c r="L888" t="s">
        <v>5721</v>
      </c>
      <c r="M888" t="str">
        <f>VLOOKUP(H888,CHOOSE({1,2},Table17[Native],Table17[Name]),2,0)</f>
        <v>Jŭ Xiàn</v>
      </c>
      <c r="N888" s="15" t="str">
        <f>VLOOKUP(I888,CHOOSE({1,2},Table17[Native],Table17[Name]),2,0)</f>
        <v>Rìzhào Shì</v>
      </c>
      <c r="O888" s="15" t="str">
        <f t="shared" si="26"/>
        <v>Longshan Zhen (Rìzhào Shì)</v>
      </c>
      <c r="P888" s="15" t="str">
        <f t="shared" si="27"/>
        <v>Longshan Zhen (Rìzhào Shì)</v>
      </c>
    </row>
    <row r="889" spans="1:16" hidden="1" x14ac:dyDescent="0.25">
      <c r="A889" t="s">
        <v>2956</v>
      </c>
      <c r="B889" t="str">
        <f>IF(COUNTIF(A:A,A889)&gt;1,_xlfn.CONCAT(A889," (",N889,")"),A889)</f>
        <v>Lóngshānlù Jiēdào (Wēihăi Shì)</v>
      </c>
      <c r="C889" t="str">
        <f>IF(COUNTIF(B:B,B889)&gt;1,_xlfn.CONCAT(A889," (",M889,")"),B889)</f>
        <v>Lóngshānlù Jiēdào (Wēihăi Shì)</v>
      </c>
      <c r="D889" t="s">
        <v>2957</v>
      </c>
      <c r="E889" t="s">
        <v>7</v>
      </c>
      <c r="F889" t="str">
        <f>_xlfn.CONCAT(D889,", ",H889,", ",I889,", ","山东省")</f>
        <v>龙山路街道, 文登区, 威海市, 山东省</v>
      </c>
      <c r="G889">
        <v>54213</v>
      </c>
      <c r="H889" t="s">
        <v>3769</v>
      </c>
      <c r="I889" t="s">
        <v>3765</v>
      </c>
      <c r="J889">
        <f>VLOOKUP(F889,[1]!china_towns_second__2[[Column1]:[Y]],3,FALSE)</f>
        <v>37.212674542964599</v>
      </c>
      <c r="K889">
        <f>VLOOKUP(F889,[1]!china_towns_second__2[[Column1]:[Y]],2,FALSE)</f>
        <v>122.0117643</v>
      </c>
      <c r="L889" t="s">
        <v>5722</v>
      </c>
      <c r="M889" t="str">
        <f>VLOOKUP(H889,CHOOSE({1,2},Table17[Native],Table17[Name]),2,0)</f>
        <v>Wéndēng Qū</v>
      </c>
      <c r="N889" s="15" t="str">
        <f>VLOOKUP(I889,CHOOSE({1,2},Table17[Native],Table17[Name]),2,0)</f>
        <v>Wēihăi Shì</v>
      </c>
      <c r="O889" s="15" t="str">
        <f t="shared" si="26"/>
        <v>Longshanlu Jiedao (Weihai Shi) (Wēihăi Shì)</v>
      </c>
      <c r="P889" s="15" t="str">
        <f t="shared" si="27"/>
        <v>Longshanlu Jiedao (Weihai Shi) (Wēihăi Shì)</v>
      </c>
    </row>
    <row r="890" spans="1:16" hidden="1" x14ac:dyDescent="0.25">
      <c r="A890" t="s">
        <v>2956</v>
      </c>
      <c r="B890" t="str">
        <f>IF(COUNTIF(A:A,A890)&gt;1,_xlfn.CONCAT(A890," (",N890,")"),A890)</f>
        <v>Lóngshānlù Jiēdào (Jìnán Shì)</v>
      </c>
      <c r="C890" t="str">
        <f>IF(COUNTIF(B:B,B890)&gt;1,_xlfn.CONCAT(A890," (",M890,")"),B890)</f>
        <v>Lóngshānlù Jiēdào (Jìnán Shì)</v>
      </c>
      <c r="D890" t="s">
        <v>2957</v>
      </c>
      <c r="E890" t="s">
        <v>7</v>
      </c>
      <c r="F890" t="str">
        <f>_xlfn.CONCAT(D890,", ",H890,", ",I890,", ","山东省")</f>
        <v>龙山路街道, 市中区, 济南市, 山东省</v>
      </c>
      <c r="G890">
        <v>39082</v>
      </c>
      <c r="H890" t="s">
        <v>3683</v>
      </c>
      <c r="I890" t="s">
        <v>3673</v>
      </c>
      <c r="J890" t="e">
        <f>VLOOKUP(F890,[1]!china_towns_second__2[[Column1]:[Y]],3,FALSE)</f>
        <v>#N/A</v>
      </c>
      <c r="K890" t="e">
        <f>VLOOKUP(F890,[1]!china_towns_second__2[[Column1]:[Y]],2,FALSE)</f>
        <v>#N/A</v>
      </c>
      <c r="L890" t="s">
        <v>5723</v>
      </c>
      <c r="M890" t="str">
        <f>VLOOKUP(H890,CHOOSE({1,2},Table17[Native],Table17[Name]),2,0)</f>
        <v>Shìzhōng Qū</v>
      </c>
      <c r="N890" s="15" t="str">
        <f>VLOOKUP(I890,CHOOSE({1,2},Table17[Native],Table17[Name]),2,0)</f>
        <v>Jìnán Shì</v>
      </c>
      <c r="O890" s="15" t="str">
        <f t="shared" si="26"/>
        <v>Longshanlu Jiedao (Jinan Shi) (Jìnán Shì)</v>
      </c>
      <c r="P890" s="15" t="str">
        <f t="shared" si="27"/>
        <v>Longshanlu Jiedao (Jinan Shi) (Jìnán Shì)</v>
      </c>
    </row>
    <row r="891" spans="1:16" hidden="1" x14ac:dyDescent="0.25">
      <c r="A891" t="s">
        <v>2264</v>
      </c>
      <c r="B891" t="str">
        <f>IF(COUNTIF(A:A,A891)&gt;1,_xlfn.CONCAT(A891," (",N891,")"),A891)</f>
        <v>Lóngshuĭ Jiēdào</v>
      </c>
      <c r="C891" t="str">
        <f>IF(COUNTIF(B:B,B891)&gt;1,_xlfn.CONCAT(A891," (",M891,")"),B891)</f>
        <v>Lóngshuĭ Jiēdào</v>
      </c>
      <c r="D891" t="s">
        <v>2265</v>
      </c>
      <c r="E891" t="s">
        <v>7</v>
      </c>
      <c r="F891" t="str">
        <f>_xlfn.CONCAT(D891,", ",H891,", ",I891,", ","山东省")</f>
        <v>龙水街道, 莱西市, 青岛市, 山东省</v>
      </c>
      <c r="G891">
        <v>22671</v>
      </c>
      <c r="H891" t="s">
        <v>3729</v>
      </c>
      <c r="I891" t="s">
        <v>3724</v>
      </c>
      <c r="J891" t="e">
        <f>VLOOKUP(F891,[1]!china_towns_second__2[[Column1]:[Y]],3,FALSE)</f>
        <v>#N/A</v>
      </c>
      <c r="K891" t="e">
        <f>VLOOKUP(F891,[1]!china_towns_second__2[[Column1]:[Y]],2,FALSE)</f>
        <v>#N/A</v>
      </c>
      <c r="L891" t="s">
        <v>5724</v>
      </c>
      <c r="M891" t="str">
        <f>VLOOKUP(H891,CHOOSE({1,2},Table17[Native],Table17[Name]),2,0)</f>
        <v>Láixī Shì</v>
      </c>
      <c r="N891" s="15" t="str">
        <f>VLOOKUP(I891,CHOOSE({1,2},Table17[Native],Table17[Name]),2,0)</f>
        <v>Qīngdăo Shì</v>
      </c>
      <c r="O891" s="15" t="str">
        <f t="shared" si="26"/>
        <v>Longshui Jiedao (Qīngdăo Shì)</v>
      </c>
      <c r="P891" s="15" t="str">
        <f t="shared" si="27"/>
        <v>Longshui Jiedao (Qīngdăo Shì)</v>
      </c>
    </row>
    <row r="892" spans="1:16" hidden="1" x14ac:dyDescent="0.25">
      <c r="A892" t="s">
        <v>2584</v>
      </c>
      <c r="B892" t="str">
        <f>IF(COUNTIF(A:A,A892)&gt;1,_xlfn.CONCAT(A892," (",N892,")"),A892)</f>
        <v>Lóngtíng Zhèn</v>
      </c>
      <c r="C892" t="str">
        <f>IF(COUNTIF(B:B,B892)&gt;1,_xlfn.CONCAT(A892," (",M892,")"),B892)</f>
        <v>Lóngtíng Zhèn</v>
      </c>
      <c r="D892" t="s">
        <v>2585</v>
      </c>
      <c r="E892" t="s">
        <v>13</v>
      </c>
      <c r="F892" t="str">
        <f>_xlfn.CONCAT(D892,", ",H892,", ",I892,", ","山东省")</f>
        <v>龙廷镇, 新泰市, 泰安市, 山东省</v>
      </c>
      <c r="G892">
        <v>57549</v>
      </c>
      <c r="H892" t="s">
        <v>3749</v>
      </c>
      <c r="I892" t="s">
        <v>3743</v>
      </c>
      <c r="J892">
        <f>VLOOKUP(F892,[1]!china_towns_second__2[[Column1]:[Y]],3,FALSE)</f>
        <v>35.926521477861002</v>
      </c>
      <c r="K892">
        <f>VLOOKUP(F892,[1]!china_towns_second__2[[Column1]:[Y]],2,FALSE)</f>
        <v>117.89779919999999</v>
      </c>
      <c r="L892" t="s">
        <v>5725</v>
      </c>
      <c r="M892" t="str">
        <f>VLOOKUP(H892,CHOOSE({1,2},Table17[Native],Table17[Name]),2,0)</f>
        <v>Xīntài Shì</v>
      </c>
      <c r="N892" s="15" t="str">
        <f>VLOOKUP(I892,CHOOSE({1,2},Table17[Native],Table17[Name]),2,0)</f>
        <v>Tài'ān Shì</v>
      </c>
      <c r="O892" s="15" t="str">
        <f t="shared" si="26"/>
        <v>Longting Zhen (Tài'ān Shì)</v>
      </c>
      <c r="P892" s="15" t="str">
        <f t="shared" si="27"/>
        <v>Longting Zhen (Tài'ān Shì)</v>
      </c>
    </row>
    <row r="893" spans="1:16" hidden="1" x14ac:dyDescent="0.25">
      <c r="A893" t="s">
        <v>752</v>
      </c>
      <c r="B893" t="str">
        <f>IF(COUNTIF(A:A,A893)&gt;1,_xlfn.CONCAT(A893," (",N893,")"),A893)</f>
        <v>Lóngwángmiào Zhèn</v>
      </c>
      <c r="C893" t="str">
        <f>IF(COUNTIF(B:B,B893)&gt;1,_xlfn.CONCAT(A893," (",M893,")"),B893)</f>
        <v>Lóngwángmiào Zhèn</v>
      </c>
      <c r="D893" t="s">
        <v>753</v>
      </c>
      <c r="E893" t="s">
        <v>13</v>
      </c>
      <c r="F893" t="str">
        <f>_xlfn.CONCAT(D893,", ",H893,", ",I893,", ","山东省")</f>
        <v>龙王庙镇, 单县, 菏泽市, 山东省</v>
      </c>
      <c r="G893">
        <v>48085</v>
      </c>
      <c r="H893" t="s">
        <v>3670</v>
      </c>
      <c r="I893" t="s">
        <v>3662</v>
      </c>
      <c r="J893">
        <f>VLOOKUP(F893,[1]!china_towns_second__2[[Column1]:[Y]],3,FALSE)</f>
        <v>34.682312209566703</v>
      </c>
      <c r="K893">
        <f>VLOOKUP(F893,[1]!china_towns_second__2[[Column1]:[Y]],2,FALSE)</f>
        <v>116.1692058</v>
      </c>
      <c r="L893" t="s">
        <v>5726</v>
      </c>
      <c r="M893" t="str">
        <f>VLOOKUP(H893,CHOOSE({1,2},Table17[Native],Table17[Name]),2,0)</f>
        <v>Shàn Xiàn</v>
      </c>
      <c r="N893" s="15" t="str">
        <f>VLOOKUP(I893,CHOOSE({1,2},Table17[Native],Table17[Name]),2,0)</f>
        <v>Hézé Shì</v>
      </c>
      <c r="O893" s="15" t="str">
        <f t="shared" si="26"/>
        <v>Longwangmiao Zhen (Hézé Shì)</v>
      </c>
      <c r="P893" s="15" t="str">
        <f t="shared" si="27"/>
        <v>Longwangmiao Zhen (Hézé Shì)</v>
      </c>
    </row>
    <row r="894" spans="1:16" hidden="1" x14ac:dyDescent="0.25">
      <c r="A894" t="s">
        <v>3182</v>
      </c>
      <c r="B894" t="str">
        <f>IF(COUNTIF(A:A,A894)&gt;1,_xlfn.CONCAT(A894," (",N894,")"),A894)</f>
        <v>Lóngwàngzhuāng Jiēdào</v>
      </c>
      <c r="C894" t="str">
        <f>IF(COUNTIF(B:B,B894)&gt;1,_xlfn.CONCAT(A894," (",M894,")"),B894)</f>
        <v>Lóngwàngzhuāng Jiēdào</v>
      </c>
      <c r="D894" t="s">
        <v>3183</v>
      </c>
      <c r="E894" t="s">
        <v>7</v>
      </c>
      <c r="F894" t="str">
        <f>_xlfn.CONCAT(D894,", ",H894,", ",I894,", ","山东省")</f>
        <v>龙旺庄街道, 莱阳市, 烟台市, 山东省</v>
      </c>
      <c r="G894">
        <v>36420</v>
      </c>
      <c r="H894" t="s">
        <v>3775</v>
      </c>
      <c r="I894" t="s">
        <v>3771</v>
      </c>
      <c r="J894">
        <f>VLOOKUP(F894,[1]!china_towns_second__2[[Column1]:[Y]],3,FALSE)</f>
        <v>36.963200768483098</v>
      </c>
      <c r="K894">
        <f>VLOOKUP(F894,[1]!china_towns_second__2[[Column1]:[Y]],2,FALSE)</f>
        <v>120.8132478</v>
      </c>
      <c r="L894" t="s">
        <v>5727</v>
      </c>
      <c r="M894" t="str">
        <f>VLOOKUP(H894,CHOOSE({1,2},Table17[Native],Table17[Name]),2,0)</f>
        <v>Láiyáng Shì</v>
      </c>
      <c r="N894" s="15" t="str">
        <f>VLOOKUP(I894,CHOOSE({1,2},Table17[Native],Table17[Name]),2,0)</f>
        <v>Yāntái Shì</v>
      </c>
      <c r="O894" s="15" t="str">
        <f t="shared" si="26"/>
        <v>Longwangzhuang Jiedao (Yāntái Shì)</v>
      </c>
      <c r="P894" s="15" t="str">
        <f t="shared" si="27"/>
        <v>Longwangzhuang Jiedao (Yāntái Shì)</v>
      </c>
    </row>
    <row r="895" spans="1:16" hidden="1" x14ac:dyDescent="0.25">
      <c r="A895" t="s">
        <v>3401</v>
      </c>
      <c r="B895" t="str">
        <f>IF(COUNTIF(A:A,A895)&gt;1,_xlfn.CONCAT(A895," (",N895,")"),A895)</f>
        <v>Lóngyáng Zhèn</v>
      </c>
      <c r="C895" t="str">
        <f>IF(COUNTIF(B:B,B895)&gt;1,_xlfn.CONCAT(A895," (",M895,")"),B895)</f>
        <v>Lóngyáng Zhèn</v>
      </c>
      <c r="D895" t="s">
        <v>3402</v>
      </c>
      <c r="E895" t="s">
        <v>13</v>
      </c>
      <c r="F895" t="str">
        <f>_xlfn.CONCAT(D895,", ",H895,", ",I895,", ","山东省")</f>
        <v>龙阳镇, 滕州市, 枣庄市, 山东省</v>
      </c>
      <c r="G895">
        <v>65634</v>
      </c>
      <c r="H895" t="s">
        <v>3787</v>
      </c>
      <c r="I895" t="s">
        <v>3784</v>
      </c>
      <c r="J895">
        <f>VLOOKUP(F895,[1]!china_towns_second__2[[Column1]:[Y]],3,FALSE)</f>
        <v>35.187526616051201</v>
      </c>
      <c r="K895">
        <f>VLOOKUP(F895,[1]!china_towns_second__2[[Column1]:[Y]],2,FALSE)</f>
        <v>117.16352240000001</v>
      </c>
      <c r="L895" t="s">
        <v>5728</v>
      </c>
      <c r="M895" t="str">
        <f>VLOOKUP(H895,CHOOSE({1,2},Table17[Native],Table17[Name]),2,0)</f>
        <v>Téngzhōu Shì</v>
      </c>
      <c r="N895" s="15" t="str">
        <f>VLOOKUP(I895,CHOOSE({1,2},Table17[Native],Table17[Name]),2,0)</f>
        <v>Zăozhuāng Shì</v>
      </c>
      <c r="O895" s="15" t="str">
        <f t="shared" si="26"/>
        <v>Longyang Zhen (Zăozhuāng Shì)</v>
      </c>
      <c r="P895" s="15" t="str">
        <f t="shared" si="27"/>
        <v>Longyang Zhen (Zăozhuāng Shì)</v>
      </c>
    </row>
    <row r="896" spans="1:16" hidden="1" x14ac:dyDescent="0.25">
      <c r="A896" t="s">
        <v>2586</v>
      </c>
      <c r="B896" t="str">
        <f>IF(COUNTIF(A:A,A896)&gt;1,_xlfn.CONCAT(A896," (",N896,")"),A896)</f>
        <v>Lóudé Zhèn</v>
      </c>
      <c r="C896" t="str">
        <f>IF(COUNTIF(B:B,B896)&gt;1,_xlfn.CONCAT(A896," (",M896,")"),B896)</f>
        <v>Lóudé Zhèn</v>
      </c>
      <c r="D896" t="s">
        <v>2587</v>
      </c>
      <c r="E896" t="s">
        <v>13</v>
      </c>
      <c r="F896" t="str">
        <f>_xlfn.CONCAT(D896,", ",H896,", ",I896,", ","山东省")</f>
        <v>楼德镇, 新泰市, 泰安市, 山东省</v>
      </c>
      <c r="G896">
        <v>67853</v>
      </c>
      <c r="H896" t="s">
        <v>3749</v>
      </c>
      <c r="I896" t="s">
        <v>3743</v>
      </c>
      <c r="J896">
        <f>VLOOKUP(F896,[1]!china_towns_second__2[[Column1]:[Y]],3,FALSE)</f>
        <v>35.858202676911397</v>
      </c>
      <c r="K896">
        <f>VLOOKUP(F896,[1]!china_towns_second__2[[Column1]:[Y]],2,FALSE)</f>
        <v>117.3137278</v>
      </c>
      <c r="L896" t="s">
        <v>5729</v>
      </c>
      <c r="M896" t="str">
        <f>VLOOKUP(H896,CHOOSE({1,2},Table17[Native],Table17[Name]),2,0)</f>
        <v>Xīntài Shì</v>
      </c>
      <c r="N896" s="15" t="str">
        <f>VLOOKUP(I896,CHOOSE({1,2},Table17[Native],Table17[Name]),2,0)</f>
        <v>Tài'ān Shì</v>
      </c>
      <c r="O896" s="15" t="str">
        <f t="shared" si="26"/>
        <v>Loude Zhen (Tài'ān Shì)</v>
      </c>
      <c r="P896" s="15" t="str">
        <f t="shared" si="27"/>
        <v>Loude Zhen (Tài'ān Shì)</v>
      </c>
    </row>
    <row r="897" spans="1:16" hidden="1" x14ac:dyDescent="0.25">
      <c r="A897" t="s">
        <v>2266</v>
      </c>
      <c r="B897" t="str">
        <f>IF(COUNTIF(A:A,A897)&gt;1,_xlfn.CONCAT(A897," (",N897,")"),A897)</f>
        <v>Lóushān Jiēdào</v>
      </c>
      <c r="C897" t="str">
        <f>IF(COUNTIF(B:B,B897)&gt;1,_xlfn.CONCAT(A897," (",M897,")"),B897)</f>
        <v>Lóushān Jiēdào</v>
      </c>
      <c r="D897" t="s">
        <v>2267</v>
      </c>
      <c r="E897" t="s">
        <v>7</v>
      </c>
      <c r="F897" t="str">
        <f>_xlfn.CONCAT(D897,", ",H897,", ",I897,", ","山东省")</f>
        <v>楼山街道, 李沧区, 青岛市, 山东省</v>
      </c>
      <c r="G897">
        <v>24173</v>
      </c>
      <c r="H897" t="s">
        <v>3731</v>
      </c>
      <c r="I897" t="s">
        <v>3724</v>
      </c>
      <c r="J897">
        <f>VLOOKUP(F897,[1]!china_towns_second__2[[Column1]:[Y]],3,FALSE)</f>
        <v>36.218254458050097</v>
      </c>
      <c r="K897">
        <f>VLOOKUP(F897,[1]!china_towns_second__2[[Column1]:[Y]],2,FALSE)</f>
        <v>120.3686242</v>
      </c>
      <c r="L897" t="s">
        <v>5730</v>
      </c>
      <c r="M897" t="str">
        <f>VLOOKUP(H897,CHOOSE({1,2},Table17[Native],Table17[Name]),2,0)</f>
        <v>Lĭcāng Qū</v>
      </c>
      <c r="N897" s="15" t="str">
        <f>VLOOKUP(I897,CHOOSE({1,2},Table17[Native],Table17[Name]),2,0)</f>
        <v>Qīngdăo Shì</v>
      </c>
      <c r="O897" s="15" t="str">
        <f t="shared" si="26"/>
        <v>Loushan Jiedao (Qīngdăo Shì)</v>
      </c>
      <c r="P897" s="15" t="str">
        <f t="shared" si="27"/>
        <v>Loushan Jiedao (Qīngdăo Shì)</v>
      </c>
    </row>
    <row r="898" spans="1:16" hidden="1" x14ac:dyDescent="0.25">
      <c r="A898" t="s">
        <v>1362</v>
      </c>
      <c r="B898" t="str">
        <f>IF(COUNTIF(A:A,A898)&gt;1,_xlfn.CONCAT(A898," (",N898,")"),A898)</f>
        <v>Lŭchéng Jiēdào</v>
      </c>
      <c r="C898" t="str">
        <f>IF(COUNTIF(B:B,B898)&gt;1,_xlfn.CONCAT(A898," (",M898,")"),B898)</f>
        <v>Lŭchéng Jiēdào</v>
      </c>
      <c r="D898" t="s">
        <v>1363</v>
      </c>
      <c r="E898" t="s">
        <v>7</v>
      </c>
      <c r="F898" t="str">
        <f>_xlfn.CONCAT(D898,", ",H898,", ",I898,", ","山东省")</f>
        <v>鲁城街道, 曲阜市, 济宁市, 山东省</v>
      </c>
      <c r="G898">
        <v>159062</v>
      </c>
      <c r="H898" t="s">
        <v>3691</v>
      </c>
      <c r="I898" t="s">
        <v>3687</v>
      </c>
      <c r="J898">
        <f>VLOOKUP(F898,[1]!china_towns_second__2[[Column1]:[Y]],3,FALSE)</f>
        <v>35.594653298869602</v>
      </c>
      <c r="K898">
        <f>VLOOKUP(F898,[1]!china_towns_second__2[[Column1]:[Y]],2,FALSE)</f>
        <v>116.99083280000001</v>
      </c>
      <c r="L898" t="s">
        <v>5731</v>
      </c>
      <c r="M898" t="str">
        <f>VLOOKUP(H898,CHOOSE({1,2},Table17[Native],Table17[Name]),2,0)</f>
        <v>Qŭfù Shì</v>
      </c>
      <c r="N898" s="15" t="str">
        <f>VLOOKUP(I898,CHOOSE({1,2},Table17[Native],Table17[Name]),2,0)</f>
        <v>Jìníng Shì</v>
      </c>
      <c r="O898" s="15" t="str">
        <f t="shared" ref="O898:O961" si="28">_xlfn.CONCAT(L898," (",N898,")")</f>
        <v>Lucheng Jiedao (Jìníng Shì)</v>
      </c>
      <c r="P898" s="15" t="str">
        <f t="shared" ref="P898:P961" si="29">IF(COUNTIF(O:O,O898)&gt;1,_xlfn.CONCAT(L898," (",M898,")"),O898)</f>
        <v>Lucheng Jiedao (Jìníng Shì)</v>
      </c>
    </row>
    <row r="899" spans="1:16" hidden="1" x14ac:dyDescent="0.25">
      <c r="A899" t="s">
        <v>1940</v>
      </c>
      <c r="B899" t="str">
        <f>IF(COUNTIF(A:A,A899)&gt;1,_xlfn.CONCAT(A899," (",N899,")"),A899)</f>
        <v>Lŭchéng Zhèn</v>
      </c>
      <c r="C899" t="str">
        <f>IF(COUNTIF(B:B,B899)&gt;1,_xlfn.CONCAT(A899," (",M899,")"),B899)</f>
        <v>Lŭchéng Zhèn</v>
      </c>
      <c r="D899" t="s">
        <v>1941</v>
      </c>
      <c r="E899" t="s">
        <v>13</v>
      </c>
      <c r="F899" t="str">
        <f>_xlfn.CONCAT(D899,", ",H899,", ",I899,", ","山东省")</f>
        <v>鲁城镇, 兰陵县, 临沂市, 山东省</v>
      </c>
      <c r="G899">
        <v>36443</v>
      </c>
      <c r="H899" t="s">
        <v>3714</v>
      </c>
      <c r="I899" t="s">
        <v>3710</v>
      </c>
      <c r="J899">
        <f>VLOOKUP(F899,[1]!china_towns_second__2[[Column1]:[Y]],3,FALSE)</f>
        <v>34.895791783941497</v>
      </c>
      <c r="K899">
        <f>VLOOKUP(F899,[1]!china_towns_second__2[[Column1]:[Y]],2,FALSE)</f>
        <v>117.7592211</v>
      </c>
      <c r="L899" t="s">
        <v>5732</v>
      </c>
      <c r="M899" t="str">
        <f>VLOOKUP(H899,CHOOSE({1,2},Table17[Native],Table17[Name]),2,0)</f>
        <v>Lánlíng Xiàn</v>
      </c>
      <c r="N899" s="15" t="str">
        <f>VLOOKUP(I899,CHOOSE({1,2},Table17[Native],Table17[Name]),2,0)</f>
        <v>Línyí Shì</v>
      </c>
      <c r="O899" s="15" t="str">
        <f t="shared" si="28"/>
        <v>Lucheng Zhen (Línyí Shì)</v>
      </c>
      <c r="P899" s="15" t="str">
        <f t="shared" si="29"/>
        <v>Lucheng Zhen (Línyí Shì)</v>
      </c>
    </row>
    <row r="900" spans="1:16" hidden="1" x14ac:dyDescent="0.25">
      <c r="A900" t="s">
        <v>3533</v>
      </c>
      <c r="B900" t="str">
        <f>IF(COUNTIF(A:A,A900)&gt;1,_xlfn.CONCAT(A900," (",N900,")"),A900)</f>
        <v>Lŭcūn Zhèn [incl. Xújiāzhuāng Xiāng]</v>
      </c>
      <c r="C900" t="str">
        <f>IF(COUNTIF(B:B,B900)&gt;1,_xlfn.CONCAT(A900," (",M900,")"),B900)</f>
        <v>Lŭcūn Zhèn [incl. Xújiāzhuāng Xiāng]</v>
      </c>
      <c r="D900" t="s">
        <v>3534</v>
      </c>
      <c r="E900" t="s">
        <v>13</v>
      </c>
      <c r="F900" t="str">
        <f>_xlfn.CONCAT(D900,", ",H900,", ",I900,", ","山东省")</f>
        <v>鲁村镇, 沂源县, 淄博市, 山东省</v>
      </c>
      <c r="G900">
        <v>70413</v>
      </c>
      <c r="H900" t="s">
        <v>3796</v>
      </c>
      <c r="I900" t="s">
        <v>3791</v>
      </c>
      <c r="J900">
        <f>VLOOKUP(F900,[1]!china_towns_second__2[[Column1]:[Y]],3,FALSE)</f>
        <v>36.177639605392201</v>
      </c>
      <c r="K900">
        <f>VLOOKUP(F900,[1]!china_towns_second__2[[Column1]:[Y]],2,FALSE)</f>
        <v>117.9927813</v>
      </c>
      <c r="L900" t="s">
        <v>5733</v>
      </c>
      <c r="M900" t="str">
        <f>VLOOKUP(H900,CHOOSE({1,2},Table17[Native],Table17[Name]),2,0)</f>
        <v>Yíyuán Xiàn</v>
      </c>
      <c r="N900" s="15" t="str">
        <f>VLOOKUP(I900,CHOOSE({1,2},Table17[Native],Table17[Name]),2,0)</f>
        <v>Zībó Shì</v>
      </c>
      <c r="O900" s="15" t="str">
        <f t="shared" si="28"/>
        <v>Lucun Zhen [incl. Xujiazhuang Xiang] (Zībó Shì)</v>
      </c>
      <c r="P900" s="15" t="str">
        <f t="shared" si="29"/>
        <v>Lucun Zhen [incl. Xujiazhuang Xiang] (Zībó Shì)</v>
      </c>
    </row>
    <row r="901" spans="1:16" hidden="1" x14ac:dyDescent="0.25">
      <c r="A901" t="s">
        <v>3184</v>
      </c>
      <c r="B901" t="str">
        <f>IF(COUNTIF(A:A,A901)&gt;1,_xlfn.CONCAT(A901," (",N901,")"),A901)</f>
        <v>Lǚgézhuāng Zhèn</v>
      </c>
      <c r="C901" t="str">
        <f>IF(COUNTIF(B:B,B901)&gt;1,_xlfn.CONCAT(A901," (",M901,")"),B901)</f>
        <v>Lǚgézhuāng Zhèn</v>
      </c>
      <c r="D901" t="s">
        <v>3185</v>
      </c>
      <c r="E901" t="s">
        <v>13</v>
      </c>
      <c r="F901" t="str">
        <f>_xlfn.CONCAT(D901,", ",H901,", ",I901,", ","山东省")</f>
        <v>吕格庄镇, 莱阳市, 烟台市, 山东省</v>
      </c>
      <c r="G901">
        <v>26142</v>
      </c>
      <c r="H901" t="s">
        <v>3775</v>
      </c>
      <c r="I901" t="s">
        <v>3771</v>
      </c>
      <c r="J901">
        <f>VLOOKUP(F901,[1]!china_towns_second__2[[Column1]:[Y]],3,FALSE)</f>
        <v>36.855456546347199</v>
      </c>
      <c r="K901">
        <f>VLOOKUP(F901,[1]!china_towns_second__2[[Column1]:[Y]],2,FALSE)</f>
        <v>120.6308069</v>
      </c>
      <c r="L901" t="s">
        <v>5734</v>
      </c>
      <c r="M901" t="str">
        <f>VLOOKUP(H901,CHOOSE({1,2},Table17[Native],Table17[Name]),2,0)</f>
        <v>Láiyáng Shì</v>
      </c>
      <c r="N901" s="15" t="str">
        <f>VLOOKUP(I901,CHOOSE({1,2},Table17[Native],Table17[Name]),2,0)</f>
        <v>Yāntái Shì</v>
      </c>
      <c r="O901" s="15" t="str">
        <f t="shared" si="28"/>
        <v>Lugezhuang Zhen (Yāntái Shì)</v>
      </c>
      <c r="P901" s="15" t="str">
        <f t="shared" si="29"/>
        <v>Lugezhuang Zhen (Yāntái Shì)</v>
      </c>
    </row>
    <row r="902" spans="1:16" hidden="1" x14ac:dyDescent="0.25">
      <c r="A902" t="s">
        <v>3535</v>
      </c>
      <c r="B902" t="str">
        <f>IF(COUNTIF(A:A,A902)&gt;1,_xlfn.CONCAT(A902," (",N902,")"),A902)</f>
        <v>Lúhú Jiēdào [incl. Zhàodiàn Zhèn]</v>
      </c>
      <c r="C902" t="str">
        <f>IF(COUNTIF(B:B,B902)&gt;1,_xlfn.CONCAT(A902," (",M902,")"),B902)</f>
        <v>Lúhú Jiēdào [incl. Zhàodiàn Zhèn]</v>
      </c>
      <c r="D902" t="s">
        <v>3536</v>
      </c>
      <c r="E902" t="s">
        <v>7</v>
      </c>
      <c r="F902" t="str">
        <f>_xlfn.CONCAT(D902,", ",H902,", ",I902,", ","山东省")</f>
        <v>芦湖街道, 高青县, 淄博市, 山东省</v>
      </c>
      <c r="G902">
        <v>56432</v>
      </c>
      <c r="H902" t="s">
        <v>3793</v>
      </c>
      <c r="I902" t="s">
        <v>3791</v>
      </c>
      <c r="J902">
        <f>VLOOKUP(F902,[1]!china_towns_second__2[[Column1]:[Y]],3,FALSE)</f>
        <v>37.219589189755297</v>
      </c>
      <c r="K902">
        <f>VLOOKUP(F902,[1]!china_towns_second__2[[Column1]:[Y]],2,FALSE)</f>
        <v>117.9182015</v>
      </c>
      <c r="L902" t="s">
        <v>5735</v>
      </c>
      <c r="M902" t="str">
        <f>VLOOKUP(H902,CHOOSE({1,2},Table17[Native],Table17[Name]),2,0)</f>
        <v>Gāoqīng Xiàn</v>
      </c>
      <c r="N902" s="15" t="str">
        <f>VLOOKUP(I902,CHOOSE({1,2},Table17[Native],Table17[Name]),2,0)</f>
        <v>Zībó Shì</v>
      </c>
      <c r="O902" s="15" t="str">
        <f t="shared" si="28"/>
        <v>Luhu Jiedao [incl. Zhaodian Zhen] (Zībó Shì)</v>
      </c>
      <c r="P902" s="15" t="str">
        <f t="shared" si="29"/>
        <v>Luhu Jiedao [incl. Zhaodian Zhen] (Zībó Shì)</v>
      </c>
    </row>
    <row r="903" spans="1:16" hidden="1" x14ac:dyDescent="0.25">
      <c r="A903" t="s">
        <v>754</v>
      </c>
      <c r="B903" t="str">
        <f>IF(COUNTIF(A:A,A903)&gt;1,_xlfn.CONCAT(A903," (",N903,")"),A903)</f>
        <v>Lǚlíng Zhèn</v>
      </c>
      <c r="C903" t="str">
        <f>IF(COUNTIF(B:B,B903)&gt;1,_xlfn.CONCAT(A903," (",M903,")"),B903)</f>
        <v>Lǚlíng Zhèn</v>
      </c>
      <c r="D903" t="s">
        <v>755</v>
      </c>
      <c r="E903" t="s">
        <v>13</v>
      </c>
      <c r="F903" t="str">
        <f>_xlfn.CONCAT(D903,", ",H903,", ",I903,", ","山东省")</f>
        <v>吕陵镇, 牡丹区, 菏泽市, 山东省</v>
      </c>
      <c r="G903">
        <v>51967</v>
      </c>
      <c r="H903" t="s">
        <v>3669</v>
      </c>
      <c r="I903" t="s">
        <v>3662</v>
      </c>
      <c r="J903">
        <f>VLOOKUP(F903,[1]!china_towns_second__2[[Column1]:[Y]],3,FALSE)</f>
        <v>35.277795423556299</v>
      </c>
      <c r="K903">
        <f>VLOOKUP(F903,[1]!china_towns_second__2[[Column1]:[Y]],2,FALSE)</f>
        <v>115.29934040000001</v>
      </c>
      <c r="L903" t="s">
        <v>5736</v>
      </c>
      <c r="M903" t="str">
        <f>VLOOKUP(H903,CHOOSE({1,2},Table17[Native],Table17[Name]),2,0)</f>
        <v>Mŭdān Qū</v>
      </c>
      <c r="N903" s="15" t="str">
        <f>VLOOKUP(I903,CHOOSE({1,2},Table17[Native],Table17[Name]),2,0)</f>
        <v>Hézé Shì</v>
      </c>
      <c r="O903" s="15" t="str">
        <f t="shared" si="28"/>
        <v>Luling Zhen (Hézé Shì)</v>
      </c>
      <c r="P903" s="15" t="str">
        <f t="shared" si="29"/>
        <v>Luling Zhen (Hézé Shì)</v>
      </c>
    </row>
    <row r="904" spans="1:16" hidden="1" x14ac:dyDescent="0.25">
      <c r="A904" t="s">
        <v>330</v>
      </c>
      <c r="B904" t="str">
        <f>IF(COUNTIF(A:A,A904)&gt;1,_xlfn.CONCAT(A904," (",N904,")"),A904)</f>
        <v>Lún Zhèn</v>
      </c>
      <c r="C904" t="str">
        <f>IF(COUNTIF(B:B,B904)&gt;1,_xlfn.CONCAT(A904," (",M904,")"),B904)</f>
        <v>Lún Zhèn</v>
      </c>
      <c r="D904" t="s">
        <v>331</v>
      </c>
      <c r="E904" t="s">
        <v>13</v>
      </c>
      <c r="F904" t="str">
        <f>_xlfn.CONCAT(D904,", ",H904,", ",I904,", ","山东省")</f>
        <v>伦镇, 禹城市, 德州市, 山东省</v>
      </c>
      <c r="G904">
        <v>35545</v>
      </c>
      <c r="H904" t="s">
        <v>3653</v>
      </c>
      <c r="I904" t="s">
        <v>3642</v>
      </c>
      <c r="J904">
        <f>VLOOKUP(F904,[1]!china_towns_second__2[[Column1]:[Y]],3,FALSE)</f>
        <v>36.782443223712498</v>
      </c>
      <c r="K904">
        <f>VLOOKUP(F904,[1]!china_towns_second__2[[Column1]:[Y]],2,FALSE)</f>
        <v>116.55150980000001</v>
      </c>
      <c r="L904" t="s">
        <v>5737</v>
      </c>
      <c r="M904" t="str">
        <f>VLOOKUP(H904,CHOOSE({1,2},Table17[Native],Table17[Name]),2,0)</f>
        <v>Yŭchéng Shì</v>
      </c>
      <c r="N904" s="15" t="str">
        <f>VLOOKUP(I904,CHOOSE({1,2},Table17[Native],Table17[Name]),2,0)</f>
        <v>Dézhōu Shì</v>
      </c>
      <c r="O904" s="15" t="str">
        <f t="shared" si="28"/>
        <v>Lun Zhen (Dézhōu Shì)</v>
      </c>
      <c r="P904" s="15" t="str">
        <f t="shared" si="29"/>
        <v>Lun Zhen (Dézhōu Shì)</v>
      </c>
    </row>
    <row r="905" spans="1:16" hidden="1" x14ac:dyDescent="0.25">
      <c r="A905" t="s">
        <v>2791</v>
      </c>
      <c r="B905" t="str">
        <f>IF(COUNTIF(A:A,A905)&gt;1,_xlfn.CONCAT(A905," (",N905,")"),A905)</f>
        <v>Luòchéng Jiēdào</v>
      </c>
      <c r="C905" t="str">
        <f>IF(COUNTIF(B:B,B905)&gt;1,_xlfn.CONCAT(A905," (",M905,")"),B905)</f>
        <v>Luòchéng Jiēdào</v>
      </c>
      <c r="D905" t="s">
        <v>2792</v>
      </c>
      <c r="E905" t="s">
        <v>7</v>
      </c>
      <c r="F905" t="str">
        <f>_xlfn.CONCAT(D905,", ",H905,", ",I905,", ","山东省")</f>
        <v>洛城街道, 寿光市, 潍坊市, 山东省</v>
      </c>
      <c r="G905">
        <v>106656</v>
      </c>
      <c r="H905" t="s">
        <v>3761</v>
      </c>
      <c r="I905" t="s">
        <v>3751</v>
      </c>
      <c r="J905">
        <f>VLOOKUP(F905,[1]!china_towns_second__2[[Column1]:[Y]],3,FALSE)</f>
        <v>36.880266899816199</v>
      </c>
      <c r="K905">
        <f>VLOOKUP(F905,[1]!china_towns_second__2[[Column1]:[Y]],2,FALSE)</f>
        <v>118.88667390000001</v>
      </c>
      <c r="L905" t="s">
        <v>5738</v>
      </c>
      <c r="M905" t="str">
        <f>VLOOKUP(H905,CHOOSE({1,2},Table17[Native],Table17[Name]),2,0)</f>
        <v>Shòuguāng Shì</v>
      </c>
      <c r="N905" s="15" t="str">
        <f>VLOOKUP(I905,CHOOSE({1,2},Table17[Native],Table17[Name]),2,0)</f>
        <v>Wéifāng Shì</v>
      </c>
      <c r="O905" s="15" t="str">
        <f t="shared" si="28"/>
        <v>Luocheng Jiedao (Wéifāng Shì)</v>
      </c>
      <c r="P905" s="15" t="str">
        <f t="shared" si="29"/>
        <v>Luocheng Jiedao (Wéifāng Shì)</v>
      </c>
    </row>
    <row r="906" spans="1:16" hidden="1" x14ac:dyDescent="0.25">
      <c r="A906" t="s">
        <v>3537</v>
      </c>
      <c r="B906" t="str">
        <f>IF(COUNTIF(A:A,A906)&gt;1,_xlfn.CONCAT(A906," (",N906,")"),A906)</f>
        <v>Luócūn Zhèn</v>
      </c>
      <c r="C906" t="str">
        <f>IF(COUNTIF(B:B,B906)&gt;1,_xlfn.CONCAT(A906," (",M906,")"),B906)</f>
        <v>Luócūn Zhèn</v>
      </c>
      <c r="D906" t="s">
        <v>3538</v>
      </c>
      <c r="E906" t="s">
        <v>13</v>
      </c>
      <c r="F906" t="str">
        <f>_xlfn.CONCAT(D906,", ",H906,", ",I906,", ","山东省")</f>
        <v>罗村镇, 淄川区, 淄博市, 山东省</v>
      </c>
      <c r="G906">
        <v>56302</v>
      </c>
      <c r="H906" t="s">
        <v>3799</v>
      </c>
      <c r="I906" t="s">
        <v>3791</v>
      </c>
      <c r="J906">
        <f>VLOOKUP(F906,[1]!china_towns_second__2[[Column1]:[Y]],3,FALSE)</f>
        <v>36.684287907979503</v>
      </c>
      <c r="K906">
        <f>VLOOKUP(F906,[1]!china_towns_second__2[[Column1]:[Y]],2,FALSE)</f>
        <v>118.0747229</v>
      </c>
      <c r="L906" t="s">
        <v>5739</v>
      </c>
      <c r="M906" t="str">
        <f>VLOOKUP(H906,CHOOSE({1,2},Table17[Native],Table17[Name]),2,0)</f>
        <v>Zīchuān Qū</v>
      </c>
      <c r="N906" s="15" t="str">
        <f>VLOOKUP(I906,CHOOSE({1,2},Table17[Native],Table17[Name]),2,0)</f>
        <v>Zībó Shì</v>
      </c>
      <c r="O906" s="15" t="str">
        <f t="shared" si="28"/>
        <v>Luocun Zhen (Zībó Shì)</v>
      </c>
      <c r="P906" s="15" t="str">
        <f t="shared" si="29"/>
        <v>Luocun Zhen (Zībó Shì)</v>
      </c>
    </row>
    <row r="907" spans="1:16" hidden="1" x14ac:dyDescent="0.25">
      <c r="A907" t="s">
        <v>3186</v>
      </c>
      <c r="B907" t="str">
        <f>IF(COUNTIF(A:A,A907)&gt;1,_xlfn.CONCAT(A907," (",N907,")"),A907)</f>
        <v>Luófēng Jiēdào</v>
      </c>
      <c r="C907" t="str">
        <f>IF(COUNTIF(B:B,B907)&gt;1,_xlfn.CONCAT(A907," (",M907,")"),B907)</f>
        <v>Luófēng Jiēdào</v>
      </c>
      <c r="D907" t="s">
        <v>3187</v>
      </c>
      <c r="E907" t="s">
        <v>7</v>
      </c>
      <c r="F907" t="str">
        <f>_xlfn.CONCAT(D907,", ",H907,", ",I907,", ","山东省")</f>
        <v>罗峰街道, 招远市, 烟台市, 山东省</v>
      </c>
      <c r="G907">
        <v>69174</v>
      </c>
      <c r="H907" t="s">
        <v>3781</v>
      </c>
      <c r="I907" t="s">
        <v>3771</v>
      </c>
      <c r="J907">
        <f>VLOOKUP(F907,[1]!china_towns_second__2[[Column1]:[Y]],3,FALSE)</f>
        <v>37.327797962713198</v>
      </c>
      <c r="K907">
        <f>VLOOKUP(F907,[1]!china_towns_second__2[[Column1]:[Y]],2,FALSE)</f>
        <v>120.3694861</v>
      </c>
      <c r="L907" t="s">
        <v>5740</v>
      </c>
      <c r="M907" t="str">
        <f>VLOOKUP(H907,CHOOSE({1,2},Table17[Native],Table17[Name]),2,0)</f>
        <v>Zhāoyuăn Shì</v>
      </c>
      <c r="N907" s="15" t="str">
        <f>VLOOKUP(I907,CHOOSE({1,2},Table17[Native],Table17[Name]),2,0)</f>
        <v>Yāntái Shì</v>
      </c>
      <c r="O907" s="15" t="str">
        <f t="shared" si="28"/>
        <v>Luofeng Jiedao (Yāntái Shì)</v>
      </c>
      <c r="P907" s="15" t="str">
        <f t="shared" si="29"/>
        <v>Luofeng Jiedao (Yāntái Shì)</v>
      </c>
    </row>
    <row r="908" spans="1:16" hidden="1" x14ac:dyDescent="0.25">
      <c r="A908" t="s">
        <v>2452</v>
      </c>
      <c r="B908" t="str">
        <f>IF(COUNTIF(A:A,A908)&gt;1,_xlfn.CONCAT(A908," (",N908,")"),A908)</f>
        <v>Luòhé Zhèn</v>
      </c>
      <c r="C908" t="str">
        <f>IF(COUNTIF(B:B,B908)&gt;1,_xlfn.CONCAT(A908," (",M908,")"),B908)</f>
        <v>Luòhé Zhèn</v>
      </c>
      <c r="D908" t="s">
        <v>2453</v>
      </c>
      <c r="E908" t="s">
        <v>13</v>
      </c>
      <c r="F908" t="str">
        <f>_xlfn.CONCAT(D908,", ",H908,", ",I908,", ","山东省")</f>
        <v>洛河镇, 莒县, 日照市, 山东省</v>
      </c>
      <c r="G908">
        <v>38938</v>
      </c>
      <c r="H908" t="s">
        <v>3739</v>
      </c>
      <c r="I908" t="s">
        <v>3736</v>
      </c>
      <c r="J908">
        <f>VLOOKUP(F908,[1]!china_towns_second__2[[Column1]:[Y]],3,FALSE)</f>
        <v>35.747968120397502</v>
      </c>
      <c r="K908">
        <f>VLOOKUP(F908,[1]!china_towns_second__2[[Column1]:[Y]],2,FALSE)</f>
        <v>118.82815189999999</v>
      </c>
      <c r="L908" t="s">
        <v>5741</v>
      </c>
      <c r="M908" t="str">
        <f>VLOOKUP(H908,CHOOSE({1,2},Table17[Native],Table17[Name]),2,0)</f>
        <v>Jŭ Xiàn</v>
      </c>
      <c r="N908" s="15" t="str">
        <f>VLOOKUP(I908,CHOOSE({1,2},Table17[Native],Table17[Name]),2,0)</f>
        <v>Rìzhào Shì</v>
      </c>
      <c r="O908" s="15" t="str">
        <f t="shared" si="28"/>
        <v>Luohe Zhen (Rìzhào Shì)</v>
      </c>
      <c r="P908" s="15" t="str">
        <f t="shared" si="29"/>
        <v>Luohe Zhen (Rìzhào Shì)</v>
      </c>
    </row>
    <row r="909" spans="1:16" hidden="1" x14ac:dyDescent="0.25">
      <c r="A909" t="s">
        <v>1054</v>
      </c>
      <c r="B909" t="str">
        <f>IF(COUNTIF(A:A,A909)&gt;1,_xlfn.CONCAT(A909," (",N909,")"),A909)</f>
        <v>Luòkŏu Jiēdào</v>
      </c>
      <c r="C909" t="str">
        <f>IF(COUNTIF(B:B,B909)&gt;1,_xlfn.CONCAT(A909," (",M909,")"),B909)</f>
        <v>Luòkŏu Jiēdào</v>
      </c>
      <c r="D909" t="s">
        <v>1055</v>
      </c>
      <c r="E909" t="s">
        <v>7</v>
      </c>
      <c r="F909" t="str">
        <f>_xlfn.CONCAT(D909,", ",H909,", ",I909,", ","山东省")</f>
        <v>泺口街道, 天桥区, 济南市, 山东省</v>
      </c>
      <c r="G909">
        <v>81762</v>
      </c>
      <c r="H909" t="s">
        <v>3684</v>
      </c>
      <c r="I909" t="s">
        <v>3673</v>
      </c>
      <c r="J909">
        <f>VLOOKUP(F909,[1]!china_towns_second__2[[Column1]:[Y]],3,FALSE)</f>
        <v>36.723030948880499</v>
      </c>
      <c r="K909">
        <f>VLOOKUP(F909,[1]!china_towns_second__2[[Column1]:[Y]],2,FALSE)</f>
        <v>116.9942468</v>
      </c>
      <c r="L909" t="s">
        <v>5742</v>
      </c>
      <c r="M909" t="str">
        <f>VLOOKUP(H909,CHOOSE({1,2},Table17[Native],Table17[Name]),2,0)</f>
        <v>Tiānqiáo Qū</v>
      </c>
      <c r="N909" s="15" t="str">
        <f>VLOOKUP(I909,CHOOSE({1,2},Table17[Native],Table17[Name]),2,0)</f>
        <v>Jìnán Shì</v>
      </c>
      <c r="O909" s="15" t="str">
        <f t="shared" si="28"/>
        <v>Luokou Jiedao (Jìnán Shì)</v>
      </c>
      <c r="P909" s="15" t="str">
        <f t="shared" si="29"/>
        <v>Luokou Jiedao (Jìnán Shì)</v>
      </c>
    </row>
    <row r="910" spans="1:16" hidden="1" x14ac:dyDescent="0.25">
      <c r="A910" t="s">
        <v>1364</v>
      </c>
      <c r="B910" t="str">
        <f>IF(COUNTIF(A:A,A910)&gt;1,_xlfn.CONCAT(A910," (",N910,")"),A910)</f>
        <v>Luótún Zhèn</v>
      </c>
      <c r="C910" t="str">
        <f>IF(COUNTIF(B:B,B910)&gt;1,_xlfn.CONCAT(A910," (",M910,")"),B910)</f>
        <v>Luótún Zhèn</v>
      </c>
      <c r="D910" t="s">
        <v>1365</v>
      </c>
      <c r="E910" t="s">
        <v>13</v>
      </c>
      <c r="F910" t="str">
        <f>_xlfn.CONCAT(D910,", ",H910,", ",I910,", ","山东省")</f>
        <v>罗屯镇, 鱼台县, 济宁市, 山东省</v>
      </c>
      <c r="G910">
        <v>28925</v>
      </c>
      <c r="H910" t="s">
        <v>3697</v>
      </c>
      <c r="I910" t="s">
        <v>3687</v>
      </c>
      <c r="J910">
        <f>VLOOKUP(F910,[1]!china_towns_second__2[[Column1]:[Y]],3,FALSE)</f>
        <v>35.066077757315099</v>
      </c>
      <c r="K910">
        <f>VLOOKUP(F910,[1]!china_towns_second__2[[Column1]:[Y]],2,FALSE)</f>
        <v>116.43926740000001</v>
      </c>
      <c r="L910" t="s">
        <v>5743</v>
      </c>
      <c r="M910" t="str">
        <f>VLOOKUP(H910,CHOOSE({1,2},Table17[Native],Table17[Name]),2,0)</f>
        <v>Yútái Xiàn</v>
      </c>
      <c r="N910" s="15" t="str">
        <f>VLOOKUP(I910,CHOOSE({1,2},Table17[Native],Table17[Name]),2,0)</f>
        <v>Jìníng Shì</v>
      </c>
      <c r="O910" s="15" t="str">
        <f t="shared" si="28"/>
        <v>Luotun Zhen (Jìníng Shì)</v>
      </c>
      <c r="P910" s="15" t="str">
        <f t="shared" si="29"/>
        <v>Luotun Zhen (Jìníng Shì)</v>
      </c>
    </row>
    <row r="911" spans="1:16" hidden="1" x14ac:dyDescent="0.25">
      <c r="A911" t="s">
        <v>1942</v>
      </c>
      <c r="B911" t="str">
        <f>IF(COUNTIF(A:A,A911)&gt;1,_xlfn.CONCAT(A911," (",N911,")"),A911)</f>
        <v>Luóxī Jiēdào</v>
      </c>
      <c r="C911" t="str">
        <f>IF(COUNTIF(B:B,B911)&gt;1,_xlfn.CONCAT(A911," (",M911,")"),B911)</f>
        <v>Luóxī Jiēdào</v>
      </c>
      <c r="D911" t="s">
        <v>1943</v>
      </c>
      <c r="E911" t="s">
        <v>7</v>
      </c>
      <c r="F911" t="str">
        <f>_xlfn.CONCAT(D911,", ",H911,", ",I911,", ","山东省")</f>
        <v>罗西街道, 罗庄区, 临沂市, 山东省</v>
      </c>
      <c r="G911">
        <v>48787</v>
      </c>
      <c r="H911" t="s">
        <v>3717</v>
      </c>
      <c r="I911" t="s">
        <v>3710</v>
      </c>
      <c r="J911">
        <f>VLOOKUP(F911,[1]!china_towns_second__2[[Column1]:[Y]],3,FALSE)</f>
        <v>35.009125538860502</v>
      </c>
      <c r="K911">
        <f>VLOOKUP(F911,[1]!china_towns_second__2[[Column1]:[Y]],2,FALSE)</f>
        <v>118.1935833</v>
      </c>
      <c r="L911" t="s">
        <v>5744</v>
      </c>
      <c r="M911" t="str">
        <f>VLOOKUP(H911,CHOOSE({1,2},Table17[Native],Table17[Name]),2,0)</f>
        <v>Luózhuāng Qū</v>
      </c>
      <c r="N911" s="15" t="str">
        <f>VLOOKUP(I911,CHOOSE({1,2},Table17[Native],Table17[Name]),2,0)</f>
        <v>Línyí Shì</v>
      </c>
      <c r="O911" s="15" t="str">
        <f t="shared" si="28"/>
        <v>Luoxi Jiedao (Línyí Shì)</v>
      </c>
      <c r="P911" s="15" t="str">
        <f t="shared" si="29"/>
        <v>Luoxi Jiedao (Línyí Shì)</v>
      </c>
    </row>
    <row r="912" spans="1:16" hidden="1" x14ac:dyDescent="0.25">
      <c r="A912" t="s">
        <v>2268</v>
      </c>
      <c r="B912" t="str">
        <f>IF(COUNTIF(A:A,A912)&gt;1,_xlfn.CONCAT(A912," (",N912,")"),A912)</f>
        <v>Luòyánglù Jiēdào</v>
      </c>
      <c r="C912" t="str">
        <f>IF(COUNTIF(B:B,B912)&gt;1,_xlfn.CONCAT(A912," (",M912,")"),B912)</f>
        <v>Luòyánglù Jiēdào</v>
      </c>
      <c r="D912" t="s">
        <v>2269</v>
      </c>
      <c r="E912" t="s">
        <v>7</v>
      </c>
      <c r="F912" t="str">
        <f>_xlfn.CONCAT(D912,", ",H912,", ",I912,", ","山东省")</f>
        <v>洛阳路街道, 市北区, 青岛市, 山东省</v>
      </c>
      <c r="G912">
        <v>78402</v>
      </c>
      <c r="H912" t="s">
        <v>3733</v>
      </c>
      <c r="I912" t="s">
        <v>3724</v>
      </c>
      <c r="J912">
        <f>VLOOKUP(F912,[1]!china_towns_second__2[[Column1]:[Y]],3,FALSE)</f>
        <v>36.146931826210903</v>
      </c>
      <c r="K912">
        <f>VLOOKUP(F912,[1]!china_towns_second__2[[Column1]:[Y]],2,FALSE)</f>
        <v>120.3704595</v>
      </c>
      <c r="L912" t="s">
        <v>5745</v>
      </c>
      <c r="M912" t="str">
        <f>VLOOKUP(H912,CHOOSE({1,2},Table17[Native],Table17[Name]),2,0)</f>
        <v>Shìbĕi Qū</v>
      </c>
      <c r="N912" s="15" t="str">
        <f>VLOOKUP(I912,CHOOSE({1,2},Table17[Native],Table17[Name]),2,0)</f>
        <v>Qīngdăo Shì</v>
      </c>
      <c r="O912" s="15" t="str">
        <f t="shared" si="28"/>
        <v>Luoyanglu Jiedao (Qīngdăo Shì)</v>
      </c>
      <c r="P912" s="15" t="str">
        <f t="shared" si="29"/>
        <v>Luoyanglu Jiedao (Qīngdăo Shì)</v>
      </c>
    </row>
    <row r="913" spans="1:16" hidden="1" x14ac:dyDescent="0.25">
      <c r="A913" t="s">
        <v>1056</v>
      </c>
      <c r="B913" t="str">
        <f>IF(COUNTIF(A:A,A913)&gt;1,_xlfn.CONCAT(A913," (",N913,")"),A913)</f>
        <v>Luòyuán Jiēdào</v>
      </c>
      <c r="C913" t="str">
        <f>IF(COUNTIF(B:B,B913)&gt;1,_xlfn.CONCAT(A913," (",M913,")"),B913)</f>
        <v>Luòyuán Jiēdào</v>
      </c>
      <c r="D913" t="s">
        <v>1057</v>
      </c>
      <c r="E913" t="s">
        <v>7</v>
      </c>
      <c r="F913" t="str">
        <f>_xlfn.CONCAT(D913,", ",H913,", ",I913,", ","山东省")</f>
        <v>泺源街道, 市中区, 济南市, 山东省</v>
      </c>
      <c r="G913">
        <v>24313</v>
      </c>
      <c r="H913" t="s">
        <v>3683</v>
      </c>
      <c r="I913" t="s">
        <v>3673</v>
      </c>
      <c r="J913">
        <f>VLOOKUP(F913,[1]!china_towns_second__2[[Column1]:[Y]],3,FALSE)</f>
        <v>36.6576895973243</v>
      </c>
      <c r="K913">
        <f>VLOOKUP(F913,[1]!china_towns_second__2[[Column1]:[Y]],2,FALSE)</f>
        <v>117.0053467</v>
      </c>
      <c r="L913" t="s">
        <v>5746</v>
      </c>
      <c r="M913" t="str">
        <f>VLOOKUP(H913,CHOOSE({1,2},Table17[Native],Table17[Name]),2,0)</f>
        <v>Shìzhōng Qū</v>
      </c>
      <c r="N913" s="15" t="str">
        <f>VLOOKUP(I913,CHOOSE({1,2},Table17[Native],Table17[Name]),2,0)</f>
        <v>Jìnán Shì</v>
      </c>
      <c r="O913" s="15" t="str">
        <f t="shared" si="28"/>
        <v>Luoyuan Jiedao (Jìnán Shì)</v>
      </c>
      <c r="P913" s="15" t="str">
        <f t="shared" si="29"/>
        <v>Luoyuan Jiedao (Jìnán Shì)</v>
      </c>
    </row>
    <row r="914" spans="1:16" hidden="1" x14ac:dyDescent="0.25">
      <c r="A914" t="s">
        <v>1944</v>
      </c>
      <c r="B914" t="str">
        <f>IF(COUNTIF(A:A,A914)&gt;1,_xlfn.CONCAT(A914," (",N914,")"),A914)</f>
        <v>Luózhuāng Jiēdào</v>
      </c>
      <c r="C914" t="str">
        <f>IF(COUNTIF(B:B,B914)&gt;1,_xlfn.CONCAT(A914," (",M914,")"),B914)</f>
        <v>Luózhuāng Jiēdào</v>
      </c>
      <c r="D914" t="s">
        <v>1945</v>
      </c>
      <c r="E914" t="s">
        <v>7</v>
      </c>
      <c r="F914" t="str">
        <f>_xlfn.CONCAT(D914,", ",H914,", ",I914,", ","山东省")</f>
        <v>罗庄街道, 罗庄区, 临沂市, 山东省</v>
      </c>
      <c r="G914">
        <v>94633</v>
      </c>
      <c r="H914" t="s">
        <v>3717</v>
      </c>
      <c r="I914" t="s">
        <v>3710</v>
      </c>
      <c r="J914">
        <f>VLOOKUP(F914,[1]!china_towns_second__2[[Column1]:[Y]],3,FALSE)</f>
        <v>34.961325112417803</v>
      </c>
      <c r="K914">
        <f>VLOOKUP(F914,[1]!china_towns_second__2[[Column1]:[Y]],2,FALSE)</f>
        <v>118.2747036</v>
      </c>
      <c r="L914" t="s">
        <v>5747</v>
      </c>
      <c r="M914" t="str">
        <f>VLOOKUP(H914,CHOOSE({1,2},Table17[Native],Table17[Name]),2,0)</f>
        <v>Luózhuāng Qū</v>
      </c>
      <c r="N914" s="15" t="str">
        <f>VLOOKUP(I914,CHOOSE({1,2},Table17[Native],Table17[Name]),2,0)</f>
        <v>Línyí Shì</v>
      </c>
      <c r="O914" s="15" t="str">
        <f t="shared" si="28"/>
        <v>Luozhuang Jiedao (Línyí Shì)</v>
      </c>
      <c r="P914" s="15" t="str">
        <f t="shared" si="29"/>
        <v>Luozhuang Jiedao (Línyí Shì)</v>
      </c>
    </row>
    <row r="915" spans="1:16" hidden="1" x14ac:dyDescent="0.25">
      <c r="A915" t="s">
        <v>1366</v>
      </c>
      <c r="B915" t="str">
        <f>IF(COUNTIF(A:A,A915)&gt;1,_xlfn.CONCAT(A915," (",N915,")"),A915)</f>
        <v>Lŭqiáo Zhèn</v>
      </c>
      <c r="C915" t="str">
        <f>IF(COUNTIF(B:B,B915)&gt;1,_xlfn.CONCAT(A915," (",M915,")"),B915)</f>
        <v>Lŭqiáo Zhèn</v>
      </c>
      <c r="D915" t="s">
        <v>1367</v>
      </c>
      <c r="E915" t="s">
        <v>13</v>
      </c>
      <c r="F915" t="str">
        <f>_xlfn.CONCAT(D915,", ",H915,", ",I915,", ","山东省")</f>
        <v>鲁桥镇, 微山县, 济宁市, 山东省</v>
      </c>
      <c r="G915">
        <v>44325</v>
      </c>
      <c r="H915" t="s">
        <v>3694</v>
      </c>
      <c r="I915" t="s">
        <v>3687</v>
      </c>
      <c r="J915">
        <f>VLOOKUP(F915,[1]!china_towns_second__2[[Column1]:[Y]],3,FALSE)</f>
        <v>35.200755399999998</v>
      </c>
      <c r="K915">
        <f>VLOOKUP(F915,[1]!china_towns_second__2[[Column1]:[Y]],2,FALSE)</f>
        <v>116.7173148</v>
      </c>
      <c r="L915" t="s">
        <v>5748</v>
      </c>
      <c r="M915" t="str">
        <f>VLOOKUP(H915,CHOOSE({1,2},Table17[Native],Table17[Name]),2,0)</f>
        <v>Wēishān Xiàn</v>
      </c>
      <c r="N915" s="15" t="str">
        <f>VLOOKUP(I915,CHOOSE({1,2},Table17[Native],Table17[Name]),2,0)</f>
        <v>Jìníng Shì</v>
      </c>
      <c r="O915" s="15" t="str">
        <f t="shared" si="28"/>
        <v>Luqiao Zhen (Jìníng Shì)</v>
      </c>
      <c r="P915" s="15" t="str">
        <f t="shared" si="29"/>
        <v>Luqiao Zhen (Jìníng Shì)</v>
      </c>
    </row>
    <row r="916" spans="1:16" hidden="1" x14ac:dyDescent="0.25">
      <c r="A916" t="s">
        <v>756</v>
      </c>
      <c r="B916" t="str">
        <f>IF(COUNTIF(A:A,A916)&gt;1,_xlfn.CONCAT(A916," (",N916,")"),A916)</f>
        <v>Lùquān Zhèn</v>
      </c>
      <c r="C916" t="str">
        <f>IF(COUNTIF(B:B,B916)&gt;1,_xlfn.CONCAT(A916," (",M916,")"),B916)</f>
        <v>Lùquān Zhèn</v>
      </c>
      <c r="D916" t="s">
        <v>757</v>
      </c>
      <c r="E916" t="s">
        <v>13</v>
      </c>
      <c r="F916" t="str">
        <f>_xlfn.CONCAT(D916,", ",H916,", ",I916,", ","山东省")</f>
        <v>陆圈镇, 东明县, 菏泽市, 山东省</v>
      </c>
      <c r="G916">
        <v>75006</v>
      </c>
      <c r="H916" t="s">
        <v>3666</v>
      </c>
      <c r="I916" t="s">
        <v>3662</v>
      </c>
      <c r="J916">
        <f>VLOOKUP(F916,[1]!china_towns_second__2[[Column1]:[Y]],3,FALSE)</f>
        <v>35.239709880093201</v>
      </c>
      <c r="K916">
        <f>VLOOKUP(F916,[1]!china_towns_second__2[[Column1]:[Y]],2,FALSE)</f>
        <v>115.20540099999999</v>
      </c>
      <c r="L916" t="s">
        <v>5749</v>
      </c>
      <c r="M916" t="str">
        <f>VLOOKUP(H916,CHOOSE({1,2},Table17[Native],Table17[Name]),2,0)</f>
        <v>Dōngmíng Xiàn</v>
      </c>
      <c r="N916" s="15" t="str">
        <f>VLOOKUP(I916,CHOOSE({1,2},Table17[Native],Table17[Name]),2,0)</f>
        <v>Hézé Shì</v>
      </c>
      <c r="O916" s="15" t="str">
        <f t="shared" si="28"/>
        <v>Luquan Zhen (Hézé Shì)</v>
      </c>
      <c r="P916" s="15" t="str">
        <f t="shared" si="29"/>
        <v>Luquan Zhen (Hézé Shì)</v>
      </c>
    </row>
    <row r="917" spans="1:16" hidden="1" x14ac:dyDescent="0.25">
      <c r="A917" t="s">
        <v>332</v>
      </c>
      <c r="B917" t="str">
        <f>IF(COUNTIF(A:A,A917)&gt;1,_xlfn.CONCAT(A917," (",N917,")"),A917)</f>
        <v>Lŭquántún Zhèn [incl. Sìnǚsì Zhèn]</v>
      </c>
      <c r="C917" t="str">
        <f>IF(COUNTIF(B:B,B917)&gt;1,_xlfn.CONCAT(A917," (",M917,")"),B917)</f>
        <v>Lŭquántún Zhèn [incl. Sìnǚsì Zhèn]</v>
      </c>
      <c r="D917" t="s">
        <v>333</v>
      </c>
      <c r="E917" t="s">
        <v>13</v>
      </c>
      <c r="F917" t="str">
        <f>_xlfn.CONCAT(D917,", ",H917,", ",I917,", ","山东省")</f>
        <v>鲁权屯镇, 武城县, 德州市, 山东省</v>
      </c>
      <c r="G917">
        <v>85427</v>
      </c>
      <c r="H917" t="s">
        <v>3651</v>
      </c>
      <c r="I917" t="s">
        <v>3642</v>
      </c>
      <c r="J917">
        <f>VLOOKUP(F917,[1]!china_towns_second__2[[Column1]:[Y]],3,FALSE)</f>
        <v>37.311217261012402</v>
      </c>
      <c r="K917">
        <f>VLOOKUP(F917,[1]!china_towns_second__2[[Column1]:[Y]],2,FALSE)</f>
        <v>116.0655849</v>
      </c>
      <c r="L917" t="s">
        <v>5750</v>
      </c>
      <c r="M917" t="str">
        <f>VLOOKUP(H917,CHOOSE({1,2},Table17[Native],Table17[Name]),2,0)</f>
        <v>Wŭchéng Xiàn</v>
      </c>
      <c r="N917" s="15" t="str">
        <f>VLOOKUP(I917,CHOOSE({1,2},Table17[Native],Table17[Name]),2,0)</f>
        <v>Dézhōu Shì</v>
      </c>
      <c r="O917" s="15" t="str">
        <f t="shared" si="28"/>
        <v>Luquantun Zhen [incl. Sinusi Zhen] (Dézhōu Shì)</v>
      </c>
      <c r="P917" s="15" t="str">
        <f t="shared" si="29"/>
        <v>Luquantun Zhen [incl. Sinusi Zhen] (Dézhōu Shì)</v>
      </c>
    </row>
    <row r="918" spans="1:16" hidden="1" x14ac:dyDescent="0.25">
      <c r="A918" t="s">
        <v>3188</v>
      </c>
      <c r="B918" t="str">
        <f>IF(COUNTIF(A:A,A918)&gt;1,_xlfn.CONCAT(A918," (",N918,")"),A918)</f>
        <v>Lútóu Zhèn</v>
      </c>
      <c r="C918" t="str">
        <f>IF(COUNTIF(B:B,B918)&gt;1,_xlfn.CONCAT(A918," (",M918,")"),B918)</f>
        <v>Lútóu Zhèn</v>
      </c>
      <c r="D918" t="s">
        <v>3189</v>
      </c>
      <c r="E918" t="s">
        <v>13</v>
      </c>
      <c r="F918" t="str">
        <f>_xlfn.CONCAT(D918,", ",H918,", ",I918,", ","山东省")</f>
        <v>芦头镇, 龙口市, 烟台市, 山东省</v>
      </c>
      <c r="G918">
        <v>31130</v>
      </c>
      <c r="H918" t="s">
        <v>3777</v>
      </c>
      <c r="I918" t="s">
        <v>3771</v>
      </c>
      <c r="J918">
        <f>VLOOKUP(F918,[1]!china_towns_second__2[[Column1]:[Y]],3,FALSE)</f>
        <v>37.575048370121102</v>
      </c>
      <c r="K918">
        <f>VLOOKUP(F918,[1]!china_towns_second__2[[Column1]:[Y]],2,FALSE)</f>
        <v>120.44277219999999</v>
      </c>
      <c r="L918" t="s">
        <v>5751</v>
      </c>
      <c r="M918" t="str">
        <f>VLOOKUP(H918,CHOOSE({1,2},Table17[Native],Table17[Name]),2,0)</f>
        <v>Lóngkŏu Shì</v>
      </c>
      <c r="N918" s="15" t="str">
        <f>VLOOKUP(I918,CHOOSE({1,2},Table17[Native],Table17[Name]),2,0)</f>
        <v>Yāntái Shì</v>
      </c>
      <c r="O918" s="15" t="str">
        <f t="shared" si="28"/>
        <v>Lutou Zhen (Yāntái Shì)</v>
      </c>
      <c r="P918" s="15" t="str">
        <f t="shared" si="29"/>
        <v>Lutou Zhen (Yāntái Shì)</v>
      </c>
    </row>
    <row r="919" spans="1:16" hidden="1" x14ac:dyDescent="0.25">
      <c r="A919" t="s">
        <v>109</v>
      </c>
      <c r="B919" t="str">
        <f>IF(COUNTIF(A:A,A919)&gt;1,_xlfn.CONCAT(A919," (",N919,")"),A919)</f>
        <v>Lǚyì Zhèn</v>
      </c>
      <c r="C919" t="str">
        <f>IF(COUNTIF(B:B,B919)&gt;1,_xlfn.CONCAT(A919," (",M919,")"),B919)</f>
        <v>Lǚyì Zhèn</v>
      </c>
      <c r="D919" t="s">
        <v>110</v>
      </c>
      <c r="E919" t="s">
        <v>13</v>
      </c>
      <c r="F919" t="str">
        <f>_xlfn.CONCAT(D919,", ",H919,", ",I919,", ","山东省")</f>
        <v>吕艺镇, 博兴县, 滨州市, 山东省</v>
      </c>
      <c r="G919">
        <v>44843</v>
      </c>
      <c r="H919" t="s">
        <v>3634</v>
      </c>
      <c r="I919" t="s">
        <v>3630</v>
      </c>
      <c r="J919">
        <f>VLOOKUP(F919,[1]!china_towns_second__2[[Column1]:[Y]],3,FALSE)</f>
        <v>37.184574936365202</v>
      </c>
      <c r="K919">
        <f>VLOOKUP(F919,[1]!china_towns_second__2[[Column1]:[Y]],2,FALSE)</f>
        <v>118.2992143</v>
      </c>
      <c r="L919" t="s">
        <v>5752</v>
      </c>
      <c r="M919" t="str">
        <f>VLOOKUP(H919,CHOOSE({1,2},Table17[Native],Table17[Name]),2,0)</f>
        <v>Bóxīng Xiàn</v>
      </c>
      <c r="N919" s="15" t="str">
        <f>VLOOKUP(I919,CHOOSE({1,2},Table17[Native],Table17[Name]),2,0)</f>
        <v>Bīnzhōu Shì</v>
      </c>
      <c r="O919" s="15" t="str">
        <f t="shared" si="28"/>
        <v>Luyi Zhen (Bīnzhōu Shì)</v>
      </c>
      <c r="P919" s="15" t="str">
        <f t="shared" si="29"/>
        <v>Luyi Zhen (Bīnzhōu Shì)</v>
      </c>
    </row>
    <row r="920" spans="1:16" hidden="1" x14ac:dyDescent="0.25">
      <c r="A920" t="s">
        <v>1946</v>
      </c>
      <c r="B920" t="str">
        <f>IF(COUNTIF(A:A,A920)&gt;1,_xlfn.CONCAT(A920," (",N920,")"),A920)</f>
        <v>Lúzhà Zhèn [Sānhé Xiāng]</v>
      </c>
      <c r="C920" t="str">
        <f>IF(COUNTIF(B:B,B920)&gt;1,_xlfn.CONCAT(A920," (",M920,")"),B920)</f>
        <v>Lúzhà Zhèn [Sānhé Xiāng]</v>
      </c>
      <c r="D920" t="s">
        <v>1947</v>
      </c>
      <c r="E920" t="s">
        <v>13</v>
      </c>
      <c r="F920" t="str">
        <f>_xlfn.CONCAT(D920,", ",H920,", ",I920,", ","山东省")</f>
        <v>芦柞镇, 兰陵县, 临沂市, 山东省</v>
      </c>
      <c r="G920">
        <v>33192</v>
      </c>
      <c r="H920" t="s">
        <v>3714</v>
      </c>
      <c r="I920" t="s">
        <v>3710</v>
      </c>
      <c r="J920">
        <f>VLOOKUP(F920,[1]!china_towns_second__2[[Column1]:[Y]],3,FALSE)</f>
        <v>34.764379111240203</v>
      </c>
      <c r="K920">
        <f>VLOOKUP(F920,[1]!china_towns_second__2[[Column1]:[Y]],2,FALSE)</f>
        <v>118.0552102</v>
      </c>
      <c r="L920" t="s">
        <v>5753</v>
      </c>
      <c r="M920" t="str">
        <f>VLOOKUP(H920,CHOOSE({1,2},Table17[Native],Table17[Name]),2,0)</f>
        <v>Lánlíng Xiàn</v>
      </c>
      <c r="N920" s="15" t="str">
        <f>VLOOKUP(I920,CHOOSE({1,2},Table17[Native],Table17[Name]),2,0)</f>
        <v>Línyí Shì</v>
      </c>
      <c r="O920" s="15" t="str">
        <f t="shared" si="28"/>
        <v>Luzha Zhen [Sanhe Xiang] (Línyí Shì)</v>
      </c>
      <c r="P920" s="15" t="str">
        <f t="shared" si="29"/>
        <v>Luzha Zhen [Sanhe Xiang] (Línyí Shì)</v>
      </c>
    </row>
    <row r="921" spans="1:16" hidden="1" x14ac:dyDescent="0.25">
      <c r="A921" t="s">
        <v>1948</v>
      </c>
      <c r="B921" t="str">
        <f>IF(COUNTIF(A:A,A921)&gt;1,_xlfn.CONCAT(A921," (",N921,")"),A921)</f>
        <v>Măchănghú Zhèn</v>
      </c>
      <c r="C921" t="str">
        <f>IF(COUNTIF(B:B,B921)&gt;1,_xlfn.CONCAT(A921," (",M921,")"),B921)</f>
        <v>Măchănghú Zhèn</v>
      </c>
      <c r="D921" t="s">
        <v>1949</v>
      </c>
      <c r="E921" t="s">
        <v>13</v>
      </c>
      <c r="F921" t="str">
        <f>_xlfn.CONCAT(D921,", ",H921,", ",I921,", ","山东省")</f>
        <v>马厂湖镇, 兰山区, 临沂市, 山东省</v>
      </c>
      <c r="G921">
        <v>56507</v>
      </c>
      <c r="H921" t="s">
        <v>3715</v>
      </c>
      <c r="I921" t="s">
        <v>3710</v>
      </c>
      <c r="J921">
        <f>VLOOKUP(F921,[1]!china_towns_second__2[[Column1]:[Y]],3,FALSE)</f>
        <v>35.072542253576799</v>
      </c>
      <c r="K921">
        <f>VLOOKUP(F921,[1]!china_towns_second__2[[Column1]:[Y]],2,FALSE)</f>
        <v>118.1763772</v>
      </c>
      <c r="L921" t="s">
        <v>5754</v>
      </c>
      <c r="M921" t="str">
        <f>VLOOKUP(H921,CHOOSE({1,2},Table17[Native],Table17[Name]),2,0)</f>
        <v>Lánshān Qū</v>
      </c>
      <c r="N921" s="15" t="str">
        <f>VLOOKUP(I921,CHOOSE({1,2},Table17[Native],Table17[Name]),2,0)</f>
        <v>Línyí Shì</v>
      </c>
      <c r="O921" s="15" t="str">
        <f t="shared" si="28"/>
        <v>Machanghu Zhen (Línyí Shì)</v>
      </c>
      <c r="P921" s="15" t="str">
        <f t="shared" si="29"/>
        <v>Machanghu Zhen (Línyí Shì)</v>
      </c>
    </row>
    <row r="922" spans="1:16" hidden="1" x14ac:dyDescent="0.25">
      <c r="A922" t="s">
        <v>1368</v>
      </c>
      <c r="B922" t="str">
        <f>IF(COUNTIF(A:A,A922)&gt;1,_xlfn.CONCAT(A922," (",N922,")"),A922)</f>
        <v>Măcūn Zhèn</v>
      </c>
      <c r="C922" t="str">
        <f>IF(COUNTIF(B:B,B922)&gt;1,_xlfn.CONCAT(A922," (",M922,")"),B922)</f>
        <v>Măcūn Zhèn</v>
      </c>
      <c r="D922" t="s">
        <v>1369</v>
      </c>
      <c r="E922" t="s">
        <v>13</v>
      </c>
      <c r="F922" t="str">
        <f>_xlfn.CONCAT(D922,", ",H922,", ",I922,", ","山东省")</f>
        <v>马村镇, 嘉祥县, 济宁市, 山东省</v>
      </c>
      <c r="G922">
        <v>41359</v>
      </c>
      <c r="H922" t="s">
        <v>3688</v>
      </c>
      <c r="I922" t="s">
        <v>3687</v>
      </c>
      <c r="J922">
        <f>VLOOKUP(F922,[1]!china_towns_second__2[[Column1]:[Y]],3,FALSE)</f>
        <v>35.503014750586097</v>
      </c>
      <c r="K922">
        <f>VLOOKUP(F922,[1]!china_towns_second__2[[Column1]:[Y]],2,FALSE)</f>
        <v>116.2821637</v>
      </c>
      <c r="L922" t="s">
        <v>5755</v>
      </c>
      <c r="M922" t="str">
        <f>VLOOKUP(H922,CHOOSE({1,2},Table17[Native],Table17[Name]),2,0)</f>
        <v>Jiāxiáng Xiàn</v>
      </c>
      <c r="N922" s="15" t="str">
        <f>VLOOKUP(I922,CHOOSE({1,2},Table17[Native],Table17[Name]),2,0)</f>
        <v>Jìníng Shì</v>
      </c>
      <c r="O922" s="15" t="str">
        <f t="shared" si="28"/>
        <v>Macun Zhen (Jìníng Shì)</v>
      </c>
      <c r="P922" s="15" t="str">
        <f t="shared" si="29"/>
        <v>Macun Zhen (Jìníng Shì)</v>
      </c>
    </row>
    <row r="923" spans="1:16" hidden="1" x14ac:dyDescent="0.25">
      <c r="A923" t="s">
        <v>111</v>
      </c>
      <c r="B923" t="str">
        <f>IF(COUNTIF(A:A,A923)&gt;1,_xlfn.CONCAT(A923," (",N923,")"),A923)</f>
        <v>Mádiàn Zhèn</v>
      </c>
      <c r="C923" t="str">
        <f>IF(COUNTIF(B:B,B923)&gt;1,_xlfn.CONCAT(A923," (",M923,")"),B923)</f>
        <v>Mádiàn Zhèn</v>
      </c>
      <c r="D923" t="s">
        <v>112</v>
      </c>
      <c r="E923" t="s">
        <v>13</v>
      </c>
      <c r="F923" t="str">
        <f>_xlfn.CONCAT(D923,", ",H923,", ",I923,", ","山东省")</f>
        <v>麻店镇, 惠民县, 滨州市, 山东省</v>
      </c>
      <c r="G923">
        <v>27755</v>
      </c>
      <c r="H923" t="s">
        <v>3635</v>
      </c>
      <c r="I923" t="s">
        <v>3630</v>
      </c>
      <c r="J923">
        <f>VLOOKUP(F923,[1]!china_towns_second__2[[Column1]:[Y]],3,FALSE)</f>
        <v>37.420824582698799</v>
      </c>
      <c r="K923">
        <f>VLOOKUP(F923,[1]!china_towns_second__2[[Column1]:[Y]],2,FALSE)</f>
        <v>117.6488164</v>
      </c>
      <c r="L923" t="s">
        <v>5756</v>
      </c>
      <c r="M923" t="str">
        <f>VLOOKUP(H923,CHOOSE({1,2},Table17[Native],Table17[Name]),2,0)</f>
        <v>Huìmín Xiàn</v>
      </c>
      <c r="N923" s="15" t="str">
        <f>VLOOKUP(I923,CHOOSE({1,2},Table17[Native],Table17[Name]),2,0)</f>
        <v>Bīnzhōu Shì</v>
      </c>
      <c r="O923" s="15" t="str">
        <f t="shared" si="28"/>
        <v>Madian Zhen (Bīnzhōu Shì)</v>
      </c>
      <c r="P923" s="15" t="str">
        <f t="shared" si="29"/>
        <v>Madian Zhen (Bīnzhōu Shì)</v>
      </c>
    </row>
    <row r="924" spans="1:16" hidden="1" x14ac:dyDescent="0.25">
      <c r="A924" t="s">
        <v>334</v>
      </c>
      <c r="B924" t="str">
        <f>IF(COUNTIF(A:A,A924)&gt;1,_xlfn.CONCAT(A924," (",N924,")"),A924)</f>
        <v>Măjí Zhèn (Dézhōu Shì)</v>
      </c>
      <c r="C924" t="str">
        <f>IF(COUNTIF(B:B,B924)&gt;1,_xlfn.CONCAT(A924," (",M924,")"),B924)</f>
        <v>Măjí Zhèn (Dézhōu Shì)</v>
      </c>
      <c r="D924" t="s">
        <v>335</v>
      </c>
      <c r="E924" t="s">
        <v>13</v>
      </c>
      <c r="F924" t="str">
        <f>_xlfn.CONCAT(D924,", ",H924,", ",I924,", ","山东省")</f>
        <v>马集镇, 齐河县, 德州市, 山东省</v>
      </c>
      <c r="G924">
        <v>30208</v>
      </c>
      <c r="H924" t="s">
        <v>3649</v>
      </c>
      <c r="I924" t="s">
        <v>3642</v>
      </c>
      <c r="J924">
        <f>VLOOKUP(F924,[1]!china_towns_second__2[[Column1]:[Y]],3,FALSE)</f>
        <v>36.448714197978902</v>
      </c>
      <c r="K924">
        <f>VLOOKUP(F924,[1]!china_towns_second__2[[Column1]:[Y]],2,FALSE)</f>
        <v>116.53599060000001</v>
      </c>
      <c r="L924" t="s">
        <v>5757</v>
      </c>
      <c r="M924" t="str">
        <f>VLOOKUP(H924,CHOOSE({1,2},Table17[Native],Table17[Name]),2,0)</f>
        <v>Qíhé Xiàn</v>
      </c>
      <c r="N924" s="15" t="str">
        <f>VLOOKUP(I924,CHOOSE({1,2},Table17[Native],Table17[Name]),2,0)</f>
        <v>Dézhōu Shì</v>
      </c>
      <c r="O924" s="15" t="str">
        <f t="shared" si="28"/>
        <v>Maji Zhen (Dezhou Shi) (Dézhōu Shì)</v>
      </c>
      <c r="P924" s="15" t="str">
        <f t="shared" si="29"/>
        <v>Maji Zhen (Dezhou Shi) (Dézhōu Shì)</v>
      </c>
    </row>
    <row r="925" spans="1:16" hidden="1" x14ac:dyDescent="0.25">
      <c r="A925" t="s">
        <v>334</v>
      </c>
      <c r="B925" t="str">
        <f>IF(COUNTIF(A:A,A925)&gt;1,_xlfn.CONCAT(A925," (",N925,")"),A925)</f>
        <v>Măjí Zhèn (Hézé Shì)</v>
      </c>
      <c r="C925" t="str">
        <f>IF(COUNTIF(B:B,B925)&gt;1,_xlfn.CONCAT(A925," (",M925,")"),B925)</f>
        <v>Măjí Zhèn (Hézé Shì)</v>
      </c>
      <c r="D925" t="s">
        <v>335</v>
      </c>
      <c r="E925" t="s">
        <v>13</v>
      </c>
      <c r="F925" t="str">
        <f>_xlfn.CONCAT(D925,", ",H925,", ",I925,", ","山东省")</f>
        <v>马集镇, 定陶区, 菏泽市, 山东省</v>
      </c>
      <c r="G925">
        <v>45304</v>
      </c>
      <c r="H925" t="s">
        <v>3665</v>
      </c>
      <c r="I925" t="s">
        <v>3662</v>
      </c>
      <c r="J925">
        <f>VLOOKUP(F925,[1]!china_towns_second__2[[Column1]:[Y]],3,FALSE)</f>
        <v>35.041276025774103</v>
      </c>
      <c r="K925">
        <f>VLOOKUP(F925,[1]!china_towns_second__2[[Column1]:[Y]],2,FALSE)</f>
        <v>115.4724832</v>
      </c>
      <c r="L925" t="s">
        <v>5758</v>
      </c>
      <c r="M925" t="str">
        <f>VLOOKUP(H925,CHOOSE({1,2},Table17[Native],Table17[Name]),2,0)</f>
        <v>Dìngtáo Qū</v>
      </c>
      <c r="N925" s="15" t="str">
        <f>VLOOKUP(I925,CHOOSE({1,2},Table17[Native],Table17[Name]),2,0)</f>
        <v>Hézé Shì</v>
      </c>
      <c r="O925" s="15" t="str">
        <f t="shared" si="28"/>
        <v>Maji Zhen (Heze Shi) (Hézé Shì)</v>
      </c>
      <c r="P925" s="15" t="str">
        <f t="shared" si="29"/>
        <v>Maji Zhen (Heze Shi) (Hézé Shì)</v>
      </c>
    </row>
    <row r="926" spans="1:16" hidden="1" x14ac:dyDescent="0.25">
      <c r="A926" t="s">
        <v>334</v>
      </c>
      <c r="B926" t="str">
        <f>IF(COUNTIF(A:A,A926)&gt;1,_xlfn.CONCAT(A926," (",N926,")"),A926)</f>
        <v>Măjí Zhèn (Jìníng Shì)</v>
      </c>
      <c r="C926" t="str">
        <f>IF(COUNTIF(B:B,B926)&gt;1,_xlfn.CONCAT(A926," (",M926,")"),B926)</f>
        <v>Măjí Zhèn (Jìníng Shì)</v>
      </c>
      <c r="D926" t="s">
        <v>335</v>
      </c>
      <c r="E926" t="s">
        <v>13</v>
      </c>
      <c r="F926" t="str">
        <f>_xlfn.CONCAT(D926,", ",H926,", ",I926,", ","山东省")</f>
        <v>马集镇, 嘉祥县, 济宁市, 山东省</v>
      </c>
      <c r="G926">
        <v>37526</v>
      </c>
      <c r="H926" t="s">
        <v>3688</v>
      </c>
      <c r="I926" t="s">
        <v>3687</v>
      </c>
      <c r="J926">
        <f>VLOOKUP(F926,[1]!china_towns_second__2[[Column1]:[Y]],3,FALSE)</f>
        <v>35.350432292047799</v>
      </c>
      <c r="K926">
        <f>VLOOKUP(F926,[1]!china_towns_second__2[[Column1]:[Y]],2,FALSE)</f>
        <v>116.3865751</v>
      </c>
      <c r="L926" t="s">
        <v>5759</v>
      </c>
      <c r="M926" t="str">
        <f>VLOOKUP(H926,CHOOSE({1,2},Table17[Native],Table17[Name]),2,0)</f>
        <v>Jiāxiáng Xiàn</v>
      </c>
      <c r="N926" s="15" t="str">
        <f>VLOOKUP(I926,CHOOSE({1,2},Table17[Native],Table17[Name]),2,0)</f>
        <v>Jìníng Shì</v>
      </c>
      <c r="O926" s="15" t="str">
        <f t="shared" si="28"/>
        <v>Maji Zhen (Jining Shi) (Jìníng Shì)</v>
      </c>
      <c r="P926" s="15" t="str">
        <f t="shared" si="29"/>
        <v>Maji Zhen (Jining Shi) (Jìníng Shì)</v>
      </c>
    </row>
    <row r="927" spans="1:16" hidden="1" x14ac:dyDescent="0.25">
      <c r="A927" t="s">
        <v>3403</v>
      </c>
      <c r="B927" t="str">
        <f>IF(COUNTIF(A:A,A927)&gt;1,_xlfn.CONCAT(A927," (",N927,")"),A927)</f>
        <v>Mălántún Zhèn</v>
      </c>
      <c r="C927" t="str">
        <f>IF(COUNTIF(B:B,B927)&gt;1,_xlfn.CONCAT(A927," (",M927,")"),B927)</f>
        <v>Mălántún Zhèn</v>
      </c>
      <c r="D927" t="s">
        <v>3404</v>
      </c>
      <c r="E927" t="s">
        <v>13</v>
      </c>
      <c r="F927" t="str">
        <f>_xlfn.CONCAT(D927,", ",H927,", ",I927,", ","山东省")</f>
        <v>马兰屯镇, 台儿庄区, 枣庄市, 山东省</v>
      </c>
      <c r="G927">
        <v>59500</v>
      </c>
      <c r="H927" t="s">
        <v>3786</v>
      </c>
      <c r="I927" t="s">
        <v>3784</v>
      </c>
      <c r="J927">
        <f>VLOOKUP(F927,[1]!china_towns_second__2[[Column1]:[Y]],3,FALSE)</f>
        <v>34.602833382677602</v>
      </c>
      <c r="K927">
        <f>VLOOKUP(F927,[1]!china_towns_second__2[[Column1]:[Y]],2,FALSE)</f>
        <v>117.6642153</v>
      </c>
      <c r="L927" t="s">
        <v>5760</v>
      </c>
      <c r="M927" t="str">
        <f>VLOOKUP(H927,CHOOSE({1,2},Table17[Native],Table17[Name]),2,0)</f>
        <v>Tái'érzhuāng Qū</v>
      </c>
      <c r="N927" s="15" t="str">
        <f>VLOOKUP(I927,CHOOSE({1,2},Table17[Native],Table17[Name]),2,0)</f>
        <v>Zăozhuāng Shì</v>
      </c>
      <c r="O927" s="15" t="str">
        <f t="shared" si="28"/>
        <v>Malantun Zhen (Zăozhuāng Shì)</v>
      </c>
      <c r="P927" s="15" t="str">
        <f t="shared" si="29"/>
        <v>Malantun Zhen (Zăozhuāng Shì)</v>
      </c>
    </row>
    <row r="928" spans="1:16" hidden="1" x14ac:dyDescent="0.25">
      <c r="A928" t="s">
        <v>2270</v>
      </c>
      <c r="B928" t="str">
        <f>IF(COUNTIF(A:A,A928)&gt;1,_xlfn.CONCAT(A928," (",N928,")"),A928)</f>
        <v>Măliánzhuāng Zhèn</v>
      </c>
      <c r="C928" t="str">
        <f>IF(COUNTIF(B:B,B928)&gt;1,_xlfn.CONCAT(A928," (",M928,")"),B928)</f>
        <v>Măliánzhuāng Zhèn</v>
      </c>
      <c r="D928" t="s">
        <v>2271</v>
      </c>
      <c r="E928" t="s">
        <v>13</v>
      </c>
      <c r="F928" t="str">
        <f>_xlfn.CONCAT(D928,", ",H928,", ",I928,", ","山东省")</f>
        <v>马连庄镇, 莱西市, 青岛市, 山东省</v>
      </c>
      <c r="G928">
        <v>42197</v>
      </c>
      <c r="H928" t="s">
        <v>3729</v>
      </c>
      <c r="I928" t="s">
        <v>3724</v>
      </c>
      <c r="J928">
        <f>VLOOKUP(F928,[1]!china_towns_second__2[[Column1]:[Y]],3,FALSE)</f>
        <v>37.078205634463302</v>
      </c>
      <c r="K928">
        <f>VLOOKUP(F928,[1]!china_towns_second__2[[Column1]:[Y]],2,FALSE)</f>
        <v>120.45537760000001</v>
      </c>
      <c r="L928" t="s">
        <v>5761</v>
      </c>
      <c r="M928" t="str">
        <f>VLOOKUP(H928,CHOOSE({1,2},Table17[Native],Table17[Name]),2,0)</f>
        <v>Láixī Shì</v>
      </c>
      <c r="N928" s="15" t="str">
        <f>VLOOKUP(I928,CHOOSE({1,2},Table17[Native],Table17[Name]),2,0)</f>
        <v>Qīngdăo Shì</v>
      </c>
      <c r="O928" s="15" t="str">
        <f t="shared" si="28"/>
        <v>Malianzhuang Zhen (Qīngdăo Shì)</v>
      </c>
      <c r="P928" s="15" t="str">
        <f t="shared" si="29"/>
        <v>Malianzhuang Zhen (Qīngdăo Shì)</v>
      </c>
    </row>
    <row r="929" spans="1:16" hidden="1" x14ac:dyDescent="0.25">
      <c r="A929" t="s">
        <v>758</v>
      </c>
      <c r="B929" t="str">
        <f>IF(COUNTIF(A:A,A929)&gt;1,_xlfn.CONCAT(A929," (",N929,")"),A929)</f>
        <v>Mălĭnggăng Zhèn</v>
      </c>
      <c r="C929" t="str">
        <f>IF(COUNTIF(B:B,B929)&gt;1,_xlfn.CONCAT(A929," (",M929,")"),B929)</f>
        <v>Mălĭnggăng Zhèn</v>
      </c>
      <c r="D929" t="s">
        <v>759</v>
      </c>
      <c r="E929" t="s">
        <v>13</v>
      </c>
      <c r="F929" t="str">
        <f>_xlfn.CONCAT(D929,", ",H929,", ",I929,", ","山东省")</f>
        <v>马岭岗镇, 牡丹区, 菏泽市, 山东省</v>
      </c>
      <c r="G929">
        <v>85107</v>
      </c>
      <c r="H929" t="s">
        <v>3669</v>
      </c>
      <c r="I929" t="s">
        <v>3662</v>
      </c>
      <c r="J929">
        <f>VLOOKUP(F929,[1]!china_towns_second__2[[Column1]:[Y]],3,FALSE)</f>
        <v>35.1941050526274</v>
      </c>
      <c r="K929">
        <f>VLOOKUP(F929,[1]!china_towns_second__2[[Column1]:[Y]],2,FALSE)</f>
        <v>115.3216168</v>
      </c>
      <c r="L929" t="s">
        <v>5762</v>
      </c>
      <c r="M929" t="str">
        <f>VLOOKUP(H929,CHOOSE({1,2},Table17[Native],Table17[Name]),2,0)</f>
        <v>Mŭdān Qū</v>
      </c>
      <c r="N929" s="15" t="str">
        <f>VLOOKUP(I929,CHOOSE({1,2},Table17[Native],Table17[Name]),2,0)</f>
        <v>Hézé Shì</v>
      </c>
      <c r="O929" s="15" t="str">
        <f t="shared" si="28"/>
        <v>Malinggang Zhen (Hézé Shì)</v>
      </c>
      <c r="P929" s="15" t="str">
        <f t="shared" si="29"/>
        <v>Malinggang Zhen (Hézé Shì)</v>
      </c>
    </row>
    <row r="930" spans="1:16" hidden="1" x14ac:dyDescent="0.25">
      <c r="A930" t="s">
        <v>1370</v>
      </c>
      <c r="B930" t="str">
        <f>IF(COUNTIF(A:A,A930)&gt;1,_xlfn.CONCAT(A930," (",N930,")"),A930)</f>
        <v>Mămiào Zhèn</v>
      </c>
      <c r="C930" t="str">
        <f>IF(COUNTIF(B:B,B930)&gt;1,_xlfn.CONCAT(A930," (",M930,")"),B930)</f>
        <v>Mămiào Zhèn</v>
      </c>
      <c r="D930" t="s">
        <v>1371</v>
      </c>
      <c r="E930" t="s">
        <v>13</v>
      </c>
      <c r="F930" t="str">
        <f>_xlfn.CONCAT(D930,", ",H930,", ",I930,", ","山东省")</f>
        <v>马庙镇, 金乡县, 济宁市, 山东省</v>
      </c>
      <c r="G930">
        <v>52762</v>
      </c>
      <c r="H930" t="s">
        <v>3689</v>
      </c>
      <c r="I930" t="s">
        <v>3687</v>
      </c>
      <c r="J930">
        <f>VLOOKUP(F930,[1]!china_towns_second__2[[Column1]:[Y]],3,FALSE)</f>
        <v>35.055460930811897</v>
      </c>
      <c r="K930">
        <f>VLOOKUP(F930,[1]!china_towns_second__2[[Column1]:[Y]],2,FALSE)</f>
        <v>116.1685039</v>
      </c>
      <c r="L930" t="s">
        <v>5763</v>
      </c>
      <c r="M930" t="str">
        <f>VLOOKUP(H930,CHOOSE({1,2},Table17[Native],Table17[Name]),2,0)</f>
        <v>Jīnxiāng Xiàn</v>
      </c>
      <c r="N930" s="15" t="str">
        <f>VLOOKUP(I930,CHOOSE({1,2},Table17[Native],Table17[Name]),2,0)</f>
        <v>Jìníng Shì</v>
      </c>
      <c r="O930" s="15" t="str">
        <f t="shared" si="28"/>
        <v>Mamiao Zhen (Jìníng Shì)</v>
      </c>
      <c r="P930" s="15" t="str">
        <f t="shared" si="29"/>
        <v>Mamiao Zhen (Jìníng Shì)</v>
      </c>
    </row>
    <row r="931" spans="1:16" hidden="1" x14ac:dyDescent="0.25">
      <c r="A931" t="s">
        <v>1950</v>
      </c>
      <c r="B931" t="str">
        <f>IF(COUNTIF(A:A,A931)&gt;1,_xlfn.CONCAT(A931," (",N931,")"),A931)</f>
        <v>Mămùchí Xiāng</v>
      </c>
      <c r="C931" t="str">
        <f>IF(COUNTIF(B:B,B931)&gt;1,_xlfn.CONCAT(A931," (",M931,")"),B931)</f>
        <v>Mămùchí Xiāng</v>
      </c>
      <c r="D931" t="s">
        <v>1951</v>
      </c>
      <c r="E931" t="s">
        <v>61</v>
      </c>
      <c r="F931" t="str">
        <f>_xlfn.CONCAT(D931,", ",H931,", ",I931,", ","山东省")</f>
        <v>马牧池乡, 沂南县, 临沂市, 山东省</v>
      </c>
      <c r="G931">
        <v>23989</v>
      </c>
      <c r="H931" t="s">
        <v>3721</v>
      </c>
      <c r="I931" t="s">
        <v>3710</v>
      </c>
      <c r="J931" t="e">
        <f>VLOOKUP(F931,[1]!china_towns_second__2[[Column1]:[Y]],3,FALSE)</f>
        <v>#N/A</v>
      </c>
      <c r="K931" t="e">
        <f>VLOOKUP(F931,[1]!china_towns_second__2[[Column1]:[Y]],2,FALSE)</f>
        <v>#N/A</v>
      </c>
      <c r="L931" t="s">
        <v>5764</v>
      </c>
      <c r="M931" t="str">
        <f>VLOOKUP(H931,CHOOSE({1,2},Table17[Native],Table17[Name]),2,0)</f>
        <v>Yínán Xiàn</v>
      </c>
      <c r="N931" s="15" t="str">
        <f>VLOOKUP(I931,CHOOSE({1,2},Table17[Native],Table17[Name]),2,0)</f>
        <v>Línyí Shì</v>
      </c>
      <c r="O931" s="15" t="str">
        <f t="shared" si="28"/>
        <v>Mamuchi Xiang (Línyí Shì)</v>
      </c>
      <c r="P931" s="15" t="str">
        <f t="shared" si="29"/>
        <v>Mamuchi Xiang (Línyí Shì)</v>
      </c>
    </row>
    <row r="932" spans="1:16" hidden="1" x14ac:dyDescent="0.25">
      <c r="A932" t="s">
        <v>1372</v>
      </c>
      <c r="B932" t="str">
        <f>IF(COUNTIF(A:A,A932)&gt;1,_xlfn.CONCAT(A932," (",N932,")"),A932)</f>
        <v>Măndòng Zhèn</v>
      </c>
      <c r="C932" t="str">
        <f>IF(COUNTIF(B:B,B932)&gt;1,_xlfn.CONCAT(A932," (",M932,")"),B932)</f>
        <v>Măndòng Zhèn</v>
      </c>
      <c r="D932" t="s">
        <v>1373</v>
      </c>
      <c r="E932" t="s">
        <v>13</v>
      </c>
      <c r="F932" t="str">
        <f>_xlfn.CONCAT(D932,", ",H932,", ",I932,", ","山东省")</f>
        <v>满硐镇, 嘉祥县, 济宁市, 山东省</v>
      </c>
      <c r="G932">
        <v>31997</v>
      </c>
      <c r="H932" t="s">
        <v>3688</v>
      </c>
      <c r="I932" t="s">
        <v>3687</v>
      </c>
      <c r="J932">
        <f>VLOOKUP(F932,[1]!china_towns_second__2[[Column1]:[Y]],3,FALSE)</f>
        <v>35.2283917083845</v>
      </c>
      <c r="K932">
        <f>VLOOKUP(F932,[1]!china_towns_second__2[[Column1]:[Y]],2,FALSE)</f>
        <v>116.3105786</v>
      </c>
      <c r="L932" t="s">
        <v>5765</v>
      </c>
      <c r="M932" t="str">
        <f>VLOOKUP(H932,CHOOSE({1,2},Table17[Native],Table17[Name]),2,0)</f>
        <v>Jiāxiáng Xiàn</v>
      </c>
      <c r="N932" s="15" t="str">
        <f>VLOOKUP(I932,CHOOSE({1,2},Table17[Native],Table17[Name]),2,0)</f>
        <v>Jìníng Shì</v>
      </c>
      <c r="O932" s="15" t="str">
        <f t="shared" si="28"/>
        <v>Mandong Zhen (Jìníng Shì)</v>
      </c>
      <c r="P932" s="15" t="str">
        <f t="shared" si="29"/>
        <v>Mandong Zhen (Jìníng Shì)</v>
      </c>
    </row>
    <row r="933" spans="1:16" hidden="1" x14ac:dyDescent="0.25">
      <c r="A933" t="s">
        <v>2588</v>
      </c>
      <c r="B933" t="str">
        <f>IF(COUNTIF(A:A,A933)&gt;1,_xlfn.CONCAT(A933," (",N933,")"),A933)</f>
        <v>Mănzhuāng Zhèn</v>
      </c>
      <c r="C933" t="str">
        <f>IF(COUNTIF(B:B,B933)&gt;1,_xlfn.CONCAT(A933," (",M933,")"),B933)</f>
        <v>Mănzhuāng Zhèn</v>
      </c>
      <c r="D933" t="s">
        <v>2589</v>
      </c>
      <c r="E933" t="s">
        <v>13</v>
      </c>
      <c r="F933" t="str">
        <f>_xlfn.CONCAT(D933,", ",H933,", ",I933,", ","山东省")</f>
        <v>满庄镇, 岱岳区, 泰安市, 山东省</v>
      </c>
      <c r="G933">
        <v>69246</v>
      </c>
      <c r="H933" t="s">
        <v>3744</v>
      </c>
      <c r="I933" t="s">
        <v>3743</v>
      </c>
      <c r="J933">
        <f>VLOOKUP(F933,[1]!china_towns_second__2[[Column1]:[Y]],3,FALSE)</f>
        <v>36.064116752488601</v>
      </c>
      <c r="K933">
        <f>VLOOKUP(F933,[1]!china_towns_second__2[[Column1]:[Y]],2,FALSE)</f>
        <v>117.05551440000001</v>
      </c>
      <c r="L933" t="s">
        <v>5766</v>
      </c>
      <c r="M933" t="str">
        <f>VLOOKUP(H933,CHOOSE({1,2},Table17[Native],Table17[Name]),2,0)</f>
        <v>Dàiyuè Qū</v>
      </c>
      <c r="N933" s="15" t="str">
        <f>VLOOKUP(I933,CHOOSE({1,2},Table17[Native],Table17[Name]),2,0)</f>
        <v>Tài'ān Shì</v>
      </c>
      <c r="O933" s="15" t="str">
        <f t="shared" si="28"/>
        <v>Manzhuang Zhen (Tài'ān Shì)</v>
      </c>
      <c r="P933" s="15" t="str">
        <f t="shared" si="29"/>
        <v>Manzhuang Zhen (Tài'ān Shì)</v>
      </c>
    </row>
    <row r="934" spans="1:16" hidden="1" x14ac:dyDescent="0.25">
      <c r="A934" t="s">
        <v>1374</v>
      </c>
      <c r="B934" t="str">
        <f>IF(COUNTIF(A:A,A934)&gt;1,_xlfn.CONCAT(A934," (",N934,")"),A934)</f>
        <v>Măpō Zhèn</v>
      </c>
      <c r="C934" t="str">
        <f>IF(COUNTIF(B:B,B934)&gt;1,_xlfn.CONCAT(A934," (",M934,")"),B934)</f>
        <v>Măpō Zhèn</v>
      </c>
      <c r="D934" t="s">
        <v>1375</v>
      </c>
      <c r="E934" t="s">
        <v>13</v>
      </c>
      <c r="F934" t="str">
        <f>_xlfn.CONCAT(D934,", ",H934,", ",I934,", ","山东省")</f>
        <v>马坡镇, 微山县, 济宁市, 山东省</v>
      </c>
      <c r="G934">
        <v>53155</v>
      </c>
      <c r="H934" t="s">
        <v>3694</v>
      </c>
      <c r="I934" t="s">
        <v>3687</v>
      </c>
      <c r="J934">
        <f>VLOOKUP(F934,[1]!china_towns_second__2[[Column1]:[Y]],3,FALSE)</f>
        <v>35.269686305166303</v>
      </c>
      <c r="K934">
        <f>VLOOKUP(F934,[1]!china_towns_second__2[[Column1]:[Y]],2,FALSE)</f>
        <v>116.7451354</v>
      </c>
      <c r="L934" t="s">
        <v>5767</v>
      </c>
      <c r="M934" t="str">
        <f>VLOOKUP(H934,CHOOSE({1,2},Table17[Native],Table17[Name]),2,0)</f>
        <v>Wēishān Xiàn</v>
      </c>
      <c r="N934" s="15" t="str">
        <f>VLOOKUP(I934,CHOOSE({1,2},Table17[Native],Table17[Name]),2,0)</f>
        <v>Jìníng Shì</v>
      </c>
      <c r="O934" s="15" t="str">
        <f t="shared" si="28"/>
        <v>Mapo Zhen (Jìníng Shì)</v>
      </c>
      <c r="P934" s="15" t="str">
        <f t="shared" si="29"/>
        <v>Mapo Zhen (Jìníng Shì)</v>
      </c>
    </row>
    <row r="935" spans="1:16" hidden="1" x14ac:dyDescent="0.25">
      <c r="A935" t="s">
        <v>3539</v>
      </c>
      <c r="B935" t="str">
        <f>IF(COUNTIF(A:A,A935)&gt;1,_xlfn.CONCAT(A935," (",N935,")"),A935)</f>
        <v>Măqiáo Zhèn [incl. Chénzhuāng Zhèn]</v>
      </c>
      <c r="C935" t="str">
        <f>IF(COUNTIF(B:B,B935)&gt;1,_xlfn.CONCAT(A935," (",M935,")"),B935)</f>
        <v>Măqiáo Zhèn [incl. Chénzhuāng Zhèn]</v>
      </c>
      <c r="D935" t="s">
        <v>3540</v>
      </c>
      <c r="E935" t="s">
        <v>13</v>
      </c>
      <c r="F935" t="str">
        <f>_xlfn.CONCAT(D935,", ",H935,", ",I935,", ","山东省")</f>
        <v>马桥镇, 桓台县, 淄博市, 山东省</v>
      </c>
      <c r="G935">
        <v>51207</v>
      </c>
      <c r="H935" t="s">
        <v>3794</v>
      </c>
      <c r="I935" t="s">
        <v>3791</v>
      </c>
      <c r="J935">
        <f>VLOOKUP(F935,[1]!china_towns_second__2[[Column1]:[Y]],3,FALSE)</f>
        <v>37.0298921697038</v>
      </c>
      <c r="K935">
        <f>VLOOKUP(F935,[1]!china_towns_second__2[[Column1]:[Y]],2,FALSE)</f>
        <v>117.8955426</v>
      </c>
      <c r="L935" t="s">
        <v>5768</v>
      </c>
      <c r="M935" t="str">
        <f>VLOOKUP(H935,CHOOSE({1,2},Table17[Native],Table17[Name]),2,0)</f>
        <v>Huántái Xiàn</v>
      </c>
      <c r="N935" s="15" t="str">
        <f>VLOOKUP(I935,CHOOSE({1,2},Table17[Native],Table17[Name]),2,0)</f>
        <v>Zībó Shì</v>
      </c>
      <c r="O935" s="15" t="str">
        <f t="shared" si="28"/>
        <v>Maqiao Zhen [incl. Chenzhuang Zhen] (Zībó Shì)</v>
      </c>
      <c r="P935" s="15" t="str">
        <f t="shared" si="29"/>
        <v>Maqiao Zhen [incl. Chenzhuang Zhen] (Zībó Shì)</v>
      </c>
    </row>
    <row r="936" spans="1:16" hidden="1" x14ac:dyDescent="0.25">
      <c r="A936" t="s">
        <v>3190</v>
      </c>
      <c r="B936" t="str">
        <f>IF(COUNTIF(A:A,A936)&gt;1,_xlfn.CONCAT(A936," (",N936,")"),A936)</f>
        <v>Măshān Jiēdào</v>
      </c>
      <c r="C936" t="str">
        <f>IF(COUNTIF(B:B,B936)&gt;1,_xlfn.CONCAT(A936," (",M936,")"),B936)</f>
        <v>Măshān Jiēdào</v>
      </c>
      <c r="D936" t="s">
        <v>3191</v>
      </c>
      <c r="E936" t="s">
        <v>7</v>
      </c>
      <c r="F936" t="str">
        <f>_xlfn.CONCAT(D936,", ",H936,", ",I936,", ","山东省")</f>
        <v>马山街道, 莱山区, 烟台市, 山东省</v>
      </c>
      <c r="G936">
        <v>44314</v>
      </c>
      <c r="H936" t="s">
        <v>3774</v>
      </c>
      <c r="I936" t="s">
        <v>3771</v>
      </c>
      <c r="J936">
        <f>VLOOKUP(F936,[1]!china_towns_second__2[[Column1]:[Y]],3,FALSE)</f>
        <v>37.427844216411103</v>
      </c>
      <c r="K936">
        <f>VLOOKUP(F936,[1]!china_towns_second__2[[Column1]:[Y]],2,FALSE)</f>
        <v>121.51379609999999</v>
      </c>
      <c r="L936" t="s">
        <v>5769</v>
      </c>
      <c r="M936" t="str">
        <f>VLOOKUP(H936,CHOOSE({1,2},Table17[Native],Table17[Name]),2,0)</f>
        <v>Láishān Qū</v>
      </c>
      <c r="N936" s="15" t="str">
        <f>VLOOKUP(I936,CHOOSE({1,2},Table17[Native],Table17[Name]),2,0)</f>
        <v>Yāntái Shì</v>
      </c>
      <c r="O936" s="15" t="str">
        <f t="shared" si="28"/>
        <v>Mashan Jiedao (Yāntái Shì)</v>
      </c>
      <c r="P936" s="15" t="str">
        <f t="shared" si="29"/>
        <v>Mashan Jiedao (Yāntái Shì)</v>
      </c>
    </row>
    <row r="937" spans="1:16" hidden="1" x14ac:dyDescent="0.25">
      <c r="A937" t="s">
        <v>1058</v>
      </c>
      <c r="B937" t="str">
        <f>IF(COUNTIF(A:A,A937)&gt;1,_xlfn.CONCAT(A937," (",N937,")"),A937)</f>
        <v>Măshān Zhèn</v>
      </c>
      <c r="C937" t="str">
        <f>IF(COUNTIF(B:B,B937)&gt;1,_xlfn.CONCAT(A937," (",M937,")"),B937)</f>
        <v>Măshān Zhèn</v>
      </c>
      <c r="D937" t="s">
        <v>1059</v>
      </c>
      <c r="E937" t="s">
        <v>13</v>
      </c>
      <c r="F937" t="str">
        <f>_xlfn.CONCAT(D937,", ",H937,", ",I937,", ","山东省")</f>
        <v>马山镇, 长清区, 济南市, 山东省</v>
      </c>
      <c r="G937">
        <v>25670</v>
      </c>
      <c r="H937" t="s">
        <v>3674</v>
      </c>
      <c r="I937" t="s">
        <v>3673</v>
      </c>
      <c r="J937">
        <f>VLOOKUP(F937,[1]!china_towns_second__2[[Column1]:[Y]],3,FALSE)</f>
        <v>36.369602462965901</v>
      </c>
      <c r="K937">
        <f>VLOOKUP(F937,[1]!china_towns_second__2[[Column1]:[Y]],2,FALSE)</f>
        <v>116.77749</v>
      </c>
      <c r="L937" t="s">
        <v>5770</v>
      </c>
      <c r="M937" t="str">
        <f>VLOOKUP(H937,CHOOSE({1,2},Table17[Native],Table17[Name]),2,0)</f>
        <v>Chángqīng Qū</v>
      </c>
      <c r="N937" s="15" t="str">
        <f>VLOOKUP(I937,CHOOSE({1,2},Table17[Native],Table17[Name]),2,0)</f>
        <v>Jìnán Shì</v>
      </c>
      <c r="O937" s="15" t="str">
        <f t="shared" si="28"/>
        <v>Mashan Zhen (Jìnán Shì)</v>
      </c>
      <c r="P937" s="15" t="str">
        <f t="shared" si="29"/>
        <v>Mashan Zhen (Jìnán Shì)</v>
      </c>
    </row>
    <row r="938" spans="1:16" hidden="1" x14ac:dyDescent="0.25">
      <c r="A938" t="s">
        <v>3541</v>
      </c>
      <c r="B938" t="str">
        <f>IF(COUNTIF(A:A,A938)&gt;1,_xlfn.CONCAT(A938," (",N938,")"),A938)</f>
        <v>Măshàng Jiēdào</v>
      </c>
      <c r="C938" t="str">
        <f>IF(COUNTIF(B:B,B938)&gt;1,_xlfn.CONCAT(A938," (",M938,")"),B938)</f>
        <v>Măshàng Jiēdào</v>
      </c>
      <c r="D938" t="s">
        <v>3542</v>
      </c>
      <c r="E938" t="s">
        <v>7</v>
      </c>
      <c r="F938" t="str">
        <f>_xlfn.CONCAT(D938,", ",H938,", ",I938,", ","山东省")</f>
        <v>马尚街道, 张店区, 淄博市, 山东省</v>
      </c>
      <c r="G938">
        <v>124550</v>
      </c>
      <c r="H938" t="s">
        <v>3797</v>
      </c>
      <c r="I938" t="s">
        <v>3791</v>
      </c>
      <c r="J938" t="e">
        <f>VLOOKUP(F938,[1]!china_towns_second__2[[Column1]:[Y]],3,FALSE)</f>
        <v>#N/A</v>
      </c>
      <c r="K938" t="e">
        <f>VLOOKUP(F938,[1]!china_towns_second__2[[Column1]:[Y]],2,FALSE)</f>
        <v>#N/A</v>
      </c>
      <c r="L938" t="s">
        <v>5771</v>
      </c>
      <c r="M938" t="str">
        <f>VLOOKUP(H938,CHOOSE({1,2},Table17[Native],Table17[Name]),2,0)</f>
        <v>Zhāngdiàn Qū</v>
      </c>
      <c r="N938" s="15" t="str">
        <f>VLOOKUP(I938,CHOOSE({1,2},Table17[Native],Table17[Name]),2,0)</f>
        <v>Zībó Shì</v>
      </c>
      <c r="O938" s="15" t="str">
        <f t="shared" si="28"/>
        <v>Mashang Jiedao (Zībó Shì)</v>
      </c>
      <c r="P938" s="15" t="str">
        <f t="shared" si="29"/>
        <v>Mashang Jiedao (Zībó Shì)</v>
      </c>
    </row>
    <row r="939" spans="1:16" hidden="1" x14ac:dyDescent="0.25">
      <c r="A939" t="s">
        <v>113</v>
      </c>
      <c r="B939" t="str">
        <f>IF(COUNTIF(A:A,A939)&gt;1,_xlfn.CONCAT(A939," (",N939,")"),A939)</f>
        <v>Măshānzi Zhèn</v>
      </c>
      <c r="C939" t="str">
        <f>IF(COUNTIF(B:B,B939)&gt;1,_xlfn.CONCAT(A939," (",M939,")"),B939)</f>
        <v>Măshānzi Zhèn</v>
      </c>
      <c r="D939" t="s">
        <v>114</v>
      </c>
      <c r="E939" t="s">
        <v>13</v>
      </c>
      <c r="F939" t="str">
        <f>_xlfn.CONCAT(D939,", ",H939,", ",I939,", ","山东省")</f>
        <v>马山子镇, 无棣县, 滨州市, 山东省</v>
      </c>
      <c r="G939">
        <v>26960</v>
      </c>
      <c r="H939" t="s">
        <v>3636</v>
      </c>
      <c r="I939" t="s">
        <v>3630</v>
      </c>
      <c r="J939">
        <f>VLOOKUP(F939,[1]!china_towns_second__2[[Column1]:[Y]],3,FALSE)</f>
        <v>38.076005627501303</v>
      </c>
      <c r="K939">
        <f>VLOOKUP(F939,[1]!china_towns_second__2[[Column1]:[Y]],2,FALSE)</f>
        <v>117.9246582</v>
      </c>
      <c r="L939" t="s">
        <v>5772</v>
      </c>
      <c r="M939" t="str">
        <f>VLOOKUP(H939,CHOOSE({1,2},Table17[Native],Table17[Name]),2,0)</f>
        <v>Wúdì Xiàn</v>
      </c>
      <c r="N939" s="15" t="str">
        <f>VLOOKUP(I939,CHOOSE({1,2},Table17[Native],Table17[Name]),2,0)</f>
        <v>Bīnzhōu Shì</v>
      </c>
      <c r="O939" s="15" t="str">
        <f t="shared" si="28"/>
        <v>Mashanzi Zhen (Bīnzhōu Shì)</v>
      </c>
      <c r="P939" s="15" t="str">
        <f t="shared" si="29"/>
        <v>Mashanzi Zhen (Bīnzhōu Shì)</v>
      </c>
    </row>
    <row r="940" spans="1:16" hidden="1" x14ac:dyDescent="0.25">
      <c r="A940" t="s">
        <v>115</v>
      </c>
      <c r="B940" t="str">
        <f>IF(COUNTIF(A:A,A940)&gt;1,_xlfn.CONCAT(A940," (",N940,")"),A940)</f>
        <v>Mătóu Zhèn (Bīnzhōu Shì)</v>
      </c>
      <c r="C940" t="str">
        <f>IF(COUNTIF(B:B,B940)&gt;1,_xlfn.CONCAT(A940," (",M940,")"),B940)</f>
        <v>Mătóu Zhèn (Bīnzhōu Shì)</v>
      </c>
      <c r="D940" t="s">
        <v>116</v>
      </c>
      <c r="E940" t="s">
        <v>13</v>
      </c>
      <c r="F940" t="str">
        <f>_xlfn.CONCAT(D940,", ",H940,", ",I940,", ","山东省")</f>
        <v>码头镇, 邹平市, 滨州市, 山东省</v>
      </c>
      <c r="G940">
        <v>41766</v>
      </c>
      <c r="H940" t="s">
        <v>3640</v>
      </c>
      <c r="I940" t="s">
        <v>3630</v>
      </c>
      <c r="J940">
        <f>VLOOKUP(F940,[1]!china_towns_second__2[[Column1]:[Y]],3,FALSE)</f>
        <v>37.024350546691402</v>
      </c>
      <c r="K940">
        <f>VLOOKUP(F940,[1]!china_towns_second__2[[Column1]:[Y]],2,FALSE)</f>
        <v>117.38747979999999</v>
      </c>
      <c r="L940" t="s">
        <v>5773</v>
      </c>
      <c r="M940" t="str">
        <f>VLOOKUP(H940,CHOOSE({1,2},Table17[Native],Table17[Name]),2,0)</f>
        <v>Zōupíng Shì</v>
      </c>
      <c r="N940" s="15" t="str">
        <f>VLOOKUP(I940,CHOOSE({1,2},Table17[Native],Table17[Name]),2,0)</f>
        <v>Bīnzhōu Shì</v>
      </c>
      <c r="O940" s="15" t="str">
        <f t="shared" si="28"/>
        <v>Matou Zhen (Binzhou Shi) (Bīnzhōu Shì)</v>
      </c>
      <c r="P940" s="15" t="str">
        <f t="shared" si="29"/>
        <v>Matou Zhen (Binzhou Shi) (Bīnzhōu Shì)</v>
      </c>
    </row>
    <row r="941" spans="1:16" hidden="1" x14ac:dyDescent="0.25">
      <c r="A941" t="s">
        <v>115</v>
      </c>
      <c r="B941" t="str">
        <f>IF(COUNTIF(A:A,A941)&gt;1,_xlfn.CONCAT(A941," (",N941,")"),A941)</f>
        <v>Mătóu Zhèn (Hézé Shì)</v>
      </c>
      <c r="C941" t="str">
        <f>IF(COUNTIF(B:B,B941)&gt;1,_xlfn.CONCAT(A941," (",M941,")"),B941)</f>
        <v>Mătóu Zhèn (Hézé Shì)</v>
      </c>
      <c r="D941" t="s">
        <v>760</v>
      </c>
      <c r="E941" t="s">
        <v>13</v>
      </c>
      <c r="F941" t="str">
        <f>_xlfn.CONCAT(D941,", ",H941,", ",I941,", ","山东省")</f>
        <v>马头镇, 东明县, 菏泽市, 山东省</v>
      </c>
      <c r="G941">
        <v>37665</v>
      </c>
      <c r="H941" t="s">
        <v>3666</v>
      </c>
      <c r="I941" t="s">
        <v>3662</v>
      </c>
      <c r="J941">
        <f>VLOOKUP(F941,[1]!china_towns_second__2[[Column1]:[Y]],3,FALSE)</f>
        <v>35.035211547669597</v>
      </c>
      <c r="K941">
        <f>VLOOKUP(F941,[1]!china_towns_second__2[[Column1]:[Y]],2,FALSE)</f>
        <v>115.09663879999999</v>
      </c>
      <c r="L941" t="s">
        <v>5774</v>
      </c>
      <c r="M941" t="str">
        <f>VLOOKUP(H941,CHOOSE({1,2},Table17[Native],Table17[Name]),2,0)</f>
        <v>Dōngmíng Xiàn</v>
      </c>
      <c r="N941" s="15" t="str">
        <f>VLOOKUP(I941,CHOOSE({1,2},Table17[Native],Table17[Name]),2,0)</f>
        <v>Hézé Shì</v>
      </c>
      <c r="O941" s="15" t="str">
        <f t="shared" si="28"/>
        <v>Matou Zhen (Heze Shi) (Hézé Shì)</v>
      </c>
      <c r="P941" s="15" t="str">
        <f t="shared" si="29"/>
        <v>Matou Zhen (Heze Shi) (Hézé Shì)</v>
      </c>
    </row>
    <row r="942" spans="1:16" hidden="1" x14ac:dyDescent="0.25">
      <c r="A942" t="s">
        <v>115</v>
      </c>
      <c r="B942" t="str">
        <f>IF(COUNTIF(A:A,A942)&gt;1,_xlfn.CONCAT(A942," (",N942,")"),A942)</f>
        <v>Mătóu Zhèn (Línyí Shì)</v>
      </c>
      <c r="C942" t="str">
        <f>IF(COUNTIF(B:B,B942)&gt;1,_xlfn.CONCAT(A942," (",M942,")"),B942)</f>
        <v>Mătóu Zhèn (Línyí Shì)</v>
      </c>
      <c r="D942" t="s">
        <v>760</v>
      </c>
      <c r="E942" t="s">
        <v>13</v>
      </c>
      <c r="F942" t="str">
        <f>_xlfn.CONCAT(D942,", ",H942,", ",I942,", ","山东省")</f>
        <v>马头镇, 郯城县, 临沂市, 山东省</v>
      </c>
      <c r="G942">
        <v>74766</v>
      </c>
      <c r="H942" t="s">
        <v>3720</v>
      </c>
      <c r="I942" t="s">
        <v>3710</v>
      </c>
      <c r="J942">
        <f>VLOOKUP(F942,[1]!china_towns_second__2[[Column1]:[Y]],3,FALSE)</f>
        <v>34.6098851740241</v>
      </c>
      <c r="K942">
        <f>VLOOKUP(F942,[1]!china_towns_second__2[[Column1]:[Y]],2,FALSE)</f>
        <v>118.2699581</v>
      </c>
      <c r="L942" t="s">
        <v>5775</v>
      </c>
      <c r="M942" t="str">
        <f>VLOOKUP(H942,CHOOSE({1,2},Table17[Native],Table17[Name]),2,0)</f>
        <v>Tánchéng Xiàn</v>
      </c>
      <c r="N942" s="15" t="str">
        <f>VLOOKUP(I942,CHOOSE({1,2},Table17[Native],Table17[Name]),2,0)</f>
        <v>Línyí Shì</v>
      </c>
      <c r="O942" s="15" t="str">
        <f t="shared" si="28"/>
        <v>Matou Zhen (Linyi Shi) (Línyí Shì)</v>
      </c>
      <c r="P942" s="15" t="str">
        <f t="shared" si="29"/>
        <v>Matou Zhen (Linyi Shi) (Línyí Shì)</v>
      </c>
    </row>
    <row r="943" spans="1:16" hidden="1" x14ac:dyDescent="0.25">
      <c r="A943" t="s">
        <v>1376</v>
      </c>
      <c r="B943" t="str">
        <f>IF(COUNTIF(A:A,A943)&gt;1,_xlfn.CONCAT(A943," (",N943,")"),A943)</f>
        <v>Măyíng Zhèn</v>
      </c>
      <c r="C943" t="str">
        <f>IF(COUNTIF(B:B,B943)&gt;1,_xlfn.CONCAT(A943," (",M943,")"),B943)</f>
        <v>Măyíng Zhèn</v>
      </c>
      <c r="D943" t="s">
        <v>1377</v>
      </c>
      <c r="E943" t="s">
        <v>13</v>
      </c>
      <c r="F943" t="str">
        <f>_xlfn.CONCAT(D943,", ",H943,", ",I943,", ","山东省")</f>
        <v>马营镇, 梁山县, 济宁市, 山东省</v>
      </c>
      <c r="G943">
        <v>30916</v>
      </c>
      <c r="H943" t="s">
        <v>3690</v>
      </c>
      <c r="I943" t="s">
        <v>3687</v>
      </c>
      <c r="J943">
        <f>VLOOKUP(F943,[1]!china_towns_second__2[[Column1]:[Y]],3,FALSE)</f>
        <v>35.7763734031791</v>
      </c>
      <c r="K943">
        <f>VLOOKUP(F943,[1]!china_towns_second__2[[Column1]:[Y]],2,FALSE)</f>
        <v>116.0237305</v>
      </c>
      <c r="L943" t="s">
        <v>5776</v>
      </c>
      <c r="M943" t="str">
        <f>VLOOKUP(H943,CHOOSE({1,2},Table17[Native],Table17[Name]),2,0)</f>
        <v>Liángshān Xiàn</v>
      </c>
      <c r="N943" s="15" t="str">
        <f>VLOOKUP(I943,CHOOSE({1,2},Table17[Native],Table17[Name]),2,0)</f>
        <v>Jìníng Shì</v>
      </c>
      <c r="O943" s="15" t="str">
        <f t="shared" si="28"/>
        <v>Maying Zhen (Jìníng Shì)</v>
      </c>
      <c r="P943" s="15" t="str">
        <f t="shared" si="29"/>
        <v>Maying Zhen (Jìníng Shì)</v>
      </c>
    </row>
    <row r="944" spans="1:16" hidden="1" x14ac:dyDescent="0.25">
      <c r="A944" t="s">
        <v>1952</v>
      </c>
      <c r="B944" t="str">
        <f>IF(COUNTIF(A:A,A944)&gt;1,_xlfn.CONCAT(A944," (",N944,")"),A944)</f>
        <v>Măzhàn Zhèn</v>
      </c>
      <c r="C944" t="str">
        <f>IF(COUNTIF(B:B,B944)&gt;1,_xlfn.CONCAT(A944," (",M944,")"),B944)</f>
        <v>Măzhàn Zhèn</v>
      </c>
      <c r="D944" t="s">
        <v>1953</v>
      </c>
      <c r="E944" t="s">
        <v>13</v>
      </c>
      <c r="F944" t="str">
        <f>_xlfn.CONCAT(D944,", ",H944,", ",I944,", ","山东省")</f>
        <v>马站镇, 沂水县, 临沂市, 山东省</v>
      </c>
      <c r="G944">
        <v>60050</v>
      </c>
      <c r="H944" t="s">
        <v>3722</v>
      </c>
      <c r="I944" t="s">
        <v>3710</v>
      </c>
      <c r="J944">
        <f>VLOOKUP(F944,[1]!china_towns_second__2[[Column1]:[Y]],3,FALSE)</f>
        <v>36.075294313210598</v>
      </c>
      <c r="K944">
        <f>VLOOKUP(F944,[1]!china_towns_second__2[[Column1]:[Y]],2,FALSE)</f>
        <v>118.7332081</v>
      </c>
      <c r="L944" t="s">
        <v>5777</v>
      </c>
      <c r="M944" t="str">
        <f>VLOOKUP(H944,CHOOSE({1,2},Table17[Native],Table17[Name]),2,0)</f>
        <v>Yíshuĭ Xiàn</v>
      </c>
      <c r="N944" s="15" t="str">
        <f>VLOOKUP(I944,CHOOSE({1,2},Table17[Native],Table17[Name]),2,0)</f>
        <v>Línyí Shì</v>
      </c>
      <c r="O944" s="15" t="str">
        <f t="shared" si="28"/>
        <v>Mazhan Zhen (Línyí Shì)</v>
      </c>
      <c r="P944" s="15" t="str">
        <f t="shared" si="29"/>
        <v>Mazhan Zhen (Línyí Shì)</v>
      </c>
    </row>
    <row r="945" spans="1:16" hidden="1" x14ac:dyDescent="0.25">
      <c r="A945" t="s">
        <v>2590</v>
      </c>
      <c r="B945" t="str">
        <f>IF(COUNTIF(A:A,A945)&gt;1,_xlfn.CONCAT(A945," (",N945,")"),A945)</f>
        <v>Măzhuāng Zhèn</v>
      </c>
      <c r="C945" t="str">
        <f>IF(COUNTIF(B:B,B945)&gt;1,_xlfn.CONCAT(A945," (",M945,")"),B945)</f>
        <v>Măzhuāng Zhèn</v>
      </c>
      <c r="D945" t="s">
        <v>1955</v>
      </c>
      <c r="E945" t="s">
        <v>13</v>
      </c>
      <c r="F945" t="str">
        <f>_xlfn.CONCAT(D945,", ",H945,", ",I945,", ","山东省")</f>
        <v>马庄镇, 岱岳区, 泰安市, 山东省</v>
      </c>
      <c r="G945">
        <v>47272</v>
      </c>
      <c r="H945" t="s">
        <v>3744</v>
      </c>
      <c r="I945" t="s">
        <v>3743</v>
      </c>
      <c r="J945">
        <f>VLOOKUP(F945,[1]!china_towns_second__2[[Column1]:[Y]],3,FALSE)</f>
        <v>35.992859879420102</v>
      </c>
      <c r="K945">
        <f>VLOOKUP(F945,[1]!china_towns_second__2[[Column1]:[Y]],2,FALSE)</f>
        <v>116.9959272</v>
      </c>
      <c r="L945" t="s">
        <v>5778</v>
      </c>
      <c r="M945" t="str">
        <f>VLOOKUP(H945,CHOOSE({1,2},Table17[Native],Table17[Name]),2,0)</f>
        <v>Dàiyuè Qū</v>
      </c>
      <c r="N945" s="15" t="str">
        <f>VLOOKUP(I945,CHOOSE({1,2},Table17[Native],Table17[Name]),2,0)</f>
        <v>Tài'ān Shì</v>
      </c>
      <c r="O945" s="15" t="str">
        <f t="shared" si="28"/>
        <v>Mazhuang Zhen (Tài'ān Shì)</v>
      </c>
      <c r="P945" s="15" t="str">
        <f t="shared" si="29"/>
        <v>Mazhuang Zhen (Tài'ān Shì)</v>
      </c>
    </row>
    <row r="946" spans="1:16" hidden="1" x14ac:dyDescent="0.25">
      <c r="A946" t="s">
        <v>1954</v>
      </c>
      <c r="B946" t="str">
        <f>IF(COUNTIF(A:A,A946)&gt;1,_xlfn.CONCAT(A946," (",N946,")"),A946)</f>
        <v>Măzhuāng Zhèn [incl. Sháoyàoshān Xiāng]</v>
      </c>
      <c r="C946" t="str">
        <f>IF(COUNTIF(B:B,B946)&gt;1,_xlfn.CONCAT(A946," (",M946,")"),B946)</f>
        <v>Măzhuāng Zhèn [incl. Sháoyàoshān Xiāng]</v>
      </c>
      <c r="D946" t="s">
        <v>1955</v>
      </c>
      <c r="E946" t="s">
        <v>13</v>
      </c>
      <c r="F946" t="str">
        <f>_xlfn.CONCAT(D946,", ",H946,", ",I946,", ","山东省")</f>
        <v>马庄镇, 费县, 临沂市, 山东省</v>
      </c>
      <c r="G946">
        <v>51721</v>
      </c>
      <c r="H946" t="s">
        <v>3711</v>
      </c>
      <c r="I946" t="s">
        <v>3710</v>
      </c>
      <c r="J946">
        <f>VLOOKUP(F946,[1]!china_towns_second__2[[Column1]:[Y]],3,FALSE)</f>
        <v>35.141625537216598</v>
      </c>
      <c r="K946">
        <f>VLOOKUP(F946,[1]!china_towns_second__2[[Column1]:[Y]],2,FALSE)</f>
        <v>117.9805327</v>
      </c>
      <c r="L946" t="s">
        <v>5779</v>
      </c>
      <c r="M946" t="str">
        <f>VLOOKUP(H946,CHOOSE({1,2},Table17[Native],Table17[Name]),2,0)</f>
        <v>Fèi Xiàn</v>
      </c>
      <c r="N946" s="15" t="str">
        <f>VLOOKUP(I946,CHOOSE({1,2},Table17[Native],Table17[Name]),2,0)</f>
        <v>Línyí Shì</v>
      </c>
      <c r="O946" s="15" t="str">
        <f t="shared" si="28"/>
        <v>Mazhuang Zhen [incl. Shaoyaoshan Xiang] (Línyí Shì)</v>
      </c>
      <c r="P946" s="15" t="str">
        <f t="shared" si="29"/>
        <v>Mazhuang Zhen [incl. Shaoyaoshan Xiang] (Línyí Shì)</v>
      </c>
    </row>
    <row r="947" spans="1:16" hidden="1" x14ac:dyDescent="0.25">
      <c r="A947" t="s">
        <v>1060</v>
      </c>
      <c r="B947" t="str">
        <f>IF(COUNTIF(A:A,A947)&gt;1,_xlfn.CONCAT(A947," (",N947,")"),A947)</f>
        <v>Méiguī Zhèn</v>
      </c>
      <c r="C947" t="str">
        <f>IF(COUNTIF(B:B,B947)&gt;1,_xlfn.CONCAT(A947," (",M947,")"),B947)</f>
        <v>Méiguī Zhèn</v>
      </c>
      <c r="D947" t="s">
        <v>1061</v>
      </c>
      <c r="E947" t="s">
        <v>13</v>
      </c>
      <c r="F947" t="str">
        <f>_xlfn.CONCAT(D947,", ",H947,", ",I947,", ","山东省")</f>
        <v>玫瑰镇, 平阴县, 济南市, 山东省</v>
      </c>
      <c r="G947">
        <v>35598</v>
      </c>
      <c r="H947" t="s">
        <v>3681</v>
      </c>
      <c r="I947" t="s">
        <v>3673</v>
      </c>
      <c r="J947">
        <f>VLOOKUP(F947,[1]!china_towns_second__2[[Column1]:[Y]],3,FALSE)</f>
        <v>36.237491609768199</v>
      </c>
      <c r="K947">
        <f>VLOOKUP(F947,[1]!china_towns_second__2[[Column1]:[Y]],2,FALSE)</f>
        <v>116.3651642</v>
      </c>
      <c r="L947" t="s">
        <v>5780</v>
      </c>
      <c r="M947" t="str">
        <f>VLOOKUP(H947,CHOOSE({1,2},Table17[Native],Table17[Name]),2,0)</f>
        <v>Píngyīn Xiàn</v>
      </c>
      <c r="N947" s="15" t="str">
        <f>VLOOKUP(I947,CHOOSE({1,2},Table17[Native],Table17[Name]),2,0)</f>
        <v>Jìnán Shì</v>
      </c>
      <c r="O947" s="15" t="str">
        <f t="shared" si="28"/>
        <v>Meigui Zhen (Jìnán Shì)</v>
      </c>
      <c r="P947" s="15" t="str">
        <f t="shared" si="29"/>
        <v>Meigui Zhen (Jìnán Shì)</v>
      </c>
    </row>
    <row r="948" spans="1:16" hidden="1" x14ac:dyDescent="0.25">
      <c r="A948" t="s">
        <v>2272</v>
      </c>
      <c r="B948" t="str">
        <f>IF(COUNTIF(A:A,A948)&gt;1,_xlfn.CONCAT(A948," (",N948,")"),A948)</f>
        <v>Méihuāshān Jiēdào</v>
      </c>
      <c r="C948" t="str">
        <f>IF(COUNTIF(B:B,B948)&gt;1,_xlfn.CONCAT(A948," (",M948,")"),B948)</f>
        <v>Méihuāshān Jiēdào</v>
      </c>
      <c r="D948" t="s">
        <v>2273</v>
      </c>
      <c r="E948" t="s">
        <v>7</v>
      </c>
      <c r="F948" t="str">
        <f>_xlfn.CONCAT(D948,", ",H948,", ",I948,", ","山东省")</f>
        <v>梅花山街道, 莱西市, 青岛市, 山东省</v>
      </c>
      <c r="G948">
        <v>22206</v>
      </c>
      <c r="H948" t="s">
        <v>3729</v>
      </c>
      <c r="I948" t="s">
        <v>3724</v>
      </c>
      <c r="J948" t="e">
        <f>VLOOKUP(F948,[1]!china_towns_second__2[[Column1]:[Y]],3,FALSE)</f>
        <v>#N/A</v>
      </c>
      <c r="K948" t="e">
        <f>VLOOKUP(F948,[1]!china_towns_second__2[[Column1]:[Y]],2,FALSE)</f>
        <v>#N/A</v>
      </c>
      <c r="L948" t="s">
        <v>5781</v>
      </c>
      <c r="M948" t="str">
        <f>VLOOKUP(H948,CHOOSE({1,2},Table17[Native],Table17[Name]),2,0)</f>
        <v>Láixī Shì</v>
      </c>
      <c r="N948" s="15" t="str">
        <f>VLOOKUP(I948,CHOOSE({1,2},Table17[Native],Table17[Name]),2,0)</f>
        <v>Qīngdăo Shì</v>
      </c>
      <c r="O948" s="15" t="str">
        <f t="shared" si="28"/>
        <v>Meihuashan Jiedao (Qīngdăo Shì)</v>
      </c>
      <c r="P948" s="15" t="str">
        <f t="shared" si="29"/>
        <v>Meihuashan Jiedao (Qīngdăo Shì)</v>
      </c>
    </row>
    <row r="949" spans="1:16" hidden="1" x14ac:dyDescent="0.25">
      <c r="A949" t="s">
        <v>1956</v>
      </c>
      <c r="B949" t="str">
        <f>IF(COUNTIF(A:A,A949)&gt;1,_xlfn.CONCAT(A949," (",N949,")"),A949)</f>
        <v>Méijiābù Jiēdào [Méibù Jiēdào]</v>
      </c>
      <c r="C949" t="str">
        <f>IF(COUNTIF(B:B,B949)&gt;1,_xlfn.CONCAT(A949," (",M949,")"),B949)</f>
        <v>Méijiābù Jiēdào [Méibù Jiēdào]</v>
      </c>
      <c r="D949" t="s">
        <v>1957</v>
      </c>
      <c r="E949" t="s">
        <v>7</v>
      </c>
      <c r="F949" t="str">
        <f>_xlfn.CONCAT(D949,", ",H949,", ",I949,", ","山东省")</f>
        <v>梅家埠街道, 河东区, 临沂市, 山东省</v>
      </c>
      <c r="G949">
        <v>42408</v>
      </c>
      <c r="H949" t="s">
        <v>3712</v>
      </c>
      <c r="I949" t="s">
        <v>3710</v>
      </c>
      <c r="J949" t="e">
        <f>VLOOKUP(F949,[1]!china_towns_second__2[[Column1]:[Y]],3,FALSE)</f>
        <v>#N/A</v>
      </c>
      <c r="K949" t="e">
        <f>VLOOKUP(F949,[1]!china_towns_second__2[[Column1]:[Y]],2,FALSE)</f>
        <v>#N/A</v>
      </c>
      <c r="L949" t="s">
        <v>5782</v>
      </c>
      <c r="M949" t="str">
        <f>VLOOKUP(H949,CHOOSE({1,2},Table17[Native],Table17[Name]),2,0)</f>
        <v>Hédōng Qū</v>
      </c>
      <c r="N949" s="15" t="str">
        <f>VLOOKUP(I949,CHOOSE({1,2},Table17[Native],Table17[Name]),2,0)</f>
        <v>Línyí Shì</v>
      </c>
      <c r="O949" s="15" t="str">
        <f t="shared" si="28"/>
        <v>Meijiabu Jiedao [Meibu Jiedao] (Línyí Shì)</v>
      </c>
      <c r="P949" s="15" t="str">
        <f t="shared" si="29"/>
        <v>Meijiabu Jiedao [Meibu Jiedao] (Línyí Shì)</v>
      </c>
    </row>
    <row r="950" spans="1:16" hidden="1" x14ac:dyDescent="0.25">
      <c r="A950" t="s">
        <v>1062</v>
      </c>
      <c r="B950" t="str">
        <f>IF(COUNTIF(A:A,A950)&gt;1,_xlfn.CONCAT(A950," (",N950,")"),A950)</f>
        <v>Mĕilĭhú Jiēdào</v>
      </c>
      <c r="C950" t="str">
        <f>IF(COUNTIF(B:B,B950)&gt;1,_xlfn.CONCAT(A950," (",M950,")"),B950)</f>
        <v>Mĕilĭhú Jiēdào</v>
      </c>
      <c r="D950" t="s">
        <v>1063</v>
      </c>
      <c r="E950" t="s">
        <v>7</v>
      </c>
      <c r="F950" t="str">
        <f>_xlfn.CONCAT(D950,", ",H950,", ",I950,", ","山东省")</f>
        <v>美里湖街道, 槐荫区, 济南市, 山东省</v>
      </c>
      <c r="G950">
        <v>34654</v>
      </c>
      <c r="H950" t="s">
        <v>3676</v>
      </c>
      <c r="I950" t="s">
        <v>3673</v>
      </c>
      <c r="J950">
        <f>VLOOKUP(F950,[1]!china_towns_second__2[[Column1]:[Y]],3,FALSE)</f>
        <v>36.724189175883097</v>
      </c>
      <c r="K950">
        <f>VLOOKUP(F950,[1]!china_towns_second__2[[Column1]:[Y]],2,FALSE)</f>
        <v>116.90187210000001</v>
      </c>
      <c r="L950" t="s">
        <v>5783</v>
      </c>
      <c r="M950" t="str">
        <f>VLOOKUP(H950,CHOOSE({1,2},Table17[Native],Table17[Name]),2,0)</f>
        <v>Huáiyìn Qū</v>
      </c>
      <c r="N950" s="15" t="str">
        <f>VLOOKUP(I950,CHOOSE({1,2},Table17[Native],Table17[Name]),2,0)</f>
        <v>Jìnán Shì</v>
      </c>
      <c r="O950" s="15" t="str">
        <f t="shared" si="28"/>
        <v>Meilihu Jiedao (Jìnán Shì)</v>
      </c>
      <c r="P950" s="15" t="str">
        <f t="shared" si="29"/>
        <v>Meilihu Jiedao (Jìnán Shì)</v>
      </c>
    </row>
    <row r="951" spans="1:16" hidden="1" x14ac:dyDescent="0.25">
      <c r="A951" t="s">
        <v>1660</v>
      </c>
      <c r="B951" t="str">
        <f>IF(COUNTIF(A:A,A951)&gt;1,_xlfn.CONCAT(A951," (",N951,")"),A951)</f>
        <v>Mèizhŏng Zhèn</v>
      </c>
      <c r="C951" t="str">
        <f>IF(COUNTIF(B:B,B951)&gt;1,_xlfn.CONCAT(A951," (",M951,")"),B951)</f>
        <v>Mèizhŏng Zhèn</v>
      </c>
      <c r="D951" t="s">
        <v>1661</v>
      </c>
      <c r="E951" t="s">
        <v>13</v>
      </c>
      <c r="F951" t="str">
        <f>_xlfn.CONCAT(D951,", ",H951,", ",I951,", ","山东省")</f>
        <v>妹冢镇, 莘县, 聊城市, 山东省</v>
      </c>
      <c r="G951">
        <v>46584</v>
      </c>
      <c r="H951" t="s">
        <v>3707</v>
      </c>
      <c r="I951" t="s">
        <v>3700</v>
      </c>
      <c r="J951">
        <f>VLOOKUP(F951,[1]!china_towns_second__2[[Column1]:[Y]],3,FALSE)</f>
        <v>36.115974539900002</v>
      </c>
      <c r="K951">
        <f>VLOOKUP(F951,[1]!china_towns_second__2[[Column1]:[Y]],2,FALSE)</f>
        <v>115.5448997</v>
      </c>
      <c r="L951" t="s">
        <v>5784</v>
      </c>
      <c r="M951" t="str">
        <f>VLOOKUP(H951,CHOOSE({1,2},Table17[Native],Table17[Name]),2,0)</f>
        <v>Shēn Xiàn</v>
      </c>
      <c r="N951" s="15" t="str">
        <f>VLOOKUP(I951,CHOOSE({1,2},Table17[Native],Table17[Name]),2,0)</f>
        <v>Liáochéng Shì</v>
      </c>
      <c r="O951" s="15" t="str">
        <f t="shared" si="28"/>
        <v>Meizhong Zhen (Liáochéng Shì)</v>
      </c>
      <c r="P951" s="15" t="str">
        <f t="shared" si="29"/>
        <v>Meizhong Zhen (Liáochéng Shì)</v>
      </c>
    </row>
    <row r="952" spans="1:16" hidden="1" x14ac:dyDescent="0.25">
      <c r="A952" t="s">
        <v>1378</v>
      </c>
      <c r="B952" t="str">
        <f>IF(COUNTIF(A:A,A952)&gt;1,_xlfn.CONCAT(A952," (",N952,")"),A952)</f>
        <v>Mènggūjí Zhèn</v>
      </c>
      <c r="C952" t="str">
        <f>IF(COUNTIF(B:B,B952)&gt;1,_xlfn.CONCAT(A952," (",M952,")"),B952)</f>
        <v>Mènggūjí Zhèn</v>
      </c>
      <c r="D952" t="s">
        <v>1379</v>
      </c>
      <c r="E952" t="s">
        <v>13</v>
      </c>
      <c r="F952" t="str">
        <f>_xlfn.CONCAT(D952,", ",H952,", ",I952,", ","山东省")</f>
        <v>孟姑集镇, 嘉祥县, 济宁市, 山东省</v>
      </c>
      <c r="G952">
        <v>37751</v>
      </c>
      <c r="H952" t="s">
        <v>3688</v>
      </c>
      <c r="I952" t="s">
        <v>3687</v>
      </c>
      <c r="J952">
        <f>VLOOKUP(F952,[1]!china_towns_second__2[[Column1]:[Y]],3,FALSE)</f>
        <v>35.473914054106501</v>
      </c>
      <c r="K952">
        <f>VLOOKUP(F952,[1]!china_towns_second__2[[Column1]:[Y]],2,FALSE)</f>
        <v>116.1938128</v>
      </c>
      <c r="L952" t="s">
        <v>5785</v>
      </c>
      <c r="M952" t="str">
        <f>VLOOKUP(H952,CHOOSE({1,2},Table17[Native],Table17[Name]),2,0)</f>
        <v>Jiāxiáng Xiàn</v>
      </c>
      <c r="N952" s="15" t="str">
        <f>VLOOKUP(I952,CHOOSE({1,2},Table17[Native],Table17[Name]),2,0)</f>
        <v>Jìníng Shì</v>
      </c>
      <c r="O952" s="15" t="str">
        <f t="shared" si="28"/>
        <v>Mengguji Zhen (Jìníng Shì)</v>
      </c>
      <c r="P952" s="15" t="str">
        <f t="shared" si="29"/>
        <v>Mengguji Zhen (Jìníng Shì)</v>
      </c>
    </row>
    <row r="953" spans="1:16" hidden="1" x14ac:dyDescent="0.25">
      <c r="A953" t="s">
        <v>761</v>
      </c>
      <c r="B953" t="str">
        <f>IF(COUNTIF(A:A,A953)&gt;1,_xlfn.CONCAT(A953," (",N953,")"),A953)</f>
        <v>Mènghăi Zhèn</v>
      </c>
      <c r="C953" t="str">
        <f>IF(COUNTIF(B:B,B953)&gt;1,_xlfn.CONCAT(A953," (",M953,")"),B953)</f>
        <v>Mènghăi Zhèn</v>
      </c>
      <c r="D953" t="s">
        <v>762</v>
      </c>
      <c r="E953" t="s">
        <v>13</v>
      </c>
      <c r="F953" t="str">
        <f>_xlfn.CONCAT(D953,", ",H953,", ",I953,", ","山东省")</f>
        <v>孟海镇, 定陶区, 菏泽市, 山东省</v>
      </c>
      <c r="G953">
        <v>35301</v>
      </c>
      <c r="H953" t="s">
        <v>3665</v>
      </c>
      <c r="I953" t="s">
        <v>3662</v>
      </c>
      <c r="J953">
        <f>VLOOKUP(F953,[1]!china_towns_second__2[[Column1]:[Y]],3,FALSE)</f>
        <v>35.181198837885198</v>
      </c>
      <c r="K953">
        <f>VLOOKUP(F953,[1]!china_towns_second__2[[Column1]:[Y]],2,FALSE)</f>
        <v>115.75460200000001</v>
      </c>
      <c r="L953" t="s">
        <v>5786</v>
      </c>
      <c r="M953" t="str">
        <f>VLOOKUP(H953,CHOOSE({1,2},Table17[Native],Table17[Name]),2,0)</f>
        <v>Dìngtáo Qū</v>
      </c>
      <c r="N953" s="15" t="str">
        <f>VLOOKUP(I953,CHOOSE({1,2},Table17[Native],Table17[Name]),2,0)</f>
        <v>Hézé Shì</v>
      </c>
      <c r="O953" s="15" t="str">
        <f t="shared" si="28"/>
        <v>Menghai Zhen (Hézé Shì)</v>
      </c>
      <c r="P953" s="15" t="str">
        <f t="shared" si="29"/>
        <v>Menghai Zhen (Hézé Shì)</v>
      </c>
    </row>
    <row r="954" spans="1:16" hidden="1" x14ac:dyDescent="0.25">
      <c r="A954" t="s">
        <v>3543</v>
      </c>
      <c r="B954" t="str">
        <f>IF(COUNTIF(A:A,A954)&gt;1,_xlfn.CONCAT(A954," (",N954,")"),A954)</f>
        <v>Méngshuĭ Zhèn</v>
      </c>
      <c r="C954" t="str">
        <f>IF(COUNTIF(B:B,B954)&gt;1,_xlfn.CONCAT(A954," (",M954,")"),B954)</f>
        <v>Méngshuĭ Zhèn</v>
      </c>
      <c r="D954" t="s">
        <v>3544</v>
      </c>
      <c r="E954" t="s">
        <v>13</v>
      </c>
      <c r="F954" t="str">
        <f>_xlfn.CONCAT(D954,", ",H954,", ",I954,", ","山东省")</f>
        <v>萌水镇, 周村区, 淄博市, 山东省</v>
      </c>
      <c r="G954">
        <v>27815</v>
      </c>
      <c r="H954" t="s">
        <v>3798</v>
      </c>
      <c r="I954" t="s">
        <v>3791</v>
      </c>
      <c r="J954">
        <f>VLOOKUP(F954,[1]!china_towns_second__2[[Column1]:[Y]],3,FALSE)</f>
        <v>36.718879763683198</v>
      </c>
      <c r="K954">
        <f>VLOOKUP(F954,[1]!china_towns_second__2[[Column1]:[Y]],2,FALSE)</f>
        <v>117.89170559999999</v>
      </c>
      <c r="L954" t="s">
        <v>5787</v>
      </c>
      <c r="M954" t="str">
        <f>VLOOKUP(H954,CHOOSE({1,2},Table17[Native],Table17[Name]),2,0)</f>
        <v>Zhōucūn Qū</v>
      </c>
      <c r="N954" s="15" t="str">
        <f>VLOOKUP(I954,CHOOSE({1,2},Table17[Native],Table17[Name]),2,0)</f>
        <v>Zībó Shì</v>
      </c>
      <c r="O954" s="15" t="str">
        <f t="shared" si="28"/>
        <v>Mengshui Zhen (Zībó Shì)</v>
      </c>
      <c r="P954" s="15" t="str">
        <f t="shared" si="29"/>
        <v>Mengshui Zhen (Zībó Shì)</v>
      </c>
    </row>
    <row r="955" spans="1:16" hidden="1" x14ac:dyDescent="0.25">
      <c r="A955" t="s">
        <v>336</v>
      </c>
      <c r="B955" t="str">
        <f>IF(COUNTIF(A:A,A955)&gt;1,_xlfn.CONCAT(A955," (",N955,")"),A955)</f>
        <v>Mèngsì Zhèn</v>
      </c>
      <c r="C955" t="str">
        <f>IF(COUNTIF(B:B,B955)&gt;1,_xlfn.CONCAT(A955," (",M955,")"),B955)</f>
        <v>Mèngsì Zhèn</v>
      </c>
      <c r="D955" t="s">
        <v>337</v>
      </c>
      <c r="E955" t="s">
        <v>13</v>
      </c>
      <c r="F955" t="str">
        <f>_xlfn.CONCAT(D955,", ",H955,", ",I955,", ","山东省")</f>
        <v>孟寺镇, 临邑县, 德州市, 山东省</v>
      </c>
      <c r="G955">
        <v>41060</v>
      </c>
      <c r="H955" t="s">
        <v>3646</v>
      </c>
      <c r="I955" t="s">
        <v>3642</v>
      </c>
      <c r="J955">
        <f>VLOOKUP(F955,[1]!china_towns_second__2[[Column1]:[Y]],3,FALSE)</f>
        <v>37.168556010550603</v>
      </c>
      <c r="K955">
        <f>VLOOKUP(F955,[1]!china_towns_second__2[[Column1]:[Y]],2,FALSE)</f>
        <v>116.9882104</v>
      </c>
      <c r="L955" t="s">
        <v>5788</v>
      </c>
      <c r="M955" t="str">
        <f>VLOOKUP(H955,CHOOSE({1,2},Table17[Native],Table17[Name]),2,0)</f>
        <v>Línyì Xiàn</v>
      </c>
      <c r="N955" s="15" t="str">
        <f>VLOOKUP(I955,CHOOSE({1,2},Table17[Native],Table17[Name]),2,0)</f>
        <v>Dézhōu Shì</v>
      </c>
      <c r="O955" s="15" t="str">
        <f t="shared" si="28"/>
        <v>Mengsi Zhen (Dézhōu Shì)</v>
      </c>
      <c r="P955" s="15" t="str">
        <f t="shared" si="29"/>
        <v>Mengsi Zhen (Dézhōu Shì)</v>
      </c>
    </row>
    <row r="956" spans="1:16" hidden="1" x14ac:dyDescent="0.25">
      <c r="A956" t="s">
        <v>1958</v>
      </c>
      <c r="B956" t="str">
        <f>IF(COUNTIF(A:A,A956)&gt;1,_xlfn.CONCAT(A956," (",N956,")"),A956)</f>
        <v>Mĕngyīn Jiēdào</v>
      </c>
      <c r="C956" t="str">
        <f>IF(COUNTIF(B:B,B956)&gt;1,_xlfn.CONCAT(A956," (",M956,")"),B956)</f>
        <v>Mĕngyīn Jiēdào</v>
      </c>
      <c r="D956" t="s">
        <v>1959</v>
      </c>
      <c r="E956" t="s">
        <v>7</v>
      </c>
      <c r="F956" t="str">
        <f>_xlfn.CONCAT(D956,", ",H956,", ",I956,", ","山东省")</f>
        <v>蒙阴街道, 蒙阴县, 临沂市, 山东省</v>
      </c>
      <c r="G956">
        <v>161100</v>
      </c>
      <c r="H956" t="s">
        <v>3718</v>
      </c>
      <c r="I956" t="s">
        <v>3710</v>
      </c>
      <c r="J956">
        <f>VLOOKUP(F956,[1]!china_towns_second__2[[Column1]:[Y]],3,FALSE)</f>
        <v>35.716973870590799</v>
      </c>
      <c r="K956">
        <f>VLOOKUP(F956,[1]!china_towns_second__2[[Column1]:[Y]],2,FALSE)</f>
        <v>117.978059</v>
      </c>
      <c r="L956" t="s">
        <v>5789</v>
      </c>
      <c r="M956" t="str">
        <f>VLOOKUP(H956,CHOOSE({1,2},Table17[Native],Table17[Name]),2,0)</f>
        <v>Mĕngyīn Xiàn</v>
      </c>
      <c r="N956" s="15" t="str">
        <f>VLOOKUP(I956,CHOOSE({1,2},Table17[Native],Table17[Name]),2,0)</f>
        <v>Línyí Shì</v>
      </c>
      <c r="O956" s="15" t="str">
        <f t="shared" si="28"/>
        <v>Mengyin Jiedao (Línyí Shì)</v>
      </c>
      <c r="P956" s="15" t="str">
        <f t="shared" si="29"/>
        <v>Mengyin Jiedao (Línyí Shì)</v>
      </c>
    </row>
    <row r="957" spans="1:16" hidden="1" x14ac:dyDescent="0.25">
      <c r="A957" t="s">
        <v>3192</v>
      </c>
      <c r="B957" t="str">
        <f>IF(COUNTIF(A:A,A957)&gt;1,_xlfn.CONCAT(A957," (",N957,")"),A957)</f>
        <v>Mèngzhī Jiēdào</v>
      </c>
      <c r="C957" t="str">
        <f>IF(COUNTIF(B:B,B957)&gt;1,_xlfn.CONCAT(A957," (",M957,")"),B957)</f>
        <v>Mèngzhī Jiēdào</v>
      </c>
      <c r="D957" t="s">
        <v>3193</v>
      </c>
      <c r="E957" t="s">
        <v>7</v>
      </c>
      <c r="F957" t="str">
        <f>_xlfn.CONCAT(D957,", ",H957,", ",I957,", ","山东省")</f>
        <v>梦芝街道, 招远市, 烟台市, 山东省</v>
      </c>
      <c r="G957">
        <v>26403</v>
      </c>
      <c r="H957" t="s">
        <v>3781</v>
      </c>
      <c r="I957" t="s">
        <v>3771</v>
      </c>
      <c r="J957">
        <f>VLOOKUP(F957,[1]!china_towns_second__2[[Column1]:[Y]],3,FALSE)</f>
        <v>37.381678028215497</v>
      </c>
      <c r="K957">
        <f>VLOOKUP(F957,[1]!china_towns_second__2[[Column1]:[Y]],2,FALSE)</f>
        <v>120.3657438</v>
      </c>
      <c r="L957" t="s">
        <v>5790</v>
      </c>
      <c r="M957" t="str">
        <f>VLOOKUP(H957,CHOOSE({1,2},Table17[Native],Table17[Name]),2,0)</f>
        <v>Zhāoyuăn Shì</v>
      </c>
      <c r="N957" s="15" t="str">
        <f>VLOOKUP(I957,CHOOSE({1,2},Table17[Native],Table17[Name]),2,0)</f>
        <v>Yāntái Shì</v>
      </c>
      <c r="O957" s="15" t="str">
        <f t="shared" si="28"/>
        <v>Mengzhi Jiedao (Yāntái Shì)</v>
      </c>
      <c r="P957" s="15" t="str">
        <f t="shared" si="29"/>
        <v>Mengzhi Jiedao (Yāntái Shì)</v>
      </c>
    </row>
    <row r="958" spans="1:16" hidden="1" x14ac:dyDescent="0.25">
      <c r="A958" t="s">
        <v>3405</v>
      </c>
      <c r="B958" t="str">
        <f>IF(COUNTIF(A:A,A958)&gt;1,_xlfn.CONCAT(A958," (",N958,")"),A958)</f>
        <v>Mèngzhuāng Zhèn</v>
      </c>
      <c r="C958" t="str">
        <f>IF(COUNTIF(B:B,B958)&gt;1,_xlfn.CONCAT(A958," (",M958,")"),B958)</f>
        <v>Mèngzhuāng Zhèn</v>
      </c>
      <c r="D958" t="s">
        <v>3406</v>
      </c>
      <c r="E958" t="s">
        <v>13</v>
      </c>
      <c r="F958" t="str">
        <f>_xlfn.CONCAT(D958,", ",H958,", ",I958,", ","山东省")</f>
        <v>孟庄镇, 市中区, 枣庄市, 山东省</v>
      </c>
      <c r="G958">
        <v>30184</v>
      </c>
      <c r="H958" t="s">
        <v>3683</v>
      </c>
      <c r="I958" t="s">
        <v>3784</v>
      </c>
      <c r="J958">
        <f>VLOOKUP(F958,[1]!china_towns_second__2[[Column1]:[Y]],3,FALSE)</f>
        <v>34.912763540140098</v>
      </c>
      <c r="K958">
        <f>VLOOKUP(F958,[1]!china_towns_second__2[[Column1]:[Y]],2,FALSE)</f>
        <v>117.649846</v>
      </c>
      <c r="L958" t="s">
        <v>5791</v>
      </c>
      <c r="M958" t="str">
        <f>VLOOKUP(H958,CHOOSE({1,2},Table17[Native],Table17[Name]),2,0)</f>
        <v>Shìzhōng Qū</v>
      </c>
      <c r="N958" s="15" t="str">
        <f>VLOOKUP(I958,CHOOSE({1,2},Table17[Native],Table17[Name]),2,0)</f>
        <v>Zăozhuāng Shì</v>
      </c>
      <c r="O958" s="15" t="str">
        <f t="shared" si="28"/>
        <v>Mengzhuang Zhen (Zăozhuāng Shì)</v>
      </c>
      <c r="P958" s="15" t="str">
        <f t="shared" si="29"/>
        <v>Mengzhuang Zhen (Zăozhuāng Shì)</v>
      </c>
    </row>
    <row r="959" spans="1:16" hidden="1" x14ac:dyDescent="0.25">
      <c r="A959" t="s">
        <v>3194</v>
      </c>
      <c r="B959" t="str">
        <f>IF(COUNTIF(A:A,A959)&gt;1,_xlfn.CONCAT(A959," (",N959,")"),A959)</f>
        <v>Ménlóu Jiēdào</v>
      </c>
      <c r="C959" t="str">
        <f>IF(COUNTIF(B:B,B959)&gt;1,_xlfn.CONCAT(A959," (",M959,")"),B959)</f>
        <v>Ménlóu Jiēdào</v>
      </c>
      <c r="D959" t="s">
        <v>3195</v>
      </c>
      <c r="E959" t="s">
        <v>7</v>
      </c>
      <c r="F959" t="str">
        <f>_xlfn.CONCAT(D959,", ",H959,", ",I959,", ","山东省")</f>
        <v>门楼街道, 福山区, 烟台市, 山东省</v>
      </c>
      <c r="G959">
        <v>48423</v>
      </c>
      <c r="H959" t="s">
        <v>3772</v>
      </c>
      <c r="I959" t="s">
        <v>3771</v>
      </c>
      <c r="J959">
        <f>VLOOKUP(F959,[1]!china_towns_second__2[[Column1]:[Y]],3,FALSE)</f>
        <v>37.411116346155801</v>
      </c>
      <c r="K959">
        <f>VLOOKUP(F959,[1]!china_towns_second__2[[Column1]:[Y]],2,FALSE)</f>
        <v>121.2701045</v>
      </c>
      <c r="L959" t="s">
        <v>5792</v>
      </c>
      <c r="M959" t="str">
        <f>VLOOKUP(H959,CHOOSE({1,2},Table17[Native],Table17[Name]),2,0)</f>
        <v>Fúshān Qū</v>
      </c>
      <c r="N959" s="15" t="str">
        <f>VLOOKUP(I959,CHOOSE({1,2},Table17[Native],Table17[Name]),2,0)</f>
        <v>Yāntái Shì</v>
      </c>
      <c r="O959" s="15" t="str">
        <f t="shared" si="28"/>
        <v>Menlou Jiedao (Yāntái Shì)</v>
      </c>
      <c r="P959" s="15" t="str">
        <f t="shared" si="29"/>
        <v>Menlou Jiedao (Yāntái Shì)</v>
      </c>
    </row>
    <row r="960" spans="1:16" hidden="1" x14ac:dyDescent="0.25">
      <c r="A960" t="s">
        <v>338</v>
      </c>
      <c r="B960" t="str">
        <f>IF(COUNTIF(A:A,A960)&gt;1,_xlfn.CONCAT(A960," (",N960,")"),A960)</f>
        <v>Mí Zhèn</v>
      </c>
      <c r="C960" t="str">
        <f>IF(COUNTIF(B:B,B960)&gt;1,_xlfn.CONCAT(A960," (",M960,")"),B960)</f>
        <v>Mí Zhèn</v>
      </c>
      <c r="D960" t="s">
        <v>339</v>
      </c>
      <c r="E960" t="s">
        <v>13</v>
      </c>
      <c r="F960" t="str">
        <f>_xlfn.CONCAT(D960,", ",H960,", ",I960,", ","山东省")</f>
        <v>糜镇, 陵城区, 德州市, 山东省</v>
      </c>
      <c r="G960">
        <v>47903</v>
      </c>
      <c r="H960" t="s">
        <v>3645</v>
      </c>
      <c r="I960" t="s">
        <v>3642</v>
      </c>
      <c r="J960">
        <f>VLOOKUP(F960,[1]!china_towns_second__2[[Column1]:[Y]],3,FALSE)</f>
        <v>37.452521127073801</v>
      </c>
      <c r="K960">
        <f>VLOOKUP(F960,[1]!china_towns_second__2[[Column1]:[Y]],2,FALSE)</f>
        <v>116.8448726</v>
      </c>
      <c r="L960" t="s">
        <v>5793</v>
      </c>
      <c r="M960" t="str">
        <f>VLOOKUP(H960,CHOOSE({1,2},Table17[Native],Table17[Name]),2,0)</f>
        <v>Língchéng Qū</v>
      </c>
      <c r="N960" s="15" t="str">
        <f>VLOOKUP(I960,CHOOSE({1,2},Table17[Native],Table17[Name]),2,0)</f>
        <v>Dézhōu Shì</v>
      </c>
      <c r="O960" s="15" t="str">
        <f t="shared" si="28"/>
        <v>Mi Zhen (Dézhōu Shì)</v>
      </c>
      <c r="P960" s="15" t="str">
        <f t="shared" si="29"/>
        <v>Mi Zhen (Dézhōu Shì)</v>
      </c>
    </row>
    <row r="961" spans="1:16" hidden="1" x14ac:dyDescent="0.25">
      <c r="A961" t="s">
        <v>1380</v>
      </c>
      <c r="B961" t="str">
        <f>IF(COUNTIF(A:A,A961)&gt;1,_xlfn.CONCAT(A961," (",N961,")"),A961)</f>
        <v>Miáoguăn Zhèn</v>
      </c>
      <c r="C961" t="str">
        <f>IF(COUNTIF(B:B,B961)&gt;1,_xlfn.CONCAT(A961," (",M961,")"),B961)</f>
        <v>Miáoguăn Zhèn</v>
      </c>
      <c r="D961" t="s">
        <v>1381</v>
      </c>
      <c r="E961" t="s">
        <v>13</v>
      </c>
      <c r="F961" t="str">
        <f>_xlfn.CONCAT(D961,", ",H961,", ",I961,", ","山东省")</f>
        <v>苗馆镇, 泗水县, 济宁市, 山东省</v>
      </c>
      <c r="G961">
        <v>44700</v>
      </c>
      <c r="H961" t="s">
        <v>3693</v>
      </c>
      <c r="I961" t="s">
        <v>3687</v>
      </c>
      <c r="J961">
        <f>VLOOKUP(F961,[1]!china_towns_second__2[[Column1]:[Y]],3,FALSE)</f>
        <v>35.608170640822003</v>
      </c>
      <c r="K961">
        <f>VLOOKUP(F961,[1]!china_towns_second__2[[Column1]:[Y]],2,FALSE)</f>
        <v>117.40115779999999</v>
      </c>
      <c r="L961" t="s">
        <v>5794</v>
      </c>
      <c r="M961" t="str">
        <f>VLOOKUP(H961,CHOOSE({1,2},Table17[Native],Table17[Name]),2,0)</f>
        <v>Sìshuĭ Xiàn</v>
      </c>
      <c r="N961" s="15" t="str">
        <f>VLOOKUP(I961,CHOOSE({1,2},Table17[Native],Table17[Name]),2,0)</f>
        <v>Jìníng Shì</v>
      </c>
      <c r="O961" s="15" t="str">
        <f t="shared" si="28"/>
        <v>Miaoguan Zhen (Jìníng Shì)</v>
      </c>
      <c r="P961" s="15" t="str">
        <f t="shared" si="29"/>
        <v>Miaoguan Zhen (Jìníng Shì)</v>
      </c>
    </row>
    <row r="962" spans="1:16" hidden="1" x14ac:dyDescent="0.25">
      <c r="A962" t="s">
        <v>3196</v>
      </c>
      <c r="B962" t="str">
        <f>IF(COUNTIF(A:A,A962)&gt;1,_xlfn.CONCAT(A962," (",N962,")"),A962)</f>
        <v>Miàohòu Zhèn</v>
      </c>
      <c r="C962" t="str">
        <f>IF(COUNTIF(B:B,B962)&gt;1,_xlfn.CONCAT(A962," (",M962,")"),B962)</f>
        <v>Miàohòu Zhèn</v>
      </c>
      <c r="D962" t="s">
        <v>3197</v>
      </c>
      <c r="E962" t="s">
        <v>13</v>
      </c>
      <c r="F962" t="str">
        <f>_xlfn.CONCAT(D962,", ",H962,", ",I962,", ","山东省")</f>
        <v>庙后镇, 栖霞市, 烟台市, 山东省</v>
      </c>
      <c r="G962">
        <v>17795</v>
      </c>
      <c r="H962" t="s">
        <v>3780</v>
      </c>
      <c r="I962" t="s">
        <v>3771</v>
      </c>
      <c r="J962">
        <f>VLOOKUP(F962,[1]!china_towns_second__2[[Column1]:[Y]],3,FALSE)</f>
        <v>37.360638585156302</v>
      </c>
      <c r="K962">
        <f>VLOOKUP(F962,[1]!china_towns_second__2[[Column1]:[Y]],2,FALSE)</f>
        <v>121.0801318</v>
      </c>
      <c r="L962" t="s">
        <v>5795</v>
      </c>
      <c r="M962" t="str">
        <f>VLOOKUP(H962,CHOOSE({1,2},Table17[Native],Table17[Name]),2,0)</f>
        <v>Qīxiá Shì</v>
      </c>
      <c r="N962" s="15" t="str">
        <f>VLOOKUP(I962,CHOOSE({1,2},Table17[Native],Table17[Name]),2,0)</f>
        <v>Yāntái Shì</v>
      </c>
      <c r="O962" s="15" t="str">
        <f t="shared" ref="O962:O1025" si="30">_xlfn.CONCAT(L962," (",N962,")")</f>
        <v>Miaohou Zhen (Yāntái Shì)</v>
      </c>
      <c r="P962" s="15" t="str">
        <f t="shared" ref="P962:P1025" si="31">IF(COUNTIF(O:O,O962)&gt;1,_xlfn.CONCAT(L962," (",M962,")"),O962)</f>
        <v>Miaohou Zhen (Yāntái Shì)</v>
      </c>
    </row>
    <row r="963" spans="1:16" x14ac:dyDescent="0.25">
      <c r="A963" t="s">
        <v>1064</v>
      </c>
      <c r="B963" t="str">
        <f>IF(COUNTIF(A:A,A963)&gt;1,_xlfn.CONCAT(A963," (",N963,")"),A963)</f>
        <v>Miáoshān Zhèn</v>
      </c>
      <c r="C963" t="str">
        <f>IF(COUNTIF(B:B,B963)&gt;1,_xlfn.CONCAT(A963," (",M963,")"),B963)</f>
        <v>Miáoshān Zhèn</v>
      </c>
      <c r="D963" t="s">
        <v>1065</v>
      </c>
      <c r="E963" t="s">
        <v>13</v>
      </c>
      <c r="F963" t="str">
        <f>_xlfn.CONCAT(D963,", ",H963,", ",I963,", ","山东省")</f>
        <v>苗山镇, 莱芜区, 济南市, 山东省</v>
      </c>
      <c r="G963">
        <v>47195</v>
      </c>
      <c r="H963" t="s">
        <v>3678</v>
      </c>
      <c r="I963" t="s">
        <v>3673</v>
      </c>
      <c r="J963">
        <f>VLOOKUP(F963,[1]!china_towns_second__2[[Column1]:[Y]],3,FALSE)</f>
        <v>36.316110999999999</v>
      </c>
      <c r="K963">
        <f>VLOOKUP(F963,[1]!china_towns_second__2[[Column1]:[Y]],2,FALSE)</f>
        <v>117.794167</v>
      </c>
      <c r="L963" t="s">
        <v>5796</v>
      </c>
      <c r="M963" t="str">
        <f>VLOOKUP(H963,CHOOSE({1,2},Table17[Native],Table17[Name]),2,0)</f>
        <v>Láiwú Qū</v>
      </c>
      <c r="N963" s="15" t="str">
        <f>VLOOKUP(I963,CHOOSE({1,2},Table17[Native],Table17[Name]),2,0)</f>
        <v>Jìnán Shì</v>
      </c>
      <c r="O963" s="15" t="str">
        <f t="shared" si="30"/>
        <v>Miaoshan Zhen (Jìnán Shì)</v>
      </c>
      <c r="P963" s="15" t="str">
        <f t="shared" si="31"/>
        <v>Miaoshan Zhen (Jìnán Shì)</v>
      </c>
    </row>
    <row r="964" spans="1:16" x14ac:dyDescent="0.25">
      <c r="A964" t="s">
        <v>1960</v>
      </c>
      <c r="B964" t="str">
        <f>IF(COUNTIF(A:A,A964)&gt;1,_xlfn.CONCAT(A964," (",N964,")"),A964)</f>
        <v>Miàoshān Zhèn</v>
      </c>
      <c r="C964" t="str">
        <f>IF(COUNTIF(B:B,B964)&gt;1,_xlfn.CONCAT(A964," (",M964,")"),B964)</f>
        <v>Miàoshān Zhèn</v>
      </c>
      <c r="D964" t="s">
        <v>1961</v>
      </c>
      <c r="E964" t="s">
        <v>13</v>
      </c>
      <c r="F964" t="str">
        <f>_xlfn.CONCAT(D964,", ",H964,", ",I964,", ","山东省")</f>
        <v>庙山镇, 郯城县, 临沂市, 山东省</v>
      </c>
      <c r="G964">
        <v>45356</v>
      </c>
      <c r="H964" t="s">
        <v>3720</v>
      </c>
      <c r="I964" t="s">
        <v>3710</v>
      </c>
      <c r="J964">
        <f>VLOOKUP(F964,[1]!china_towns_second__2[[Column1]:[Y]],3,FALSE)</f>
        <v>34.7490254592281</v>
      </c>
      <c r="K964">
        <f>VLOOKUP(F964,[1]!china_towns_second__2[[Column1]:[Y]],2,FALSE)</f>
        <v>118.3421804</v>
      </c>
      <c r="L964" t="s">
        <v>5796</v>
      </c>
      <c r="M964" t="str">
        <f>VLOOKUP(H964,CHOOSE({1,2},Table17[Native],Table17[Name]),2,0)</f>
        <v>Tánchéng Xiàn</v>
      </c>
      <c r="N964" s="15" t="str">
        <f>VLOOKUP(I964,CHOOSE({1,2},Table17[Native],Table17[Name]),2,0)</f>
        <v>Línyí Shì</v>
      </c>
      <c r="O964" s="15" t="str">
        <f t="shared" si="30"/>
        <v>Miaoshan Zhen (Línyí Shì)</v>
      </c>
      <c r="P964" s="15" t="str">
        <f t="shared" si="31"/>
        <v>Miaoshan Zhen (Línyí Shì)</v>
      </c>
    </row>
    <row r="965" spans="1:16" hidden="1" x14ac:dyDescent="0.25">
      <c r="A965" t="s">
        <v>2793</v>
      </c>
      <c r="B965" t="str">
        <f>IF(COUNTIF(A:A,A965)&gt;1,_xlfn.CONCAT(A965," (",N965,")"),A965)</f>
        <v>Miàozi Zhèn</v>
      </c>
      <c r="C965" t="str">
        <f>IF(COUNTIF(B:B,B965)&gt;1,_xlfn.CONCAT(A965," (",M965,")"),B965)</f>
        <v>Miàozi Zhèn</v>
      </c>
      <c r="D965" t="s">
        <v>2794</v>
      </c>
      <c r="E965" t="s">
        <v>13</v>
      </c>
      <c r="F965" t="str">
        <f>_xlfn.CONCAT(D965,", ",H965,", ",I965,", ","山东省")</f>
        <v>庙子镇, 青州市, 潍坊市, 山东省</v>
      </c>
      <c r="G965">
        <v>38147</v>
      </c>
      <c r="H965" t="s">
        <v>3760</v>
      </c>
      <c r="I965" t="s">
        <v>3751</v>
      </c>
      <c r="J965">
        <f>VLOOKUP(F965,[1]!china_towns_second__2[[Column1]:[Y]],3,FALSE)</f>
        <v>36.560347259961901</v>
      </c>
      <c r="K965">
        <f>VLOOKUP(F965,[1]!china_towns_second__2[[Column1]:[Y]],2,FALSE)</f>
        <v>118.2412163</v>
      </c>
      <c r="L965" t="s">
        <v>5797</v>
      </c>
      <c r="M965" t="str">
        <f>VLOOKUP(H965,CHOOSE({1,2},Table17[Native],Table17[Name]),2,0)</f>
        <v>Qīngzhōu Shì</v>
      </c>
      <c r="N965" s="15" t="str">
        <f>VLOOKUP(I965,CHOOSE({1,2},Table17[Native],Table17[Name]),2,0)</f>
        <v>Wéifāng Shì</v>
      </c>
      <c r="O965" s="15" t="str">
        <f t="shared" si="30"/>
        <v>Miaozi Zhen (Wéifāng Shì)</v>
      </c>
      <c r="P965" s="15" t="str">
        <f t="shared" si="31"/>
        <v>Miaozi Zhen (Wéifāng Shì)</v>
      </c>
    </row>
    <row r="966" spans="1:16" hidden="1" x14ac:dyDescent="0.25">
      <c r="A966" t="s">
        <v>2795</v>
      </c>
      <c r="B966" t="str">
        <f>IF(COUNTIF(A:A,A966)&gt;1,_xlfn.CONCAT(A966," (",N966,")"),A966)</f>
        <v>Míhé Zhèn</v>
      </c>
      <c r="C966" t="str">
        <f>IF(COUNTIF(B:B,B966)&gt;1,_xlfn.CONCAT(A966," (",M966,")"),B966)</f>
        <v>Míhé Zhèn</v>
      </c>
      <c r="D966" t="s">
        <v>2796</v>
      </c>
      <c r="E966" t="s">
        <v>13</v>
      </c>
      <c r="F966" t="str">
        <f>_xlfn.CONCAT(D966,", ",H966,", ",I966,", ","山东省")</f>
        <v>弥河镇, 青州市, 潍坊市, 山东省</v>
      </c>
      <c r="G966">
        <v>49545</v>
      </c>
      <c r="H966" t="s">
        <v>3760</v>
      </c>
      <c r="I966" t="s">
        <v>3751</v>
      </c>
      <c r="J966">
        <f>VLOOKUP(F966,[1]!china_towns_second__2[[Column1]:[Y]],3,FALSE)</f>
        <v>36.594826467762999</v>
      </c>
      <c r="K966">
        <f>VLOOKUP(F966,[1]!china_towns_second__2[[Column1]:[Y]],2,FALSE)</f>
        <v>118.52235520000001</v>
      </c>
      <c r="L966" t="s">
        <v>5798</v>
      </c>
      <c r="M966" t="str">
        <f>VLOOKUP(H966,CHOOSE({1,2},Table17[Native],Table17[Name]),2,0)</f>
        <v>Qīngzhōu Shì</v>
      </c>
      <c r="N966" s="15" t="str">
        <f>VLOOKUP(I966,CHOOSE({1,2},Table17[Native],Table17[Name]),2,0)</f>
        <v>Wéifāng Shì</v>
      </c>
      <c r="O966" s="15" t="str">
        <f t="shared" si="30"/>
        <v>Mihe Zhen (Wéifāng Shì)</v>
      </c>
      <c r="P966" s="15" t="str">
        <f t="shared" si="31"/>
        <v>Mihe Zhen (Wéifāng Shì)</v>
      </c>
    </row>
    <row r="967" spans="1:16" hidden="1" x14ac:dyDescent="0.25">
      <c r="A967" t="s">
        <v>2274</v>
      </c>
      <c r="B967" t="str">
        <f>IF(COUNTIF(A:A,A967)&gt;1,_xlfn.CONCAT(A967," (",N967,")"),A967)</f>
        <v>Míngcūn Zhèn</v>
      </c>
      <c r="C967" t="str">
        <f>IF(COUNTIF(B:B,B967)&gt;1,_xlfn.CONCAT(A967," (",M967,")"),B967)</f>
        <v>Míngcūn Zhèn</v>
      </c>
      <c r="D967" t="s">
        <v>2275</v>
      </c>
      <c r="E967" t="s">
        <v>13</v>
      </c>
      <c r="F967" t="str">
        <f>_xlfn.CONCAT(D967,", ",H967,", ",I967,", ","山东省")</f>
        <v>明村镇, 平度市, 青岛市, 山东省</v>
      </c>
      <c r="G967">
        <v>53926</v>
      </c>
      <c r="H967" t="s">
        <v>3732</v>
      </c>
      <c r="I967" t="s">
        <v>3724</v>
      </c>
      <c r="J967">
        <f>VLOOKUP(F967,[1]!china_towns_second__2[[Column1]:[Y]],3,FALSE)</f>
        <v>36.746827954051597</v>
      </c>
      <c r="K967">
        <f>VLOOKUP(F967,[1]!china_towns_second__2[[Column1]:[Y]],2,FALSE)</f>
        <v>119.6261073</v>
      </c>
      <c r="L967" t="s">
        <v>5799</v>
      </c>
      <c r="M967" t="str">
        <f>VLOOKUP(H967,CHOOSE({1,2},Table17[Native],Table17[Name]),2,0)</f>
        <v>Píngdù Shì</v>
      </c>
      <c r="N967" s="15" t="str">
        <f>VLOOKUP(I967,CHOOSE({1,2},Table17[Native],Table17[Name]),2,0)</f>
        <v>Qīngdăo Shì</v>
      </c>
      <c r="O967" s="15" t="str">
        <f t="shared" si="30"/>
        <v>Mingcun Zhen (Qīngdăo Shì)</v>
      </c>
      <c r="P967" s="15" t="str">
        <f t="shared" si="31"/>
        <v>Mingcun Zhen (Qīngdăo Shì)</v>
      </c>
    </row>
    <row r="968" spans="1:16" hidden="1" x14ac:dyDescent="0.25">
      <c r="A968" t="s">
        <v>541</v>
      </c>
      <c r="B968" t="str">
        <f>IF(COUNTIF(A:A,A968)&gt;1,_xlfn.CONCAT(A968," (",N968,")"),A968)</f>
        <v>Míngjí Xiāng</v>
      </c>
      <c r="C968" t="str">
        <f>IF(COUNTIF(B:B,B968)&gt;1,_xlfn.CONCAT(A968," (",M968,")"),B968)</f>
        <v>Míngjí Xiāng</v>
      </c>
      <c r="D968" t="s">
        <v>542</v>
      </c>
      <c r="E968" t="s">
        <v>61</v>
      </c>
      <c r="F968" t="str">
        <f>_xlfn.CONCAT(D968,", ",H968,", ",I968,", ","山东省")</f>
        <v>明集乡, 利津县, 东营市, 山东省</v>
      </c>
      <c r="G968">
        <v>15893</v>
      </c>
      <c r="H968" t="s">
        <v>3660</v>
      </c>
      <c r="I968" t="s">
        <v>3655</v>
      </c>
      <c r="J968" t="e">
        <f>VLOOKUP(F968,[1]!china_towns_second__2[[Column1]:[Y]],3,FALSE)</f>
        <v>#N/A</v>
      </c>
      <c r="K968" t="e">
        <f>VLOOKUP(F968,[1]!china_towns_second__2[[Column1]:[Y]],2,FALSE)</f>
        <v>#N/A</v>
      </c>
      <c r="L968" t="s">
        <v>5800</v>
      </c>
      <c r="M968" t="str">
        <f>VLOOKUP(H968,CHOOSE({1,2},Table17[Native],Table17[Name]),2,0)</f>
        <v>Lìjīn Xiàn</v>
      </c>
      <c r="N968" s="15" t="str">
        <f>VLOOKUP(I968,CHOOSE({1,2},Table17[Native],Table17[Name]),2,0)</f>
        <v>Dōngyíng Shì</v>
      </c>
      <c r="O968" s="15" t="str">
        <f t="shared" si="30"/>
        <v>Mingji Xiang (Dōngyíng Shì)</v>
      </c>
      <c r="P968" s="15" t="str">
        <f t="shared" si="31"/>
        <v>Mingji Xiang (Dōngyíng Shì)</v>
      </c>
    </row>
    <row r="969" spans="1:16" hidden="1" x14ac:dyDescent="0.25">
      <c r="A969" t="s">
        <v>117</v>
      </c>
      <c r="B969" t="str">
        <f>IF(COUNTIF(A:A,A969)&gt;1,_xlfn.CONCAT(A969," (",N969,")"),A969)</f>
        <v>Míngjí Zhèn</v>
      </c>
      <c r="C969" t="str">
        <f>IF(COUNTIF(B:B,B969)&gt;1,_xlfn.CONCAT(A969," (",M969,")"),B969)</f>
        <v>Míngjí Zhèn</v>
      </c>
      <c r="D969" t="s">
        <v>118</v>
      </c>
      <c r="E969" t="s">
        <v>13</v>
      </c>
      <c r="F969" t="str">
        <f>_xlfn.CONCAT(D969,", ",H969,", ",I969,", ","山东省")</f>
        <v>明集镇, 邹平市, 滨州市, 山东省</v>
      </c>
      <c r="G969">
        <v>35287</v>
      </c>
      <c r="H969" t="s">
        <v>3640</v>
      </c>
      <c r="I969" t="s">
        <v>3630</v>
      </c>
      <c r="J969">
        <f>VLOOKUP(F969,[1]!china_towns_second__2[[Column1]:[Y]],3,FALSE)</f>
        <v>36.9308449386969</v>
      </c>
      <c r="K969">
        <f>VLOOKUP(F969,[1]!china_towns_second__2[[Column1]:[Y]],2,FALSE)</f>
        <v>117.6128331</v>
      </c>
      <c r="L969" t="s">
        <v>5801</v>
      </c>
      <c r="M969" t="str">
        <f>VLOOKUP(H969,CHOOSE({1,2},Table17[Native],Table17[Name]),2,0)</f>
        <v>Zōupíng Shì</v>
      </c>
      <c r="N969" s="15" t="str">
        <f>VLOOKUP(I969,CHOOSE({1,2},Table17[Native],Table17[Name]),2,0)</f>
        <v>Bīnzhōu Shì</v>
      </c>
      <c r="O969" s="15" t="str">
        <f t="shared" si="30"/>
        <v>Mingji Zhen (Bīnzhōu Shì)</v>
      </c>
      <c r="P969" s="15" t="str">
        <f t="shared" si="31"/>
        <v>Mingji Zhen (Bīnzhōu Shì)</v>
      </c>
    </row>
    <row r="970" spans="1:16" hidden="1" x14ac:dyDescent="0.25">
      <c r="A970" t="s">
        <v>1066</v>
      </c>
      <c r="B970" t="str">
        <f>IF(COUNTIF(A:A,A970)&gt;1,_xlfn.CONCAT(A970," (",N970,")"),A970)</f>
        <v>Míngshuĭ Jiēdào</v>
      </c>
      <c r="C970" t="str">
        <f>IF(COUNTIF(B:B,B970)&gt;1,_xlfn.CONCAT(A970," (",M970,")"),B970)</f>
        <v>Míngshuĭ Jiēdào</v>
      </c>
      <c r="D970" t="s">
        <v>1067</v>
      </c>
      <c r="E970" t="s">
        <v>7</v>
      </c>
      <c r="F970" t="str">
        <f>_xlfn.CONCAT(D970,", ",H970,", ",I970,", ","山东省")</f>
        <v>明水街道, 章丘区, 济南市, 山东省</v>
      </c>
      <c r="G970">
        <v>163072</v>
      </c>
      <c r="H970" t="s">
        <v>3685</v>
      </c>
      <c r="I970" t="s">
        <v>3673</v>
      </c>
      <c r="J970">
        <f>VLOOKUP(F970,[1]!china_towns_second__2[[Column1]:[Y]],3,FALSE)</f>
        <v>36.740208868700499</v>
      </c>
      <c r="K970">
        <f>VLOOKUP(F970,[1]!china_towns_second__2[[Column1]:[Y]],2,FALSE)</f>
        <v>117.5244455</v>
      </c>
      <c r="L970" t="s">
        <v>5802</v>
      </c>
      <c r="M970" t="str">
        <f>VLOOKUP(H970,CHOOSE({1,2},Table17[Native],Table17[Name]),2,0)</f>
        <v>Zhāngqiū Qū</v>
      </c>
      <c r="N970" s="15" t="str">
        <f>VLOOKUP(I970,CHOOSE({1,2},Table17[Native],Table17[Name]),2,0)</f>
        <v>Jìnán Shì</v>
      </c>
      <c r="O970" s="15" t="str">
        <f t="shared" si="30"/>
        <v>Mingshui Jiedao (Jìnán Shì)</v>
      </c>
      <c r="P970" s="15" t="str">
        <f t="shared" si="31"/>
        <v>Mingshui Jiedao (Jìnán Shì)</v>
      </c>
    </row>
    <row r="971" spans="1:16" hidden="1" x14ac:dyDescent="0.25">
      <c r="A971" t="s">
        <v>2958</v>
      </c>
      <c r="B971" t="str">
        <f>IF(COUNTIF(A:A,A971)&gt;1,_xlfn.CONCAT(A971," (",N971,")"),A971)</f>
        <v>Mĭshān Zhèn</v>
      </c>
      <c r="C971" t="str">
        <f>IF(COUNTIF(B:B,B971)&gt;1,_xlfn.CONCAT(A971," (",M971,")"),B971)</f>
        <v>Mĭshān Zhèn</v>
      </c>
      <c r="D971" t="s">
        <v>2959</v>
      </c>
      <c r="E971" t="s">
        <v>13</v>
      </c>
      <c r="F971" t="str">
        <f>_xlfn.CONCAT(D971,", ",H971,", ",I971,", ","山东省")</f>
        <v>米山镇, 文登区, 威海市, 山东省</v>
      </c>
      <c r="G971">
        <v>25428</v>
      </c>
      <c r="H971" t="s">
        <v>3769</v>
      </c>
      <c r="I971" t="s">
        <v>3765</v>
      </c>
      <c r="J971">
        <f>VLOOKUP(F971,[1]!china_towns_second__2[[Column1]:[Y]],3,FALSE)</f>
        <v>37.160955338261999</v>
      </c>
      <c r="K971">
        <f>VLOOKUP(F971,[1]!china_towns_second__2[[Column1]:[Y]],2,FALSE)</f>
        <v>121.9349237</v>
      </c>
      <c r="L971" t="s">
        <v>5803</v>
      </c>
      <c r="M971" t="str">
        <f>VLOOKUP(H971,CHOOSE({1,2},Table17[Native],Table17[Name]),2,0)</f>
        <v>Wéndēng Qū</v>
      </c>
      <c r="N971" s="15" t="str">
        <f>VLOOKUP(I971,CHOOSE({1,2},Table17[Native],Table17[Name]),2,0)</f>
        <v>Wēihăi Shì</v>
      </c>
      <c r="O971" s="15" t="str">
        <f t="shared" si="30"/>
        <v>Mishan Zhen (Wēihăi Shì)</v>
      </c>
      <c r="P971" s="15" t="str">
        <f t="shared" si="31"/>
        <v>Mishan Zhen (Wēihăi Shì)</v>
      </c>
    </row>
    <row r="972" spans="1:16" hidden="1" x14ac:dyDescent="0.25">
      <c r="A972" t="s">
        <v>2797</v>
      </c>
      <c r="B972" t="str">
        <f>IF(COUNTIF(A:A,A972)&gt;1,_xlfn.CONCAT(A972," (",N972,")"),A972)</f>
        <v>Mìzhōu Jiēdào</v>
      </c>
      <c r="C972" t="str">
        <f>IF(COUNTIF(B:B,B972)&gt;1,_xlfn.CONCAT(A972," (",M972,")"),B972)</f>
        <v>Mìzhōu Jiēdào</v>
      </c>
      <c r="D972" t="s">
        <v>2798</v>
      </c>
      <c r="E972" t="s">
        <v>7</v>
      </c>
      <c r="F972" t="str">
        <f>_xlfn.CONCAT(D972,", ",H972,", ",I972,", ","山东省")</f>
        <v>密州街道, 诸城市, 潍坊市, 山东省</v>
      </c>
      <c r="G972">
        <v>214252</v>
      </c>
      <c r="H972" t="s">
        <v>3763</v>
      </c>
      <c r="I972" t="s">
        <v>3751</v>
      </c>
      <c r="J972">
        <f>VLOOKUP(F972,[1]!china_towns_second__2[[Column1]:[Y]],3,FALSE)</f>
        <v>35.988842920755999</v>
      </c>
      <c r="K972">
        <f>VLOOKUP(F972,[1]!china_towns_second__2[[Column1]:[Y]],2,FALSE)</f>
        <v>119.47342930000001</v>
      </c>
      <c r="L972" t="s">
        <v>5804</v>
      </c>
      <c r="M972" t="str">
        <f>VLOOKUP(H972,CHOOSE({1,2},Table17[Native],Table17[Name]),2,0)</f>
        <v>Zhūchéng Shì</v>
      </c>
      <c r="N972" s="15" t="str">
        <f>VLOOKUP(I972,CHOOSE({1,2},Table17[Native],Table17[Name]),2,0)</f>
        <v>Wéifāng Shì</v>
      </c>
      <c r="O972" s="15" t="str">
        <f t="shared" si="30"/>
        <v>Mizhou Jiedao (Wéifāng Shì)</v>
      </c>
      <c r="P972" s="15" t="str">
        <f t="shared" si="31"/>
        <v>Mizhou Jiedao (Wéifāng Shì)</v>
      </c>
    </row>
    <row r="973" spans="1:16" hidden="1" x14ac:dyDescent="0.25">
      <c r="A973" t="s">
        <v>1962</v>
      </c>
      <c r="B973" t="str">
        <f>IF(COUNTIF(A:A,A973)&gt;1,_xlfn.CONCAT(A973," (",N973,")"),A973)</f>
        <v>Móshān Zhèn</v>
      </c>
      <c r="C973" t="str">
        <f>IF(COUNTIF(B:B,B973)&gt;1,_xlfn.CONCAT(A973," (",M973,")"),B973)</f>
        <v>Móshān Zhèn</v>
      </c>
      <c r="D973" t="s">
        <v>1963</v>
      </c>
      <c r="E973" t="s">
        <v>13</v>
      </c>
      <c r="F973" t="str">
        <f>_xlfn.CONCAT(D973,", ",H973,", ",I973,", ","山东省")</f>
        <v>磨山镇, 兰陵县, 临沂市, 山东省</v>
      </c>
      <c r="G973">
        <v>65691</v>
      </c>
      <c r="H973" t="s">
        <v>3714</v>
      </c>
      <c r="I973" t="s">
        <v>3710</v>
      </c>
      <c r="J973">
        <f>VLOOKUP(F973,[1]!china_towns_second__2[[Column1]:[Y]],3,FALSE)</f>
        <v>34.803638609560302</v>
      </c>
      <c r="K973">
        <f>VLOOKUP(F973,[1]!china_towns_second__2[[Column1]:[Y]],2,FALSE)</f>
        <v>118.139315</v>
      </c>
      <c r="L973" t="s">
        <v>5805</v>
      </c>
      <c r="M973" t="str">
        <f>VLOOKUP(H973,CHOOSE({1,2},Table17[Native],Table17[Name]),2,0)</f>
        <v>Lánlíng Xiàn</v>
      </c>
      <c r="N973" s="15" t="str">
        <f>VLOOKUP(I973,CHOOSE({1,2},Table17[Native],Table17[Name]),2,0)</f>
        <v>Línyí Shì</v>
      </c>
      <c r="O973" s="15" t="str">
        <f t="shared" si="30"/>
        <v>Moshan Zhen (Línyí Shì)</v>
      </c>
      <c r="P973" s="15" t="str">
        <f t="shared" si="31"/>
        <v>Moshan Zhen (Línyí Shì)</v>
      </c>
    </row>
    <row r="974" spans="1:16" hidden="1" x14ac:dyDescent="0.25">
      <c r="A974" t="s">
        <v>763</v>
      </c>
      <c r="B974" t="str">
        <f>IF(COUNTIF(A:A,A974)&gt;1,_xlfn.CONCAT(A974," (",N974,")"),A974)</f>
        <v>Mŭdān Jiēdào</v>
      </c>
      <c r="C974" t="str">
        <f>IF(COUNTIF(B:B,B974)&gt;1,_xlfn.CONCAT(A974," (",M974,")"),B974)</f>
        <v>Mŭdān Jiēdào</v>
      </c>
      <c r="D974" t="s">
        <v>764</v>
      </c>
      <c r="E974" t="s">
        <v>7</v>
      </c>
      <c r="F974" t="str">
        <f>_xlfn.CONCAT(D974,", ",H974,", ",I974,", ","山东省")</f>
        <v>牡丹街道, 牡丹区, 菏泽市, 山东省</v>
      </c>
      <c r="G974">
        <v>61065</v>
      </c>
      <c r="H974" t="s">
        <v>3669</v>
      </c>
      <c r="I974" t="s">
        <v>3662</v>
      </c>
      <c r="J974">
        <f>VLOOKUP(F974,[1]!china_towns_second__2[[Column1]:[Y]],3,FALSE)</f>
        <v>35.296575782161099</v>
      </c>
      <c r="K974">
        <f>VLOOKUP(F974,[1]!china_towns_second__2[[Column1]:[Y]],2,FALSE)</f>
        <v>115.5268324</v>
      </c>
      <c r="L974" t="s">
        <v>5806</v>
      </c>
      <c r="M974" t="str">
        <f>VLOOKUP(H974,CHOOSE({1,2},Table17[Native],Table17[Name]),2,0)</f>
        <v>Mŭdān Qū</v>
      </c>
      <c r="N974" s="15" t="str">
        <f>VLOOKUP(I974,CHOOSE({1,2},Table17[Native],Table17[Name]),2,0)</f>
        <v>Hézé Shì</v>
      </c>
      <c r="O974" s="15" t="str">
        <f t="shared" si="30"/>
        <v>Mudan Jiedao (Hézé Shì)</v>
      </c>
      <c r="P974" s="15" t="str">
        <f t="shared" si="31"/>
        <v>Mudan Jiedao (Hézé Shì)</v>
      </c>
    </row>
    <row r="975" spans="1:16" hidden="1" x14ac:dyDescent="0.25">
      <c r="A975" t="s">
        <v>3545</v>
      </c>
      <c r="B975" t="str">
        <f>IF(COUNTIF(A:A,A975)&gt;1,_xlfn.CONCAT(A975," (",N975,")"),A975)</f>
        <v>Mùlĭ Zhèn</v>
      </c>
      <c r="C975" t="str">
        <f>IF(COUNTIF(B:B,B975)&gt;1,_xlfn.CONCAT(A975," (",M975,")"),B975)</f>
        <v>Mùlĭ Zhèn</v>
      </c>
      <c r="D975" t="s">
        <v>3546</v>
      </c>
      <c r="E975" t="s">
        <v>13</v>
      </c>
      <c r="F975" t="str">
        <f>_xlfn.CONCAT(D975,", ",H975,", ",I975,", ","山东省")</f>
        <v>木李镇, 高青县, 淄博市, 山东省</v>
      </c>
      <c r="G975">
        <v>30794</v>
      </c>
      <c r="H975" t="s">
        <v>3793</v>
      </c>
      <c r="I975" t="s">
        <v>3791</v>
      </c>
      <c r="J975">
        <f>VLOOKUP(F975,[1]!china_towns_second__2[[Column1]:[Y]],3,FALSE)</f>
        <v>37.232572681334503</v>
      </c>
      <c r="K975">
        <f>VLOOKUP(F975,[1]!china_towns_second__2[[Column1]:[Y]],2,FALSE)</f>
        <v>117.69157559999999</v>
      </c>
      <c r="L975" t="s">
        <v>5807</v>
      </c>
      <c r="M975" t="str">
        <f>VLOOKUP(H975,CHOOSE({1,2},Table17[Native],Table17[Name]),2,0)</f>
        <v>Gāoqīng Xiàn</v>
      </c>
      <c r="N975" s="15" t="str">
        <f>VLOOKUP(I975,CHOOSE({1,2},Table17[Native],Table17[Name]),2,0)</f>
        <v>Zībó Shì</v>
      </c>
      <c r="O975" s="15" t="str">
        <f t="shared" si="30"/>
        <v>Muli Zhen (Zībó Shì)</v>
      </c>
      <c r="P975" s="15" t="str">
        <f t="shared" si="31"/>
        <v>Muli Zhen (Zībó Shì)</v>
      </c>
    </row>
    <row r="976" spans="1:16" hidden="1" x14ac:dyDescent="0.25">
      <c r="A976" t="s">
        <v>3407</v>
      </c>
      <c r="B976" t="str">
        <f>IF(COUNTIF(A:A,A976)&gt;1,_xlfn.CONCAT(A976," (",N976,")"),A976)</f>
        <v>Mùshí Zhèn</v>
      </c>
      <c r="C976" t="str">
        <f>IF(COUNTIF(B:B,B976)&gt;1,_xlfn.CONCAT(A976," (",M976,")"),B976)</f>
        <v>Mùshí Zhèn</v>
      </c>
      <c r="D976" t="s">
        <v>3408</v>
      </c>
      <c r="E976" t="s">
        <v>13</v>
      </c>
      <c r="F976" t="str">
        <f>_xlfn.CONCAT(D976,", ",H976,", ",I976,", ","山东省")</f>
        <v>木石镇, 滕州市, 枣庄市, 山东省</v>
      </c>
      <c r="G976">
        <v>44234</v>
      </c>
      <c r="H976" t="s">
        <v>3787</v>
      </c>
      <c r="I976" t="s">
        <v>3784</v>
      </c>
      <c r="J976">
        <f>VLOOKUP(F976,[1]!china_towns_second__2[[Column1]:[Y]],3,FALSE)</f>
        <v>35.005500053748399</v>
      </c>
      <c r="K976">
        <f>VLOOKUP(F976,[1]!china_towns_second__2[[Column1]:[Y]],2,FALSE)</f>
        <v>117.2784013</v>
      </c>
      <c r="L976" t="s">
        <v>5808</v>
      </c>
      <c r="M976" t="str">
        <f>VLOOKUP(H976,CHOOSE({1,2},Table17[Native],Table17[Name]),2,0)</f>
        <v>Téngzhōu Shì</v>
      </c>
      <c r="N976" s="15" t="str">
        <f>VLOOKUP(I976,CHOOSE({1,2},Table17[Native],Table17[Name]),2,0)</f>
        <v>Zăozhuāng Shì</v>
      </c>
      <c r="O976" s="15" t="str">
        <f t="shared" si="30"/>
        <v>Mushi Zhen (Zăozhuāng Shì)</v>
      </c>
      <c r="P976" s="15" t="str">
        <f t="shared" si="31"/>
        <v>Mushi Zhen (Zăozhuāng Shì)</v>
      </c>
    </row>
    <row r="977" spans="1:16" hidden="1" x14ac:dyDescent="0.25">
      <c r="A977" t="s">
        <v>3198</v>
      </c>
      <c r="B977" t="str">
        <f>IF(COUNTIF(A:A,A977)&gt;1,_xlfn.CONCAT(A977," (",N977,")"),A977)</f>
        <v>Mùyùdiàn Zhèn</v>
      </c>
      <c r="C977" t="str">
        <f>IF(COUNTIF(B:B,B977)&gt;1,_xlfn.CONCAT(A977," (",M977,")"),B977)</f>
        <v>Mùyùdiàn Zhèn</v>
      </c>
      <c r="D977" t="s">
        <v>3199</v>
      </c>
      <c r="E977" t="s">
        <v>13</v>
      </c>
      <c r="F977" t="str">
        <f>_xlfn.CONCAT(D977,", ",H977,", ",I977,", ","山东省")</f>
        <v>沐浴店镇, 莱阳市, 烟台市, 山东省</v>
      </c>
      <c r="G977">
        <v>63130</v>
      </c>
      <c r="H977" t="s">
        <v>3775</v>
      </c>
      <c r="I977" t="s">
        <v>3771</v>
      </c>
      <c r="J977">
        <f>VLOOKUP(F977,[1]!china_towns_second__2[[Column1]:[Y]],3,FALSE)</f>
        <v>37.075233697182497</v>
      </c>
      <c r="K977">
        <f>VLOOKUP(F977,[1]!china_towns_second__2[[Column1]:[Y]],2,FALSE)</f>
        <v>120.79706229999999</v>
      </c>
      <c r="L977" t="s">
        <v>5809</v>
      </c>
      <c r="M977" t="str">
        <f>VLOOKUP(H977,CHOOSE({1,2},Table17[Native],Table17[Name]),2,0)</f>
        <v>Láiyáng Shì</v>
      </c>
      <c r="N977" s="15" t="str">
        <f>VLOOKUP(I977,CHOOSE({1,2},Table17[Native],Table17[Name]),2,0)</f>
        <v>Yāntái Shì</v>
      </c>
      <c r="O977" s="15" t="str">
        <f t="shared" si="30"/>
        <v>Muyudian Zhen (Yāntái Shì)</v>
      </c>
      <c r="P977" s="15" t="str">
        <f t="shared" si="31"/>
        <v>Muyudian Zhen (Yāntái Shì)</v>
      </c>
    </row>
    <row r="978" spans="1:16" hidden="1" x14ac:dyDescent="0.25">
      <c r="A978" t="s">
        <v>3200</v>
      </c>
      <c r="B978" t="str">
        <f>IF(COUNTIF(A:A,A978)&gt;1,_xlfn.CONCAT(A978," (",N978,")"),A978)</f>
        <v>Nánchángshān Jiēdào</v>
      </c>
      <c r="C978" t="str">
        <f>IF(COUNTIF(B:B,B978)&gt;1,_xlfn.CONCAT(A978," (",M978,")"),B978)</f>
        <v>Nánchángshān Jiēdào</v>
      </c>
      <c r="D978" t="s">
        <v>3201</v>
      </c>
      <c r="E978" t="s">
        <v>7</v>
      </c>
      <c r="F978" t="str">
        <f>_xlfn.CONCAT(D978,", ",H978,", ",I978,", ","山东省")</f>
        <v>南长山街道, 蓬莱区, 烟台市, 山东省</v>
      </c>
      <c r="G978">
        <v>24414</v>
      </c>
      <c r="H978" t="s">
        <v>3779</v>
      </c>
      <c r="I978" t="s">
        <v>3771</v>
      </c>
      <c r="J978" t="e">
        <f>VLOOKUP(F978,[1]!china_towns_second__2[[Column1]:[Y]],3,FALSE)</f>
        <v>#N/A</v>
      </c>
      <c r="K978" t="e">
        <f>VLOOKUP(F978,[1]!china_towns_second__2[[Column1]:[Y]],2,FALSE)</f>
        <v>#N/A</v>
      </c>
      <c r="L978" t="s">
        <v>5810</v>
      </c>
      <c r="M978" t="str">
        <f>VLOOKUP(H978,CHOOSE({1,2},Table17[Native],Table17[Name]),2,0)</f>
        <v>Pénglái Qū</v>
      </c>
      <c r="N978" s="15" t="str">
        <f>VLOOKUP(I978,CHOOSE({1,2},Table17[Native],Table17[Name]),2,0)</f>
        <v>Yāntái Shì</v>
      </c>
      <c r="O978" s="15" t="str">
        <f t="shared" si="30"/>
        <v>Nanchangshan Jiedao (Yāntái Shì)</v>
      </c>
      <c r="P978" s="15" t="str">
        <f t="shared" si="31"/>
        <v>Nanchangshan Jiedao (Yāntái Shì)</v>
      </c>
    </row>
    <row r="979" spans="1:16" hidden="1" x14ac:dyDescent="0.25">
      <c r="A979" t="s">
        <v>765</v>
      </c>
      <c r="B979" t="str">
        <f>IF(COUNTIF(A:A,A979)&gt;1,_xlfn.CONCAT(A979," (",N979,")"),A979)</f>
        <v>Nánchéng Jiēdào (Hézé Shì)</v>
      </c>
      <c r="C979" t="str">
        <f>IF(COUNTIF(B:B,B979)&gt;1,_xlfn.CONCAT(A979," (",M979,")"),B979)</f>
        <v>Nánchéng Jiēdào (Mŭdān Qū)</v>
      </c>
      <c r="D979" t="s">
        <v>766</v>
      </c>
      <c r="E979" t="s">
        <v>7</v>
      </c>
      <c r="F979" t="str">
        <f>_xlfn.CONCAT(D979,", ",H979,", ",I979,", ","山东省")</f>
        <v>南城街道, 牡丹区, 菏泽市, 山东省</v>
      </c>
      <c r="G979">
        <v>64576</v>
      </c>
      <c r="H979" t="s">
        <v>3669</v>
      </c>
      <c r="I979" t="s">
        <v>3662</v>
      </c>
      <c r="J979">
        <f>VLOOKUP(F979,[1]!china_towns_second__2[[Column1]:[Y]],3,FALSE)</f>
        <v>35.226827086602199</v>
      </c>
      <c r="K979">
        <f>VLOOKUP(F979,[1]!china_towns_second__2[[Column1]:[Y]],2,FALSE)</f>
        <v>115.4451522</v>
      </c>
      <c r="L979" t="s">
        <v>5811</v>
      </c>
      <c r="M979" t="str">
        <f>VLOOKUP(H979,CHOOSE({1,2},Table17[Native],Table17[Name]),2,0)</f>
        <v>Mŭdān Qū</v>
      </c>
      <c r="N979" s="15" t="str">
        <f>VLOOKUP(I979,CHOOSE({1,2},Table17[Native],Table17[Name]),2,0)</f>
        <v>Hézé Shì</v>
      </c>
      <c r="O979" s="15" t="str">
        <f t="shared" si="30"/>
        <v>Nancheng Jiedao (Mudan Qu) (Hézé Shì)</v>
      </c>
      <c r="P979" s="15" t="str">
        <f t="shared" si="31"/>
        <v>Nancheng Jiedao (Mudan Qu) (Hézé Shì)</v>
      </c>
    </row>
    <row r="980" spans="1:16" hidden="1" x14ac:dyDescent="0.25">
      <c r="A980" t="s">
        <v>765</v>
      </c>
      <c r="B980" t="str">
        <f>IF(COUNTIF(A:A,A980)&gt;1,_xlfn.CONCAT(A980," (",N980,")"),A980)</f>
        <v>Nánchéng Jiēdào (Hézé Shì)</v>
      </c>
      <c r="C980" t="str">
        <f>IF(COUNTIF(B:B,B980)&gt;1,_xlfn.CONCAT(A980," (",M980,")"),B980)</f>
        <v>Nánchéng Jiēdào (Shàn Xiàn)</v>
      </c>
      <c r="D980" t="s">
        <v>766</v>
      </c>
      <c r="E980" t="s">
        <v>7</v>
      </c>
      <c r="F980" t="str">
        <f>_xlfn.CONCAT(D980,", ",H980,", ",I980,", ","山东省")</f>
        <v>南城街道, 单县, 菏泽市, 山东省</v>
      </c>
      <c r="G980">
        <v>91016</v>
      </c>
      <c r="H980" t="s">
        <v>3670</v>
      </c>
      <c r="I980" t="s">
        <v>3662</v>
      </c>
      <c r="J980">
        <f>VLOOKUP(F980,[1]!china_towns_second__2[[Column1]:[Y]],3,FALSE)</f>
        <v>34.772757440658197</v>
      </c>
      <c r="K980">
        <f>VLOOKUP(F980,[1]!china_towns_second__2[[Column1]:[Y]],2,FALSE)</f>
        <v>116.0636429</v>
      </c>
      <c r="L980" t="s">
        <v>5812</v>
      </c>
      <c r="M980" t="str">
        <f>VLOOKUP(H980,CHOOSE({1,2},Table17[Native],Table17[Name]),2,0)</f>
        <v>Shàn Xiàn</v>
      </c>
      <c r="N980" s="15" t="str">
        <f>VLOOKUP(I980,CHOOSE({1,2},Table17[Native],Table17[Name]),2,0)</f>
        <v>Hézé Shì</v>
      </c>
      <c r="O980" s="15" t="str">
        <f t="shared" si="30"/>
        <v>Nancheng Jiedao (Shan Xian) (Hézé Shì)</v>
      </c>
      <c r="P980" s="15" t="str">
        <f t="shared" si="31"/>
        <v>Nancheng Jiedao (Shan Xian) (Hézé Shì)</v>
      </c>
    </row>
    <row r="981" spans="1:16" hidden="1" x14ac:dyDescent="0.25">
      <c r="A981" t="s">
        <v>340</v>
      </c>
      <c r="B981" t="str">
        <f>IF(COUNTIF(A:A,A981)&gt;1,_xlfn.CONCAT(A981," (",N981,")"),A981)</f>
        <v>Nánchéng Zhèn</v>
      </c>
      <c r="C981" t="str">
        <f>IF(COUNTIF(B:B,B981)&gt;1,_xlfn.CONCAT(A981," (",M981,")"),B981)</f>
        <v>Nánchéng Zhèn</v>
      </c>
      <c r="D981" t="s">
        <v>341</v>
      </c>
      <c r="E981" t="s">
        <v>13</v>
      </c>
      <c r="F981" t="str">
        <f>_xlfn.CONCAT(D981,", ",H981,", ",I981,", ","山东省")</f>
        <v>南城镇, 夏津县, 德州市, 山东省</v>
      </c>
      <c r="G981">
        <v>39507</v>
      </c>
      <c r="H981" t="s">
        <v>3652</v>
      </c>
      <c r="I981" t="s">
        <v>3642</v>
      </c>
      <c r="J981">
        <f>VLOOKUP(F981,[1]!china_towns_second__2[[Column1]:[Y]],3,FALSE)</f>
        <v>36.912346283801199</v>
      </c>
      <c r="K981">
        <f>VLOOKUP(F981,[1]!china_towns_second__2[[Column1]:[Y]],2,FALSE)</f>
        <v>116.02854019999999</v>
      </c>
      <c r="L981" t="s">
        <v>5813</v>
      </c>
      <c r="M981" t="str">
        <f>VLOOKUP(H981,CHOOSE({1,2},Table17[Native],Table17[Name]),2,0)</f>
        <v>Xiàjīn Xiàn</v>
      </c>
      <c r="N981" s="15" t="str">
        <f>VLOOKUP(I981,CHOOSE({1,2},Table17[Native],Table17[Name]),2,0)</f>
        <v>Dézhōu Shì</v>
      </c>
      <c r="O981" s="15" t="str">
        <f t="shared" si="30"/>
        <v>Nancheng Zhen (Dézhōu Shì)</v>
      </c>
      <c r="P981" s="15" t="str">
        <f t="shared" si="31"/>
        <v>Nancheng Zhen (Dézhōu Shì)</v>
      </c>
    </row>
    <row r="982" spans="1:16" hidden="1" x14ac:dyDescent="0.25">
      <c r="A982" t="s">
        <v>1068</v>
      </c>
      <c r="B982" t="str">
        <f>IF(COUNTIF(A:A,A982)&gt;1,_xlfn.CONCAT(A982," (",N982,")"),A982)</f>
        <v>Náncūn Jiēdào</v>
      </c>
      <c r="C982" t="str">
        <f>IF(COUNTIF(B:B,B982)&gt;1,_xlfn.CONCAT(A982," (",M982,")"),B982)</f>
        <v>Náncūn Jiēdào</v>
      </c>
      <c r="D982" t="s">
        <v>1069</v>
      </c>
      <c r="E982" t="s">
        <v>7</v>
      </c>
      <c r="F982" t="str">
        <f>_xlfn.CONCAT(D982,", ",H982,", ",I982,", ","山东省")</f>
        <v>南村街道, 天桥区, 济南市, 山东省</v>
      </c>
      <c r="G982">
        <v>33290</v>
      </c>
      <c r="H982" t="s">
        <v>3684</v>
      </c>
      <c r="I982" t="s">
        <v>3673</v>
      </c>
      <c r="J982">
        <f>VLOOKUP(F982,[1]!china_towns_second__2[[Column1]:[Y]],3,FALSE)</f>
        <v>36.689600336541801</v>
      </c>
      <c r="K982">
        <f>VLOOKUP(F982,[1]!china_towns_second__2[[Column1]:[Y]],2,FALSE)</f>
        <v>116.9902056</v>
      </c>
      <c r="L982" t="s">
        <v>5814</v>
      </c>
      <c r="M982" t="str">
        <f>VLOOKUP(H982,CHOOSE({1,2},Table17[Native],Table17[Name]),2,0)</f>
        <v>Tiānqiáo Qū</v>
      </c>
      <c r="N982" s="15" t="str">
        <f>VLOOKUP(I982,CHOOSE({1,2},Table17[Native],Table17[Name]),2,0)</f>
        <v>Jìnán Shì</v>
      </c>
      <c r="O982" s="15" t="str">
        <f t="shared" si="30"/>
        <v>Nancun Jiedao (Jìnán Shì)</v>
      </c>
      <c r="P982" s="15" t="str">
        <f t="shared" si="31"/>
        <v>Nancun Jiedao (Jìnán Shì)</v>
      </c>
    </row>
    <row r="983" spans="1:16" hidden="1" x14ac:dyDescent="0.25">
      <c r="A983" t="s">
        <v>2276</v>
      </c>
      <c r="B983" t="str">
        <f>IF(COUNTIF(A:A,A983)&gt;1,_xlfn.CONCAT(A983," (",N983,")"),A983)</f>
        <v>Náncūn Zhèn [incl. Lándĭ Zhèn, Guōzhuāng Zhèn]</v>
      </c>
      <c r="C983" t="str">
        <f>IF(COUNTIF(B:B,B983)&gt;1,_xlfn.CONCAT(A983," (",M983,")"),B983)</f>
        <v>Náncūn Zhèn [incl. Lándĭ Zhèn, Guōzhuāng Zhèn]</v>
      </c>
      <c r="D983" t="s">
        <v>2277</v>
      </c>
      <c r="E983" t="s">
        <v>13</v>
      </c>
      <c r="F983" t="str">
        <f>_xlfn.CONCAT(D983,", ",H983,", ",I983,", ","山东省")</f>
        <v>南村镇, 平度市, 青岛市, 山东省</v>
      </c>
      <c r="G983">
        <v>124210</v>
      </c>
      <c r="H983" t="s">
        <v>3732</v>
      </c>
      <c r="I983" t="s">
        <v>3724</v>
      </c>
      <c r="J983">
        <f>VLOOKUP(F983,[1]!china_towns_second__2[[Column1]:[Y]],3,FALSE)</f>
        <v>36.5708992431098</v>
      </c>
      <c r="K983">
        <f>VLOOKUP(F983,[1]!china_towns_second__2[[Column1]:[Y]],2,FALSE)</f>
        <v>120.0585943</v>
      </c>
      <c r="L983" t="s">
        <v>5815</v>
      </c>
      <c r="M983" t="str">
        <f>VLOOKUP(H983,CHOOSE({1,2},Table17[Native],Table17[Name]),2,0)</f>
        <v>Píngdù Shì</v>
      </c>
      <c r="N983" s="15" t="str">
        <f>VLOOKUP(I983,CHOOSE({1,2},Table17[Native],Table17[Name]),2,0)</f>
        <v>Qīngdăo Shì</v>
      </c>
      <c r="O983" s="15" t="str">
        <f t="shared" si="30"/>
        <v>Nancun Zhen [incl. Landi Zhen, Guozhuang Zhen] (Qīngdăo Shì)</v>
      </c>
      <c r="P983" s="15" t="str">
        <f t="shared" si="31"/>
        <v>Nancun Zhen [incl. Landi Zhen, Guozhuang Zhen] (Qīngdăo Shì)</v>
      </c>
    </row>
    <row r="984" spans="1:16" hidden="1" x14ac:dyDescent="0.25">
      <c r="A984" t="s">
        <v>3547</v>
      </c>
      <c r="B984" t="str">
        <f>IF(COUNTIF(A:A,A984)&gt;1,_xlfn.CONCAT(A984," (",N984,")"),A984)</f>
        <v>Nándìng Zhèn</v>
      </c>
      <c r="C984" t="str">
        <f>IF(COUNTIF(B:B,B984)&gt;1,_xlfn.CONCAT(A984," (",M984,")"),B984)</f>
        <v>Nándìng Zhèn</v>
      </c>
      <c r="D984" t="s">
        <v>3548</v>
      </c>
      <c r="E984" t="s">
        <v>13</v>
      </c>
      <c r="F984" t="str">
        <f>_xlfn.CONCAT(D984,", ",H984,", ",I984,", ","山东省")</f>
        <v>南定镇, 张店区, 淄博市, 山东省</v>
      </c>
      <c r="G984">
        <v>90448</v>
      </c>
      <c r="H984" t="s">
        <v>3797</v>
      </c>
      <c r="I984" t="s">
        <v>3791</v>
      </c>
      <c r="J984">
        <f>VLOOKUP(F984,[1]!china_towns_second__2[[Column1]:[Y]],3,FALSE)</f>
        <v>36.744167860223399</v>
      </c>
      <c r="K984">
        <f>VLOOKUP(F984,[1]!china_towns_second__2[[Column1]:[Y]],2,FALSE)</f>
        <v>118.04934129999999</v>
      </c>
      <c r="L984" t="s">
        <v>5816</v>
      </c>
      <c r="M984" t="str">
        <f>VLOOKUP(H984,CHOOSE({1,2},Table17[Native],Table17[Name]),2,0)</f>
        <v>Zhāngdiàn Qū</v>
      </c>
      <c r="N984" s="15" t="str">
        <f>VLOOKUP(I984,CHOOSE({1,2},Table17[Native],Table17[Name]),2,0)</f>
        <v>Zībó Shì</v>
      </c>
      <c r="O984" s="15" t="str">
        <f t="shared" si="30"/>
        <v>Nanding Zhen (Zībó Shì)</v>
      </c>
      <c r="P984" s="15" t="str">
        <f t="shared" si="31"/>
        <v>Nanding Zhen (Zībó Shì)</v>
      </c>
    </row>
    <row r="985" spans="1:16" hidden="1" x14ac:dyDescent="0.25">
      <c r="A985" t="s">
        <v>2799</v>
      </c>
      <c r="B985" t="str">
        <f>IF(COUNTIF(A:A,A985)&gt;1,_xlfn.CONCAT(A985," (",N985,")"),A985)</f>
        <v>Nánguān Jiēdào</v>
      </c>
      <c r="C985" t="str">
        <f>IF(COUNTIF(B:B,B985)&gt;1,_xlfn.CONCAT(A985," (",M985,")"),B985)</f>
        <v>Nánguān Jiēdào</v>
      </c>
      <c r="D985" t="s">
        <v>2800</v>
      </c>
      <c r="E985" t="s">
        <v>7</v>
      </c>
      <c r="F985" t="str">
        <f>_xlfn.CONCAT(D985,", ",H985,", ",I985,", ","山东省")</f>
        <v>南关街道, 潍城区, 潍坊市, 山东省</v>
      </c>
      <c r="G985">
        <v>55883</v>
      </c>
      <c r="H985" t="s">
        <v>3762</v>
      </c>
      <c r="I985" t="s">
        <v>3751</v>
      </c>
      <c r="J985">
        <f>VLOOKUP(F985,[1]!china_towns_second__2[[Column1]:[Y]],3,FALSE)</f>
        <v>36.679711775255903</v>
      </c>
      <c r="K985">
        <f>VLOOKUP(F985,[1]!china_towns_second__2[[Column1]:[Y]],2,FALSE)</f>
        <v>119.08228200000001</v>
      </c>
      <c r="L985" t="s">
        <v>5817</v>
      </c>
      <c r="M985" t="str">
        <f>VLOOKUP(H985,CHOOSE({1,2},Table17[Native],Table17[Name]),2,0)</f>
        <v>Wéichéng Qū</v>
      </c>
      <c r="N985" s="15" t="str">
        <f>VLOOKUP(I985,CHOOSE({1,2},Table17[Native],Table17[Name]),2,0)</f>
        <v>Wéifāng Shì</v>
      </c>
      <c r="O985" s="15" t="str">
        <f t="shared" si="30"/>
        <v>Nanguan Jiedao (Wéifāng Shì)</v>
      </c>
      <c r="P985" s="15" t="str">
        <f t="shared" si="31"/>
        <v>Nanguan Jiedao (Wéifāng Shì)</v>
      </c>
    </row>
    <row r="986" spans="1:16" hidden="1" x14ac:dyDescent="0.25">
      <c r="A986" t="s">
        <v>2454</v>
      </c>
      <c r="B986" t="str">
        <f>IF(COUNTIF(A:A,A986)&gt;1,_xlfn.CONCAT(A986," (",N986,")"),A986)</f>
        <v>Nánhú Zhèn</v>
      </c>
      <c r="C986" t="str">
        <f>IF(COUNTIF(B:B,B986)&gt;1,_xlfn.CONCAT(A986," (",M986,")"),B986)</f>
        <v>Nánhú Zhèn</v>
      </c>
      <c r="D986" t="s">
        <v>2455</v>
      </c>
      <c r="E986" t="s">
        <v>13</v>
      </c>
      <c r="F986" t="str">
        <f>_xlfn.CONCAT(D986,", ",H986,", ",I986,", ","山东省")</f>
        <v>南湖镇, 东港区, 日照市, 山东省</v>
      </c>
      <c r="G986">
        <v>61034</v>
      </c>
      <c r="H986" t="s">
        <v>3737</v>
      </c>
      <c r="I986" t="s">
        <v>3736</v>
      </c>
      <c r="J986">
        <f>VLOOKUP(F986,[1]!china_towns_second__2[[Column1]:[Y]],3,FALSE)</f>
        <v>35.507752359506497</v>
      </c>
      <c r="K986">
        <f>VLOOKUP(F986,[1]!china_towns_second__2[[Column1]:[Y]],2,FALSE)</f>
        <v>119.3685471</v>
      </c>
      <c r="L986" t="s">
        <v>5818</v>
      </c>
      <c r="M986" t="str">
        <f>VLOOKUP(H986,CHOOSE({1,2},Table17[Native],Table17[Name]),2,0)</f>
        <v>Dōnggăng Qū</v>
      </c>
      <c r="N986" s="15" t="str">
        <f>VLOOKUP(I986,CHOOSE({1,2},Table17[Native],Table17[Name]),2,0)</f>
        <v>Rìzhào Shì</v>
      </c>
      <c r="O986" s="15" t="str">
        <f t="shared" si="30"/>
        <v>Nanhu Zhen (Rìzhào Shì)</v>
      </c>
      <c r="P986" s="15" t="str">
        <f t="shared" si="31"/>
        <v>Nanhu Zhen (Rìzhào Shì)</v>
      </c>
    </row>
    <row r="987" spans="1:16" hidden="1" x14ac:dyDescent="0.25">
      <c r="A987" t="s">
        <v>2960</v>
      </c>
      <c r="B987" t="str">
        <f>IF(COUNTIF(A:A,A987)&gt;1,_xlfn.CONCAT(A987," (",N987,")"),A987)</f>
        <v>Nánhuáng Zhèn</v>
      </c>
      <c r="C987" t="str">
        <f>IF(COUNTIF(B:B,B987)&gt;1,_xlfn.CONCAT(A987," (",M987,")"),B987)</f>
        <v>Nánhuáng Zhèn</v>
      </c>
      <c r="D987" t="s">
        <v>2961</v>
      </c>
      <c r="E987" t="s">
        <v>13</v>
      </c>
      <c r="F987" t="str">
        <f>_xlfn.CONCAT(D987,", ",H987,", ",I987,", ","山东省")</f>
        <v>南黄镇, 乳山市, 威海市, 山东省</v>
      </c>
      <c r="G987">
        <v>23500</v>
      </c>
      <c r="H987" t="s">
        <v>3768</v>
      </c>
      <c r="I987" t="s">
        <v>3765</v>
      </c>
      <c r="J987">
        <f>VLOOKUP(F987,[1]!china_towns_second__2[[Column1]:[Y]],3,FALSE)</f>
        <v>36.9610278817999</v>
      </c>
      <c r="K987">
        <f>VLOOKUP(F987,[1]!china_towns_second__2[[Column1]:[Y]],2,FALSE)</f>
        <v>121.7761422</v>
      </c>
      <c r="L987" t="s">
        <v>5819</v>
      </c>
      <c r="M987" t="str">
        <f>VLOOKUP(H987,CHOOSE({1,2},Table17[Native],Table17[Name]),2,0)</f>
        <v>Rŭshān Shì</v>
      </c>
      <c r="N987" s="15" t="str">
        <f>VLOOKUP(I987,CHOOSE({1,2},Table17[Native],Table17[Name]),2,0)</f>
        <v>Wēihăi Shì</v>
      </c>
      <c r="O987" s="15" t="str">
        <f t="shared" si="30"/>
        <v>Nanhuang Zhen (Wēihăi Shì)</v>
      </c>
      <c r="P987" s="15" t="str">
        <f t="shared" si="31"/>
        <v>Nanhuang Zhen (Wēihăi Shì)</v>
      </c>
    </row>
    <row r="988" spans="1:16" hidden="1" x14ac:dyDescent="0.25">
      <c r="A988" t="s">
        <v>3202</v>
      </c>
      <c r="B988" t="str">
        <f>IF(COUNTIF(A:A,A988)&gt;1,_xlfn.CONCAT(A988," (",N988,")"),A988)</f>
        <v>Nánhuángchéng Xiāng</v>
      </c>
      <c r="C988" t="str">
        <f>IF(COUNTIF(B:B,B988)&gt;1,_xlfn.CONCAT(A988," (",M988,")"),B988)</f>
        <v>Nánhuángchéng Xiāng</v>
      </c>
      <c r="D988" t="s">
        <v>3203</v>
      </c>
      <c r="E988" t="s">
        <v>61</v>
      </c>
      <c r="F988" t="str">
        <f>_xlfn.CONCAT(D988,", ",H988,", ",I988,", ","山东省")</f>
        <v>南隍城乡, 蓬莱区, 烟台市, 山东省</v>
      </c>
      <c r="G988">
        <v>1074</v>
      </c>
      <c r="H988" t="s">
        <v>3779</v>
      </c>
      <c r="I988" t="s">
        <v>3771</v>
      </c>
      <c r="J988" t="e">
        <f>VLOOKUP(F988,[1]!china_towns_second__2[[Column1]:[Y]],3,FALSE)</f>
        <v>#N/A</v>
      </c>
      <c r="K988" t="e">
        <f>VLOOKUP(F988,[1]!china_towns_second__2[[Column1]:[Y]],2,FALSE)</f>
        <v>#N/A</v>
      </c>
      <c r="L988" t="s">
        <v>5820</v>
      </c>
      <c r="M988" t="str">
        <f>VLOOKUP(H988,CHOOSE({1,2},Table17[Native],Table17[Name]),2,0)</f>
        <v>Pénglái Qū</v>
      </c>
      <c r="N988" s="15" t="str">
        <f>VLOOKUP(I988,CHOOSE({1,2},Table17[Native],Table17[Name]),2,0)</f>
        <v>Yāntái Shì</v>
      </c>
      <c r="O988" s="15" t="str">
        <f t="shared" si="30"/>
        <v>Nanhuangcheng Xiang (Yāntái Shì)</v>
      </c>
      <c r="P988" s="15" t="str">
        <f t="shared" si="31"/>
        <v>Nanhuangcheng Xiang (Yāntái Shì)</v>
      </c>
    </row>
    <row r="989" spans="1:16" hidden="1" x14ac:dyDescent="0.25">
      <c r="A989" t="s">
        <v>3549</v>
      </c>
      <c r="B989" t="str">
        <f>IF(COUNTIF(A:A,A989)&gt;1,_xlfn.CONCAT(A989," (",N989,")"),A989)</f>
        <v>Nánjiāo Zhèn</v>
      </c>
      <c r="C989" t="str">
        <f>IF(COUNTIF(B:B,B989)&gt;1,_xlfn.CONCAT(A989," (",M989,")"),B989)</f>
        <v>Nánjiāo Zhèn</v>
      </c>
      <c r="D989" t="s">
        <v>3550</v>
      </c>
      <c r="E989" t="s">
        <v>13</v>
      </c>
      <c r="F989" t="str">
        <f>_xlfn.CONCAT(D989,", ",H989,", ",I989,", ","山东省")</f>
        <v>南郊镇, 周村区, 淄博市, 山东省</v>
      </c>
      <c r="G989">
        <v>38155</v>
      </c>
      <c r="H989" t="s">
        <v>3798</v>
      </c>
      <c r="I989" t="s">
        <v>3791</v>
      </c>
      <c r="J989">
        <f>VLOOKUP(F989,[1]!china_towns_second__2[[Column1]:[Y]],3,FALSE)</f>
        <v>36.766802520151003</v>
      </c>
      <c r="K989">
        <f>VLOOKUP(F989,[1]!china_towns_second__2[[Column1]:[Y]],2,FALSE)</f>
        <v>117.9012602</v>
      </c>
      <c r="L989" t="s">
        <v>5821</v>
      </c>
      <c r="M989" t="str">
        <f>VLOOKUP(H989,CHOOSE({1,2},Table17[Native],Table17[Name]),2,0)</f>
        <v>Zhōucūn Qū</v>
      </c>
      <c r="N989" s="15" t="str">
        <f>VLOOKUP(I989,CHOOSE({1,2},Table17[Native],Table17[Name]),2,0)</f>
        <v>Zībó Shì</v>
      </c>
      <c r="O989" s="15" t="str">
        <f t="shared" si="30"/>
        <v>Nanjiao Zhen (Zībó Shì)</v>
      </c>
      <c r="P989" s="15" t="str">
        <f t="shared" si="31"/>
        <v>Nanjiao Zhen (Zībó Shì)</v>
      </c>
    </row>
    <row r="990" spans="1:16" hidden="1" x14ac:dyDescent="0.25">
      <c r="A990" t="s">
        <v>3551</v>
      </c>
      <c r="B990" t="str">
        <f>IF(COUNTIF(A:A,A990)&gt;1,_xlfn.CONCAT(A990," (",N990,")"),A990)</f>
        <v>Nánlǔshān Zhèn [incl. Sānchà Xiāng]</v>
      </c>
      <c r="C990" t="str">
        <f>IF(COUNTIF(B:B,B990)&gt;1,_xlfn.CONCAT(A990," (",M990,")"),B990)</f>
        <v>Nánlǔshān Zhèn [incl. Sānchà Xiāng]</v>
      </c>
      <c r="D990" t="s">
        <v>3552</v>
      </c>
      <c r="E990" t="s">
        <v>13</v>
      </c>
      <c r="F990" t="str">
        <f>_xlfn.CONCAT(D990,", ",H990,", ",I990,", ","山东省")</f>
        <v>南鲁山镇, 沂源县, 淄博市, 山东省</v>
      </c>
      <c r="G990">
        <v>35214</v>
      </c>
      <c r="H990" t="s">
        <v>3796</v>
      </c>
      <c r="I990" t="s">
        <v>3791</v>
      </c>
      <c r="J990">
        <f>VLOOKUP(F990,[1]!china_towns_second__2[[Column1]:[Y]],3,FALSE)</f>
        <v>36.286004886802097</v>
      </c>
      <c r="K990">
        <f>VLOOKUP(F990,[1]!china_towns_second__2[[Column1]:[Y]],2,FALSE)</f>
        <v>118.1459356</v>
      </c>
      <c r="L990" t="s">
        <v>5822</v>
      </c>
      <c r="M990" t="str">
        <f>VLOOKUP(H990,CHOOSE({1,2},Table17[Native],Table17[Name]),2,0)</f>
        <v>Yíyuán Xiàn</v>
      </c>
      <c r="N990" s="15" t="str">
        <f>VLOOKUP(I990,CHOOSE({1,2},Table17[Native],Table17[Name]),2,0)</f>
        <v>Zībó Shì</v>
      </c>
      <c r="O990" s="15" t="str">
        <f t="shared" si="30"/>
        <v>Nanlushan Zhen [incl. Sancha Xiang] (Zībó Shì)</v>
      </c>
      <c r="P990" s="15" t="str">
        <f t="shared" si="31"/>
        <v>Nanlushan Zhen [incl. Sancha Xiang] (Zībó Shì)</v>
      </c>
    </row>
    <row r="991" spans="1:16" hidden="1" x14ac:dyDescent="0.25">
      <c r="A991" t="s">
        <v>3553</v>
      </c>
      <c r="B991" t="str">
        <f>IF(COUNTIF(A:A,A991)&gt;1,_xlfn.CONCAT(A991," (",N991,")"),A991)</f>
        <v>Nánmá Jiēdào</v>
      </c>
      <c r="C991" t="str">
        <f>IF(COUNTIF(B:B,B991)&gt;1,_xlfn.CONCAT(A991," (",M991,")"),B991)</f>
        <v>Nánmá Jiēdào</v>
      </c>
      <c r="D991" t="s">
        <v>3554</v>
      </c>
      <c r="E991" t="s">
        <v>7</v>
      </c>
      <c r="F991" t="str">
        <f>_xlfn.CONCAT(D991,", ",H991,", ",I991,", ","山东省")</f>
        <v>南麻街道, 沂源县, 淄博市, 山东省</v>
      </c>
      <c r="G991">
        <v>60949</v>
      </c>
      <c r="H991" t="s">
        <v>3796</v>
      </c>
      <c r="I991" t="s">
        <v>3791</v>
      </c>
      <c r="J991" t="e">
        <f>VLOOKUP(F991,[1]!china_towns_second__2[[Column1]:[Y]],3,FALSE)</f>
        <v>#N/A</v>
      </c>
      <c r="K991" t="e">
        <f>VLOOKUP(F991,[1]!china_towns_second__2[[Column1]:[Y]],2,FALSE)</f>
        <v>#N/A</v>
      </c>
      <c r="L991" t="s">
        <v>5823</v>
      </c>
      <c r="M991" t="str">
        <f>VLOOKUP(H991,CHOOSE({1,2},Table17[Native],Table17[Name]),2,0)</f>
        <v>Yíyuán Xiàn</v>
      </c>
      <c r="N991" s="15" t="str">
        <f>VLOOKUP(I991,CHOOSE({1,2},Table17[Native],Table17[Name]),2,0)</f>
        <v>Zībó Shì</v>
      </c>
      <c r="O991" s="15" t="str">
        <f t="shared" si="30"/>
        <v>Nanma Jiedao (Zībó Shì)</v>
      </c>
      <c r="P991" s="15" t="str">
        <f t="shared" si="31"/>
        <v>Nanma Jiedao (Zībó Shì)</v>
      </c>
    </row>
    <row r="992" spans="1:16" hidden="1" x14ac:dyDescent="0.25">
      <c r="A992" t="s">
        <v>1964</v>
      </c>
      <c r="B992" t="str">
        <f>IF(COUNTIF(A:A,A992)&gt;1,_xlfn.CONCAT(A992," (",N992,")"),A992)</f>
        <v>Nánqiáo Zhèn</v>
      </c>
      <c r="C992" t="str">
        <f>IF(COUNTIF(B:B,B992)&gt;1,_xlfn.CONCAT(A992," (",M992,")"),B992)</f>
        <v>Nánqiáo Zhèn</v>
      </c>
      <c r="D992" t="s">
        <v>1965</v>
      </c>
      <c r="E992" t="s">
        <v>13</v>
      </c>
      <c r="F992" t="str">
        <f>_xlfn.CONCAT(D992,", ",H992,", ",I992,", ","山东省")</f>
        <v>南桥镇, 兰陵县, 临沂市, 山东省</v>
      </c>
      <c r="G992">
        <v>57732</v>
      </c>
      <c r="H992" t="s">
        <v>3714</v>
      </c>
      <c r="I992" t="s">
        <v>3710</v>
      </c>
      <c r="J992">
        <f>VLOOKUP(F992,[1]!china_towns_second__2[[Column1]:[Y]],3,FALSE)</f>
        <v>34.709616968137503</v>
      </c>
      <c r="K992">
        <f>VLOOKUP(F992,[1]!china_towns_second__2[[Column1]:[Y]],2,FALSE)</f>
        <v>117.9745849</v>
      </c>
      <c r="L992" t="s">
        <v>5824</v>
      </c>
      <c r="M992" t="str">
        <f>VLOOKUP(H992,CHOOSE({1,2},Table17[Native],Table17[Name]),2,0)</f>
        <v>Lánlíng Xiàn</v>
      </c>
      <c r="N992" s="15" t="str">
        <f>VLOOKUP(I992,CHOOSE({1,2},Table17[Native],Table17[Name]),2,0)</f>
        <v>Línyí Shì</v>
      </c>
      <c r="O992" s="15" t="str">
        <f t="shared" si="30"/>
        <v>Nanqiao Zhen (Línyí Shì)</v>
      </c>
      <c r="P992" s="15" t="str">
        <f t="shared" si="31"/>
        <v>Nanqiao Zhen (Línyí Shì)</v>
      </c>
    </row>
    <row r="993" spans="1:16" hidden="1" x14ac:dyDescent="0.25">
      <c r="A993" t="s">
        <v>3409</v>
      </c>
      <c r="B993" t="str">
        <f>IF(COUNTIF(A:A,A993)&gt;1,_xlfn.CONCAT(A993," (",N993,")"),A993)</f>
        <v>Nánshāhé Zhèn</v>
      </c>
      <c r="C993" t="str">
        <f>IF(COUNTIF(B:B,B993)&gt;1,_xlfn.CONCAT(A993," (",M993,")"),B993)</f>
        <v>Nánshāhé Zhèn</v>
      </c>
      <c r="D993" t="s">
        <v>3410</v>
      </c>
      <c r="E993" t="s">
        <v>13</v>
      </c>
      <c r="F993" t="str">
        <f>_xlfn.CONCAT(D993,", ",H993,", ",I993,", ","山东省")</f>
        <v>南沙河镇, 滕州市, 枣庄市, 山东省</v>
      </c>
      <c r="G993">
        <v>44289</v>
      </c>
      <c r="H993" t="s">
        <v>3787</v>
      </c>
      <c r="I993" t="s">
        <v>3784</v>
      </c>
      <c r="J993">
        <f>VLOOKUP(F993,[1]!china_towns_second__2[[Column1]:[Y]],3,FALSE)</f>
        <v>35.012329044883401</v>
      </c>
      <c r="K993">
        <f>VLOOKUP(F993,[1]!china_towns_second__2[[Column1]:[Y]],2,FALSE)</f>
        <v>117.2099991</v>
      </c>
      <c r="L993" t="s">
        <v>5825</v>
      </c>
      <c r="M993" t="str">
        <f>VLOOKUP(H993,CHOOSE({1,2},Table17[Native],Table17[Name]),2,0)</f>
        <v>Téngzhōu Shì</v>
      </c>
      <c r="N993" s="15" t="str">
        <f>VLOOKUP(I993,CHOOSE({1,2},Table17[Native],Table17[Name]),2,0)</f>
        <v>Zăozhuāng Shì</v>
      </c>
      <c r="O993" s="15" t="str">
        <f t="shared" si="30"/>
        <v>Nanshahe Zhen (Zăozhuāng Shì)</v>
      </c>
      <c r="P993" s="15" t="str">
        <f t="shared" si="31"/>
        <v>Nanshahe Zhen (Zăozhuāng Shì)</v>
      </c>
    </row>
    <row r="994" spans="1:16" hidden="1" x14ac:dyDescent="0.25">
      <c r="A994" t="s">
        <v>2278</v>
      </c>
      <c r="B994" t="str">
        <f>IF(COUNTIF(A:A,A994)&gt;1,_xlfn.CONCAT(A994," (",N994,")"),A994)</f>
        <v>Nánshù Zhèn</v>
      </c>
      <c r="C994" t="str">
        <f>IF(COUNTIF(B:B,B994)&gt;1,_xlfn.CONCAT(A994," (",M994,")"),B994)</f>
        <v>Nánshù Zhèn</v>
      </c>
      <c r="D994" t="s">
        <v>2279</v>
      </c>
      <c r="E994" t="s">
        <v>13</v>
      </c>
      <c r="F994" t="str">
        <f>_xlfn.CONCAT(D994,", ",H994,", ",I994,", ","山东省")</f>
        <v>南墅镇, 莱西市, 青岛市, 山东省</v>
      </c>
      <c r="G994">
        <v>40188</v>
      </c>
      <c r="H994" t="s">
        <v>3729</v>
      </c>
      <c r="I994" t="s">
        <v>3724</v>
      </c>
      <c r="J994">
        <f>VLOOKUP(F994,[1]!china_towns_second__2[[Column1]:[Y]],3,FALSE)</f>
        <v>37.055185983285803</v>
      </c>
      <c r="K994">
        <f>VLOOKUP(F994,[1]!china_towns_second__2[[Column1]:[Y]],2,FALSE)</f>
        <v>120.30073470000001</v>
      </c>
      <c r="L994" t="s">
        <v>5826</v>
      </c>
      <c r="M994" t="str">
        <f>VLOOKUP(H994,CHOOSE({1,2},Table17[Native],Table17[Name]),2,0)</f>
        <v>Láixī Shì</v>
      </c>
      <c r="N994" s="15" t="str">
        <f>VLOOKUP(I994,CHOOSE({1,2},Table17[Native],Table17[Name]),2,0)</f>
        <v>Qīngdăo Shì</v>
      </c>
      <c r="O994" s="15" t="str">
        <f t="shared" si="30"/>
        <v>Nanshu Zhen (Qīngdăo Shì)</v>
      </c>
      <c r="P994" s="15" t="str">
        <f t="shared" si="31"/>
        <v>Nanshu Zhen (Qīngdăo Shì)</v>
      </c>
    </row>
    <row r="995" spans="1:16" hidden="1" x14ac:dyDescent="0.25">
      <c r="A995" t="s">
        <v>3204</v>
      </c>
      <c r="B995" t="str">
        <f>IF(COUNTIF(A:A,A995)&gt;1,_xlfn.CONCAT(A995," (",N995,")"),A995)</f>
        <v>Nánwáng Jiēdào</v>
      </c>
      <c r="C995" t="str">
        <f>IF(COUNTIF(B:B,B995)&gt;1,_xlfn.CONCAT(A995," (",M995,")"),B995)</f>
        <v>Nánwáng Jiēdào</v>
      </c>
      <c r="D995" t="s">
        <v>3205</v>
      </c>
      <c r="E995" t="s">
        <v>7</v>
      </c>
      <c r="F995" t="str">
        <f>_xlfn.CONCAT(D995,", ",H995,", ",I995,", ","山东省")</f>
        <v>南王街道, 蓬莱区, 烟台市, 山东省</v>
      </c>
      <c r="G995">
        <v>21340</v>
      </c>
      <c r="H995" t="s">
        <v>3779</v>
      </c>
      <c r="I995" t="s">
        <v>3771</v>
      </c>
      <c r="J995">
        <f>VLOOKUP(F995,[1]!china_towns_second__2[[Column1]:[Y]],3,FALSE)</f>
        <v>37.755474405947197</v>
      </c>
      <c r="K995">
        <f>VLOOKUP(F995,[1]!china_towns_second__2[[Column1]:[Y]],2,FALSE)</f>
        <v>120.7770337</v>
      </c>
      <c r="L995" t="s">
        <v>5827</v>
      </c>
      <c r="M995" t="str">
        <f>VLOOKUP(H995,CHOOSE({1,2},Table17[Native],Table17[Name]),2,0)</f>
        <v>Pénglái Qū</v>
      </c>
      <c r="N995" s="15" t="str">
        <f>VLOOKUP(I995,CHOOSE({1,2},Table17[Native],Table17[Name]),2,0)</f>
        <v>Yāntái Shì</v>
      </c>
      <c r="O995" s="15" t="str">
        <f t="shared" si="30"/>
        <v>Nanwang Jiedao (Yāntái Shì)</v>
      </c>
      <c r="P995" s="15" t="str">
        <f t="shared" si="31"/>
        <v>Nanwang Jiedao (Yāntái Shì)</v>
      </c>
    </row>
    <row r="996" spans="1:16" hidden="1" x14ac:dyDescent="0.25">
      <c r="A996" t="s">
        <v>1382</v>
      </c>
      <c r="B996" t="str">
        <f>IF(COUNTIF(A:A,A996)&gt;1,_xlfn.CONCAT(A996," (",N996,")"),A996)</f>
        <v>Nánwàng Zhèn</v>
      </c>
      <c r="C996" t="str">
        <f>IF(COUNTIF(B:B,B996)&gt;1,_xlfn.CONCAT(A996," (",M996,")"),B996)</f>
        <v>Nánwàng Zhèn</v>
      </c>
      <c r="D996" t="s">
        <v>1383</v>
      </c>
      <c r="E996" t="s">
        <v>13</v>
      </c>
      <c r="F996" t="str">
        <f>_xlfn.CONCAT(D996,", ",H996,", ",I996,", ","山东省")</f>
        <v>南旺镇, 汶上县, 济宁市, 山东省</v>
      </c>
      <c r="G996">
        <v>52452</v>
      </c>
      <c r="H996" t="s">
        <v>3695</v>
      </c>
      <c r="I996" t="s">
        <v>3687</v>
      </c>
      <c r="J996">
        <f>VLOOKUP(F996,[1]!china_towns_second__2[[Column1]:[Y]],3,FALSE)</f>
        <v>35.572088235484699</v>
      </c>
      <c r="K996">
        <f>VLOOKUP(F996,[1]!china_towns_second__2[[Column1]:[Y]],2,FALSE)</f>
        <v>116.3785479</v>
      </c>
      <c r="L996" t="s">
        <v>5828</v>
      </c>
      <c r="M996" t="str">
        <f>VLOOKUP(H996,CHOOSE({1,2},Table17[Native],Table17[Name]),2,0)</f>
        <v>Wènshàng Xiàn</v>
      </c>
      <c r="N996" s="15" t="str">
        <f>VLOOKUP(I996,CHOOSE({1,2},Table17[Native],Table17[Name]),2,0)</f>
        <v>Jìníng Shì</v>
      </c>
      <c r="O996" s="15" t="str">
        <f t="shared" si="30"/>
        <v>Nanwang Zhen (Jìníng Shì)</v>
      </c>
      <c r="P996" s="15" t="str">
        <f t="shared" si="31"/>
        <v>Nanwang Zhen (Jìníng Shì)</v>
      </c>
    </row>
    <row r="997" spans="1:16" hidden="1" x14ac:dyDescent="0.25">
      <c r="A997" t="s">
        <v>767</v>
      </c>
      <c r="B997" t="str">
        <f>IF(COUNTIF(A:A,A997)&gt;1,_xlfn.CONCAT(A997," (",N997,")"),A997)</f>
        <v>Nánwángdiàn Zhèn</v>
      </c>
      <c r="C997" t="str">
        <f>IF(COUNTIF(B:B,B997)&gt;1,_xlfn.CONCAT(A997," (",M997,")"),B997)</f>
        <v>Nánwángdiàn Zhèn</v>
      </c>
      <c r="D997" t="s">
        <v>768</v>
      </c>
      <c r="E997" t="s">
        <v>13</v>
      </c>
      <c r="F997" t="str">
        <f>_xlfn.CONCAT(D997,", ",H997,", ",I997,", ","山东省")</f>
        <v>南王店镇, 定陶区, 菏泽市, 山东省</v>
      </c>
      <c r="G997">
        <v>24514</v>
      </c>
      <c r="H997" t="s">
        <v>3665</v>
      </c>
      <c r="I997" t="s">
        <v>3662</v>
      </c>
      <c r="J997">
        <f>VLOOKUP(F997,[1]!china_towns_second__2[[Column1]:[Y]],3,FALSE)</f>
        <v>35.016836753868397</v>
      </c>
      <c r="K997">
        <f>VLOOKUP(F997,[1]!china_towns_second__2[[Column1]:[Y]],2,FALSE)</f>
        <v>115.5740945</v>
      </c>
      <c r="L997" t="s">
        <v>5829</v>
      </c>
      <c r="M997" t="str">
        <f>VLOOKUP(H997,CHOOSE({1,2},Table17[Native],Table17[Name]),2,0)</f>
        <v>Dìngtáo Qū</v>
      </c>
      <c r="N997" s="15" t="str">
        <f>VLOOKUP(I997,CHOOSE({1,2},Table17[Native],Table17[Name]),2,0)</f>
        <v>Hézé Shì</v>
      </c>
      <c r="O997" s="15" t="str">
        <f t="shared" si="30"/>
        <v>Nanwangdian Zhen (Hézé Shì)</v>
      </c>
      <c r="P997" s="15" t="str">
        <f t="shared" si="31"/>
        <v>Nanwangdian Zhen (Hézé Shì)</v>
      </c>
    </row>
    <row r="998" spans="1:16" hidden="1" x14ac:dyDescent="0.25">
      <c r="A998" t="s">
        <v>1070</v>
      </c>
      <c r="B998" t="str">
        <f>IF(COUNTIF(A:A,A998)&gt;1,_xlfn.CONCAT(A998," (",N998,")"),A998)</f>
        <v>Nánxīnzhuāng Jiēdào</v>
      </c>
      <c r="C998" t="str">
        <f>IF(COUNTIF(B:B,B998)&gt;1,_xlfn.CONCAT(A998," (",M998,")"),B998)</f>
        <v>Nánxīnzhuāng Jiēdào</v>
      </c>
      <c r="D998" t="s">
        <v>1071</v>
      </c>
      <c r="E998" t="s">
        <v>7</v>
      </c>
      <c r="F998" t="str">
        <f>_xlfn.CONCAT(D998,", ",H998,", ",I998,", ","山东省")</f>
        <v>南辛庄街道, 槐荫区, 济南市, 山东省</v>
      </c>
      <c r="G998">
        <v>29330</v>
      </c>
      <c r="H998" t="s">
        <v>3676</v>
      </c>
      <c r="I998" t="s">
        <v>3673</v>
      </c>
      <c r="J998">
        <f>VLOOKUP(F998,[1]!china_towns_second__2[[Column1]:[Y]],3,FALSE)</f>
        <v>36.642605832704298</v>
      </c>
      <c r="K998">
        <f>VLOOKUP(F998,[1]!china_towns_second__2[[Column1]:[Y]],2,FALSE)</f>
        <v>116.9537984</v>
      </c>
      <c r="L998" t="s">
        <v>5830</v>
      </c>
      <c r="M998" t="str">
        <f>VLOOKUP(H998,CHOOSE({1,2},Table17[Native],Table17[Name]),2,0)</f>
        <v>Huáiyìn Qū</v>
      </c>
      <c r="N998" s="15" t="str">
        <f>VLOOKUP(I998,CHOOSE({1,2},Table17[Native],Table17[Name]),2,0)</f>
        <v>Jìnán Shì</v>
      </c>
      <c r="O998" s="15" t="str">
        <f t="shared" si="30"/>
        <v>Nanxinzhuang Jiedao (Jìnán Shì)</v>
      </c>
      <c r="P998" s="15" t="str">
        <f t="shared" si="31"/>
        <v>Nanxinzhuang Jiedao (Jìnán Shì)</v>
      </c>
    </row>
    <row r="999" spans="1:16" hidden="1" x14ac:dyDescent="0.25">
      <c r="A999" t="s">
        <v>1384</v>
      </c>
      <c r="B999" t="str">
        <f>IF(COUNTIF(A:A,A999)&gt;1,_xlfn.CONCAT(A999," (",N999,")"),A999)</f>
        <v>Nányáng Zhèn</v>
      </c>
      <c r="C999" t="str">
        <f>IF(COUNTIF(B:B,B999)&gt;1,_xlfn.CONCAT(A999," (",M999,")"),B999)</f>
        <v>Nányáng Zhèn</v>
      </c>
      <c r="D999" t="s">
        <v>1385</v>
      </c>
      <c r="E999" t="s">
        <v>13</v>
      </c>
      <c r="F999" t="str">
        <f>_xlfn.CONCAT(D999,", ",H999,", ",I999,", ","山东省")</f>
        <v>南阳镇, 微山县, 济宁市, 山东省</v>
      </c>
      <c r="G999">
        <v>24467</v>
      </c>
      <c r="H999" t="s">
        <v>3694</v>
      </c>
      <c r="I999" t="s">
        <v>3687</v>
      </c>
      <c r="J999">
        <f>VLOOKUP(F999,[1]!china_towns_second__2[[Column1]:[Y]],3,FALSE)</f>
        <v>35.050526811543499</v>
      </c>
      <c r="K999">
        <f>VLOOKUP(F999,[1]!china_towns_second__2[[Column1]:[Y]],2,FALSE)</f>
        <v>116.73971419999999</v>
      </c>
      <c r="L999" t="s">
        <v>5831</v>
      </c>
      <c r="M999" t="str">
        <f>VLOOKUP(H999,CHOOSE({1,2},Table17[Native],Table17[Name]),2,0)</f>
        <v>Wēishān Xiàn</v>
      </c>
      <c r="N999" s="15" t="str">
        <f>VLOOKUP(I999,CHOOSE({1,2},Table17[Native],Table17[Name]),2,0)</f>
        <v>Jìníng Shì</v>
      </c>
      <c r="O999" s="15" t="str">
        <f t="shared" si="30"/>
        <v>Nanyang Zhen (Jìníng Shì)</v>
      </c>
      <c r="P999" s="15" t="str">
        <f t="shared" si="31"/>
        <v>Nanyang Zhen (Jìníng Shì)</v>
      </c>
    </row>
    <row r="1000" spans="1:16" hidden="1" x14ac:dyDescent="0.25">
      <c r="A1000" t="s">
        <v>1386</v>
      </c>
      <c r="B1000" t="str">
        <f>IF(COUNTIF(A:A,A1000)&gt;1,_xlfn.CONCAT(A1000," (",N1000,")"),A1000)</f>
        <v>Nányuàn Jiēdào</v>
      </c>
      <c r="C1000" t="str">
        <f>IF(COUNTIF(B:B,B1000)&gt;1,_xlfn.CONCAT(A1000," (",M1000,")"),B1000)</f>
        <v>Nányuàn Jiēdào</v>
      </c>
      <c r="D1000" t="s">
        <v>1387</v>
      </c>
      <c r="E1000" t="s">
        <v>7</v>
      </c>
      <c r="F1000" t="str">
        <f>_xlfn.CONCAT(D1000,", ",H1000,", ",I1000,", ","山东省")</f>
        <v>南苑街道, 任城区, 济宁市, 山东省</v>
      </c>
      <c r="G1000">
        <v>39976</v>
      </c>
      <c r="H1000" t="s">
        <v>3692</v>
      </c>
      <c r="I1000" t="s">
        <v>3687</v>
      </c>
      <c r="J1000">
        <f>VLOOKUP(F1000,[1]!china_towns_second__2[[Column1]:[Y]],3,FALSE)</f>
        <v>35.387877808342701</v>
      </c>
      <c r="K1000">
        <f>VLOOKUP(F1000,[1]!china_towns_second__2[[Column1]:[Y]],2,FALSE)</f>
        <v>116.56448949999999</v>
      </c>
      <c r="L1000" t="s">
        <v>5832</v>
      </c>
      <c r="M1000" t="str">
        <f>VLOOKUP(H1000,CHOOSE({1,2},Table17[Native],Table17[Name]),2,0)</f>
        <v>Rènchéng Qū</v>
      </c>
      <c r="N1000" s="15" t="str">
        <f>VLOOKUP(I1000,CHOOSE({1,2},Table17[Native],Table17[Name]),2,0)</f>
        <v>Jìníng Shì</v>
      </c>
      <c r="O1000" s="15" t="str">
        <f t="shared" si="30"/>
        <v>Nanyuan Jiedao (Jìníng Shì)</v>
      </c>
      <c r="P1000" s="15" t="str">
        <f t="shared" si="31"/>
        <v>Nanyuan Jiedao (Jìníng Shì)</v>
      </c>
    </row>
    <row r="1001" spans="1:16" hidden="1" x14ac:dyDescent="0.25">
      <c r="A1001" t="s">
        <v>1390</v>
      </c>
      <c r="B1001" t="str">
        <f>IF(COUNTIF(A:A,A1001)&gt;1,_xlfn.CONCAT(A1001," (",N1001,")"),A1001)</f>
        <v>Nánzhàn Jiēdào</v>
      </c>
      <c r="C1001" t="str">
        <f>IF(COUNTIF(B:B,B1001)&gt;1,_xlfn.CONCAT(A1001," (",M1001,")"),B1001)</f>
        <v>Nánzhàn Jiēdào</v>
      </c>
      <c r="D1001" t="s">
        <v>1391</v>
      </c>
      <c r="E1001" t="s">
        <v>7</v>
      </c>
      <c r="F1001" t="str">
        <f>_xlfn.CONCAT(D1001,", ",H1001,", ",I1001,", ","山东省")</f>
        <v>南站街道, 汶上县, 济宁市, 山东省</v>
      </c>
      <c r="G1001">
        <v>70086</v>
      </c>
      <c r="H1001" t="s">
        <v>3695</v>
      </c>
      <c r="I1001" t="s">
        <v>3687</v>
      </c>
      <c r="J1001" t="e">
        <f>VLOOKUP(F1001,[1]!china_towns_second__2[[Column1]:[Y]],3,FALSE)</f>
        <v>#N/A</v>
      </c>
      <c r="K1001" t="e">
        <f>VLOOKUP(F1001,[1]!china_towns_second__2[[Column1]:[Y]],2,FALSE)</f>
        <v>#N/A</v>
      </c>
      <c r="L1001" t="s">
        <v>5833</v>
      </c>
      <c r="M1001" t="str">
        <f>VLOOKUP(H1001,CHOOSE({1,2},Table17[Native],Table17[Name]),2,0)</f>
        <v>Wènshàng Xiàn</v>
      </c>
      <c r="N1001" s="15" t="str">
        <f>VLOOKUP(I1001,CHOOSE({1,2},Table17[Native],Table17[Name]),2,0)</f>
        <v>Jìníng Shì</v>
      </c>
      <c r="O1001" s="15" t="str">
        <f t="shared" si="30"/>
        <v>Nanzhan Jiedao (Jìníng Shì)</v>
      </c>
      <c r="P1001" s="15" t="str">
        <f t="shared" si="31"/>
        <v>Nanzhan Jiedao (Jìníng Shì)</v>
      </c>
    </row>
    <row r="1002" spans="1:16" hidden="1" x14ac:dyDescent="0.25">
      <c r="A1002" t="s">
        <v>1388</v>
      </c>
      <c r="B1002" t="str">
        <f>IF(COUNTIF(A:A,A1002)&gt;1,_xlfn.CONCAT(A1002," (",N1002,")"),A1002)</f>
        <v>Nánzhāng Jiēdào</v>
      </c>
      <c r="C1002" t="str">
        <f>IF(COUNTIF(B:B,B1002)&gt;1,_xlfn.CONCAT(A1002," (",M1002,")"),B1002)</f>
        <v>Nánzhāng Jiēdào</v>
      </c>
      <c r="D1002" t="s">
        <v>1389</v>
      </c>
      <c r="E1002" t="s">
        <v>7</v>
      </c>
      <c r="F1002" t="str">
        <f>_xlfn.CONCAT(D1002,", ",H1002,", ",I1002,", ","山东省")</f>
        <v>南张街道, 任城区, 济宁市, 山东省</v>
      </c>
      <c r="G1002">
        <v>62527</v>
      </c>
      <c r="H1002" t="s">
        <v>3692</v>
      </c>
      <c r="I1002" t="s">
        <v>3687</v>
      </c>
      <c r="J1002">
        <f>VLOOKUP(F1002,[1]!china_towns_second__2[[Column1]:[Y]],3,FALSE)</f>
        <v>35.448188457408897</v>
      </c>
      <c r="K1002">
        <f>VLOOKUP(F1002,[1]!china_towns_second__2[[Column1]:[Y]],2,FALSE)</f>
        <v>116.5169483</v>
      </c>
      <c r="L1002" t="s">
        <v>5834</v>
      </c>
      <c r="M1002" t="str">
        <f>VLOOKUP(H1002,CHOOSE({1,2},Table17[Native],Table17[Name]),2,0)</f>
        <v>Rènchéng Qū</v>
      </c>
      <c r="N1002" s="15" t="str">
        <f>VLOOKUP(I1002,CHOOSE({1,2},Table17[Native],Table17[Name]),2,0)</f>
        <v>Jìníng Shì</v>
      </c>
      <c r="O1002" s="15" t="str">
        <f t="shared" si="30"/>
        <v>Nanzhang Jiedao (Jìníng Shì)</v>
      </c>
      <c r="P1002" s="15" t="str">
        <f t="shared" si="31"/>
        <v>Nanzhang Jiedao (Jìníng Shì)</v>
      </c>
    </row>
    <row r="1003" spans="1:16" hidden="1" x14ac:dyDescent="0.25">
      <c r="A1003" t="s">
        <v>769</v>
      </c>
      <c r="B1003" t="str">
        <f>IF(COUNTIF(A:A,A1003)&gt;1,_xlfn.CONCAT(A1003," (",N1003,")"),A1003)</f>
        <v>Nánzhàolóu Zhèn</v>
      </c>
      <c r="C1003" t="str">
        <f>IF(COUNTIF(B:B,B1003)&gt;1,_xlfn.CONCAT(A1003," (",M1003,")"),B1003)</f>
        <v>Nánzhàolóu Zhèn</v>
      </c>
      <c r="D1003" t="s">
        <v>770</v>
      </c>
      <c r="E1003" t="s">
        <v>13</v>
      </c>
      <c r="F1003" t="str">
        <f>_xlfn.CONCAT(D1003,", ",H1003,", ",I1003,", ","山东省")</f>
        <v>南赵楼镇, 郓城县, 菏泽市, 山东省</v>
      </c>
      <c r="G1003">
        <v>35051</v>
      </c>
      <c r="H1003" t="s">
        <v>3671</v>
      </c>
      <c r="I1003" t="s">
        <v>3662</v>
      </c>
      <c r="J1003">
        <f>VLOOKUP(F1003,[1]!china_towns_second__2[[Column1]:[Y]],3,FALSE)</f>
        <v>35.402641766975101</v>
      </c>
      <c r="K1003">
        <f>VLOOKUP(F1003,[1]!china_towns_second__2[[Column1]:[Y]],2,FALSE)</f>
        <v>115.9120442</v>
      </c>
      <c r="L1003" t="s">
        <v>5835</v>
      </c>
      <c r="M1003" t="str">
        <f>VLOOKUP(H1003,CHOOSE({1,2},Table17[Native],Table17[Name]),2,0)</f>
        <v>Yùnchéng Xiàn</v>
      </c>
      <c r="N1003" s="15" t="str">
        <f>VLOOKUP(I1003,CHOOSE({1,2},Table17[Native],Table17[Name]),2,0)</f>
        <v>Hézé Shì</v>
      </c>
      <c r="O1003" s="15" t="str">
        <f t="shared" si="30"/>
        <v>Nanzhaolou Zhen (Hézé Shì)</v>
      </c>
      <c r="P1003" s="15" t="str">
        <f t="shared" si="31"/>
        <v>Nanzhaolou Zhen (Hézé Shì)</v>
      </c>
    </row>
    <row r="1004" spans="1:16" hidden="1" x14ac:dyDescent="0.25">
      <c r="A1004" t="s">
        <v>2801</v>
      </c>
      <c r="B1004" t="str">
        <f>IF(COUNTIF(A:A,A1004)&gt;1,_xlfn.CONCAT(A1004," (",N1004,")"),A1004)</f>
        <v>Niànlĭbăo Jiēdào</v>
      </c>
      <c r="C1004" t="str">
        <f>IF(COUNTIF(B:B,B1004)&gt;1,_xlfn.CONCAT(A1004," (",M1004,")"),B1004)</f>
        <v>Niànlĭbăo Jiēdào</v>
      </c>
      <c r="D1004" t="s">
        <v>2802</v>
      </c>
      <c r="E1004" t="s">
        <v>7</v>
      </c>
      <c r="F1004" t="str">
        <f>_xlfn.CONCAT(D1004,", ",H1004,", ",I1004,", ","山东省")</f>
        <v>廿里堡街道, 奎文区, 潍坊市, 山东省</v>
      </c>
      <c r="G1004">
        <v>34254</v>
      </c>
      <c r="H1004" t="s">
        <v>3758</v>
      </c>
      <c r="I1004" t="s">
        <v>3751</v>
      </c>
      <c r="J1004">
        <f>VLOOKUP(F1004,[1]!china_towns_second__2[[Column1]:[Y]],3,FALSE)</f>
        <v>36.644161193581397</v>
      </c>
      <c r="K1004">
        <f>VLOOKUP(F1004,[1]!china_towns_second__2[[Column1]:[Y]],2,FALSE)</f>
        <v>119.1178652</v>
      </c>
      <c r="L1004" t="s">
        <v>5836</v>
      </c>
      <c r="M1004" t="str">
        <f>VLOOKUP(H1004,CHOOSE({1,2},Table17[Native],Table17[Name]),2,0)</f>
        <v>Kuíwén Qū</v>
      </c>
      <c r="N1004" s="15" t="str">
        <f>VLOOKUP(I1004,CHOOSE({1,2},Table17[Native],Table17[Name]),2,0)</f>
        <v>Wéifāng Shì</v>
      </c>
      <c r="O1004" s="15" t="str">
        <f t="shared" si="30"/>
        <v>Nianlibao Jiedao (Wéifāng Shì)</v>
      </c>
      <c r="P1004" s="15" t="str">
        <f t="shared" si="31"/>
        <v>Nianlibao Jiedao (Wéifāng Shì)</v>
      </c>
    </row>
    <row r="1005" spans="1:16" hidden="1" x14ac:dyDescent="0.25">
      <c r="A1005" t="s">
        <v>1392</v>
      </c>
      <c r="B1005" t="str">
        <f>IF(COUNTIF(A:A,A1005)&gt;1,_xlfn.CONCAT(A1005," (",N1005,")"),A1005)</f>
        <v>Niànlĭpū Jiēdào</v>
      </c>
      <c r="C1005" t="str">
        <f>IF(COUNTIF(B:B,B1005)&gt;1,_xlfn.CONCAT(A1005," (",M1005,")"),B1005)</f>
        <v>Niànlĭpū Jiēdào</v>
      </c>
      <c r="D1005" t="s">
        <v>1393</v>
      </c>
      <c r="E1005" t="s">
        <v>7</v>
      </c>
      <c r="F1005" t="str">
        <f>_xlfn.CONCAT(D1005,", ",H1005,", ",I1005,", ","山东省")</f>
        <v>廿里铺街道, 任城区, 济宁市, 山东省</v>
      </c>
      <c r="G1005">
        <v>46645</v>
      </c>
      <c r="H1005" t="s">
        <v>3692</v>
      </c>
      <c r="I1005" t="s">
        <v>3687</v>
      </c>
      <c r="J1005">
        <f>VLOOKUP(F1005,[1]!china_towns_second__2[[Column1]:[Y]],3,FALSE)</f>
        <v>35.519215307219</v>
      </c>
      <c r="K1005">
        <f>VLOOKUP(F1005,[1]!china_towns_second__2[[Column1]:[Y]],2,FALSE)</f>
        <v>116.5588188</v>
      </c>
      <c r="L1005" t="s">
        <v>5837</v>
      </c>
      <c r="M1005" t="str">
        <f>VLOOKUP(H1005,CHOOSE({1,2},Table17[Native],Table17[Name]),2,0)</f>
        <v>Rènchéng Qū</v>
      </c>
      <c r="N1005" s="15" t="str">
        <f>VLOOKUP(I1005,CHOOSE({1,2},Table17[Native],Table17[Name]),2,0)</f>
        <v>Jìníng Shì</v>
      </c>
      <c r="O1005" s="15" t="str">
        <f t="shared" si="30"/>
        <v>Nianlipu Jiedao (Jìníng Shì)</v>
      </c>
      <c r="P1005" s="15" t="str">
        <f t="shared" si="31"/>
        <v>Nianlipu Jiedao (Jìníng Shì)</v>
      </c>
    </row>
    <row r="1006" spans="1:16" hidden="1" x14ac:dyDescent="0.25">
      <c r="A1006" t="s">
        <v>3411</v>
      </c>
      <c r="B1006" t="str">
        <f>IF(COUNTIF(A:A,A1006)&gt;1,_xlfn.CONCAT(A1006," (",N1006,")"),A1006)</f>
        <v>Nígōu Zhèn</v>
      </c>
      <c r="C1006" t="str">
        <f>IF(COUNTIF(B:B,B1006)&gt;1,_xlfn.CONCAT(A1006," (",M1006,")"),B1006)</f>
        <v>Nígōu Zhèn</v>
      </c>
      <c r="D1006" t="s">
        <v>3412</v>
      </c>
      <c r="E1006" t="s">
        <v>13</v>
      </c>
      <c r="F1006" t="str">
        <f>_xlfn.CONCAT(D1006,", ",H1006,", ",I1006,", ","山东省")</f>
        <v>泥沟镇, 台儿庄区, 枣庄市, 山东省</v>
      </c>
      <c r="G1006">
        <v>56533</v>
      </c>
      <c r="H1006" t="s">
        <v>3786</v>
      </c>
      <c r="I1006" t="s">
        <v>3784</v>
      </c>
      <c r="J1006">
        <f>VLOOKUP(F1006,[1]!china_towns_second__2[[Column1]:[Y]],3,FALSE)</f>
        <v>34.673513180703601</v>
      </c>
      <c r="K1006">
        <f>VLOOKUP(F1006,[1]!china_towns_second__2[[Column1]:[Y]],2,FALSE)</f>
        <v>117.6930547</v>
      </c>
      <c r="L1006" t="s">
        <v>5838</v>
      </c>
      <c r="M1006" t="str">
        <f>VLOOKUP(H1006,CHOOSE({1,2},Table17[Native],Table17[Name]),2,0)</f>
        <v>Tái'érzhuāng Qū</v>
      </c>
      <c r="N1006" s="15" t="str">
        <f>VLOOKUP(I1006,CHOOSE({1,2},Table17[Native],Table17[Name]),2,0)</f>
        <v>Zăozhuāng Shì</v>
      </c>
      <c r="O1006" s="15" t="str">
        <f t="shared" si="30"/>
        <v>Nigou Zhen (Zăozhuāng Shì)</v>
      </c>
      <c r="P1006" s="15" t="str">
        <f t="shared" si="31"/>
        <v>Nigou Zhen (Zăozhuāng Shì)</v>
      </c>
    </row>
    <row r="1007" spans="1:16" hidden="1" x14ac:dyDescent="0.25">
      <c r="A1007" t="s">
        <v>771</v>
      </c>
      <c r="B1007" t="str">
        <f>IF(COUNTIF(A:A,A1007)&gt;1,_xlfn.CONCAT(A1007," (",N1007,")"),A1007)</f>
        <v>Níjí Xiāng</v>
      </c>
      <c r="C1007" t="str">
        <f>IF(COUNTIF(B:B,B1007)&gt;1,_xlfn.CONCAT(A1007," (",M1007,")"),B1007)</f>
        <v>Níjí Xiāng</v>
      </c>
      <c r="D1007" t="s">
        <v>772</v>
      </c>
      <c r="E1007" t="s">
        <v>7</v>
      </c>
      <c r="F1007" t="str">
        <f>_xlfn.CONCAT(D1007,", ",H1007,", ",I1007,", ","山东省")</f>
        <v>倪集街道, 曹县, 菏泽市, 山东省</v>
      </c>
      <c r="G1007">
        <v>37888</v>
      </c>
      <c r="H1007" t="s">
        <v>3663</v>
      </c>
      <c r="I1007" t="s">
        <v>3662</v>
      </c>
      <c r="J1007" t="e">
        <f>VLOOKUP(F1007,[1]!china_towns_second__2[[Column1]:[Y]],3,FALSE)</f>
        <v>#N/A</v>
      </c>
      <c r="K1007" t="e">
        <f>VLOOKUP(F1007,[1]!china_towns_second__2[[Column1]:[Y]],2,FALSE)</f>
        <v>#N/A</v>
      </c>
      <c r="L1007" t="s">
        <v>5839</v>
      </c>
      <c r="M1007" t="str">
        <f>VLOOKUP(H1007,CHOOSE({1,2},Table17[Native],Table17[Name]),2,0)</f>
        <v>Cáo Xiàn</v>
      </c>
      <c r="N1007" s="15" t="str">
        <f>VLOOKUP(I1007,CHOOSE({1,2},Table17[Native],Table17[Name]),2,0)</f>
        <v>Hézé Shì</v>
      </c>
      <c r="O1007" s="15" t="str">
        <f t="shared" si="30"/>
        <v>Niji Xiang (Hézé Shì)</v>
      </c>
      <c r="P1007" s="15" t="str">
        <f t="shared" si="31"/>
        <v>Niji Xiang (Hézé Shì)</v>
      </c>
    </row>
    <row r="1008" spans="1:16" hidden="1" x14ac:dyDescent="0.25">
      <c r="A1008" t="s">
        <v>342</v>
      </c>
      <c r="B1008" t="str">
        <f>IF(COUNTIF(A:A,A1008)&gt;1,_xlfn.CONCAT(A1008," (",N1008,")"),A1008)</f>
        <v>Níngchéng Jiēdào</v>
      </c>
      <c r="C1008" t="str">
        <f>IF(COUNTIF(B:B,B1008)&gt;1,_xlfn.CONCAT(A1008," (",M1008,")"),B1008)</f>
        <v>Níngchéng Jiēdào</v>
      </c>
      <c r="D1008" t="s">
        <v>343</v>
      </c>
      <c r="E1008" t="s">
        <v>7</v>
      </c>
      <c r="F1008" t="str">
        <f>_xlfn.CONCAT(D1008,", ",H1008,", ",I1008,", ","山东省")</f>
        <v>宁城街道, 宁津县, 德州市, 山东省</v>
      </c>
      <c r="G1008">
        <v>35198</v>
      </c>
      <c r="H1008" t="s">
        <v>3647</v>
      </c>
      <c r="I1008" t="s">
        <v>3642</v>
      </c>
      <c r="J1008">
        <f>VLOOKUP(F1008,[1]!china_towns_second__2[[Column1]:[Y]],3,FALSE)</f>
        <v>37.634684918147698</v>
      </c>
      <c r="K1008">
        <f>VLOOKUP(F1008,[1]!china_towns_second__2[[Column1]:[Y]],2,FALSE)</f>
        <v>116.7948641</v>
      </c>
      <c r="L1008" t="s">
        <v>5840</v>
      </c>
      <c r="M1008" t="str">
        <f>VLOOKUP(H1008,CHOOSE({1,2},Table17[Native],Table17[Name]),2,0)</f>
        <v>Níngjīn Xiàn</v>
      </c>
      <c r="N1008" s="15" t="str">
        <f>VLOOKUP(I1008,CHOOSE({1,2},Table17[Native],Table17[Name]),2,0)</f>
        <v>Dézhōu Shì</v>
      </c>
      <c r="O1008" s="15" t="str">
        <f t="shared" si="30"/>
        <v>Ningcheng Jiedao (Dézhōu Shì)</v>
      </c>
      <c r="P1008" s="15" t="str">
        <f t="shared" si="31"/>
        <v>Ningcheng Jiedao (Dézhōu Shì)</v>
      </c>
    </row>
    <row r="1009" spans="1:16" hidden="1" x14ac:dyDescent="0.25">
      <c r="A1009" t="s">
        <v>3206</v>
      </c>
      <c r="B1009" t="str">
        <f>IF(COUNTIF(A:A,A1009)&gt;1,_xlfn.CONCAT(A1009," (",N1009,")"),A1009)</f>
        <v>Nínghăi Jiēdào</v>
      </c>
      <c r="C1009" t="str">
        <f>IF(COUNTIF(B:B,B1009)&gt;1,_xlfn.CONCAT(A1009," (",M1009,")"),B1009)</f>
        <v>Nínghăi Jiēdào</v>
      </c>
      <c r="D1009" t="s">
        <v>3207</v>
      </c>
      <c r="E1009" t="s">
        <v>7</v>
      </c>
      <c r="F1009" t="str">
        <f>_xlfn.CONCAT(D1009,", ",H1009,", ",I1009,", ","山东省")</f>
        <v>宁海街道, 牟平区, 烟台市, 山东省</v>
      </c>
      <c r="G1009">
        <v>96301</v>
      </c>
      <c r="H1009" t="s">
        <v>3778</v>
      </c>
      <c r="I1009" t="s">
        <v>3771</v>
      </c>
      <c r="J1009">
        <f>VLOOKUP(F1009,[1]!china_towns_second__2[[Column1]:[Y]],3,FALSE)</f>
        <v>37.419721329155799</v>
      </c>
      <c r="K1009">
        <f>VLOOKUP(F1009,[1]!china_towns_second__2[[Column1]:[Y]],2,FALSE)</f>
        <v>121.6046047</v>
      </c>
      <c r="L1009" t="s">
        <v>5841</v>
      </c>
      <c r="M1009" t="str">
        <f>VLOOKUP(H1009,CHOOSE({1,2},Table17[Native],Table17[Name]),2,0)</f>
        <v>Mùpíng Qū</v>
      </c>
      <c r="N1009" s="15" t="str">
        <f>VLOOKUP(I1009,CHOOSE({1,2},Table17[Native],Table17[Name]),2,0)</f>
        <v>Yāntái Shì</v>
      </c>
      <c r="O1009" s="15" t="str">
        <f t="shared" si="30"/>
        <v>Ninghai Jiedao (Yāntái Shì)</v>
      </c>
      <c r="P1009" s="15" t="str">
        <f t="shared" si="31"/>
        <v>Ninghai Jiedao (Yāntái Shì)</v>
      </c>
    </row>
    <row r="1010" spans="1:16" hidden="1" x14ac:dyDescent="0.25">
      <c r="A1010" t="s">
        <v>1072</v>
      </c>
      <c r="B1010" t="str">
        <f>IF(COUNTIF(A:A,A1010)&gt;1,_xlfn.CONCAT(A1010," (",N1010,")"),A1010)</f>
        <v>Níngjiābù Jiēdào</v>
      </c>
      <c r="C1010" t="str">
        <f>IF(COUNTIF(B:B,B1010)&gt;1,_xlfn.CONCAT(A1010," (",M1010,")"),B1010)</f>
        <v>Níngjiābù Jiēdào</v>
      </c>
      <c r="D1010" t="s">
        <v>1073</v>
      </c>
      <c r="E1010" t="s">
        <v>7</v>
      </c>
      <c r="F1010" t="str">
        <f>_xlfn.CONCAT(D1010,", ",H1010,", ",I1010,", ","山东省")</f>
        <v>宁家埠街道, 章丘区, 济南市, 山东省</v>
      </c>
      <c r="G1010">
        <v>31030</v>
      </c>
      <c r="H1010" t="s">
        <v>3685</v>
      </c>
      <c r="I1010" t="s">
        <v>3673</v>
      </c>
      <c r="J1010" t="e">
        <f>VLOOKUP(F1010,[1]!china_towns_second__2[[Column1]:[Y]],3,FALSE)</f>
        <v>#N/A</v>
      </c>
      <c r="K1010" t="e">
        <f>VLOOKUP(F1010,[1]!china_towns_second__2[[Column1]:[Y]],2,FALSE)</f>
        <v>#N/A</v>
      </c>
      <c r="L1010" t="s">
        <v>5842</v>
      </c>
      <c r="M1010" t="str">
        <f>VLOOKUP(H1010,CHOOSE({1,2},Table17[Native],Table17[Name]),2,0)</f>
        <v>Zhāngqiū Qū</v>
      </c>
      <c r="N1010" s="15" t="str">
        <f>VLOOKUP(I1010,CHOOSE({1,2},Table17[Native],Table17[Name]),2,0)</f>
        <v>Jìnán Shì</v>
      </c>
      <c r="O1010" s="15" t="str">
        <f t="shared" si="30"/>
        <v>Ningjiabu Jiedao (Jìnán Shì)</v>
      </c>
      <c r="P1010" s="15" t="str">
        <f t="shared" si="31"/>
        <v>Ningjiabu Jiedao (Jìnán Shì)</v>
      </c>
    </row>
    <row r="1011" spans="1:16" hidden="1" x14ac:dyDescent="0.25">
      <c r="A1011" t="s">
        <v>2962</v>
      </c>
      <c r="B1011" t="str">
        <f>IF(COUNTIF(A:A,A1011)&gt;1,_xlfn.CONCAT(A1011," (",N1011,")"),A1011)</f>
        <v>Níngjīn Jiēdào</v>
      </c>
      <c r="C1011" t="str">
        <f>IF(COUNTIF(B:B,B1011)&gt;1,_xlfn.CONCAT(A1011," (",M1011,")"),B1011)</f>
        <v>Níngjīn Jiēdào</v>
      </c>
      <c r="D1011" t="s">
        <v>2963</v>
      </c>
      <c r="E1011" t="s">
        <v>7</v>
      </c>
      <c r="F1011" t="str">
        <f>_xlfn.CONCAT(D1011,", ",H1011,", ",I1011,", ","山东省")</f>
        <v>宁津街道, 荣成市, 威海市, 山东省</v>
      </c>
      <c r="G1011">
        <v>22017</v>
      </c>
      <c r="H1011" t="s">
        <v>3767</v>
      </c>
      <c r="I1011" t="s">
        <v>3765</v>
      </c>
      <c r="J1011">
        <f>VLOOKUP(F1011,[1]!china_towns_second__2[[Column1]:[Y]],3,FALSE)</f>
        <v>36.976159811108303</v>
      </c>
      <c r="K1011">
        <f>VLOOKUP(F1011,[1]!china_towns_second__2[[Column1]:[Y]],2,FALSE)</f>
        <v>122.5141611</v>
      </c>
      <c r="L1011" t="s">
        <v>5843</v>
      </c>
      <c r="M1011" t="str">
        <f>VLOOKUP(H1011,CHOOSE({1,2},Table17[Native],Table17[Name]),2,0)</f>
        <v>Róngchéng Shì</v>
      </c>
      <c r="N1011" s="15" t="str">
        <f>VLOOKUP(I1011,CHOOSE({1,2},Table17[Native],Table17[Name]),2,0)</f>
        <v>Wēihăi Shì</v>
      </c>
      <c r="O1011" s="15" t="str">
        <f t="shared" si="30"/>
        <v>Ningjin Jiedao (Wēihăi Shì)</v>
      </c>
      <c r="P1011" s="15" t="str">
        <f t="shared" si="31"/>
        <v>Ningjin Jiedao (Wēihăi Shì)</v>
      </c>
    </row>
    <row r="1012" spans="1:16" hidden="1" x14ac:dyDescent="0.25">
      <c r="A1012" t="s">
        <v>2280</v>
      </c>
      <c r="B1012" t="str">
        <f>IF(COUNTIF(A:A,A1012)&gt;1,_xlfn.CONCAT(A1012," (",N1012,")"),A1012)</f>
        <v>Níngxiàlù Jiēdào</v>
      </c>
      <c r="C1012" t="str">
        <f>IF(COUNTIF(B:B,B1012)&gt;1,_xlfn.CONCAT(A1012," (",M1012,")"),B1012)</f>
        <v>Níngxiàlù Jiēdào</v>
      </c>
      <c r="D1012" t="s">
        <v>2281</v>
      </c>
      <c r="E1012" t="s">
        <v>7</v>
      </c>
      <c r="F1012" t="str">
        <f>_xlfn.CONCAT(D1012,", ",H1012,", ",I1012,", ","山东省")</f>
        <v>宁夏路街道, 市北区, 青岛市, 山东省</v>
      </c>
      <c r="G1012">
        <v>47369</v>
      </c>
      <c r="H1012" t="s">
        <v>3733</v>
      </c>
      <c r="I1012" t="s">
        <v>3724</v>
      </c>
      <c r="J1012">
        <f>VLOOKUP(F1012,[1]!china_towns_second__2[[Column1]:[Y]],3,FALSE)</f>
        <v>36.075023135236201</v>
      </c>
      <c r="K1012">
        <f>VLOOKUP(F1012,[1]!china_towns_second__2[[Column1]:[Y]],2,FALSE)</f>
        <v>120.3601688</v>
      </c>
      <c r="L1012" t="s">
        <v>5844</v>
      </c>
      <c r="M1012" t="str">
        <f>VLOOKUP(H1012,CHOOSE({1,2},Table17[Native],Table17[Name]),2,0)</f>
        <v>Shìbĕi Qū</v>
      </c>
      <c r="N1012" s="15" t="str">
        <f>VLOOKUP(I1012,CHOOSE({1,2},Table17[Native],Table17[Name]),2,0)</f>
        <v>Qīngdăo Shì</v>
      </c>
      <c r="O1012" s="15" t="str">
        <f t="shared" si="30"/>
        <v>Ningxialu Jiedao (Qīngdăo Shì)</v>
      </c>
      <c r="P1012" s="15" t="str">
        <f t="shared" si="31"/>
        <v>Ningxialu Jiedao (Qīngdăo Shì)</v>
      </c>
    </row>
    <row r="1013" spans="1:16" hidden="1" x14ac:dyDescent="0.25">
      <c r="A1013" t="s">
        <v>1394</v>
      </c>
      <c r="B1013" t="str">
        <f>IF(COUNTIF(A:A,A1013)&gt;1,_xlfn.CONCAT(A1013," (",N1013,")"),A1013)</f>
        <v>Níshān Zhèn [Nánxīn Zhèn]</v>
      </c>
      <c r="C1013" t="str">
        <f>IF(COUNTIF(B:B,B1013)&gt;1,_xlfn.CONCAT(A1013," (",M1013,")"),B1013)</f>
        <v>Níshān Zhèn [Nánxīn Zhèn]</v>
      </c>
      <c r="D1013" t="s">
        <v>1395</v>
      </c>
      <c r="E1013" t="s">
        <v>13</v>
      </c>
      <c r="F1013" t="str">
        <f>_xlfn.CONCAT(D1013,", ",H1013,", ",I1013,", ","山东省")</f>
        <v>尼山镇, 曲阜市, 济宁市, 山东省</v>
      </c>
      <c r="G1013">
        <v>47677</v>
      </c>
      <c r="H1013" t="s">
        <v>3691</v>
      </c>
      <c r="I1013" t="s">
        <v>3687</v>
      </c>
      <c r="J1013">
        <f>VLOOKUP(F1013,[1]!china_towns_second__2[[Column1]:[Y]],3,FALSE)</f>
        <v>35.502820004221498</v>
      </c>
      <c r="K1013">
        <f>VLOOKUP(F1013,[1]!china_towns_second__2[[Column1]:[Y]],2,FALSE)</f>
        <v>117.1576343</v>
      </c>
      <c r="L1013" t="s">
        <v>5845</v>
      </c>
      <c r="M1013" t="str">
        <f>VLOOKUP(H1013,CHOOSE({1,2},Table17[Native],Table17[Name]),2,0)</f>
        <v>Qŭfù Shì</v>
      </c>
      <c r="N1013" s="15" t="str">
        <f>VLOOKUP(I1013,CHOOSE({1,2},Table17[Native],Table17[Name]),2,0)</f>
        <v>Jìníng Shì</v>
      </c>
      <c r="O1013" s="15" t="str">
        <f t="shared" si="30"/>
        <v>Nishan Zhen [Nanxin Zhen] (Jìníng Shì)</v>
      </c>
      <c r="P1013" s="15" t="str">
        <f t="shared" si="31"/>
        <v>Nishan Zhen [Nanxin Zhen] (Jìníng Shì)</v>
      </c>
    </row>
    <row r="1014" spans="1:16" hidden="1" x14ac:dyDescent="0.25">
      <c r="A1014" t="s">
        <v>1662</v>
      </c>
      <c r="B1014" t="str">
        <f>IF(COUNTIF(A:A,A1014)&gt;1,_xlfn.CONCAT(A1014," (",N1014,")"),A1014)</f>
        <v>Niújiăodiàn Zhèn</v>
      </c>
      <c r="C1014" t="str">
        <f>IF(COUNTIF(B:B,B1014)&gt;1,_xlfn.CONCAT(A1014," (",M1014,")"),B1014)</f>
        <v>Niújiăodiàn Zhèn</v>
      </c>
      <c r="D1014" t="s">
        <v>1663</v>
      </c>
      <c r="E1014" t="s">
        <v>13</v>
      </c>
      <c r="F1014" t="str">
        <f>_xlfn.CONCAT(D1014,", ",H1014,", ",I1014,", ","山东省")</f>
        <v>牛角店镇, 东阿县, 聊城市, 山东省</v>
      </c>
      <c r="G1014">
        <v>42705</v>
      </c>
      <c r="H1014" t="s">
        <v>3703</v>
      </c>
      <c r="I1014" t="s">
        <v>3700</v>
      </c>
      <c r="J1014">
        <f>VLOOKUP(F1014,[1]!china_towns_second__2[[Column1]:[Y]],3,FALSE)</f>
        <v>36.400690839536303</v>
      </c>
      <c r="K1014">
        <f>VLOOKUP(F1014,[1]!china_towns_second__2[[Column1]:[Y]],2,FALSE)</f>
        <v>116.46105660000001</v>
      </c>
      <c r="L1014" t="s">
        <v>5846</v>
      </c>
      <c r="M1014" t="str">
        <f>VLOOKUP(H1014,CHOOSE({1,2},Table17[Native],Table17[Name]),2,0)</f>
        <v>Dōng'ē Xiàn</v>
      </c>
      <c r="N1014" s="15" t="str">
        <f>VLOOKUP(I1014,CHOOSE({1,2},Table17[Native],Table17[Name]),2,0)</f>
        <v>Liáochéng Shì</v>
      </c>
      <c r="O1014" s="15" t="str">
        <f t="shared" si="30"/>
        <v>Niujiaodian Zhen (Liáochéng Shì)</v>
      </c>
      <c r="P1014" s="15" t="str">
        <f t="shared" si="31"/>
        <v>Niujiaodian Zhen (Liáochéng Shì)</v>
      </c>
    </row>
    <row r="1015" spans="1:16" hidden="1" x14ac:dyDescent="0.25">
      <c r="A1015" t="s">
        <v>1074</v>
      </c>
      <c r="B1015" t="str">
        <f>IF(COUNTIF(A:A,A1015)&gt;1,_xlfn.CONCAT(A1015," (",N1015,")"),A1015)</f>
        <v>Niúquán Zhèn</v>
      </c>
      <c r="C1015" t="str">
        <f>IF(COUNTIF(B:B,B1015)&gt;1,_xlfn.CONCAT(A1015," (",M1015,")"),B1015)</f>
        <v>Niúquán Zhèn</v>
      </c>
      <c r="D1015" t="s">
        <v>1075</v>
      </c>
      <c r="E1015" t="s">
        <v>13</v>
      </c>
      <c r="F1015" t="str">
        <f>_xlfn.CONCAT(D1015,", ",H1015,", ",I1015,", ","山东省")</f>
        <v>牛泉镇, 莱芜区, 济南市, 山东省</v>
      </c>
      <c r="G1015">
        <v>65981</v>
      </c>
      <c r="H1015" t="s">
        <v>3678</v>
      </c>
      <c r="I1015" t="s">
        <v>3673</v>
      </c>
      <c r="J1015">
        <f>VLOOKUP(F1015,[1]!china_towns_second__2[[Column1]:[Y]],3,FALSE)</f>
        <v>36.192740000000001</v>
      </c>
      <c r="K1015">
        <f>VLOOKUP(F1015,[1]!china_towns_second__2[[Column1]:[Y]],2,FALSE)</f>
        <v>117.53872</v>
      </c>
      <c r="L1015" t="s">
        <v>5847</v>
      </c>
      <c r="M1015" t="str">
        <f>VLOOKUP(H1015,CHOOSE({1,2},Table17[Native],Table17[Name]),2,0)</f>
        <v>Láiwú Qū</v>
      </c>
      <c r="N1015" s="15" t="str">
        <f>VLOOKUP(I1015,CHOOSE({1,2},Table17[Native],Table17[Name]),2,0)</f>
        <v>Jìnán Shì</v>
      </c>
      <c r="O1015" s="15" t="str">
        <f t="shared" si="30"/>
        <v>Niuquan Zhen (Jìnán Shì)</v>
      </c>
      <c r="P1015" s="15" t="str">
        <f t="shared" si="31"/>
        <v>Niuquan Zhen (Jìnán Shì)</v>
      </c>
    </row>
    <row r="1016" spans="1:16" hidden="1" x14ac:dyDescent="0.25">
      <c r="A1016" t="s">
        <v>543</v>
      </c>
      <c r="B1016" t="str">
        <f>IF(COUNTIF(A:A,A1016)&gt;1,_xlfn.CONCAT(A1016," (",N1016,")"),A1016)</f>
        <v>Niúzhuāng Zhèn</v>
      </c>
      <c r="C1016" t="str">
        <f>IF(COUNTIF(B:B,B1016)&gt;1,_xlfn.CONCAT(A1016," (",M1016,")"),B1016)</f>
        <v>Niúzhuāng Zhèn</v>
      </c>
      <c r="D1016" t="s">
        <v>544</v>
      </c>
      <c r="E1016" t="s">
        <v>13</v>
      </c>
      <c r="F1016" t="str">
        <f>_xlfn.CONCAT(D1016,", ",H1016,", ",I1016,", ","山东省")</f>
        <v>牛庄镇, 东营区, 东营市, 山东省</v>
      </c>
      <c r="G1016">
        <v>35021</v>
      </c>
      <c r="H1016" t="s">
        <v>3656</v>
      </c>
      <c r="I1016" t="s">
        <v>3655</v>
      </c>
      <c r="J1016">
        <f>VLOOKUP(F1016,[1]!china_towns_second__2[[Column1]:[Y]],3,FALSE)</f>
        <v>37.322169987728699</v>
      </c>
      <c r="K1016">
        <f>VLOOKUP(F1016,[1]!china_towns_second__2[[Column1]:[Y]],2,FALSE)</f>
        <v>118.44453249999999</v>
      </c>
      <c r="L1016" t="s">
        <v>5848</v>
      </c>
      <c r="M1016" t="str">
        <f>VLOOKUP(H1016,CHOOSE({1,2},Table17[Native],Table17[Name]),2,0)</f>
        <v>Dōngyíng Qū</v>
      </c>
      <c r="N1016" s="15" t="str">
        <f>VLOOKUP(I1016,CHOOSE({1,2},Table17[Native],Table17[Name]),2,0)</f>
        <v>Dōngyíng Shì</v>
      </c>
      <c r="O1016" s="15" t="str">
        <f t="shared" si="30"/>
        <v>Niuzhuang Zhen (Dōngyíng Shì)</v>
      </c>
      <c r="P1016" s="15" t="str">
        <f t="shared" si="31"/>
        <v>Niuzhuang Zhen (Dōngyíng Shì)</v>
      </c>
    </row>
    <row r="1017" spans="1:16" hidden="1" x14ac:dyDescent="0.25">
      <c r="A1017" t="s">
        <v>344</v>
      </c>
      <c r="B1017" t="str">
        <f>IF(COUNTIF(A:A,A1017)&gt;1,_xlfn.CONCAT(A1017," (",N1017,")"),A1017)</f>
        <v>Pāndiàn Zhèn</v>
      </c>
      <c r="C1017" t="str">
        <f>IF(COUNTIF(B:B,B1017)&gt;1,_xlfn.CONCAT(A1017," (",M1017,")"),B1017)</f>
        <v>Pāndiàn Zhèn</v>
      </c>
      <c r="D1017" t="s">
        <v>345</v>
      </c>
      <c r="E1017" t="s">
        <v>13</v>
      </c>
      <c r="F1017" t="str">
        <f>_xlfn.CONCAT(D1017,", ",H1017,", ",I1017,", ","山东省")</f>
        <v>潘店镇, 齐河县, 德州市, 山东省</v>
      </c>
      <c r="G1017">
        <v>48546</v>
      </c>
      <c r="H1017" t="s">
        <v>3649</v>
      </c>
      <c r="I1017" t="s">
        <v>3642</v>
      </c>
      <c r="J1017">
        <f>VLOOKUP(F1017,[1]!china_towns_second__2[[Column1]:[Y]],3,FALSE)</f>
        <v>36.641046157965803</v>
      </c>
      <c r="K1017">
        <f>VLOOKUP(F1017,[1]!china_towns_second__2[[Column1]:[Y]],2,FALSE)</f>
        <v>116.4743823</v>
      </c>
      <c r="L1017" t="s">
        <v>5849</v>
      </c>
      <c r="M1017" t="str">
        <f>VLOOKUP(H1017,CHOOSE({1,2},Table17[Native],Table17[Name]),2,0)</f>
        <v>Qíhé Xiàn</v>
      </c>
      <c r="N1017" s="15" t="str">
        <f>VLOOKUP(I1017,CHOOSE({1,2},Table17[Native],Table17[Name]),2,0)</f>
        <v>Dézhōu Shì</v>
      </c>
      <c r="O1017" s="15" t="str">
        <f t="shared" si="30"/>
        <v>Pandian Zhen (Dézhōu Shì)</v>
      </c>
      <c r="P1017" s="15" t="str">
        <f t="shared" si="31"/>
        <v>Pandian Zhen (Dézhōu Shì)</v>
      </c>
    </row>
    <row r="1018" spans="1:16" hidden="1" x14ac:dyDescent="0.25">
      <c r="A1018" t="s">
        <v>773</v>
      </c>
      <c r="B1018" t="str">
        <f>IF(COUNTIF(A:A,A1018)&gt;1,_xlfn.CONCAT(A1018," (",N1018,")"),A1018)</f>
        <v>Pāndù Zhèn</v>
      </c>
      <c r="C1018" t="str">
        <f>IF(COUNTIF(B:B,B1018)&gt;1,_xlfn.CONCAT(A1018," (",M1018,")"),B1018)</f>
        <v>Pāndù Zhèn</v>
      </c>
      <c r="D1018" t="s">
        <v>774</v>
      </c>
      <c r="E1018" t="s">
        <v>13</v>
      </c>
      <c r="F1018" t="str">
        <f>_xlfn.CONCAT(D1018,", ",H1018,", ",I1018,", ","山东省")</f>
        <v>潘渡镇, 郓城县, 菏泽市, 山东省</v>
      </c>
      <c r="G1018">
        <v>45446</v>
      </c>
      <c r="H1018" t="s">
        <v>3671</v>
      </c>
      <c r="I1018" t="s">
        <v>3662</v>
      </c>
      <c r="J1018">
        <f>VLOOKUP(F1018,[1]!china_towns_second__2[[Column1]:[Y]],3,FALSE)</f>
        <v>35.6783259759072</v>
      </c>
      <c r="K1018">
        <f>VLOOKUP(F1018,[1]!china_towns_second__2[[Column1]:[Y]],2,FALSE)</f>
        <v>115.93239629999999</v>
      </c>
      <c r="L1018" t="s">
        <v>5850</v>
      </c>
      <c r="M1018" t="str">
        <f>VLOOKUP(H1018,CHOOSE({1,2},Table17[Native],Table17[Name]),2,0)</f>
        <v>Yùnchéng Xiàn</v>
      </c>
      <c r="N1018" s="15" t="str">
        <f>VLOOKUP(I1018,CHOOSE({1,2},Table17[Native],Table17[Name]),2,0)</f>
        <v>Hézé Shì</v>
      </c>
      <c r="O1018" s="15" t="str">
        <f t="shared" si="30"/>
        <v>Pandu Zhen (Hézé Shì)</v>
      </c>
      <c r="P1018" s="15" t="str">
        <f t="shared" si="31"/>
        <v>Pandu Zhen (Hézé Shì)</v>
      </c>
    </row>
    <row r="1019" spans="1:16" hidden="1" x14ac:dyDescent="0.25">
      <c r="A1019" t="s">
        <v>119</v>
      </c>
      <c r="B1019" t="str">
        <f>IF(COUNTIF(A:A,A1019)&gt;1,_xlfn.CONCAT(A1019," (",N1019,")"),A1019)</f>
        <v>Pángjiā Zhèn</v>
      </c>
      <c r="C1019" t="str">
        <f>IF(COUNTIF(B:B,B1019)&gt;1,_xlfn.CONCAT(A1019," (",M1019,")"),B1019)</f>
        <v>Pángjiā Zhèn</v>
      </c>
      <c r="D1019" t="s">
        <v>120</v>
      </c>
      <c r="E1019" t="s">
        <v>13</v>
      </c>
      <c r="F1019" t="str">
        <f>_xlfn.CONCAT(D1019,", ",H1019,", ",I1019,", ","山东省")</f>
        <v>庞家镇, 博兴县, 滨州市, 山东省</v>
      </c>
      <c r="G1019">
        <v>24838</v>
      </c>
      <c r="H1019" t="s">
        <v>3634</v>
      </c>
      <c r="I1019" t="s">
        <v>3630</v>
      </c>
      <c r="J1019">
        <f>VLOOKUP(F1019,[1]!china_towns_second__2[[Column1]:[Y]],3,FALSE)</f>
        <v>37.229600012934299</v>
      </c>
      <c r="K1019">
        <f>VLOOKUP(F1019,[1]!china_towns_second__2[[Column1]:[Y]],2,FALSE)</f>
        <v>118.1181143</v>
      </c>
      <c r="L1019" t="s">
        <v>5851</v>
      </c>
      <c r="M1019" t="str">
        <f>VLOOKUP(H1019,CHOOSE({1,2},Table17[Native],Table17[Name]),2,0)</f>
        <v>Bóxīng Xiàn</v>
      </c>
      <c r="N1019" s="15" t="str">
        <f>VLOOKUP(I1019,CHOOSE({1,2},Table17[Native],Table17[Name]),2,0)</f>
        <v>Bīnzhōu Shì</v>
      </c>
      <c r="O1019" s="15" t="str">
        <f t="shared" si="30"/>
        <v>Pangjia Zhen (Bīnzhōu Shì)</v>
      </c>
      <c r="P1019" s="15" t="str">
        <f t="shared" si="31"/>
        <v>Pangjia Zhen (Bīnzhōu Shì)</v>
      </c>
    </row>
    <row r="1020" spans="1:16" hidden="1" x14ac:dyDescent="0.25">
      <c r="A1020" t="s">
        <v>775</v>
      </c>
      <c r="B1020" t="str">
        <f>IF(COUNTIF(A:A,A1020)&gt;1,_xlfn.CONCAT(A1020," (",N1020,")"),A1020)</f>
        <v>Pánshí Jiēdào</v>
      </c>
      <c r="C1020" t="str">
        <f>IF(COUNTIF(B:B,B1020)&gt;1,_xlfn.CONCAT(A1020," (",M1020,")"),B1020)</f>
        <v>Pánshí Jiēdào</v>
      </c>
      <c r="D1020" t="s">
        <v>776</v>
      </c>
      <c r="E1020" t="s">
        <v>7</v>
      </c>
      <c r="F1020" t="str">
        <f>_xlfn.CONCAT(D1020,", ",H1020,", ",I1020,", ","山东省")</f>
        <v>磐石街道, 曹县, 菏泽市, 山东省</v>
      </c>
      <c r="G1020">
        <v>89295</v>
      </c>
      <c r="H1020" t="s">
        <v>3663</v>
      </c>
      <c r="I1020" t="s">
        <v>3662</v>
      </c>
      <c r="J1020">
        <f>VLOOKUP(F1020,[1]!china_towns_second__2[[Column1]:[Y]],3,FALSE)</f>
        <v>34.821257153971999</v>
      </c>
      <c r="K1020">
        <f>VLOOKUP(F1020,[1]!china_towns_second__2[[Column1]:[Y]],2,FALSE)</f>
        <v>115.5755716</v>
      </c>
      <c r="L1020" t="s">
        <v>5852</v>
      </c>
      <c r="M1020" t="str">
        <f>VLOOKUP(H1020,CHOOSE({1,2},Table17[Native],Table17[Name]),2,0)</f>
        <v>Cáo Xiàn</v>
      </c>
      <c r="N1020" s="15" t="str">
        <f>VLOOKUP(I1020,CHOOSE({1,2},Table17[Native],Table17[Name]),2,0)</f>
        <v>Hézé Shì</v>
      </c>
      <c r="O1020" s="15" t="str">
        <f t="shared" si="30"/>
        <v>Panshi Jiedao (Hézé Shì)</v>
      </c>
      <c r="P1020" s="15" t="str">
        <f t="shared" si="31"/>
        <v>Panshi Jiedao (Hézé Shì)</v>
      </c>
    </row>
    <row r="1021" spans="1:16" hidden="1" x14ac:dyDescent="0.25">
      <c r="A1021" t="s">
        <v>3208</v>
      </c>
      <c r="B1021" t="str">
        <f>IF(COUNTIF(A:A,A1021)&gt;1,_xlfn.CONCAT(A1021," (",N1021,")"),A1021)</f>
        <v>Pánshídiàn Zhèn</v>
      </c>
      <c r="C1021" t="str">
        <f>IF(COUNTIF(B:B,B1021)&gt;1,_xlfn.CONCAT(A1021," (",M1021,")"),B1021)</f>
        <v>Pánshídiàn Zhèn</v>
      </c>
      <c r="D1021" t="s">
        <v>3209</v>
      </c>
      <c r="E1021" t="s">
        <v>13</v>
      </c>
      <c r="F1021" t="str">
        <f>_xlfn.CONCAT(D1021,", ",H1021,", ",I1021,", ","山东省")</f>
        <v>盘石店镇, 海阳市, 烟台市, 山东省</v>
      </c>
      <c r="G1021">
        <v>27572</v>
      </c>
      <c r="H1021" t="s">
        <v>3773</v>
      </c>
      <c r="I1021" t="s">
        <v>3771</v>
      </c>
      <c r="J1021">
        <f>VLOOKUP(F1021,[1]!china_towns_second__2[[Column1]:[Y]],3,FALSE)</f>
        <v>36.881823379590102</v>
      </c>
      <c r="K1021">
        <f>VLOOKUP(F1021,[1]!china_towns_second__2[[Column1]:[Y]],2,FALSE)</f>
        <v>121.2719318</v>
      </c>
      <c r="L1021" t="s">
        <v>5853</v>
      </c>
      <c r="M1021" t="str">
        <f>VLOOKUP(H1021,CHOOSE({1,2},Table17[Native],Table17[Name]),2,0)</f>
        <v>Hăiyáng Shì</v>
      </c>
      <c r="N1021" s="15" t="str">
        <f>VLOOKUP(I1021,CHOOSE({1,2},Table17[Native],Table17[Name]),2,0)</f>
        <v>Yāntái Shì</v>
      </c>
      <c r="O1021" s="15" t="str">
        <f t="shared" si="30"/>
        <v>Panshidian Zhen (Yāntái Shì)</v>
      </c>
      <c r="P1021" s="15" t="str">
        <f t="shared" si="31"/>
        <v>Panshidian Zhen (Yāntái Shì)</v>
      </c>
    </row>
    <row r="1022" spans="1:16" hidden="1" x14ac:dyDescent="0.25">
      <c r="A1022" t="s">
        <v>1664</v>
      </c>
      <c r="B1022" t="str">
        <f>IF(COUNTIF(A:A,A1022)&gt;1,_xlfn.CONCAT(A1022," (",N1022,")"),A1022)</f>
        <v>Pānzhuāng Zhèn</v>
      </c>
      <c r="C1022" t="str">
        <f>IF(COUNTIF(B:B,B1022)&gt;1,_xlfn.CONCAT(A1022," (",M1022,")"),B1022)</f>
        <v>Pānzhuāng Zhèn</v>
      </c>
      <c r="D1022" t="s">
        <v>1665</v>
      </c>
      <c r="E1022" t="s">
        <v>13</v>
      </c>
      <c r="F1022" t="str">
        <f>_xlfn.CONCAT(D1022,", ",H1022,", ",I1022,", ","山东省")</f>
        <v>潘庄镇, 临清市, 聊城市, 山东省</v>
      </c>
      <c r="G1022">
        <v>34984</v>
      </c>
      <c r="H1022" t="s">
        <v>3706</v>
      </c>
      <c r="I1022" t="s">
        <v>3700</v>
      </c>
      <c r="J1022">
        <f>VLOOKUP(F1022,[1]!china_towns_second__2[[Column1]:[Y]],3,FALSE)</f>
        <v>36.686758118243503</v>
      </c>
      <c r="K1022">
        <f>VLOOKUP(F1022,[1]!china_towns_second__2[[Column1]:[Y]],2,FALSE)</f>
        <v>115.5158402</v>
      </c>
      <c r="L1022" t="s">
        <v>5854</v>
      </c>
      <c r="M1022" t="str">
        <f>VLOOKUP(H1022,CHOOSE({1,2},Table17[Native],Table17[Name]),2,0)</f>
        <v>Línqīng Shì</v>
      </c>
      <c r="N1022" s="15" t="str">
        <f>VLOOKUP(I1022,CHOOSE({1,2},Table17[Native],Table17[Name]),2,0)</f>
        <v>Liáochéng Shì</v>
      </c>
      <c r="O1022" s="15" t="str">
        <f t="shared" si="30"/>
        <v>Panzhuang Zhen (Liáochéng Shì)</v>
      </c>
      <c r="P1022" s="15" t="str">
        <f t="shared" si="31"/>
        <v>Panzhuang Zhen (Liáochéng Shì)</v>
      </c>
    </row>
    <row r="1023" spans="1:16" hidden="1" x14ac:dyDescent="0.25">
      <c r="A1023" t="s">
        <v>2591</v>
      </c>
      <c r="B1023" t="str">
        <f>IF(COUNTIF(A:A,A1023)&gt;1,_xlfn.CONCAT(A1023," (",N1023,")"),A1023)</f>
        <v>Péngjí Jiēdào Dìqū</v>
      </c>
      <c r="C1023" t="str">
        <f>IF(COUNTIF(B:B,B1023)&gt;1,_xlfn.CONCAT(A1023," (",M1023,")"),B1023)</f>
        <v>Péngjí Jiēdào Dìqū</v>
      </c>
      <c r="D1023" t="s">
        <v>2592</v>
      </c>
      <c r="E1023" t="s">
        <v>7</v>
      </c>
      <c r="F1023" t="str">
        <f>_xlfn.CONCAT(D1023,", ",H1023,", ",I1023,", ","山东省")</f>
        <v>彭集街道地区, 东平县, 泰安市, 山东省</v>
      </c>
      <c r="G1023">
        <v>60632</v>
      </c>
      <c r="H1023" t="s">
        <v>3745</v>
      </c>
      <c r="I1023" t="s">
        <v>3743</v>
      </c>
      <c r="J1023" t="e">
        <f>VLOOKUP(F1023,[1]!china_towns_second__2[[Column1]:[Y]],3,FALSE)</f>
        <v>#N/A</v>
      </c>
      <c r="K1023" t="e">
        <f>VLOOKUP(F1023,[1]!china_towns_second__2[[Column1]:[Y]],2,FALSE)</f>
        <v>#N/A</v>
      </c>
      <c r="L1023" t="s">
        <v>5855</v>
      </c>
      <c r="M1023" t="str">
        <f>VLOOKUP(H1023,CHOOSE({1,2},Table17[Native],Table17[Name]),2,0)</f>
        <v>Dōngpíng Xiàn</v>
      </c>
      <c r="N1023" s="15" t="str">
        <f>VLOOKUP(I1023,CHOOSE({1,2},Table17[Native],Table17[Name]),2,0)</f>
        <v>Tài'ān Shì</v>
      </c>
      <c r="O1023" s="15" t="str">
        <f t="shared" si="30"/>
        <v>Pengji Jiedao Diqu (Tài'ān Shì)</v>
      </c>
      <c r="P1023" s="15" t="str">
        <f t="shared" si="31"/>
        <v>Pengji Jiedao Diqu (Tài'ān Shì)</v>
      </c>
    </row>
    <row r="1024" spans="1:16" hidden="1" x14ac:dyDescent="0.25">
      <c r="A1024" t="s">
        <v>3210</v>
      </c>
      <c r="B1024" t="str">
        <f>IF(COUNTIF(A:A,A1024)&gt;1,_xlfn.CONCAT(A1024," (",N1024,")"),A1024)</f>
        <v>Péngláigé Jiēdào</v>
      </c>
      <c r="C1024" t="str">
        <f>IF(COUNTIF(B:B,B1024)&gt;1,_xlfn.CONCAT(A1024," (",M1024,")"),B1024)</f>
        <v>Péngláigé Jiēdào</v>
      </c>
      <c r="D1024" t="s">
        <v>3211</v>
      </c>
      <c r="E1024" t="s">
        <v>7</v>
      </c>
      <c r="F1024" t="str">
        <f>_xlfn.CONCAT(D1024,", ",H1024,", ",I1024,", ","山东省")</f>
        <v>蓬莱阁街道, 蓬莱区, 烟台市, 山东省</v>
      </c>
      <c r="G1024">
        <v>18010</v>
      </c>
      <c r="H1024" t="s">
        <v>3779</v>
      </c>
      <c r="I1024" t="s">
        <v>3771</v>
      </c>
      <c r="J1024">
        <f>VLOOKUP(F1024,[1]!china_towns_second__2[[Column1]:[Y]],3,FALSE)</f>
        <v>37.814627269455002</v>
      </c>
      <c r="K1024">
        <f>VLOOKUP(F1024,[1]!china_towns_second__2[[Column1]:[Y]],2,FALSE)</f>
        <v>120.7386281</v>
      </c>
      <c r="L1024" t="s">
        <v>5856</v>
      </c>
      <c r="M1024" t="str">
        <f>VLOOKUP(H1024,CHOOSE({1,2},Table17[Native],Table17[Name]),2,0)</f>
        <v>Pénglái Qū</v>
      </c>
      <c r="N1024" s="15" t="str">
        <f>VLOOKUP(I1024,CHOOSE({1,2},Table17[Native],Table17[Name]),2,0)</f>
        <v>Yāntái Shì</v>
      </c>
      <c r="O1024" s="15" t="str">
        <f t="shared" si="30"/>
        <v>Penglaige Jiedao (Yāntái Shì)</v>
      </c>
      <c r="P1024" s="15" t="str">
        <f t="shared" si="31"/>
        <v>Penglaige Jiedao (Yāntái Shì)</v>
      </c>
    </row>
    <row r="1025" spans="1:16" hidden="1" x14ac:dyDescent="0.25">
      <c r="A1025" t="s">
        <v>121</v>
      </c>
      <c r="B1025" t="str">
        <f>IF(COUNTIF(A:A,A1025)&gt;1,_xlfn.CONCAT(A1025," (",N1025,")"),A1025)</f>
        <v>Pénglĭ Jiēdào</v>
      </c>
      <c r="C1025" t="str">
        <f>IF(COUNTIF(B:B,B1025)&gt;1,_xlfn.CONCAT(A1025," (",M1025,")"),B1025)</f>
        <v>Pénglĭ Jiēdào</v>
      </c>
      <c r="D1025" t="s">
        <v>122</v>
      </c>
      <c r="E1025" t="s">
        <v>7</v>
      </c>
      <c r="F1025" t="str">
        <f>_xlfn.CONCAT(D1025,", ",H1025,", ",I1025,", ","山东省")</f>
        <v>彭李街道, 滨城区, 滨州市, 山东省</v>
      </c>
      <c r="G1025">
        <v>72850</v>
      </c>
      <c r="H1025" t="s">
        <v>3632</v>
      </c>
      <c r="I1025" t="s">
        <v>3630</v>
      </c>
      <c r="J1025">
        <f>VLOOKUP(F1025,[1]!china_towns_second__2[[Column1]:[Y]],3,FALSE)</f>
        <v>37.398860837183598</v>
      </c>
      <c r="K1025">
        <f>VLOOKUP(F1025,[1]!china_towns_second__2[[Column1]:[Y]],2,FALSE)</f>
        <v>117.976958</v>
      </c>
      <c r="L1025" t="s">
        <v>5857</v>
      </c>
      <c r="M1025" t="str">
        <f>VLOOKUP(H1025,CHOOSE({1,2},Table17[Native],Table17[Name]),2,0)</f>
        <v>Bīnchéng Qū</v>
      </c>
      <c r="N1025" s="15" t="str">
        <f>VLOOKUP(I1025,CHOOSE({1,2},Table17[Native],Table17[Name]),2,0)</f>
        <v>Bīnzhōu Shì</v>
      </c>
      <c r="O1025" s="15" t="str">
        <f t="shared" si="30"/>
        <v>Pengli Jiedao (Bīnzhōu Shì)</v>
      </c>
      <c r="P1025" s="15" t="str">
        <f t="shared" si="31"/>
        <v>Pengli Jiedao (Bīnzhōu Shì)</v>
      </c>
    </row>
    <row r="1026" spans="1:16" hidden="1" x14ac:dyDescent="0.25">
      <c r="A1026" t="s">
        <v>777</v>
      </c>
      <c r="B1026" t="str">
        <f>IF(COUNTIF(A:A,A1026)&gt;1,_xlfn.CONCAT(A1026," (",N1026,")"),A1026)</f>
        <v>Pénglóu Zhèn</v>
      </c>
      <c r="C1026" t="str">
        <f>IF(COUNTIF(B:B,B1026)&gt;1,_xlfn.CONCAT(A1026," (",M1026,")"),B1026)</f>
        <v>Pénglóu Zhèn</v>
      </c>
      <c r="D1026" t="s">
        <v>778</v>
      </c>
      <c r="E1026" t="s">
        <v>13</v>
      </c>
      <c r="F1026" t="str">
        <f>_xlfn.CONCAT(D1026,", ",H1026,", ",I1026,", ","山东省")</f>
        <v>彭楼镇, 鄄城县, 菏泽市, 山东省</v>
      </c>
      <c r="G1026">
        <v>52541</v>
      </c>
      <c r="H1026" t="s">
        <v>3667</v>
      </c>
      <c r="I1026" t="s">
        <v>3662</v>
      </c>
      <c r="J1026">
        <f>VLOOKUP(F1026,[1]!china_towns_second__2[[Column1]:[Y]],3,FALSE)</f>
        <v>35.412812892837401</v>
      </c>
      <c r="K1026">
        <f>VLOOKUP(F1026,[1]!china_towns_second__2[[Column1]:[Y]],2,FALSE)</f>
        <v>115.5712527</v>
      </c>
      <c r="L1026" t="s">
        <v>5858</v>
      </c>
      <c r="M1026" t="str">
        <f>VLOOKUP(H1026,CHOOSE({1,2},Table17[Native],Table17[Name]),2,0)</f>
        <v>Juànchéng Xiàn</v>
      </c>
      <c r="N1026" s="15" t="str">
        <f>VLOOKUP(I1026,CHOOSE({1,2},Table17[Native],Table17[Name]),2,0)</f>
        <v>Hézé Shì</v>
      </c>
      <c r="O1026" s="15" t="str">
        <f t="shared" ref="O1026:O1089" si="32">_xlfn.CONCAT(L1026," (",N1026,")")</f>
        <v>Penglou Zhen (Hézé Shì)</v>
      </c>
      <c r="P1026" s="15" t="str">
        <f t="shared" ref="P1026:P1089" si="33">IF(COUNTIF(O:O,O1026)&gt;1,_xlfn.CONCAT(L1026," (",M1026,")"),O1026)</f>
        <v>Penglou Zhen (Hézé Shì)</v>
      </c>
    </row>
    <row r="1027" spans="1:16" hidden="1" x14ac:dyDescent="0.25">
      <c r="A1027" t="s">
        <v>1076</v>
      </c>
      <c r="B1027" t="str">
        <f>IF(COUNTIF(A:A,A1027)&gt;1,_xlfn.CONCAT(A1027," (",N1027,")"),A1027)</f>
        <v>Péngquán Jiēdào</v>
      </c>
      <c r="C1027" t="str">
        <f>IF(COUNTIF(B:B,B1027)&gt;1,_xlfn.CONCAT(A1027," (",M1027,")"),B1027)</f>
        <v>Péngquán Jiēdào</v>
      </c>
      <c r="D1027" t="s">
        <v>1077</v>
      </c>
      <c r="E1027" t="s">
        <v>7</v>
      </c>
      <c r="F1027" t="str">
        <f>_xlfn.CONCAT(D1027,", ",H1027,", ",I1027,", ","山东省")</f>
        <v>鹏泉街道, 莱芜区, 济南市, 山东省</v>
      </c>
      <c r="G1027">
        <v>87112</v>
      </c>
      <c r="H1027" t="s">
        <v>3678</v>
      </c>
      <c r="I1027" t="s">
        <v>3673</v>
      </c>
      <c r="J1027" t="e">
        <f>VLOOKUP(F1027,[1]!china_towns_second__2[[Column1]:[Y]],3,FALSE)</f>
        <v>#N/A</v>
      </c>
      <c r="K1027" t="e">
        <f>VLOOKUP(F1027,[1]!china_towns_second__2[[Column1]:[Y]],2,FALSE)</f>
        <v>#N/A</v>
      </c>
      <c r="L1027" t="s">
        <v>5859</v>
      </c>
      <c r="M1027" t="str">
        <f>VLOOKUP(H1027,CHOOSE({1,2},Table17[Native],Table17[Name]),2,0)</f>
        <v>Láiwú Qū</v>
      </c>
      <c r="N1027" s="15" t="str">
        <f>VLOOKUP(I1027,CHOOSE({1,2},Table17[Native],Table17[Name]),2,0)</f>
        <v>Jìnán Shì</v>
      </c>
      <c r="O1027" s="15" t="str">
        <f t="shared" si="32"/>
        <v>Pengquan Jiedao (Jìnán Shì)</v>
      </c>
      <c r="P1027" s="15" t="str">
        <f t="shared" si="33"/>
        <v>Pengquan Jiedao (Jìnán Shì)</v>
      </c>
    </row>
    <row r="1028" spans="1:16" hidden="1" x14ac:dyDescent="0.25">
      <c r="A1028" t="s">
        <v>1078</v>
      </c>
      <c r="B1028" t="str">
        <f>IF(COUNTIF(A:A,A1028)&gt;1,_xlfn.CONCAT(A1028," (",N1028,")"),A1028)</f>
        <v>Píng'ān Jiēdào</v>
      </c>
      <c r="C1028" t="str">
        <f>IF(COUNTIF(B:B,B1028)&gt;1,_xlfn.CONCAT(A1028," (",M1028,")"),B1028)</f>
        <v>Píng'ān Jiēdào</v>
      </c>
      <c r="D1028" t="s">
        <v>1079</v>
      </c>
      <c r="E1028" t="s">
        <v>7</v>
      </c>
      <c r="F1028" t="str">
        <f>_xlfn.CONCAT(D1028,", ",H1028,", ",I1028,", ","山东省")</f>
        <v>平安街道, 长清区, 济南市, 山东省</v>
      </c>
      <c r="G1028">
        <v>60766</v>
      </c>
      <c r="H1028" t="s">
        <v>3674</v>
      </c>
      <c r="I1028" t="s">
        <v>3673</v>
      </c>
      <c r="J1028">
        <f>VLOOKUP(F1028,[1]!china_towns_second__2[[Column1]:[Y]],3,FALSE)</f>
        <v>36.612986080411801</v>
      </c>
      <c r="K1028">
        <f>VLOOKUP(F1028,[1]!china_towns_second__2[[Column1]:[Y]],2,FALSE)</f>
        <v>116.7830847</v>
      </c>
      <c r="L1028" t="s">
        <v>5860</v>
      </c>
      <c r="M1028" t="str">
        <f>VLOOKUP(H1028,CHOOSE({1,2},Table17[Native],Table17[Name]),2,0)</f>
        <v>Chángqīng Qū</v>
      </c>
      <c r="N1028" s="15" t="str">
        <f>VLOOKUP(I1028,CHOOSE({1,2},Table17[Native],Table17[Name]),2,0)</f>
        <v>Jìnán Shì</v>
      </c>
      <c r="O1028" s="15" t="str">
        <f t="shared" si="32"/>
        <v>Ping'an Jiedao (Jìnán Shì)</v>
      </c>
      <c r="P1028" s="15" t="str">
        <f t="shared" si="33"/>
        <v>Ping'an Jiedao (Jìnán Shì)</v>
      </c>
    </row>
    <row r="1029" spans="1:16" hidden="1" x14ac:dyDescent="0.25">
      <c r="A1029" t="s">
        <v>2282</v>
      </c>
      <c r="B1029" t="str">
        <f>IF(COUNTIF(A:A,A1029)&gt;1,_xlfn.CONCAT(A1029," (",N1029,")"),A1029)</f>
        <v>Píngdù Jīngjì Kāifāqū</v>
      </c>
      <c r="C1029" t="str">
        <f>IF(COUNTIF(B:B,B1029)&gt;1,_xlfn.CONCAT(A1029," (",M1029,")"),B1029)</f>
        <v>Píngdù Jīngjì Kāifāqū</v>
      </c>
      <c r="D1029" t="s">
        <v>2283</v>
      </c>
      <c r="E1029" t="s">
        <v>495</v>
      </c>
      <c r="F1029" t="str">
        <f>_xlfn.CONCAT(D1029,", ",H1029,", ",I1029,", ","山东省")</f>
        <v>平度经济开发区, 平度市, 青岛市, 山东省</v>
      </c>
      <c r="G1029">
        <v>33320</v>
      </c>
      <c r="H1029" t="s">
        <v>3732</v>
      </c>
      <c r="I1029" t="s">
        <v>3724</v>
      </c>
      <c r="J1029" t="e">
        <f>VLOOKUP(F1029,[1]!china_towns_second__2[[Column1]:[Y]],3,FALSE)</f>
        <v>#N/A</v>
      </c>
      <c r="K1029" t="e">
        <f>VLOOKUP(F1029,[1]!china_towns_second__2[[Column1]:[Y]],2,FALSE)</f>
        <v>#N/A</v>
      </c>
      <c r="L1029" t="s">
        <v>5861</v>
      </c>
      <c r="M1029" t="str">
        <f>VLOOKUP(H1029,CHOOSE({1,2},Table17[Native],Table17[Name]),2,0)</f>
        <v>Píngdù Shì</v>
      </c>
      <c r="N1029" s="15" t="str">
        <f>VLOOKUP(I1029,CHOOSE({1,2},Table17[Native],Table17[Name]),2,0)</f>
        <v>Qīngdăo Shì</v>
      </c>
      <c r="O1029" s="15" t="str">
        <f t="shared" si="32"/>
        <v>Pingdu Jingji Kaifaqu (Qīngdăo Shì)</v>
      </c>
      <c r="P1029" s="15" t="str">
        <f t="shared" si="33"/>
        <v>Pingdu Jingji Kaifaqu (Qīngdăo Shì)</v>
      </c>
    </row>
    <row r="1030" spans="1:16" hidden="1" x14ac:dyDescent="0.25">
      <c r="A1030" t="s">
        <v>3212</v>
      </c>
      <c r="B1030" t="str">
        <f>IF(COUNTIF(A:A,A1030)&gt;1,_xlfn.CONCAT(A1030," (",N1030,")"),A1030)</f>
        <v>Pínglĭdiàn Zhèn</v>
      </c>
      <c r="C1030" t="str">
        <f>IF(COUNTIF(B:B,B1030)&gt;1,_xlfn.CONCAT(A1030," (",M1030,")"),B1030)</f>
        <v>Pínglĭdiàn Zhèn</v>
      </c>
      <c r="D1030" t="s">
        <v>3213</v>
      </c>
      <c r="E1030" t="s">
        <v>13</v>
      </c>
      <c r="F1030" t="str">
        <f>_xlfn.CONCAT(D1030,", ",H1030,", ",I1030,", ","山东省")</f>
        <v>平里店镇, 莱州市, 烟台市, 山东省</v>
      </c>
      <c r="G1030">
        <v>41544</v>
      </c>
      <c r="H1030" t="s">
        <v>3776</v>
      </c>
      <c r="I1030" t="s">
        <v>3771</v>
      </c>
      <c r="J1030">
        <f>VLOOKUP(F1030,[1]!china_towns_second__2[[Column1]:[Y]],3,FALSE)</f>
        <v>37.280356626733798</v>
      </c>
      <c r="K1030">
        <f>VLOOKUP(F1030,[1]!china_towns_second__2[[Column1]:[Y]],2,FALSE)</f>
        <v>120.04774999999999</v>
      </c>
      <c r="L1030" t="s">
        <v>5862</v>
      </c>
      <c r="M1030" t="str">
        <f>VLOOKUP(H1030,CHOOSE({1,2},Table17[Native],Table17[Name]),2,0)</f>
        <v>Láizhōu Shì</v>
      </c>
      <c r="N1030" s="15" t="str">
        <f>VLOOKUP(I1030,CHOOSE({1,2},Table17[Native],Table17[Name]),2,0)</f>
        <v>Yāntái Shì</v>
      </c>
      <c r="O1030" s="15" t="str">
        <f t="shared" si="32"/>
        <v>Pinglidian Zhen (Yāntái Shì)</v>
      </c>
      <c r="P1030" s="15" t="str">
        <f t="shared" si="33"/>
        <v>Pinglidian Zhen (Yāntái Shì)</v>
      </c>
    </row>
    <row r="1031" spans="1:16" hidden="1" x14ac:dyDescent="0.25">
      <c r="A1031" t="s">
        <v>1966</v>
      </c>
      <c r="B1031" t="str">
        <f>IF(COUNTIF(A:A,A1031)&gt;1,_xlfn.CONCAT(A1031," (",N1031,")"),A1031)</f>
        <v>Píngshàng Zhèn</v>
      </c>
      <c r="C1031" t="str">
        <f>IF(COUNTIF(B:B,B1031)&gt;1,_xlfn.CONCAT(A1031," (",M1031,")"),B1031)</f>
        <v>Píngshàng Zhèn</v>
      </c>
      <c r="D1031" t="s">
        <v>1967</v>
      </c>
      <c r="E1031" t="s">
        <v>13</v>
      </c>
      <c r="F1031" t="str">
        <f>_xlfn.CONCAT(D1031,", ",H1031,", ",I1031,", ","山东省")</f>
        <v>坪上镇, 莒南县, 临沂市, 山东省</v>
      </c>
      <c r="G1031">
        <v>55658</v>
      </c>
      <c r="H1031" t="s">
        <v>3713</v>
      </c>
      <c r="I1031" t="s">
        <v>3710</v>
      </c>
      <c r="J1031">
        <f>VLOOKUP(F1031,[1]!china_towns_second__2[[Column1]:[Y]],3,FALSE)</f>
        <v>35.205231707050501</v>
      </c>
      <c r="K1031">
        <f>VLOOKUP(F1031,[1]!china_towns_second__2[[Column1]:[Y]],2,FALSE)</f>
        <v>119.0746822</v>
      </c>
      <c r="L1031" t="s">
        <v>5863</v>
      </c>
      <c r="M1031" t="str">
        <f>VLOOKUP(H1031,CHOOSE({1,2},Table17[Native],Table17[Name]),2,0)</f>
        <v>Jŭnán Xiàn</v>
      </c>
      <c r="N1031" s="15" t="str">
        <f>VLOOKUP(I1031,CHOOSE({1,2},Table17[Native],Table17[Name]),2,0)</f>
        <v>Línyí Shì</v>
      </c>
      <c r="O1031" s="15" t="str">
        <f t="shared" si="32"/>
        <v>Pingshang Zhen (Línyí Shì)</v>
      </c>
      <c r="P1031" s="15" t="str">
        <f t="shared" si="33"/>
        <v>Pingshang Zhen (Línyí Shì)</v>
      </c>
    </row>
    <row r="1032" spans="1:16" hidden="1" x14ac:dyDescent="0.25">
      <c r="A1032" t="s">
        <v>1968</v>
      </c>
      <c r="B1032" t="str">
        <f>IF(COUNTIF(A:A,A1032)&gt;1,_xlfn.CONCAT(A1032," (",N1032,")"),A1032)</f>
        <v>Píngyì Jiēdào</v>
      </c>
      <c r="C1032" t="str">
        <f>IF(COUNTIF(B:B,B1032)&gt;1,_xlfn.CONCAT(A1032," (",M1032,")"),B1032)</f>
        <v>Píngyì Jiēdào</v>
      </c>
      <c r="D1032" t="s">
        <v>1969</v>
      </c>
      <c r="E1032" t="s">
        <v>7</v>
      </c>
      <c r="F1032" t="str">
        <f>_xlfn.CONCAT(D1032,", ",H1032,", ",I1032,", ","山东省")</f>
        <v>平邑街道, 平邑县, 临沂市, 山东省</v>
      </c>
      <c r="G1032">
        <v>223267</v>
      </c>
      <c r="H1032" t="s">
        <v>3719</v>
      </c>
      <c r="I1032" t="s">
        <v>3710</v>
      </c>
      <c r="J1032">
        <f>VLOOKUP(F1032,[1]!china_towns_second__2[[Column1]:[Y]],3,FALSE)</f>
        <v>35.486908427551498</v>
      </c>
      <c r="K1032">
        <f>VLOOKUP(F1032,[1]!china_towns_second__2[[Column1]:[Y]],2,FALSE)</f>
        <v>117.6202019</v>
      </c>
      <c r="L1032" t="s">
        <v>5864</v>
      </c>
      <c r="M1032" t="str">
        <f>VLOOKUP(H1032,CHOOSE({1,2},Table17[Native],Table17[Name]),2,0)</f>
        <v>Píngyì Xiàn</v>
      </c>
      <c r="N1032" s="15" t="str">
        <f>VLOOKUP(I1032,CHOOSE({1,2},Table17[Native],Table17[Name]),2,0)</f>
        <v>Línyí Shì</v>
      </c>
      <c r="O1032" s="15" t="str">
        <f t="shared" si="32"/>
        <v>Pingyi Jiedao (Línyí Shì)</v>
      </c>
      <c r="P1032" s="15" t="str">
        <f t="shared" si="33"/>
        <v>Pingyi Jiedao (Línyí Shì)</v>
      </c>
    </row>
    <row r="1033" spans="1:16" hidden="1" x14ac:dyDescent="0.25">
      <c r="A1033" t="s">
        <v>3413</v>
      </c>
      <c r="B1033" t="str">
        <f>IF(COUNTIF(A:A,A1033)&gt;1,_xlfn.CONCAT(A1033," (",N1033,")"),A1033)</f>
        <v>Pīzhuāng Zhèn</v>
      </c>
      <c r="C1033" t="str">
        <f>IF(COUNTIF(B:B,B1033)&gt;1,_xlfn.CONCAT(A1033," (",M1033,")"),B1033)</f>
        <v>Pīzhuāng Zhèn</v>
      </c>
      <c r="D1033" t="s">
        <v>3414</v>
      </c>
      <c r="E1033" t="s">
        <v>13</v>
      </c>
      <c r="F1033" t="str">
        <f>_xlfn.CONCAT(D1033,", ",H1033,", ",I1033,", ","山东省")</f>
        <v>邳庄镇, 台儿庄区, 枣庄市, 山东省</v>
      </c>
      <c r="G1033">
        <v>26970</v>
      </c>
      <c r="H1033" t="s">
        <v>3786</v>
      </c>
      <c r="I1033" t="s">
        <v>3784</v>
      </c>
      <c r="J1033">
        <f>VLOOKUP(F1033,[1]!china_towns_second__2[[Column1]:[Y]],3,FALSE)</f>
        <v>34.593327920205702</v>
      </c>
      <c r="K1033">
        <f>VLOOKUP(F1033,[1]!china_towns_second__2[[Column1]:[Y]],2,FALSE)</f>
        <v>117.7675875</v>
      </c>
      <c r="L1033" t="s">
        <v>5865</v>
      </c>
      <c r="M1033" t="str">
        <f>VLOOKUP(H1033,CHOOSE({1,2},Table17[Native],Table17[Name]),2,0)</f>
        <v>Tái'érzhuāng Qū</v>
      </c>
      <c r="N1033" s="15" t="str">
        <f>VLOOKUP(I1033,CHOOSE({1,2},Table17[Native],Table17[Name]),2,0)</f>
        <v>Zăozhuāng Shì</v>
      </c>
      <c r="O1033" s="15" t="str">
        <f t="shared" si="32"/>
        <v>Pizhuang Zhen (Zăozhuāng Shì)</v>
      </c>
      <c r="P1033" s="15" t="str">
        <f t="shared" si="33"/>
        <v>Pizhuang Zhen (Zăozhuāng Shì)</v>
      </c>
    </row>
    <row r="1034" spans="1:16" hidden="1" x14ac:dyDescent="0.25">
      <c r="A1034" t="s">
        <v>1080</v>
      </c>
      <c r="B1034" t="str">
        <f>IF(COUNTIF(A:A,A1034)&gt;1,_xlfn.CONCAT(A1034," (",N1034,")"),A1034)</f>
        <v>Pŭjí Jiēdào</v>
      </c>
      <c r="C1034" t="str">
        <f>IF(COUNTIF(B:B,B1034)&gt;1,_xlfn.CONCAT(A1034," (",M1034,")"),B1034)</f>
        <v>Pŭjí Jiēdào</v>
      </c>
      <c r="D1034" t="s">
        <v>1081</v>
      </c>
      <c r="E1034" t="s">
        <v>7</v>
      </c>
      <c r="F1034" t="str">
        <f>_xlfn.CONCAT(D1034,", ",H1034,", ",I1034,", ","山东省")</f>
        <v>普集街道, 章丘区, 济南市, 山东省</v>
      </c>
      <c r="G1034">
        <v>56653</v>
      </c>
      <c r="H1034" t="s">
        <v>3685</v>
      </c>
      <c r="I1034" t="s">
        <v>3673</v>
      </c>
      <c r="J1034" t="e">
        <f>VLOOKUP(F1034,[1]!china_towns_second__2[[Column1]:[Y]],3,FALSE)</f>
        <v>#N/A</v>
      </c>
      <c r="K1034" t="e">
        <f>VLOOKUP(F1034,[1]!china_towns_second__2[[Column1]:[Y]],2,FALSE)</f>
        <v>#N/A</v>
      </c>
      <c r="L1034" t="s">
        <v>5866</v>
      </c>
      <c r="M1034" t="str">
        <f>VLOOKUP(H1034,CHOOSE({1,2},Table17[Native],Table17[Name]),2,0)</f>
        <v>Zhāngqiū Qū</v>
      </c>
      <c r="N1034" s="15" t="str">
        <f>VLOOKUP(I1034,CHOOSE({1,2},Table17[Native],Table17[Name]),2,0)</f>
        <v>Jìnán Shì</v>
      </c>
      <c r="O1034" s="15" t="str">
        <f t="shared" si="32"/>
        <v>Puji Jiedao (Jìnán Shì)</v>
      </c>
      <c r="P1034" s="15" t="str">
        <f t="shared" si="33"/>
        <v>Puji Jiedao (Jìnán Shì)</v>
      </c>
    </row>
    <row r="1035" spans="1:16" hidden="1" x14ac:dyDescent="0.25">
      <c r="A1035" t="s">
        <v>2284</v>
      </c>
      <c r="B1035" t="str">
        <f>IF(COUNTIF(A:A,A1035)&gt;1,_xlfn.CONCAT(A1035," (",N1035,")"),A1035)</f>
        <v>Pūjí Zhèn</v>
      </c>
      <c r="C1035" t="str">
        <f>IF(COUNTIF(B:B,B1035)&gt;1,_xlfn.CONCAT(A1035," (",M1035,")"),B1035)</f>
        <v>Pūjí Zhèn</v>
      </c>
      <c r="D1035" t="s">
        <v>2285</v>
      </c>
      <c r="E1035" t="s">
        <v>13</v>
      </c>
      <c r="F1035" t="str">
        <f>_xlfn.CONCAT(D1035,", ",H1035,", ",I1035,", ","山东省")</f>
        <v>铺集镇, 胶州市, 青岛市, 山东省</v>
      </c>
      <c r="G1035">
        <v>52563</v>
      </c>
      <c r="H1035" t="s">
        <v>3727</v>
      </c>
      <c r="I1035" t="s">
        <v>3724</v>
      </c>
      <c r="J1035">
        <f>VLOOKUP(F1035,[1]!china_towns_second__2[[Column1]:[Y]],3,FALSE)</f>
        <v>36.119679400984801</v>
      </c>
      <c r="K1035">
        <f>VLOOKUP(F1035,[1]!china_towns_second__2[[Column1]:[Y]],2,FALSE)</f>
        <v>119.70045159999999</v>
      </c>
      <c r="L1035" t="s">
        <v>5867</v>
      </c>
      <c r="M1035" t="str">
        <f>VLOOKUP(H1035,CHOOSE({1,2},Table17[Native],Table17[Name]),2,0)</f>
        <v>Jiāozhōu Shì</v>
      </c>
      <c r="N1035" s="15" t="str">
        <f>VLOOKUP(I1035,CHOOSE({1,2},Table17[Native],Table17[Name]),2,0)</f>
        <v>Qīngdăo Shì</v>
      </c>
      <c r="O1035" s="15" t="str">
        <f t="shared" si="32"/>
        <v>Puji Zhen (Qīngdăo Shì)</v>
      </c>
      <c r="P1035" s="15" t="str">
        <f t="shared" si="33"/>
        <v>Puji Zhen (Qīngdăo Shì)</v>
      </c>
    </row>
    <row r="1036" spans="1:16" hidden="1" x14ac:dyDescent="0.25">
      <c r="A1036" t="s">
        <v>779</v>
      </c>
      <c r="B1036" t="str">
        <f>IF(COUNTIF(A:A,A1036)&gt;1,_xlfn.CONCAT(A1036," (",N1036,")"),A1036)</f>
        <v>Pŭliánjí Zhèn</v>
      </c>
      <c r="C1036" t="str">
        <f>IF(COUNTIF(B:B,B1036)&gt;1,_xlfn.CONCAT(A1036," (",M1036,")"),B1036)</f>
        <v>Pŭliánjí Zhèn</v>
      </c>
      <c r="D1036" t="s">
        <v>780</v>
      </c>
      <c r="E1036" t="s">
        <v>13</v>
      </c>
      <c r="F1036" t="str">
        <f>_xlfn.CONCAT(D1036,", ",H1036,", ",I1036,", ","山东省")</f>
        <v>普连集镇, 曹县, 菏泽市, 山东省</v>
      </c>
      <c r="G1036">
        <v>33914</v>
      </c>
      <c r="H1036" t="s">
        <v>3663</v>
      </c>
      <c r="I1036" t="s">
        <v>3662</v>
      </c>
      <c r="J1036">
        <f>VLOOKUP(F1036,[1]!china_towns_second__2[[Column1]:[Y]],3,FALSE)</f>
        <v>34.921527664175997</v>
      </c>
      <c r="K1036">
        <f>VLOOKUP(F1036,[1]!china_towns_second__2[[Column1]:[Y]],2,FALSE)</f>
        <v>115.6017841</v>
      </c>
      <c r="L1036" t="s">
        <v>5868</v>
      </c>
      <c r="M1036" t="str">
        <f>VLOOKUP(H1036,CHOOSE({1,2},Table17[Native],Table17[Name]),2,0)</f>
        <v>Cáo Xiàn</v>
      </c>
      <c r="N1036" s="15" t="str">
        <f>VLOOKUP(I1036,CHOOSE({1,2},Table17[Native],Table17[Name]),2,0)</f>
        <v>Hézé Shì</v>
      </c>
      <c r="O1036" s="15" t="str">
        <f t="shared" si="32"/>
        <v>Pulianji Zhen (Hézé Shì)</v>
      </c>
      <c r="P1036" s="15" t="str">
        <f t="shared" si="33"/>
        <v>Pulianji Zhen (Hézé Shì)</v>
      </c>
    </row>
    <row r="1037" spans="1:16" hidden="1" x14ac:dyDescent="0.25">
      <c r="A1037" t="s">
        <v>1970</v>
      </c>
      <c r="B1037" t="str">
        <f>IF(COUNTIF(A:A,A1037)&gt;1,_xlfn.CONCAT(A1037," (",N1037,")"),A1037)</f>
        <v>Púwāng Zhèn</v>
      </c>
      <c r="C1037" t="str">
        <f>IF(COUNTIF(B:B,B1037)&gt;1,_xlfn.CONCAT(A1037," (",M1037,")"),B1037)</f>
        <v>Púwāng Zhèn</v>
      </c>
      <c r="D1037" t="s">
        <v>1971</v>
      </c>
      <c r="E1037" t="s">
        <v>13</v>
      </c>
      <c r="F1037" t="str">
        <f>_xlfn.CONCAT(D1037,", ",H1037,", ",I1037,", ","山东省")</f>
        <v>蒲汪镇, 沂南县, 临沂市, 山东省</v>
      </c>
      <c r="G1037">
        <v>46171</v>
      </c>
      <c r="H1037" t="s">
        <v>3721</v>
      </c>
      <c r="I1037" t="s">
        <v>3710</v>
      </c>
      <c r="J1037">
        <f>VLOOKUP(F1037,[1]!china_towns_second__2[[Column1]:[Y]],3,FALSE)</f>
        <v>35.504822132226302</v>
      </c>
      <c r="K1037">
        <f>VLOOKUP(F1037,[1]!china_towns_second__2[[Column1]:[Y]],2,FALSE)</f>
        <v>118.6653427</v>
      </c>
      <c r="L1037" t="s">
        <v>5869</v>
      </c>
      <c r="M1037" t="str">
        <f>VLOOKUP(H1037,CHOOSE({1,2},Table17[Native],Table17[Name]),2,0)</f>
        <v>Yínán Xiàn</v>
      </c>
      <c r="N1037" s="15" t="str">
        <f>VLOOKUP(I1037,CHOOSE({1,2},Table17[Native],Table17[Name]),2,0)</f>
        <v>Línyí Shì</v>
      </c>
      <c r="O1037" s="15" t="str">
        <f t="shared" si="32"/>
        <v>Puwang Zhen (Línyí Shì)</v>
      </c>
      <c r="P1037" s="15" t="str">
        <f t="shared" si="33"/>
        <v>Puwang Zhen (Línyí Shì)</v>
      </c>
    </row>
    <row r="1038" spans="1:16" hidden="1" x14ac:dyDescent="0.25">
      <c r="A1038" t="s">
        <v>346</v>
      </c>
      <c r="B1038" t="str">
        <f>IF(COUNTIF(A:A,A1038)&gt;1,_xlfn.CONCAT(A1038," (",N1038,")"),A1038)</f>
        <v>Qiáncáo Zhèn</v>
      </c>
      <c r="C1038" t="str">
        <f>IF(COUNTIF(B:B,B1038)&gt;1,_xlfn.CONCAT(A1038," (",M1038,")"),B1038)</f>
        <v>Qiáncáo Zhèn</v>
      </c>
      <c r="D1038" t="s">
        <v>347</v>
      </c>
      <c r="E1038" t="s">
        <v>13</v>
      </c>
      <c r="F1038" t="str">
        <f>_xlfn.CONCAT(D1038,", ",H1038,", ",I1038,", ","山东省")</f>
        <v>前曹镇, 平原县, 德州市, 山东省</v>
      </c>
      <c r="G1038">
        <v>47909</v>
      </c>
      <c r="H1038" t="s">
        <v>3648</v>
      </c>
      <c r="I1038" t="s">
        <v>3642</v>
      </c>
      <c r="J1038">
        <f>VLOOKUP(F1038,[1]!china_towns_second__2[[Column1]:[Y]],3,FALSE)</f>
        <v>37.110929173375602</v>
      </c>
      <c r="K1038">
        <f>VLOOKUP(F1038,[1]!china_towns_second__2[[Column1]:[Y]],2,FALSE)</f>
        <v>116.5317486</v>
      </c>
      <c r="L1038" t="s">
        <v>5870</v>
      </c>
      <c r="M1038" t="str">
        <f>VLOOKUP(H1038,CHOOSE({1,2},Table17[Native],Table17[Name]),2,0)</f>
        <v>Píngyuán Xiàn</v>
      </c>
      <c r="N1038" s="15" t="str">
        <f>VLOOKUP(I1038,CHOOSE({1,2},Table17[Native],Table17[Name]),2,0)</f>
        <v>Dézhōu Shì</v>
      </c>
      <c r="O1038" s="15" t="str">
        <f t="shared" si="32"/>
        <v>Qiancao Zhen (Dézhōu Shì)</v>
      </c>
      <c r="P1038" s="15" t="str">
        <f t="shared" si="33"/>
        <v>Qiancao Zhen (Dézhōu Shì)</v>
      </c>
    </row>
    <row r="1039" spans="1:16" hidden="1" x14ac:dyDescent="0.25">
      <c r="A1039" t="s">
        <v>1082</v>
      </c>
      <c r="B1039" t="str">
        <f>IF(COUNTIF(A:A,A1039)&gt;1,_xlfn.CONCAT(A1039," (",N1039,")"),A1039)</f>
        <v>Qiānfóshān Jiēdào</v>
      </c>
      <c r="C1039" t="str">
        <f>IF(COUNTIF(B:B,B1039)&gt;1,_xlfn.CONCAT(A1039," (",M1039,")"),B1039)</f>
        <v>Qiānfóshān Jiēdào</v>
      </c>
      <c r="D1039" t="s">
        <v>1083</v>
      </c>
      <c r="E1039" t="s">
        <v>7</v>
      </c>
      <c r="F1039" t="str">
        <f>_xlfn.CONCAT(D1039,", ",H1039,", ",I1039,", ","山东省")</f>
        <v>千佛山街道, 历下区, 济南市, 山东省</v>
      </c>
      <c r="G1039">
        <v>69818</v>
      </c>
      <c r="H1039" t="s">
        <v>3680</v>
      </c>
      <c r="I1039" t="s">
        <v>3673</v>
      </c>
      <c r="J1039">
        <f>VLOOKUP(F1039,[1]!china_towns_second__2[[Column1]:[Y]],3,FALSE)</f>
        <v>36.644485986391103</v>
      </c>
      <c r="K1039">
        <f>VLOOKUP(F1039,[1]!china_towns_second__2[[Column1]:[Y]],2,FALSE)</f>
        <v>117.0286756</v>
      </c>
      <c r="L1039" t="s">
        <v>5871</v>
      </c>
      <c r="M1039" t="str">
        <f>VLOOKUP(H1039,CHOOSE({1,2},Table17[Native],Table17[Name]),2,0)</f>
        <v>Lìxià Qū</v>
      </c>
      <c r="N1039" s="15" t="str">
        <f>VLOOKUP(I1039,CHOOSE({1,2},Table17[Native],Table17[Name]),2,0)</f>
        <v>Jìnán Shì</v>
      </c>
      <c r="O1039" s="15" t="str">
        <f t="shared" si="32"/>
        <v>Qianfoshan Jiedao (Jìnán Shì)</v>
      </c>
      <c r="P1039" s="15" t="str">
        <f t="shared" si="33"/>
        <v>Qianfoshan Jiedao (Jìnán Shì)</v>
      </c>
    </row>
    <row r="1040" spans="1:16" hidden="1" x14ac:dyDescent="0.25">
      <c r="A1040" t="s">
        <v>1396</v>
      </c>
      <c r="B1040" t="str">
        <f>IF(COUNTIF(A:A,A1040)&gt;1,_xlfn.CONCAT(A1040," (",N1040,")"),A1040)</f>
        <v>Qiānquán Jiēdào</v>
      </c>
      <c r="C1040" t="str">
        <f>IF(COUNTIF(B:B,B1040)&gt;1,_xlfn.CONCAT(A1040," (",M1040,")"),B1040)</f>
        <v>Qiānquán Jiēdào</v>
      </c>
      <c r="D1040" t="s">
        <v>1397</v>
      </c>
      <c r="E1040" t="s">
        <v>7</v>
      </c>
      <c r="F1040" t="str">
        <f>_xlfn.CONCAT(D1040,", ",H1040,", ",I1040,", ","山东省")</f>
        <v>千泉街道, 邹城市, 济宁市, 山东省</v>
      </c>
      <c r="G1040">
        <v>91620</v>
      </c>
      <c r="H1040" t="s">
        <v>3698</v>
      </c>
      <c r="I1040" t="s">
        <v>3687</v>
      </c>
      <c r="J1040">
        <f>VLOOKUP(F1040,[1]!china_towns_second__2[[Column1]:[Y]],3,FALSE)</f>
        <v>35.3867249375132</v>
      </c>
      <c r="K1040">
        <f>VLOOKUP(F1040,[1]!china_towns_second__2[[Column1]:[Y]],2,FALSE)</f>
        <v>117.0024588</v>
      </c>
      <c r="L1040" t="s">
        <v>5872</v>
      </c>
      <c r="M1040" t="str">
        <f>VLOOKUP(H1040,CHOOSE({1,2},Table17[Native],Table17[Name]),2,0)</f>
        <v>Zōuchéng Shì</v>
      </c>
      <c r="N1040" s="15" t="str">
        <f>VLOOKUP(I1040,CHOOSE({1,2},Table17[Native],Table17[Name]),2,0)</f>
        <v>Jìníng Shì</v>
      </c>
      <c r="O1040" s="15" t="str">
        <f t="shared" si="32"/>
        <v>Qianquan Jiedao (Jìníng Shì)</v>
      </c>
      <c r="P1040" s="15" t="str">
        <f t="shared" si="33"/>
        <v>Qianquan Jiedao (Jìníng Shì)</v>
      </c>
    </row>
    <row r="1041" spans="1:16" hidden="1" x14ac:dyDescent="0.25">
      <c r="A1041" t="s">
        <v>2456</v>
      </c>
      <c r="B1041" t="str">
        <f>IF(COUNTIF(A:A,A1041)&gt;1,_xlfn.CONCAT(A1041," (",N1041,")"),A1041)</f>
        <v>Qiánsāndăo Xiāng</v>
      </c>
      <c r="C1041" t="str">
        <f>IF(COUNTIF(B:B,B1041)&gt;1,_xlfn.CONCAT(A1041," (",M1041,")"),B1041)</f>
        <v>Qiánsāndăo Xiāng</v>
      </c>
      <c r="D1041" t="s">
        <v>2457</v>
      </c>
      <c r="E1041" t="s">
        <v>61</v>
      </c>
      <c r="F1041" t="str">
        <f>_xlfn.CONCAT(D1041,", ",H1041,", ",I1041,", ","山东省")</f>
        <v>前三岛乡, 兰山区, 临沂市, 山东省</v>
      </c>
      <c r="G1041">
        <v>4549</v>
      </c>
      <c r="H1041" t="s">
        <v>3715</v>
      </c>
      <c r="I1041" t="s">
        <v>3710</v>
      </c>
      <c r="J1041" t="e">
        <f>VLOOKUP(F1041,[1]!china_towns_second__2[[Column1]:[Y]],3,FALSE)</f>
        <v>#N/A</v>
      </c>
      <c r="K1041" t="e">
        <f>VLOOKUP(F1041,[1]!china_towns_second__2[[Column1]:[Y]],2,FALSE)</f>
        <v>#N/A</v>
      </c>
      <c r="L1041" t="s">
        <v>5873</v>
      </c>
      <c r="M1041" t="str">
        <f>VLOOKUP(H1041,CHOOSE({1,2},Table17[Native],Table17[Name]),2,0)</f>
        <v>Lánshān Qū</v>
      </c>
      <c r="N1041" s="15" t="str">
        <f>VLOOKUP(I1041,CHOOSE({1,2},Table17[Native],Table17[Name]),2,0)</f>
        <v>Línyí Shì</v>
      </c>
      <c r="O1041" s="15" t="str">
        <f t="shared" si="32"/>
        <v>Qiansandao Xiang (Línyí Shì)</v>
      </c>
      <c r="P1041" s="15" t="str">
        <f t="shared" si="33"/>
        <v>Qiansandao Xiang (Línyí Shì)</v>
      </c>
    </row>
    <row r="1042" spans="1:16" hidden="1" x14ac:dyDescent="0.25">
      <c r="A1042" t="s">
        <v>348</v>
      </c>
      <c r="B1042" t="str">
        <f>IF(COUNTIF(A:A,A1042)&gt;1,_xlfn.CONCAT(A1042," (",N1042,")"),A1042)</f>
        <v>Qiánsūn Zhèn</v>
      </c>
      <c r="C1042" t="str">
        <f>IF(COUNTIF(B:B,B1042)&gt;1,_xlfn.CONCAT(A1042," (",M1042,")"),B1042)</f>
        <v>Qiánsūn Zhèn</v>
      </c>
      <c r="D1042" t="s">
        <v>349</v>
      </c>
      <c r="E1042" t="s">
        <v>13</v>
      </c>
      <c r="F1042" t="str">
        <f>_xlfn.CONCAT(D1042,", ",H1042,", ",I1042,", ","山东省")</f>
        <v>前孙镇, 陵城区, 德州市, 山东省</v>
      </c>
      <c r="G1042">
        <v>28236</v>
      </c>
      <c r="H1042" t="s">
        <v>3645</v>
      </c>
      <c r="I1042" t="s">
        <v>3642</v>
      </c>
      <c r="J1042">
        <f>VLOOKUP(F1042,[1]!china_towns_second__2[[Column1]:[Y]],3,FALSE)</f>
        <v>37.5377678278575</v>
      </c>
      <c r="K1042">
        <f>VLOOKUP(F1042,[1]!china_towns_second__2[[Column1]:[Y]],2,FALSE)</f>
        <v>116.6974148</v>
      </c>
      <c r="L1042" t="s">
        <v>5874</v>
      </c>
      <c r="M1042" t="str">
        <f>VLOOKUP(H1042,CHOOSE({1,2},Table17[Native],Table17[Name]),2,0)</f>
        <v>Língchéng Qū</v>
      </c>
      <c r="N1042" s="15" t="str">
        <f>VLOOKUP(I1042,CHOOSE({1,2},Table17[Native],Table17[Name]),2,0)</f>
        <v>Dézhōu Shì</v>
      </c>
      <c r="O1042" s="15" t="str">
        <f t="shared" si="32"/>
        <v>Qiansun Zhen (Dézhōu Shì)</v>
      </c>
      <c r="P1042" s="15" t="str">
        <f t="shared" si="33"/>
        <v>Qiansun Zhen (Dézhōu Shì)</v>
      </c>
    </row>
    <row r="1043" spans="1:16" hidden="1" x14ac:dyDescent="0.25">
      <c r="A1043" t="s">
        <v>2803</v>
      </c>
      <c r="B1043" t="str">
        <f>IF(COUNTIF(A:A,A1043)&gt;1,_xlfn.CONCAT(A1043," (",N1043,")"),A1043)</f>
        <v>Qiáoguān Zhèn</v>
      </c>
      <c r="C1043" t="str">
        <f>IF(COUNTIF(B:B,B1043)&gt;1,_xlfn.CONCAT(A1043," (",M1043,")"),B1043)</f>
        <v>Qiáoguān Zhèn</v>
      </c>
      <c r="D1043" t="s">
        <v>2804</v>
      </c>
      <c r="E1043" t="s">
        <v>13</v>
      </c>
      <c r="F1043" t="str">
        <f>_xlfn.CONCAT(D1043,", ",H1043,", ",I1043,", ","山东省")</f>
        <v>乔官镇, 昌乐县, 潍坊市, 山东省</v>
      </c>
      <c r="G1043">
        <v>82467</v>
      </c>
      <c r="H1043" t="s">
        <v>3753</v>
      </c>
      <c r="I1043" t="s">
        <v>3751</v>
      </c>
      <c r="J1043">
        <f>VLOOKUP(F1043,[1]!china_towns_second__2[[Column1]:[Y]],3,FALSE)</f>
        <v>36.5591555650374</v>
      </c>
      <c r="K1043">
        <f>VLOOKUP(F1043,[1]!china_towns_second__2[[Column1]:[Y]],2,FALSE)</f>
        <v>118.8472696</v>
      </c>
      <c r="L1043" t="s">
        <v>5875</v>
      </c>
      <c r="M1043" t="str">
        <f>VLOOKUP(H1043,CHOOSE({1,2},Table17[Native],Table17[Name]),2,0)</f>
        <v>Chānglè Xiàn</v>
      </c>
      <c r="N1043" s="15" t="str">
        <f>VLOOKUP(I1043,CHOOSE({1,2},Table17[Native],Table17[Name]),2,0)</f>
        <v>Wéifāng Shì</v>
      </c>
      <c r="O1043" s="15" t="str">
        <f t="shared" si="32"/>
        <v>Qiaoguan Zhen (Wéifāng Shì)</v>
      </c>
      <c r="P1043" s="15" t="str">
        <f t="shared" si="33"/>
        <v>Qiaoguan Zhen (Wéifāng Shì)</v>
      </c>
    </row>
    <row r="1044" spans="1:16" hidden="1" x14ac:dyDescent="0.25">
      <c r="A1044" t="s">
        <v>1666</v>
      </c>
      <c r="B1044" t="str">
        <f>IF(COUNTIF(A:A,A1044)&gt;1,_xlfn.CONCAT(A1044," (",N1044,")"),A1044)</f>
        <v>Qiáorùn Jiēdào</v>
      </c>
      <c r="C1044" t="str">
        <f>IF(COUNTIF(B:B,B1044)&gt;1,_xlfn.CONCAT(A1044," (",M1044,")"),B1044)</f>
        <v>Qiáorùn Jiēdào</v>
      </c>
      <c r="D1044" t="s">
        <v>1667</v>
      </c>
      <c r="E1044" t="s">
        <v>7</v>
      </c>
      <c r="F1044" t="str">
        <f>_xlfn.CONCAT(D1044,", ",H1044,", ",I1044,", ","山东省")</f>
        <v>侨润街道, 阳谷县, 聊城市, 山东省</v>
      </c>
      <c r="G1044">
        <v>61938</v>
      </c>
      <c r="H1044" t="s">
        <v>3708</v>
      </c>
      <c r="I1044" t="s">
        <v>3700</v>
      </c>
      <c r="J1044">
        <f>VLOOKUP(F1044,[1]!china_towns_second__2[[Column1]:[Y]],3,FALSE)</f>
        <v>36.134924355852299</v>
      </c>
      <c r="K1044">
        <f>VLOOKUP(F1044,[1]!china_towns_second__2[[Column1]:[Y]],2,FALSE)</f>
        <v>115.8169814</v>
      </c>
      <c r="L1044" t="s">
        <v>5876</v>
      </c>
      <c r="M1044" t="str">
        <f>VLOOKUP(H1044,CHOOSE({1,2},Table17[Native],Table17[Name]),2,0)</f>
        <v>Yánggŭ Xiàn</v>
      </c>
      <c r="N1044" s="15" t="str">
        <f>VLOOKUP(I1044,CHOOSE({1,2},Table17[Native],Table17[Name]),2,0)</f>
        <v>Liáochéng Shì</v>
      </c>
      <c r="O1044" s="15" t="str">
        <f t="shared" si="32"/>
        <v>Qiaorun Jiedao (Liáochéng Shì)</v>
      </c>
      <c r="P1044" s="15" t="str">
        <f t="shared" si="33"/>
        <v>Qiaorun Jiedao (Liáochéng Shì)</v>
      </c>
    </row>
    <row r="1045" spans="1:16" hidden="1" x14ac:dyDescent="0.25">
      <c r="A1045" t="s">
        <v>2964</v>
      </c>
      <c r="B1045" t="str">
        <f>IF(COUNTIF(A:A,A1045)&gt;1,_xlfn.CONCAT(A1045," (",N1045,")"),A1045)</f>
        <v>Qiáotóu Zhèn</v>
      </c>
      <c r="C1045" t="str">
        <f>IF(COUNTIF(B:B,B1045)&gt;1,_xlfn.CONCAT(A1045," (",M1045,")"),B1045)</f>
        <v>Qiáotóu Zhèn</v>
      </c>
      <c r="D1045" t="s">
        <v>2965</v>
      </c>
      <c r="E1045" t="s">
        <v>13</v>
      </c>
      <c r="F1045" t="str">
        <f>_xlfn.CONCAT(D1045,", ",H1045,", ",I1045,", ","山东省")</f>
        <v>桥头镇, 环翠区, 威海市, 山东省</v>
      </c>
      <c r="G1045">
        <v>28345</v>
      </c>
      <c r="H1045" t="s">
        <v>3766</v>
      </c>
      <c r="I1045" t="s">
        <v>3765</v>
      </c>
      <c r="J1045">
        <f>VLOOKUP(F1045,[1]!china_towns_second__2[[Column1]:[Y]],3,FALSE)</f>
        <v>37.313447936115601</v>
      </c>
      <c r="K1045">
        <f>VLOOKUP(F1045,[1]!china_towns_second__2[[Column1]:[Y]],2,FALSE)</f>
        <v>122.2739452</v>
      </c>
      <c r="L1045" t="s">
        <v>5877</v>
      </c>
      <c r="M1045" t="str">
        <f>VLOOKUP(H1045,CHOOSE({1,2},Table17[Native],Table17[Name]),2,0)</f>
        <v>Huáncuì Qū</v>
      </c>
      <c r="N1045" s="15" t="str">
        <f>VLOOKUP(I1045,CHOOSE({1,2},Table17[Native],Table17[Name]),2,0)</f>
        <v>Wēihăi Shì</v>
      </c>
      <c r="O1045" s="15" t="str">
        <f t="shared" si="32"/>
        <v>Qiaotou Zhen (Wēihăi Shì)</v>
      </c>
      <c r="P1045" s="15" t="str">
        <f t="shared" si="33"/>
        <v>Qiaotou Zhen (Wēihăi Shì)</v>
      </c>
    </row>
    <row r="1046" spans="1:16" hidden="1" x14ac:dyDescent="0.25">
      <c r="A1046" t="s">
        <v>123</v>
      </c>
      <c r="B1046" t="str">
        <f>IF(COUNTIF(A:A,A1046)&gt;1,_xlfn.CONCAT(A1046," (",N1046,")"),A1046)</f>
        <v>Qiáozhuāng Zhèn</v>
      </c>
      <c r="C1046" t="str">
        <f>IF(COUNTIF(B:B,B1046)&gt;1,_xlfn.CONCAT(A1046," (",M1046,")"),B1046)</f>
        <v>Qiáozhuāng Zhèn</v>
      </c>
      <c r="D1046" t="s">
        <v>124</v>
      </c>
      <c r="E1046" t="s">
        <v>13</v>
      </c>
      <c r="F1046" t="str">
        <f>_xlfn.CONCAT(D1046,", ",H1046,", ",I1046,", ","山东省")</f>
        <v>乔庄镇, 博兴县, 滨州市, 山东省</v>
      </c>
      <c r="G1046">
        <v>30314</v>
      </c>
      <c r="H1046" t="s">
        <v>3634</v>
      </c>
      <c r="I1046" t="s">
        <v>3630</v>
      </c>
      <c r="J1046">
        <f>VLOOKUP(F1046,[1]!china_towns_second__2[[Column1]:[Y]],3,FALSE)</f>
        <v>37.333809873966899</v>
      </c>
      <c r="K1046">
        <f>VLOOKUP(F1046,[1]!china_towns_second__2[[Column1]:[Y]],2,FALSE)</f>
        <v>118.1918191</v>
      </c>
      <c r="L1046" t="s">
        <v>5878</v>
      </c>
      <c r="M1046" t="str">
        <f>VLOOKUP(H1046,CHOOSE({1,2},Table17[Native],Table17[Name]),2,0)</f>
        <v>Bóxīng Xiàn</v>
      </c>
      <c r="N1046" s="15" t="str">
        <f>VLOOKUP(I1046,CHOOSE({1,2},Table17[Native],Table17[Name]),2,0)</f>
        <v>Bīnzhōu Shì</v>
      </c>
      <c r="O1046" s="15" t="str">
        <f t="shared" si="32"/>
        <v>Qiaozhuang Zhen (Bīnzhōu Shì)</v>
      </c>
      <c r="P1046" s="15" t="str">
        <f t="shared" si="33"/>
        <v>Qiaozhuang Zhen (Bīnzhōu Shì)</v>
      </c>
    </row>
    <row r="1047" spans="1:16" hidden="1" x14ac:dyDescent="0.25">
      <c r="A1047" t="s">
        <v>3415</v>
      </c>
      <c r="B1047" t="str">
        <f>IF(COUNTIF(A:A,A1047)&gt;1,_xlfn.CONCAT(A1047," (",N1047,")"),A1047)</f>
        <v>Qícūn Zhèn</v>
      </c>
      <c r="C1047" t="str">
        <f>IF(COUNTIF(B:B,B1047)&gt;1,_xlfn.CONCAT(A1047," (",M1047,")"),B1047)</f>
        <v>Qícūn Zhèn</v>
      </c>
      <c r="D1047" t="s">
        <v>3416</v>
      </c>
      <c r="E1047" t="s">
        <v>13</v>
      </c>
      <c r="F1047" t="str">
        <f>_xlfn.CONCAT(D1047,", ",H1047,", ",I1047,", ","山东省")</f>
        <v>齐村镇, 市中区, 枣庄市, 山东省</v>
      </c>
      <c r="G1047">
        <v>72027</v>
      </c>
      <c r="H1047" t="s">
        <v>3683</v>
      </c>
      <c r="I1047" t="s">
        <v>3784</v>
      </c>
      <c r="J1047">
        <f>VLOOKUP(F1047,[1]!china_towns_second__2[[Column1]:[Y]],3,FALSE)</f>
        <v>34.906780960452103</v>
      </c>
      <c r="K1047">
        <f>VLOOKUP(F1047,[1]!china_towns_second__2[[Column1]:[Y]],2,FALSE)</f>
        <v>117.5308588</v>
      </c>
      <c r="L1047" t="s">
        <v>5879</v>
      </c>
      <c r="M1047" t="str">
        <f>VLOOKUP(H1047,CHOOSE({1,2},Table17[Native],Table17[Name]),2,0)</f>
        <v>Shìzhōng Qū</v>
      </c>
      <c r="N1047" s="15" t="str">
        <f>VLOOKUP(I1047,CHOOSE({1,2},Table17[Native],Table17[Name]),2,0)</f>
        <v>Zăozhuāng Shì</v>
      </c>
      <c r="O1047" s="15" t="str">
        <f t="shared" si="32"/>
        <v>Qicun Zhen (Zăozhuāng Shì)</v>
      </c>
      <c r="P1047" s="15" t="str">
        <f t="shared" si="33"/>
        <v>Qicun Zhen (Zăozhuāng Shì)</v>
      </c>
    </row>
    <row r="1048" spans="1:16" hidden="1" x14ac:dyDescent="0.25">
      <c r="A1048" t="s">
        <v>3555</v>
      </c>
      <c r="B1048" t="str">
        <f>IF(COUNTIF(A:A,A1048)&gt;1,_xlfn.CONCAT(A1048," (",N1048,")"),A1048)</f>
        <v>Qídū Zhèn</v>
      </c>
      <c r="C1048" t="str">
        <f>IF(COUNTIF(B:B,B1048)&gt;1,_xlfn.CONCAT(A1048," (",M1048,")"),B1048)</f>
        <v>Qídū Zhèn</v>
      </c>
      <c r="D1048" t="s">
        <v>3556</v>
      </c>
      <c r="E1048" t="s">
        <v>13</v>
      </c>
      <c r="F1048" t="str">
        <f>_xlfn.CONCAT(D1048,", ",H1048,", ",I1048,", ","山东省")</f>
        <v>齐都镇, 临淄区, 淄博市, 山东省</v>
      </c>
      <c r="G1048">
        <v>47367</v>
      </c>
      <c r="H1048" t="s">
        <v>3795</v>
      </c>
      <c r="I1048" t="s">
        <v>3791</v>
      </c>
      <c r="J1048">
        <f>VLOOKUP(F1048,[1]!china_towns_second__2[[Column1]:[Y]],3,FALSE)</f>
        <v>36.862050147696699</v>
      </c>
      <c r="K1048">
        <f>VLOOKUP(F1048,[1]!china_towns_second__2[[Column1]:[Y]],2,FALSE)</f>
        <v>118.3411815</v>
      </c>
      <c r="L1048" t="s">
        <v>5880</v>
      </c>
      <c r="M1048" t="str">
        <f>VLOOKUP(H1048,CHOOSE({1,2},Table17[Native],Table17[Name]),2,0)</f>
        <v>Línzī Qū</v>
      </c>
      <c r="N1048" s="15" t="str">
        <f>VLOOKUP(I1048,CHOOSE({1,2},Table17[Native],Table17[Name]),2,0)</f>
        <v>Zībó Shì</v>
      </c>
      <c r="O1048" s="15" t="str">
        <f t="shared" si="32"/>
        <v>Qidu Zhen (Zībó Shì)</v>
      </c>
      <c r="P1048" s="15" t="str">
        <f t="shared" si="33"/>
        <v>Qidu Zhen (Zībó Shì)</v>
      </c>
    </row>
    <row r="1049" spans="1:16" hidden="1" x14ac:dyDescent="0.25">
      <c r="A1049" t="s">
        <v>3557</v>
      </c>
      <c r="B1049" t="str">
        <f>IF(COUNTIF(A:A,A1049)&gt;1,_xlfn.CONCAT(A1049," (",N1049,")"),A1049)</f>
        <v>Qĭfèng Zhèn</v>
      </c>
      <c r="C1049" t="str">
        <f>IF(COUNTIF(B:B,B1049)&gt;1,_xlfn.CONCAT(A1049," (",M1049,")"),B1049)</f>
        <v>Qĭfèng Zhèn</v>
      </c>
      <c r="D1049" t="s">
        <v>3558</v>
      </c>
      <c r="E1049" t="s">
        <v>13</v>
      </c>
      <c r="F1049" t="str">
        <f>_xlfn.CONCAT(D1049,", ",H1049,", ",I1049,", ","山东省")</f>
        <v>起凤镇, 桓台县, 淄博市, 山东省</v>
      </c>
      <c r="G1049">
        <v>52700</v>
      </c>
      <c r="H1049" t="s">
        <v>3794</v>
      </c>
      <c r="I1049" t="s">
        <v>3791</v>
      </c>
      <c r="J1049">
        <f>VLOOKUP(F1049,[1]!china_towns_second__2[[Column1]:[Y]],3,FALSE)</f>
        <v>37.058981747238697</v>
      </c>
      <c r="K1049">
        <f>VLOOKUP(F1049,[1]!china_towns_second__2[[Column1]:[Y]],2,FALSE)</f>
        <v>118.09176239999999</v>
      </c>
      <c r="L1049" t="s">
        <v>5881</v>
      </c>
      <c r="M1049" t="str">
        <f>VLOOKUP(H1049,CHOOSE({1,2},Table17[Native],Table17[Name]),2,0)</f>
        <v>Huántái Xiàn</v>
      </c>
      <c r="N1049" s="15" t="str">
        <f>VLOOKUP(I1049,CHOOSE({1,2},Table17[Native],Table17[Name]),2,0)</f>
        <v>Zībó Shì</v>
      </c>
      <c r="O1049" s="15" t="str">
        <f t="shared" si="32"/>
        <v>Qifeng Zhen (Zībó Shì)</v>
      </c>
      <c r="P1049" s="15" t="str">
        <f t="shared" si="33"/>
        <v>Qifeng Zhen (Zībó Shì)</v>
      </c>
    </row>
    <row r="1050" spans="1:16" hidden="1" x14ac:dyDescent="0.25">
      <c r="A1050" t="s">
        <v>1668</v>
      </c>
      <c r="B1050" t="str">
        <f>IF(COUNTIF(A:A,A1050)&gt;1,_xlfn.CONCAT(A1050," (",N1050,")"),A1050)</f>
        <v>Qījí Zhèn</v>
      </c>
      <c r="C1050" t="str">
        <f>IF(COUNTIF(B:B,B1050)&gt;1,_xlfn.CONCAT(A1050," (",M1050,")"),B1050)</f>
        <v>Qījí Zhèn</v>
      </c>
      <c r="D1050" t="s">
        <v>1669</v>
      </c>
      <c r="E1050" t="s">
        <v>13</v>
      </c>
      <c r="F1050" t="str">
        <f>_xlfn.CONCAT(D1050,", ",H1050,", ",I1050,", ","山东省")</f>
        <v>七级镇, 阳谷县, 聊城市, 山东省</v>
      </c>
      <c r="G1050">
        <v>36208</v>
      </c>
      <c r="H1050" t="s">
        <v>3708</v>
      </c>
      <c r="I1050" t="s">
        <v>3700</v>
      </c>
      <c r="J1050">
        <f>VLOOKUP(F1050,[1]!china_towns_second__2[[Column1]:[Y]],3,FALSE)</f>
        <v>36.246187986955</v>
      </c>
      <c r="K1050">
        <f>VLOOKUP(F1050,[1]!china_towns_second__2[[Column1]:[Y]],2,FALSE)</f>
        <v>116.0199477</v>
      </c>
      <c r="L1050" t="s">
        <v>5882</v>
      </c>
      <c r="M1050" t="str">
        <f>VLOOKUP(H1050,CHOOSE({1,2},Table17[Native],Table17[Name]),2,0)</f>
        <v>Yánggŭ Xiàn</v>
      </c>
      <c r="N1050" s="15" t="str">
        <f>VLOOKUP(I1050,CHOOSE({1,2},Table17[Native],Table17[Name]),2,0)</f>
        <v>Liáochéng Shì</v>
      </c>
      <c r="O1050" s="15" t="str">
        <f t="shared" si="32"/>
        <v>Qiji Zhen (Liáochéng Shì)</v>
      </c>
      <c r="P1050" s="15" t="str">
        <f t="shared" si="33"/>
        <v>Qiji Zhen (Liáochéng Shì)</v>
      </c>
    </row>
    <row r="1051" spans="1:16" hidden="1" x14ac:dyDescent="0.25">
      <c r="A1051" t="s">
        <v>3214</v>
      </c>
      <c r="B1051" t="str">
        <f>IF(COUNTIF(A:A,A1051)&gt;1,_xlfn.CONCAT(A1051," (",N1051,")"),A1051)</f>
        <v>Qījiă Zhèn</v>
      </c>
      <c r="C1051" t="str">
        <f>IF(COUNTIF(B:B,B1051)&gt;1,_xlfn.CONCAT(A1051," (",M1051,")"),B1051)</f>
        <v>Qījiă Zhèn</v>
      </c>
      <c r="D1051" t="s">
        <v>3215</v>
      </c>
      <c r="E1051" t="s">
        <v>13</v>
      </c>
      <c r="F1051" t="str">
        <f>_xlfn.CONCAT(D1051,", ",H1051,", ",I1051,", ","山东省")</f>
        <v>七甲镇, 龙口市, 烟台市, 山东省</v>
      </c>
      <c r="G1051">
        <v>24313</v>
      </c>
      <c r="H1051" t="s">
        <v>3777</v>
      </c>
      <c r="I1051" t="s">
        <v>3771</v>
      </c>
      <c r="J1051">
        <f>VLOOKUP(F1051,[1]!china_towns_second__2[[Column1]:[Y]],3,FALSE)</f>
        <v>37.517759203608598</v>
      </c>
      <c r="K1051">
        <f>VLOOKUP(F1051,[1]!china_towns_second__2[[Column1]:[Y]],2,FALSE)</f>
        <v>120.5988713</v>
      </c>
      <c r="L1051" t="s">
        <v>5883</v>
      </c>
      <c r="M1051" t="str">
        <f>VLOOKUP(H1051,CHOOSE({1,2},Table17[Native],Table17[Name]),2,0)</f>
        <v>Lóngkŏu Shì</v>
      </c>
      <c r="N1051" s="15" t="str">
        <f>VLOOKUP(I1051,CHOOSE({1,2},Table17[Native],Table17[Name]),2,0)</f>
        <v>Yāntái Shì</v>
      </c>
      <c r="O1051" s="15" t="str">
        <f t="shared" si="32"/>
        <v>Qijia Zhen (Yāntái Shì)</v>
      </c>
      <c r="P1051" s="15" t="str">
        <f t="shared" si="33"/>
        <v>Qijia Zhen (Yāntái Shì)</v>
      </c>
    </row>
    <row r="1052" spans="1:16" hidden="1" x14ac:dyDescent="0.25">
      <c r="A1052" t="s">
        <v>781</v>
      </c>
      <c r="B1052" t="str">
        <f>IF(COUNTIF(A:A,A1052)&gt;1,_xlfn.CONCAT(A1052," (",N1052,")"),A1052)</f>
        <v>Qílín Zhèn</v>
      </c>
      <c r="C1052" t="str">
        <f>IF(COUNTIF(B:B,B1052)&gt;1,_xlfn.CONCAT(A1052," (",M1052,")"),B1052)</f>
        <v>Qílín Zhèn</v>
      </c>
      <c r="D1052" t="s">
        <v>782</v>
      </c>
      <c r="E1052" t="s">
        <v>13</v>
      </c>
      <c r="F1052" t="str">
        <f>_xlfn.CONCAT(D1052,", ",H1052,", ",I1052,", ","山东省")</f>
        <v>麒麟镇, 巨野县, 菏泽市, 山东省</v>
      </c>
      <c r="G1052">
        <v>56147</v>
      </c>
      <c r="H1052" t="s">
        <v>3668</v>
      </c>
      <c r="I1052" t="s">
        <v>3662</v>
      </c>
      <c r="J1052">
        <f>VLOOKUP(F1052,[1]!china_towns_second__2[[Column1]:[Y]],3,FALSE)</f>
        <v>35.379895645669599</v>
      </c>
      <c r="K1052">
        <f>VLOOKUP(F1052,[1]!china_towns_second__2[[Column1]:[Y]],2,FALSE)</f>
        <v>116.1636548</v>
      </c>
      <c r="L1052" t="s">
        <v>5884</v>
      </c>
      <c r="M1052" t="str">
        <f>VLOOKUP(H1052,CHOOSE({1,2},Table17[Native],Table17[Name]),2,0)</f>
        <v>Jùyĕ Xiàn</v>
      </c>
      <c r="N1052" s="15" t="str">
        <f>VLOOKUP(I1052,CHOOSE({1,2},Table17[Native],Table17[Name]),2,0)</f>
        <v>Hézé Shì</v>
      </c>
      <c r="O1052" s="15" t="str">
        <f t="shared" si="32"/>
        <v>Qilin Zhen (Hézé Shì)</v>
      </c>
      <c r="P1052" s="15" t="str">
        <f t="shared" si="33"/>
        <v>Qilin Zhen (Hézé Shì)</v>
      </c>
    </row>
    <row r="1053" spans="1:16" hidden="1" x14ac:dyDescent="0.25">
      <c r="A1053" t="s">
        <v>3559</v>
      </c>
      <c r="B1053" t="str">
        <f>IF(COUNTIF(A:A,A1053)&gt;1,_xlfn.CONCAT(A1053," (",N1053,")"),A1053)</f>
        <v>Qílíng Jiēdào</v>
      </c>
      <c r="C1053" t="str">
        <f>IF(COUNTIF(B:B,B1053)&gt;1,_xlfn.CONCAT(A1053," (",M1053,")"),B1053)</f>
        <v>Qílíng Jiēdào</v>
      </c>
      <c r="D1053" t="s">
        <v>3560</v>
      </c>
      <c r="E1053" t="s">
        <v>7</v>
      </c>
      <c r="F1053" t="str">
        <f>_xlfn.CONCAT(D1053,", ",H1053,", ",I1053,", ","山东省")</f>
        <v>齐陵街道, 临淄区, 淄博市, 山东省</v>
      </c>
      <c r="G1053">
        <v>30662</v>
      </c>
      <c r="H1053" t="s">
        <v>3795</v>
      </c>
      <c r="I1053" t="s">
        <v>3791</v>
      </c>
      <c r="J1053">
        <f>VLOOKUP(F1053,[1]!china_towns_second__2[[Column1]:[Y]],3,FALSE)</f>
        <v>36.811884763707297</v>
      </c>
      <c r="K1053">
        <f>VLOOKUP(F1053,[1]!china_towns_second__2[[Column1]:[Y]],2,FALSE)</f>
        <v>118.38659869999999</v>
      </c>
      <c r="L1053" t="s">
        <v>5885</v>
      </c>
      <c r="M1053" t="str">
        <f>VLOOKUP(H1053,CHOOSE({1,2},Table17[Native],Table17[Name]),2,0)</f>
        <v>Línzī Qū</v>
      </c>
      <c r="N1053" s="15" t="str">
        <f>VLOOKUP(I1053,CHOOSE({1,2},Table17[Native],Table17[Name]),2,0)</f>
        <v>Zībó Shì</v>
      </c>
      <c r="O1053" s="15" t="str">
        <f t="shared" si="32"/>
        <v>Qiling Jiedao (Zībó Shì)</v>
      </c>
      <c r="P1053" s="15" t="str">
        <f t="shared" si="33"/>
        <v>Qiling Jiedao (Zībó Shì)</v>
      </c>
    </row>
    <row r="1054" spans="1:16" hidden="1" x14ac:dyDescent="0.25">
      <c r="A1054" t="s">
        <v>1084</v>
      </c>
      <c r="B1054" t="str">
        <f>IF(COUNTIF(A:A,A1054)&gt;1,_xlfn.CONCAT(A1054," (",N1054,")"),A1054)</f>
        <v>Qīlĭshān Jiēdào</v>
      </c>
      <c r="C1054" t="str">
        <f>IF(COUNTIF(B:B,B1054)&gt;1,_xlfn.CONCAT(A1054," (",M1054,")"),B1054)</f>
        <v>Qīlĭshān Jiēdào</v>
      </c>
      <c r="D1054" t="s">
        <v>1085</v>
      </c>
      <c r="E1054" t="s">
        <v>7</v>
      </c>
      <c r="F1054" t="str">
        <f>_xlfn.CONCAT(D1054,", ",H1054,", ",I1054,", ","山东省")</f>
        <v>七里山街道, 市中区, 济南市, 山东省</v>
      </c>
      <c r="G1054">
        <v>44090</v>
      </c>
      <c r="H1054" t="s">
        <v>3683</v>
      </c>
      <c r="I1054" t="s">
        <v>3673</v>
      </c>
      <c r="J1054">
        <f>VLOOKUP(F1054,[1]!china_towns_second__2[[Column1]:[Y]],3,FALSE)</f>
        <v>36.624262166585801</v>
      </c>
      <c r="K1054">
        <f>VLOOKUP(F1054,[1]!china_towns_second__2[[Column1]:[Y]],2,FALSE)</f>
        <v>116.98163390000001</v>
      </c>
      <c r="L1054" t="s">
        <v>5886</v>
      </c>
      <c r="M1054" t="str">
        <f>VLOOKUP(H1054,CHOOSE({1,2},Table17[Native],Table17[Name]),2,0)</f>
        <v>Shìzhōng Qū</v>
      </c>
      <c r="N1054" s="15" t="str">
        <f>VLOOKUP(I1054,CHOOSE({1,2},Table17[Native],Table17[Name]),2,0)</f>
        <v>Jìnán Shì</v>
      </c>
      <c r="O1054" s="15" t="str">
        <f t="shared" si="32"/>
        <v>Qilishan Jiedao (Jìnán Shì)</v>
      </c>
      <c r="P1054" s="15" t="str">
        <f t="shared" si="33"/>
        <v>Qilishan Jiedao (Jìnán Shì)</v>
      </c>
    </row>
    <row r="1055" spans="1:16" hidden="1" x14ac:dyDescent="0.25">
      <c r="A1055" t="s">
        <v>3561</v>
      </c>
      <c r="B1055" t="str">
        <f>IF(COUNTIF(A:A,A1055)&gt;1,_xlfn.CONCAT(A1055," (",N1055,")"),A1055)</f>
        <v>Qīngchéng Zhèn</v>
      </c>
      <c r="C1055" t="str">
        <f>IF(COUNTIF(B:B,B1055)&gt;1,_xlfn.CONCAT(A1055," (",M1055,")"),B1055)</f>
        <v>Qīngchéng Zhèn</v>
      </c>
      <c r="D1055" t="s">
        <v>3562</v>
      </c>
      <c r="E1055" t="s">
        <v>13</v>
      </c>
      <c r="F1055" t="str">
        <f>_xlfn.CONCAT(D1055,", ",H1055,", ",I1055,", ","山东省")</f>
        <v>青城镇, 高青县, 淄博市, 山东省</v>
      </c>
      <c r="G1055">
        <v>31961</v>
      </c>
      <c r="H1055" t="s">
        <v>3793</v>
      </c>
      <c r="I1055" t="s">
        <v>3791</v>
      </c>
      <c r="J1055">
        <f>VLOOKUP(F1055,[1]!china_towns_second__2[[Column1]:[Y]],3,FALSE)</f>
        <v>37.1826151196572</v>
      </c>
      <c r="K1055">
        <f>VLOOKUP(F1055,[1]!china_towns_second__2[[Column1]:[Y]],2,FALSE)</f>
        <v>117.670804</v>
      </c>
      <c r="L1055" t="s">
        <v>5887</v>
      </c>
      <c r="M1055" t="str">
        <f>VLOOKUP(H1055,CHOOSE({1,2},Table17[Native],Table17[Name]),2,0)</f>
        <v>Gāoqīng Xiàn</v>
      </c>
      <c r="N1055" s="15" t="str">
        <f>VLOOKUP(I1055,CHOOSE({1,2},Table17[Native],Table17[Name]),2,0)</f>
        <v>Zībó Shì</v>
      </c>
      <c r="O1055" s="15" t="str">
        <f t="shared" si="32"/>
        <v>Qingcheng Zhen (Zībó Shì)</v>
      </c>
      <c r="P1055" s="15" t="str">
        <f t="shared" si="33"/>
        <v>Qingcheng Zhen (Zībó Shì)</v>
      </c>
    </row>
    <row r="1056" spans="1:16" hidden="1" x14ac:dyDescent="0.25">
      <c r="A1056" t="s">
        <v>2805</v>
      </c>
      <c r="B1056" t="str">
        <f>IF(COUNTIF(A:A,A1056)&gt;1,_xlfn.CONCAT(A1056," (",N1056,")"),A1056)</f>
        <v>Qīngchí Jiēdào</v>
      </c>
      <c r="C1056" t="str">
        <f>IF(COUNTIF(B:B,B1056)&gt;1,_xlfn.CONCAT(A1056," (",M1056,")"),B1056)</f>
        <v>Qīngchí Jiēdào</v>
      </c>
      <c r="D1056" t="s">
        <v>2806</v>
      </c>
      <c r="E1056" t="s">
        <v>7</v>
      </c>
      <c r="F1056" t="str">
        <f>_xlfn.CONCAT(D1056,", ",H1056,", ",I1056,", ","山东省")</f>
        <v>清池街道, 奎文区, 潍坊市, 山东省</v>
      </c>
      <c r="G1056">
        <v>61993</v>
      </c>
      <c r="H1056" t="s">
        <v>3758</v>
      </c>
      <c r="I1056" t="s">
        <v>3751</v>
      </c>
      <c r="J1056">
        <f>VLOOKUP(F1056,[1]!china_towns_second__2[[Column1]:[Y]],3,FALSE)</f>
        <v>36.680209919796503</v>
      </c>
      <c r="K1056">
        <f>VLOOKUP(F1056,[1]!china_towns_second__2[[Column1]:[Y]],2,FALSE)</f>
        <v>119.2426323</v>
      </c>
      <c r="L1056" t="s">
        <v>5888</v>
      </c>
      <c r="M1056" t="str">
        <f>VLOOKUP(H1056,CHOOSE({1,2},Table17[Native],Table17[Name]),2,0)</f>
        <v>Kuíwén Qū</v>
      </c>
      <c r="N1056" s="15" t="str">
        <f>VLOOKUP(I1056,CHOOSE({1,2},Table17[Native],Table17[Name]),2,0)</f>
        <v>Wéifāng Shì</v>
      </c>
      <c r="O1056" s="15" t="str">
        <f t="shared" si="32"/>
        <v>Qingchi Jiedao (Wéifāng Shì)</v>
      </c>
      <c r="P1056" s="15" t="str">
        <f t="shared" si="33"/>
        <v>Qingchi Jiedao (Wéifāng Shì)</v>
      </c>
    </row>
    <row r="1057" spans="1:16" hidden="1" x14ac:dyDescent="0.25">
      <c r="A1057" t="s">
        <v>783</v>
      </c>
      <c r="B1057" t="str">
        <f>IF(COUNTIF(A:A,A1057)&gt;1,_xlfn.CONCAT(A1057," (",N1057,")"),A1057)</f>
        <v>Qīnggăngjí Zhèn</v>
      </c>
      <c r="C1057" t="str">
        <f>IF(COUNTIF(B:B,B1057)&gt;1,_xlfn.CONCAT(A1057," (",M1057,")"),B1057)</f>
        <v>Qīnggăngjí Zhèn</v>
      </c>
      <c r="D1057" t="s">
        <v>784</v>
      </c>
      <c r="E1057" t="s">
        <v>13</v>
      </c>
      <c r="F1057" t="str">
        <f>_xlfn.CONCAT(D1057,", ",H1057,", ",I1057,", ","山东省")</f>
        <v>青岗集镇, 曹县, 菏泽市, 山东省</v>
      </c>
      <c r="G1057">
        <v>45875</v>
      </c>
      <c r="H1057" t="s">
        <v>3663</v>
      </c>
      <c r="I1057" t="s">
        <v>3662</v>
      </c>
      <c r="J1057">
        <f>VLOOKUP(F1057,[1]!china_towns_second__2[[Column1]:[Y]],3,FALSE)</f>
        <v>34.978409947688299</v>
      </c>
      <c r="K1057">
        <f>VLOOKUP(F1057,[1]!china_towns_second__2[[Column1]:[Y]],2,FALSE)</f>
        <v>115.4857128</v>
      </c>
      <c r="L1057" t="s">
        <v>5889</v>
      </c>
      <c r="M1057" t="str">
        <f>VLOOKUP(H1057,CHOOSE({1,2},Table17[Native],Table17[Name]),2,0)</f>
        <v>Cáo Xiàn</v>
      </c>
      <c r="N1057" s="15" t="str">
        <f>VLOOKUP(I1057,CHOOSE({1,2},Table17[Native],Table17[Name]),2,0)</f>
        <v>Hézé Shì</v>
      </c>
      <c r="O1057" s="15" t="str">
        <f t="shared" si="32"/>
        <v>Qinggangji Zhen (Hézé Shì)</v>
      </c>
      <c r="P1057" s="15" t="str">
        <f t="shared" si="33"/>
        <v>Qinggangji Zhen (Hézé Shì)</v>
      </c>
    </row>
    <row r="1058" spans="1:16" hidden="1" x14ac:dyDescent="0.25">
      <c r="A1058" t="s">
        <v>785</v>
      </c>
      <c r="B1058" t="str">
        <f>IF(COUNTIF(A:A,A1058)&gt;1,_xlfn.CONCAT(A1058," (",N1058,")"),A1058)</f>
        <v>Qīnggùjí Zhèn</v>
      </c>
      <c r="C1058" t="str">
        <f>IF(COUNTIF(B:B,B1058)&gt;1,_xlfn.CONCAT(A1058," (",M1058,")"),B1058)</f>
        <v>Qīnggùjí Zhèn</v>
      </c>
      <c r="D1058" t="s">
        <v>786</v>
      </c>
      <c r="E1058" t="s">
        <v>13</v>
      </c>
      <c r="F1058" t="str">
        <f>_xlfn.CONCAT(D1058,", ",H1058,", ",I1058,", ","山东省")</f>
        <v>青固集镇, 曹县, 菏泽市, 山东省</v>
      </c>
      <c r="G1058">
        <v>84437</v>
      </c>
      <c r="H1058" t="s">
        <v>3663</v>
      </c>
      <c r="I1058" t="s">
        <v>3662</v>
      </c>
      <c r="J1058">
        <f>VLOOKUP(F1058,[1]!china_towns_second__2[[Column1]:[Y]],3,FALSE)</f>
        <v>34.660556823357801</v>
      </c>
      <c r="K1058">
        <f>VLOOKUP(F1058,[1]!china_towns_second__2[[Column1]:[Y]],2,FALSE)</f>
        <v>115.766902</v>
      </c>
      <c r="L1058" t="s">
        <v>5890</v>
      </c>
      <c r="M1058" t="str">
        <f>VLOOKUP(H1058,CHOOSE({1,2},Table17[Native],Table17[Name]),2,0)</f>
        <v>Cáo Xiàn</v>
      </c>
      <c r="N1058" s="15" t="str">
        <f>VLOOKUP(I1058,CHOOSE({1,2},Table17[Native],Table17[Name]),2,0)</f>
        <v>Hézé Shì</v>
      </c>
      <c r="O1058" s="15" t="str">
        <f t="shared" si="32"/>
        <v>Qingguji Zhen (Hézé Shì)</v>
      </c>
      <c r="P1058" s="15" t="str">
        <f t="shared" si="33"/>
        <v>Qingguji Zhen (Hézé Shì)</v>
      </c>
    </row>
    <row r="1059" spans="1:16" hidden="1" x14ac:dyDescent="0.25">
      <c r="A1059" t="s">
        <v>787</v>
      </c>
      <c r="B1059" t="str">
        <f>IF(COUNTIF(A:A,A1059)&gt;1,_xlfn.CONCAT(A1059," (",N1059,")"),A1059)</f>
        <v>Qīnghé Jiēdào</v>
      </c>
      <c r="C1059" t="str">
        <f>IF(COUNTIF(B:B,B1059)&gt;1,_xlfn.CONCAT(A1059," (",M1059,")"),B1059)</f>
        <v>Qīnghé Jiēdào</v>
      </c>
      <c r="D1059" t="s">
        <v>788</v>
      </c>
      <c r="E1059" t="s">
        <v>7</v>
      </c>
      <c r="F1059" t="str">
        <f>_xlfn.CONCAT(D1059,", ",H1059,", ",I1059,", ","山东省")</f>
        <v>青菏街道, 曹县, 菏泽市, 山东省</v>
      </c>
      <c r="G1059">
        <v>62860</v>
      </c>
      <c r="H1059" t="s">
        <v>3663</v>
      </c>
      <c r="I1059" t="s">
        <v>3662</v>
      </c>
      <c r="J1059">
        <f>VLOOKUP(F1059,[1]!china_towns_second__2[[Column1]:[Y]],3,FALSE)</f>
        <v>34.903188038437598</v>
      </c>
      <c r="K1059">
        <f>VLOOKUP(F1059,[1]!china_towns_second__2[[Column1]:[Y]],2,FALSE)</f>
        <v>115.5333165</v>
      </c>
      <c r="L1059" t="s">
        <v>5891</v>
      </c>
      <c r="M1059" t="str">
        <f>VLOOKUP(H1059,CHOOSE({1,2},Table17[Native],Table17[Name]),2,0)</f>
        <v>Cáo Xiàn</v>
      </c>
      <c r="N1059" s="15" t="str">
        <f>VLOOKUP(I1059,CHOOSE({1,2},Table17[Native],Table17[Name]),2,0)</f>
        <v>Hézé Shì</v>
      </c>
      <c r="O1059" s="15" t="str">
        <f t="shared" si="32"/>
        <v>Qinghe Jiedao (Hézé Shì)</v>
      </c>
      <c r="P1059" s="15" t="str">
        <f t="shared" si="33"/>
        <v>Qinghe Jiedao (Hézé Shì)</v>
      </c>
    </row>
    <row r="1060" spans="1:16" hidden="1" x14ac:dyDescent="0.25">
      <c r="A1060" t="s">
        <v>125</v>
      </c>
      <c r="B1060" t="str">
        <f>IF(COUNTIF(A:A,A1060)&gt;1,_xlfn.CONCAT(A1060," (",N1060,")"),A1060)</f>
        <v>Qīnghé Zhèn (Bīnzhōu Shì)</v>
      </c>
      <c r="C1060" t="str">
        <f>IF(COUNTIF(B:B,B1060)&gt;1,_xlfn.CONCAT(A1060," (",M1060,")"),B1060)</f>
        <v>Qīnghé Zhèn (Bīnzhōu Shì)</v>
      </c>
      <c r="D1060" t="s">
        <v>126</v>
      </c>
      <c r="E1060" t="s">
        <v>13</v>
      </c>
      <c r="F1060" t="str">
        <f>_xlfn.CONCAT(D1060,", ",H1060,", ",I1060,", ","山东省")</f>
        <v>清河镇, 惠民县, 滨州市, 山东省</v>
      </c>
      <c r="G1060">
        <v>31609</v>
      </c>
      <c r="H1060" t="s">
        <v>3635</v>
      </c>
      <c r="I1060" t="s">
        <v>3630</v>
      </c>
      <c r="J1060">
        <f>VLOOKUP(F1060,[1]!china_towns_second__2[[Column1]:[Y]],3,FALSE)</f>
        <v>37.302126152750802</v>
      </c>
      <c r="K1060">
        <f>VLOOKUP(F1060,[1]!china_towns_second__2[[Column1]:[Y]],2,FALSE)</f>
        <v>117.6838249</v>
      </c>
      <c r="L1060" t="s">
        <v>5892</v>
      </c>
      <c r="M1060" t="str">
        <f>VLOOKUP(H1060,CHOOSE({1,2},Table17[Native],Table17[Name]),2,0)</f>
        <v>Huìmín Xiàn</v>
      </c>
      <c r="N1060" s="15" t="str">
        <f>VLOOKUP(I1060,CHOOSE({1,2},Table17[Native],Table17[Name]),2,0)</f>
        <v>Bīnzhōu Shì</v>
      </c>
      <c r="O1060" s="15" t="str">
        <f t="shared" si="32"/>
        <v>Qinghe Zhen (Binzhou Shi) (Bīnzhōu Shì)</v>
      </c>
      <c r="P1060" s="15" t="str">
        <f t="shared" si="33"/>
        <v>Qinghe Zhen (Binzhou Shi) (Bīnzhōu Shì)</v>
      </c>
    </row>
    <row r="1061" spans="1:16" hidden="1" x14ac:dyDescent="0.25">
      <c r="A1061" t="s">
        <v>125</v>
      </c>
      <c r="B1061" t="str">
        <f>IF(COUNTIF(A:A,A1061)&gt;1,_xlfn.CONCAT(A1061," (",N1061,")"),A1061)</f>
        <v>Qīnghé Zhèn (Jìníng Shì)</v>
      </c>
      <c r="C1061" t="str">
        <f>IF(COUNTIF(B:B,B1061)&gt;1,_xlfn.CONCAT(A1061," (",M1061,")"),B1061)</f>
        <v>Qīnghé Zhèn (Jìníng Shì)</v>
      </c>
      <c r="D1061" t="s">
        <v>126</v>
      </c>
      <c r="E1061" t="s">
        <v>13</v>
      </c>
      <c r="F1061" t="str">
        <f>_xlfn.CONCAT(D1061,", ",H1061,", ",I1061,", ","山东省")</f>
        <v>清河镇, 鱼台县, 济宁市, 山东省</v>
      </c>
      <c r="G1061">
        <v>40098</v>
      </c>
      <c r="H1061" t="s">
        <v>3697</v>
      </c>
      <c r="I1061" t="s">
        <v>3687</v>
      </c>
      <c r="J1061">
        <f>VLOOKUP(F1061,[1]!china_towns_second__2[[Column1]:[Y]],3,FALSE)</f>
        <v>35.093493863516898</v>
      </c>
      <c r="K1061">
        <f>VLOOKUP(F1061,[1]!china_towns_second__2[[Column1]:[Y]],2,FALSE)</f>
        <v>116.5101844</v>
      </c>
      <c r="L1061" t="s">
        <v>5893</v>
      </c>
      <c r="M1061" t="str">
        <f>VLOOKUP(H1061,CHOOSE({1,2},Table17[Native],Table17[Name]),2,0)</f>
        <v>Yútái Xiàn</v>
      </c>
      <c r="N1061" s="15" t="str">
        <f>VLOOKUP(I1061,CHOOSE({1,2},Table17[Native],Table17[Name]),2,0)</f>
        <v>Jìníng Shì</v>
      </c>
      <c r="O1061" s="15" t="str">
        <f t="shared" si="32"/>
        <v>Qinghe Zhen (Jining Shi) (Jìníng Shì)</v>
      </c>
      <c r="P1061" s="15" t="str">
        <f t="shared" si="33"/>
        <v>Qinghe Zhen (Jining Shi) (Jìníng Shì)</v>
      </c>
    </row>
    <row r="1062" spans="1:16" hidden="1" x14ac:dyDescent="0.25">
      <c r="A1062" t="s">
        <v>1086</v>
      </c>
      <c r="B1062" t="str">
        <f>IF(COUNTIF(A:A,A1062)&gt;1,_xlfn.CONCAT(A1062," (",N1062,")"),A1062)</f>
        <v>Qīngnián Gōngyuán Jiēdào</v>
      </c>
      <c r="C1062" t="str">
        <f>IF(COUNTIF(B:B,B1062)&gt;1,_xlfn.CONCAT(A1062," (",M1062,")"),B1062)</f>
        <v>Qīngnián Gōngyuán Jiēdào</v>
      </c>
      <c r="D1062" t="s">
        <v>1087</v>
      </c>
      <c r="E1062" t="s">
        <v>7</v>
      </c>
      <c r="F1062" t="str">
        <f>_xlfn.CONCAT(D1062,", ",H1062,", ",I1062,", ","山东省")</f>
        <v>青年公园街道, 槐荫区, 济南市, 山东省</v>
      </c>
      <c r="G1062">
        <v>24733</v>
      </c>
      <c r="H1062" t="s">
        <v>3676</v>
      </c>
      <c r="I1062" t="s">
        <v>3673</v>
      </c>
      <c r="J1062">
        <f>VLOOKUP(F1062,[1]!china_towns_second__2[[Column1]:[Y]],3,FALSE)</f>
        <v>36.650572475837002</v>
      </c>
      <c r="K1062">
        <f>VLOOKUP(F1062,[1]!china_towns_second__2[[Column1]:[Y]],2,FALSE)</f>
        <v>116.97819079999999</v>
      </c>
      <c r="L1062" t="s">
        <v>5894</v>
      </c>
      <c r="M1062" t="str">
        <f>VLOOKUP(H1062,CHOOSE({1,2},Table17[Native],Table17[Name]),2,0)</f>
        <v>Huáiyìn Qū</v>
      </c>
      <c r="N1062" s="15" t="str">
        <f>VLOOKUP(I1062,CHOOSE({1,2},Table17[Native],Table17[Name]),2,0)</f>
        <v>Jìnán Shì</v>
      </c>
      <c r="O1062" s="15" t="str">
        <f t="shared" si="32"/>
        <v>Qingnian Gongyuan Jiedao (Jìnán Shì)</v>
      </c>
      <c r="P1062" s="15" t="str">
        <f t="shared" si="33"/>
        <v>Qingnian Gongyuan Jiedao (Jìnán Shì)</v>
      </c>
    </row>
    <row r="1063" spans="1:16" hidden="1" x14ac:dyDescent="0.25">
      <c r="A1063" t="s">
        <v>1670</v>
      </c>
      <c r="B1063" t="str">
        <f>IF(COUNTIF(A:A,A1063)&gt;1,_xlfn.CONCAT(A1063," (",N1063,")"),A1063)</f>
        <v>Qīngniánlù Jiēdào (Liáochéng Shì)</v>
      </c>
      <c r="C1063" t="str">
        <f>IF(COUNTIF(B:B,B1063)&gt;1,_xlfn.CONCAT(A1063," (",M1063,")"),B1063)</f>
        <v>Qīngniánlù Jiēdào (Liáochéng Shì)</v>
      </c>
      <c r="D1063" t="s">
        <v>1671</v>
      </c>
      <c r="E1063" t="s">
        <v>7</v>
      </c>
      <c r="F1063" t="str">
        <f>_xlfn.CONCAT(D1063,", ",H1063,", ",I1063,", ","山东省")</f>
        <v>青年路街道, 临清市, 聊城市, 山东省</v>
      </c>
      <c r="G1063">
        <v>84133</v>
      </c>
      <c r="H1063" t="s">
        <v>3706</v>
      </c>
      <c r="I1063" t="s">
        <v>3700</v>
      </c>
      <c r="J1063">
        <f>VLOOKUP(F1063,[1]!china_towns_second__2[[Column1]:[Y]],3,FALSE)</f>
        <v>36.775767293136397</v>
      </c>
      <c r="K1063">
        <f>VLOOKUP(F1063,[1]!china_towns_second__2[[Column1]:[Y]],2,FALSE)</f>
        <v>115.6554769</v>
      </c>
      <c r="L1063" t="s">
        <v>5895</v>
      </c>
      <c r="M1063" t="str">
        <f>VLOOKUP(H1063,CHOOSE({1,2},Table17[Native],Table17[Name]),2,0)</f>
        <v>Línqīng Shì</v>
      </c>
      <c r="N1063" s="15" t="str">
        <f>VLOOKUP(I1063,CHOOSE({1,2},Table17[Native],Table17[Name]),2,0)</f>
        <v>Liáochéng Shì</v>
      </c>
      <c r="O1063" s="15" t="str">
        <f t="shared" si="32"/>
        <v>Qingnianlu Jiedao (Liaocheng Shi) (Liáochéng Shì)</v>
      </c>
      <c r="P1063" s="15" t="str">
        <f t="shared" si="33"/>
        <v>Qingnianlu Jiedao (Liaocheng Shi) (Liáochéng Shì)</v>
      </c>
    </row>
    <row r="1064" spans="1:16" hidden="1" x14ac:dyDescent="0.25">
      <c r="A1064" t="s">
        <v>1670</v>
      </c>
      <c r="B1064" t="str">
        <f>IF(COUNTIF(A:A,A1064)&gt;1,_xlfn.CONCAT(A1064," (",N1064,")"),A1064)</f>
        <v>Qīngniánlù Jiēdào (Zībó Shì)</v>
      </c>
      <c r="C1064" t="str">
        <f>IF(COUNTIF(B:B,B1064)&gt;1,_xlfn.CONCAT(A1064," (",M1064,")"),B1064)</f>
        <v>Qīngniánlù Jiēdào (Zībó Shì)</v>
      </c>
      <c r="D1064" t="s">
        <v>1671</v>
      </c>
      <c r="E1064" t="s">
        <v>7</v>
      </c>
      <c r="F1064" t="str">
        <f>_xlfn.CONCAT(D1064,", ",H1064,", ",I1064,", ","山东省")</f>
        <v>青年路街道, 周村区, 淄博市, 山东省</v>
      </c>
      <c r="G1064">
        <v>52758</v>
      </c>
      <c r="H1064" t="s">
        <v>3798</v>
      </c>
      <c r="I1064" t="s">
        <v>3791</v>
      </c>
      <c r="J1064">
        <f>VLOOKUP(F1064,[1]!china_towns_second__2[[Column1]:[Y]],3,FALSE)</f>
        <v>36.811925975902199</v>
      </c>
      <c r="K1064">
        <f>VLOOKUP(F1064,[1]!china_towns_second__2[[Column1]:[Y]],2,FALSE)</f>
        <v>117.8641202</v>
      </c>
      <c r="L1064" t="s">
        <v>5896</v>
      </c>
      <c r="M1064" t="str">
        <f>VLOOKUP(H1064,CHOOSE({1,2},Table17[Native],Table17[Name]),2,0)</f>
        <v>Zhōucūn Qū</v>
      </c>
      <c r="N1064" s="15" t="str">
        <f>VLOOKUP(I1064,CHOOSE({1,2},Table17[Native],Table17[Name]),2,0)</f>
        <v>Zībó Shì</v>
      </c>
      <c r="O1064" s="15" t="str">
        <f t="shared" si="32"/>
        <v>Qingnianlu Jiedao (Zibo Shi) (Zībó Shì)</v>
      </c>
      <c r="P1064" s="15" t="str">
        <f t="shared" si="33"/>
        <v>Qingnianlu Jiedao (Zibo Shi) (Zībó Shì)</v>
      </c>
    </row>
    <row r="1065" spans="1:16" hidden="1" x14ac:dyDescent="0.25">
      <c r="A1065" t="s">
        <v>1672</v>
      </c>
      <c r="B1065" t="str">
        <f>IF(COUNTIF(A:A,A1065)&gt;1,_xlfn.CONCAT(A1065," (",N1065,")"),A1065)</f>
        <v>Qīngpíng Zhèn</v>
      </c>
      <c r="C1065" t="str">
        <f>IF(COUNTIF(B:B,B1065)&gt;1,_xlfn.CONCAT(A1065," (",M1065,")"),B1065)</f>
        <v>Qīngpíng Zhèn</v>
      </c>
      <c r="D1065" t="s">
        <v>1673</v>
      </c>
      <c r="E1065" t="s">
        <v>13</v>
      </c>
      <c r="F1065" t="str">
        <f>_xlfn.CONCAT(D1065,", ",H1065,", ",I1065,", ","山东省")</f>
        <v>清平镇, 高唐县, 聊城市, 山东省</v>
      </c>
      <c r="G1065">
        <v>40258</v>
      </c>
      <c r="H1065" t="s">
        <v>3704</v>
      </c>
      <c r="I1065" t="s">
        <v>3700</v>
      </c>
      <c r="J1065">
        <f>VLOOKUP(F1065,[1]!china_towns_second__2[[Column1]:[Y]],3,FALSE)</f>
        <v>36.7701383934197</v>
      </c>
      <c r="K1065">
        <f>VLOOKUP(F1065,[1]!china_towns_second__2[[Column1]:[Y]],2,FALSE)</f>
        <v>116.0787504</v>
      </c>
      <c r="L1065" t="s">
        <v>5897</v>
      </c>
      <c r="M1065" t="str">
        <f>VLOOKUP(H1065,CHOOSE({1,2},Table17[Native],Table17[Name]),2,0)</f>
        <v>Gāotáng Xiàn</v>
      </c>
      <c r="N1065" s="15" t="str">
        <f>VLOOKUP(I1065,CHOOSE({1,2},Table17[Native],Table17[Name]),2,0)</f>
        <v>Liáochéng Shì</v>
      </c>
      <c r="O1065" s="15" t="str">
        <f t="shared" si="32"/>
        <v>Qingping Zhen (Liáochéng Shì)</v>
      </c>
      <c r="P1065" s="15" t="str">
        <f t="shared" si="33"/>
        <v>Qingping Zhen (Liáochéng Shì)</v>
      </c>
    </row>
    <row r="1066" spans="1:16" hidden="1" x14ac:dyDescent="0.25">
      <c r="A1066" t="s">
        <v>1674</v>
      </c>
      <c r="B1066" t="str">
        <f>IF(COUNTIF(A:A,A1066)&gt;1,_xlfn.CONCAT(A1066," (",N1066,")"),A1066)</f>
        <v>Qīngquán Jiēdào</v>
      </c>
      <c r="C1066" t="str">
        <f>IF(COUNTIF(B:B,B1066)&gt;1,_xlfn.CONCAT(A1066," (",M1066,")"),B1066)</f>
        <v>Qīngquán Jiēdào</v>
      </c>
      <c r="D1066" t="s">
        <v>1675</v>
      </c>
      <c r="E1066" t="s">
        <v>7</v>
      </c>
      <c r="F1066" t="str">
        <f>_xlfn.CONCAT(D1066,", ",H1066,", ",I1066,", ","山东省")</f>
        <v>清泉街道, 冠县, 聊城市, 山东省</v>
      </c>
      <c r="G1066">
        <v>75714</v>
      </c>
      <c r="H1066" t="s">
        <v>3705</v>
      </c>
      <c r="I1066" t="s">
        <v>3700</v>
      </c>
      <c r="J1066">
        <f>VLOOKUP(F1066,[1]!china_towns_second__2[[Column1]:[Y]],3,FALSE)</f>
        <v>36.461940759292901</v>
      </c>
      <c r="K1066">
        <f>VLOOKUP(F1066,[1]!china_towns_second__2[[Column1]:[Y]],2,FALSE)</f>
        <v>115.4204087</v>
      </c>
      <c r="L1066" t="s">
        <v>5898</v>
      </c>
      <c r="M1066" t="str">
        <f>VLOOKUP(H1066,CHOOSE({1,2},Table17[Native],Table17[Name]),2,0)</f>
        <v>Guān Xiàn</v>
      </c>
      <c r="N1066" s="15" t="str">
        <f>VLOOKUP(I1066,CHOOSE({1,2},Table17[Native],Table17[Name]),2,0)</f>
        <v>Liáochéng Shì</v>
      </c>
      <c r="O1066" s="15" t="str">
        <f t="shared" si="32"/>
        <v>Qingquan Jiedao (Liáochéng Shì)</v>
      </c>
      <c r="P1066" s="15" t="str">
        <f t="shared" si="33"/>
        <v>Qingquan Jiedao (Liáochéng Shì)</v>
      </c>
    </row>
    <row r="1067" spans="1:16" hidden="1" x14ac:dyDescent="0.25">
      <c r="A1067" t="s">
        <v>2966</v>
      </c>
      <c r="B1067" t="str">
        <f>IF(COUNTIF(A:A,A1067)&gt;1,_xlfn.CONCAT(A1067," (",N1067,")"),A1067)</f>
        <v>Qĭngshān Zhèn</v>
      </c>
      <c r="C1067" t="str">
        <f>IF(COUNTIF(B:B,B1067)&gt;1,_xlfn.CONCAT(A1067," (",M1067,")"),B1067)</f>
        <v>Qĭngshān Zhèn</v>
      </c>
      <c r="D1067" t="s">
        <v>2967</v>
      </c>
      <c r="E1067" t="s">
        <v>13</v>
      </c>
      <c r="F1067" t="str">
        <f>_xlfn.CONCAT(D1067,", ",H1067,", ",I1067,", ","山东省")</f>
        <v>苘山镇, 环翠区, 威海市, 山东省</v>
      </c>
      <c r="G1067">
        <v>39827</v>
      </c>
      <c r="H1067" t="s">
        <v>3766</v>
      </c>
      <c r="I1067" t="s">
        <v>3765</v>
      </c>
      <c r="J1067">
        <f>VLOOKUP(F1067,[1]!china_towns_second__2[[Column1]:[Y]],3,FALSE)</f>
        <v>37.279393632370301</v>
      </c>
      <c r="K1067">
        <f>VLOOKUP(F1067,[1]!china_towns_second__2[[Column1]:[Y]],2,FALSE)</f>
        <v>122.0202635</v>
      </c>
      <c r="L1067" t="s">
        <v>5899</v>
      </c>
      <c r="M1067" t="str">
        <f>VLOOKUP(H1067,CHOOSE({1,2},Table17[Native],Table17[Name]),2,0)</f>
        <v>Huáncuì Qū</v>
      </c>
      <c r="N1067" s="15" t="str">
        <f>VLOOKUP(I1067,CHOOSE({1,2},Table17[Native],Table17[Name]),2,0)</f>
        <v>Wēihăi Shì</v>
      </c>
      <c r="O1067" s="15" t="str">
        <f t="shared" si="32"/>
        <v>Qingshan Zhen (Wēihăi Shì)</v>
      </c>
      <c r="P1067" s="15" t="str">
        <f t="shared" si="33"/>
        <v>Qingshan Zhen (Wēihăi Shì)</v>
      </c>
    </row>
    <row r="1068" spans="1:16" hidden="1" x14ac:dyDescent="0.25">
      <c r="A1068" t="s">
        <v>1676</v>
      </c>
      <c r="B1068" t="str">
        <f>IF(COUNTIF(A:A,A1068)&gt;1,_xlfn.CONCAT(A1068," (",N1068,")"),A1068)</f>
        <v>Qīngshuĭ Zhèn</v>
      </c>
      <c r="C1068" t="str">
        <f>IF(COUNTIF(B:B,B1068)&gt;1,_xlfn.CONCAT(A1068," (",M1068,")"),B1068)</f>
        <v>Qīngshuĭ Zhèn</v>
      </c>
      <c r="D1068" t="s">
        <v>1677</v>
      </c>
      <c r="E1068" t="s">
        <v>13</v>
      </c>
      <c r="F1068" t="str">
        <f>_xlfn.CONCAT(D1068,", ",H1068,", ",I1068,", ","山东省")</f>
        <v>清水镇, 冠县, 聊城市, 山东省</v>
      </c>
      <c r="G1068">
        <v>34403</v>
      </c>
      <c r="H1068" t="s">
        <v>3705</v>
      </c>
      <c r="I1068" t="s">
        <v>3700</v>
      </c>
      <c r="J1068">
        <f>VLOOKUP(F1068,[1]!china_towns_second__2[[Column1]:[Y]],3,FALSE)</f>
        <v>36.627303825551898</v>
      </c>
      <c r="K1068">
        <f>VLOOKUP(F1068,[1]!china_towns_second__2[[Column1]:[Y]],2,FALSE)</f>
        <v>115.5208662</v>
      </c>
      <c r="L1068" t="s">
        <v>5900</v>
      </c>
      <c r="M1068" t="str">
        <f>VLOOKUP(H1068,CHOOSE({1,2},Table17[Native],Table17[Name]),2,0)</f>
        <v>Guān Xiàn</v>
      </c>
      <c r="N1068" s="15" t="str">
        <f>VLOOKUP(I1068,CHOOSE({1,2},Table17[Native],Table17[Name]),2,0)</f>
        <v>Liáochéng Shì</v>
      </c>
      <c r="O1068" s="15" t="str">
        <f t="shared" si="32"/>
        <v>Qingshui Zhen (Liáochéng Shì)</v>
      </c>
      <c r="P1068" s="15" t="str">
        <f t="shared" si="33"/>
        <v>Qingshui Zhen (Liáochéng Shì)</v>
      </c>
    </row>
    <row r="1069" spans="1:16" hidden="1" x14ac:dyDescent="0.25">
      <c r="A1069" t="s">
        <v>127</v>
      </c>
      <c r="B1069" t="str">
        <f>IF(COUNTIF(A:A,A1069)&gt;1,_xlfn.CONCAT(A1069," (",N1069,")"),A1069)</f>
        <v>Qīngtián Jiēdào</v>
      </c>
      <c r="C1069" t="str">
        <f>IF(COUNTIF(B:B,B1069)&gt;1,_xlfn.CONCAT(A1069," (",M1069,")"),B1069)</f>
        <v>Qīngtián Jiēdào</v>
      </c>
      <c r="D1069" t="s">
        <v>128</v>
      </c>
      <c r="E1069" t="s">
        <v>7</v>
      </c>
      <c r="F1069" t="str">
        <f>_xlfn.CONCAT(D1069,", ",H1069,", ",I1069,", ","山东省")</f>
        <v>青田街道, 滨城区, 滨州市, 山东省</v>
      </c>
      <c r="G1069">
        <v>26267</v>
      </c>
      <c r="H1069" t="s">
        <v>3632</v>
      </c>
      <c r="I1069" t="s">
        <v>3630</v>
      </c>
      <c r="J1069">
        <f>VLOOKUP(F1069,[1]!china_towns_second__2[[Column1]:[Y]],3,FALSE)</f>
        <v>37.255099514120303</v>
      </c>
      <c r="K1069">
        <f>VLOOKUP(F1069,[1]!china_towns_second__2[[Column1]:[Y]],2,FALSE)</f>
        <v>118.0038215</v>
      </c>
      <c r="L1069" t="s">
        <v>5901</v>
      </c>
      <c r="M1069" t="str">
        <f>VLOOKUP(H1069,CHOOSE({1,2},Table17[Native],Table17[Name]),2,0)</f>
        <v>Bīnchéng Qū</v>
      </c>
      <c r="N1069" s="15" t="str">
        <f>VLOOKUP(I1069,CHOOSE({1,2},Table17[Native],Table17[Name]),2,0)</f>
        <v>Bīnzhōu Shì</v>
      </c>
      <c r="O1069" s="15" t="str">
        <f t="shared" si="32"/>
        <v>Qingtian Jiedao (Bīnzhōu Shì)</v>
      </c>
      <c r="P1069" s="15" t="str">
        <f t="shared" si="33"/>
        <v>Qingtian Jiedao (Bīnzhōu Shì)</v>
      </c>
    </row>
    <row r="1070" spans="1:16" hidden="1" x14ac:dyDescent="0.25">
      <c r="A1070" t="s">
        <v>1972</v>
      </c>
      <c r="B1070" t="str">
        <f>IF(COUNTIF(A:A,A1070)&gt;1,_xlfn.CONCAT(A1070," (",N1070,")"),A1070)</f>
        <v>Qīngtuó Zhèn</v>
      </c>
      <c r="C1070" t="str">
        <f>IF(COUNTIF(B:B,B1070)&gt;1,_xlfn.CONCAT(A1070," (",M1070,")"),B1070)</f>
        <v>Qīngtuó Zhèn</v>
      </c>
      <c r="D1070" t="s">
        <v>1973</v>
      </c>
      <c r="E1070" t="s">
        <v>13</v>
      </c>
      <c r="F1070" t="str">
        <f>_xlfn.CONCAT(D1070,", ",H1070,", ",I1070,", ","山东省")</f>
        <v>青驼镇, 沂南县, 临沂市, 山东省</v>
      </c>
      <c r="G1070">
        <v>55168</v>
      </c>
      <c r="H1070" t="s">
        <v>3721</v>
      </c>
      <c r="I1070" t="s">
        <v>3710</v>
      </c>
      <c r="J1070">
        <f>VLOOKUP(F1070,[1]!china_towns_second__2[[Column1]:[Y]],3,FALSE)</f>
        <v>35.385320332092697</v>
      </c>
      <c r="K1070">
        <f>VLOOKUP(F1070,[1]!china_towns_second__2[[Column1]:[Y]],2,FALSE)</f>
        <v>118.3263152</v>
      </c>
      <c r="L1070" t="s">
        <v>5902</v>
      </c>
      <c r="M1070" t="str">
        <f>VLOOKUP(H1070,CHOOSE({1,2},Table17[Native],Table17[Name]),2,0)</f>
        <v>Yínán Xiàn</v>
      </c>
      <c r="N1070" s="15" t="str">
        <f>VLOOKUP(I1070,CHOOSE({1,2},Table17[Native],Table17[Name]),2,0)</f>
        <v>Línyí Shì</v>
      </c>
      <c r="O1070" s="15" t="str">
        <f t="shared" si="32"/>
        <v>Qingtuo Zhen (Línyí Shì)</v>
      </c>
      <c r="P1070" s="15" t="str">
        <f t="shared" si="33"/>
        <v>Qingtuo Zhen (Línyí Shì)</v>
      </c>
    </row>
    <row r="1071" spans="1:16" hidden="1" x14ac:dyDescent="0.25">
      <c r="A1071" t="s">
        <v>3216</v>
      </c>
      <c r="B1071" t="str">
        <f>IF(COUNTIF(A:A,A1071)&gt;1,_xlfn.CONCAT(A1071," (",N1071,")"),A1071)</f>
        <v>Qīngyáng Jiēdào</v>
      </c>
      <c r="C1071" t="str">
        <f>IF(COUNTIF(B:B,B1071)&gt;1,_xlfn.CONCAT(A1071," (",M1071,")"),B1071)</f>
        <v>Qīngyáng Jiēdào</v>
      </c>
      <c r="D1071" t="s">
        <v>3217</v>
      </c>
      <c r="E1071" t="s">
        <v>7</v>
      </c>
      <c r="F1071" t="str">
        <f>_xlfn.CONCAT(D1071,", ",H1071,", ",I1071,", ","山东省")</f>
        <v>清洋街道, 福山区, 烟台市, 山东省</v>
      </c>
      <c r="G1071">
        <v>104967</v>
      </c>
      <c r="H1071" t="s">
        <v>3772</v>
      </c>
      <c r="I1071" t="s">
        <v>3771</v>
      </c>
      <c r="J1071">
        <f>VLOOKUP(F1071,[1]!china_towns_second__2[[Column1]:[Y]],3,FALSE)</f>
        <v>37.495120398877098</v>
      </c>
      <c r="K1071">
        <f>VLOOKUP(F1071,[1]!china_towns_second__2[[Column1]:[Y]],2,FALSE)</f>
        <v>121.2653631</v>
      </c>
      <c r="L1071" t="s">
        <v>5903</v>
      </c>
      <c r="M1071" t="str">
        <f>VLOOKUP(H1071,CHOOSE({1,2},Table17[Native],Table17[Name]),2,0)</f>
        <v>Fúshān Qū</v>
      </c>
      <c r="N1071" s="15" t="str">
        <f>VLOOKUP(I1071,CHOOSE({1,2},Table17[Native],Table17[Name]),2,0)</f>
        <v>Yāntái Shì</v>
      </c>
      <c r="O1071" s="15" t="str">
        <f t="shared" si="32"/>
        <v>Qingyang Jiedao (Yāntái Shì)</v>
      </c>
      <c r="P1071" s="15" t="str">
        <f t="shared" si="33"/>
        <v>Qingyang Jiedao (Yāntái Shì)</v>
      </c>
    </row>
    <row r="1072" spans="1:16" hidden="1" x14ac:dyDescent="0.25">
      <c r="A1072" t="s">
        <v>129</v>
      </c>
      <c r="B1072" t="str">
        <f>IF(COUNTIF(A:A,A1072)&gt;1,_xlfn.CONCAT(A1072," (",N1072,")"),A1072)</f>
        <v>Qīngyáng Zhèn</v>
      </c>
      <c r="C1072" t="str">
        <f>IF(COUNTIF(B:B,B1072)&gt;1,_xlfn.CONCAT(A1072," (",M1072,")"),B1072)</f>
        <v>Qīngyáng Zhèn</v>
      </c>
      <c r="D1072" t="s">
        <v>130</v>
      </c>
      <c r="E1072" t="s">
        <v>13</v>
      </c>
      <c r="F1072" t="str">
        <f>_xlfn.CONCAT(D1072,", ",H1072,", ",I1072,", ","山东省")</f>
        <v>青阳镇, 邹平市, 滨州市, 山东省</v>
      </c>
      <c r="G1072">
        <v>34944</v>
      </c>
      <c r="H1072" t="s">
        <v>3640</v>
      </c>
      <c r="I1072" t="s">
        <v>3630</v>
      </c>
      <c r="J1072">
        <f>VLOOKUP(F1072,[1]!china_towns_second__2[[Column1]:[Y]],3,FALSE)</f>
        <v>36.857998405542602</v>
      </c>
      <c r="K1072">
        <f>VLOOKUP(F1072,[1]!china_towns_second__2[[Column1]:[Y]],2,FALSE)</f>
        <v>117.6151043</v>
      </c>
      <c r="L1072" t="s">
        <v>5904</v>
      </c>
      <c r="M1072" t="str">
        <f>VLOOKUP(H1072,CHOOSE({1,2},Table17[Native],Table17[Name]),2,0)</f>
        <v>Zōupíng Shì</v>
      </c>
      <c r="N1072" s="15" t="str">
        <f>VLOOKUP(I1072,CHOOSE({1,2},Table17[Native],Table17[Name]),2,0)</f>
        <v>Bīnzhōu Shì</v>
      </c>
      <c r="O1072" s="15" t="str">
        <f t="shared" si="32"/>
        <v>Qingyang Zhen (Bīnzhōu Shì)</v>
      </c>
      <c r="P1072" s="15" t="str">
        <f t="shared" si="33"/>
        <v>Qingyang Zhen (Bīnzhōu Shì)</v>
      </c>
    </row>
    <row r="1073" spans="1:16" hidden="1" x14ac:dyDescent="0.25">
      <c r="A1073" t="s">
        <v>2593</v>
      </c>
      <c r="B1073" t="str">
        <f>IF(COUNTIF(A:A,A1073)&gt;1,_xlfn.CONCAT(A1073," (",N1073,")"),A1073)</f>
        <v>Qīngyún Jiēdào [incl. Xīnfǔ Jiēdào]</v>
      </c>
      <c r="C1073" t="str">
        <f>IF(COUNTIF(B:B,B1073)&gt;1,_xlfn.CONCAT(A1073," (",M1073,")"),B1073)</f>
        <v>Qīngyún Jiēdào [incl. Xīnfǔ Jiēdào]</v>
      </c>
      <c r="D1073" t="s">
        <v>2594</v>
      </c>
      <c r="E1073" t="s">
        <v>7</v>
      </c>
      <c r="F1073" t="str">
        <f>_xlfn.CONCAT(D1073,", ",H1073,", ",I1073,", ","山东省")</f>
        <v>青云街道, 新泰市, 泰安市, 山东省</v>
      </c>
      <c r="G1073">
        <v>230917</v>
      </c>
      <c r="H1073" t="s">
        <v>3749</v>
      </c>
      <c r="I1073" t="s">
        <v>3743</v>
      </c>
      <c r="J1073">
        <f>VLOOKUP(F1073,[1]!china_towns_second__2[[Column1]:[Y]],3,FALSE)</f>
        <v>35.953459316158998</v>
      </c>
      <c r="K1073">
        <f>VLOOKUP(F1073,[1]!china_towns_second__2[[Column1]:[Y]],2,FALSE)</f>
        <v>117.7874632</v>
      </c>
      <c r="L1073" t="s">
        <v>5905</v>
      </c>
      <c r="M1073" t="str">
        <f>VLOOKUP(H1073,CHOOSE({1,2},Table17[Native],Table17[Name]),2,0)</f>
        <v>Xīntài Shì</v>
      </c>
      <c r="N1073" s="15" t="str">
        <f>VLOOKUP(I1073,CHOOSE({1,2},Table17[Native],Table17[Name]),2,0)</f>
        <v>Tài'ān Shì</v>
      </c>
      <c r="O1073" s="15" t="str">
        <f t="shared" si="32"/>
        <v>Qingyun Jiedao [incl. Xinfu Jiedao] (Tài'ān Shì)</v>
      </c>
      <c r="P1073" s="15" t="str">
        <f t="shared" si="33"/>
        <v>Qingyun Jiedao [incl. Xinfu Jiedao] (Tài'ān Shì)</v>
      </c>
    </row>
    <row r="1074" spans="1:16" x14ac:dyDescent="0.25">
      <c r="A1074" t="s">
        <v>350</v>
      </c>
      <c r="B1074" t="str">
        <f>IF(COUNTIF(A:A,A1074)&gt;1,_xlfn.CONCAT(A1074," (",N1074,")"),A1074)</f>
        <v>Qìngyún Zhèn</v>
      </c>
      <c r="C1074" t="str">
        <f>IF(COUNTIF(B:B,B1074)&gt;1,_xlfn.CONCAT(A1074," (",M1074,")"),B1074)</f>
        <v>Qìngyún Zhèn</v>
      </c>
      <c r="D1074" t="s">
        <v>351</v>
      </c>
      <c r="E1074" t="s">
        <v>13</v>
      </c>
      <c r="F1074" t="str">
        <f>_xlfn.CONCAT(D1074,", ",H1074,", ",I1074,", ","山东省")</f>
        <v>庆云镇, 庆云县, 德州市, 山东省</v>
      </c>
      <c r="G1074">
        <v>36135</v>
      </c>
      <c r="H1074" t="s">
        <v>3650</v>
      </c>
      <c r="I1074" t="s">
        <v>3642</v>
      </c>
      <c r="J1074">
        <f>VLOOKUP(F1074,[1]!china_towns_second__2[[Column1]:[Y]],3,FALSE)</f>
        <v>37.806202348833096</v>
      </c>
      <c r="K1074">
        <f>VLOOKUP(F1074,[1]!china_towns_second__2[[Column1]:[Y]],2,FALSE)</f>
        <v>117.3765231</v>
      </c>
      <c r="L1074" t="s">
        <v>5906</v>
      </c>
      <c r="M1074" t="str">
        <f>VLOOKUP(H1074,CHOOSE({1,2},Table17[Native],Table17[Name]),2,0)</f>
        <v>Qìngyún Xiàn</v>
      </c>
      <c r="N1074" s="15" t="str">
        <f>VLOOKUP(I1074,CHOOSE({1,2},Table17[Native],Table17[Name]),2,0)</f>
        <v>Dézhōu Shì</v>
      </c>
      <c r="O1074" s="15" t="str">
        <f t="shared" si="32"/>
        <v>Qingyun Zhen (Dézhōu Shì)</v>
      </c>
      <c r="P1074" s="15" t="str">
        <f t="shared" si="33"/>
        <v>Qingyun Zhen (Dézhōu Shì)</v>
      </c>
    </row>
    <row r="1075" spans="1:16" x14ac:dyDescent="0.25">
      <c r="A1075" t="s">
        <v>1974</v>
      </c>
      <c r="B1075" t="str">
        <f>IF(COUNTIF(A:A,A1075)&gt;1,_xlfn.CONCAT(A1075," (",N1075,")"),A1075)</f>
        <v>Qīngyún Zhèn</v>
      </c>
      <c r="C1075" t="str">
        <f>IF(COUNTIF(B:B,B1075)&gt;1,_xlfn.CONCAT(A1075," (",M1075,")"),B1075)</f>
        <v>Qīngyún Zhèn</v>
      </c>
      <c r="D1075" t="s">
        <v>1975</v>
      </c>
      <c r="E1075" t="s">
        <v>13</v>
      </c>
      <c r="F1075" t="str">
        <f>_xlfn.CONCAT(D1075,", ",H1075,", ",I1075,", ","山东省")</f>
        <v>青云镇, 临沭县, 临沂市, 山东省</v>
      </c>
      <c r="G1075">
        <v>44881</v>
      </c>
      <c r="H1075" t="s">
        <v>3716</v>
      </c>
      <c r="I1075" t="s">
        <v>3710</v>
      </c>
      <c r="J1075">
        <f>VLOOKUP(F1075,[1]!china_towns_second__2[[Column1]:[Y]],3,FALSE)</f>
        <v>35.028185725392703</v>
      </c>
      <c r="K1075">
        <f>VLOOKUP(F1075,[1]!china_towns_second__2[[Column1]:[Y]],2,FALSE)</f>
        <v>118.6611937</v>
      </c>
      <c r="L1075" t="s">
        <v>5906</v>
      </c>
      <c r="M1075" t="str">
        <f>VLOOKUP(H1075,CHOOSE({1,2},Table17[Native],Table17[Name]),2,0)</f>
        <v>Línshù Xiàn</v>
      </c>
      <c r="N1075" s="15" t="str">
        <f>VLOOKUP(I1075,CHOOSE({1,2},Table17[Native],Table17[Name]),2,0)</f>
        <v>Línyí Shì</v>
      </c>
      <c r="O1075" s="15" t="str">
        <f t="shared" si="32"/>
        <v>Qingyun Zhen (Línyí Shì)</v>
      </c>
      <c r="P1075" s="15" t="str">
        <f t="shared" si="33"/>
        <v>Qingyun Zhen (Línyí Shì)</v>
      </c>
    </row>
    <row r="1076" spans="1:16" hidden="1" x14ac:dyDescent="0.25">
      <c r="A1076" t="s">
        <v>131</v>
      </c>
      <c r="B1076" t="str">
        <f>IF(COUNTIF(A:A,A1076)&gt;1,_xlfn.CONCAT(A1076," (",N1076,")"),A1076)</f>
        <v>Qínhuángtái Xiāng</v>
      </c>
      <c r="C1076" t="str">
        <f>IF(COUNTIF(B:B,B1076)&gt;1,_xlfn.CONCAT(A1076," (",M1076,")"),B1076)</f>
        <v>Qínhuángtái Xiāng</v>
      </c>
      <c r="D1076" t="s">
        <v>132</v>
      </c>
      <c r="E1076" t="s">
        <v>61</v>
      </c>
      <c r="F1076" t="str">
        <f>_xlfn.CONCAT(D1076,", ",H1076,", ",I1076,", ","山东省")</f>
        <v>秦皇台乡, 滨城区, 滨州市, 山东省</v>
      </c>
      <c r="G1076">
        <v>20234</v>
      </c>
      <c r="H1076" t="s">
        <v>3632</v>
      </c>
      <c r="I1076" t="s">
        <v>3630</v>
      </c>
      <c r="J1076" t="e">
        <f>VLOOKUP(F1076,[1]!china_towns_second__2[[Column1]:[Y]],3,FALSE)</f>
        <v>#N/A</v>
      </c>
      <c r="K1076" t="e">
        <f>VLOOKUP(F1076,[1]!china_towns_second__2[[Column1]:[Y]],2,FALSE)</f>
        <v>#N/A</v>
      </c>
      <c r="L1076" t="s">
        <v>5907</v>
      </c>
      <c r="M1076" t="str">
        <f>VLOOKUP(H1076,CHOOSE({1,2},Table17[Native],Table17[Name]),2,0)</f>
        <v>Bīnchéng Qū</v>
      </c>
      <c r="N1076" s="15" t="str">
        <f>VLOOKUP(I1076,CHOOSE({1,2},Table17[Native],Table17[Name]),2,0)</f>
        <v>Bīnzhōu Shì</v>
      </c>
      <c r="O1076" s="15" t="str">
        <f t="shared" si="32"/>
        <v>Qinhuangtai Xiang (Bīnzhōu Shì)</v>
      </c>
      <c r="P1076" s="15" t="str">
        <f t="shared" si="33"/>
        <v>Qinhuangtai Xiang (Bīnzhōu Shì)</v>
      </c>
    </row>
    <row r="1077" spans="1:16" hidden="1" x14ac:dyDescent="0.25">
      <c r="A1077" t="s">
        <v>2458</v>
      </c>
      <c r="B1077" t="str">
        <f>IF(COUNTIF(A:A,A1077)&gt;1,_xlfn.CONCAT(A1077," (",N1077,")"),A1077)</f>
        <v>Qínlóu Jiēdào [incl. Wòlóngshān Jiēdào]</v>
      </c>
      <c r="C1077" t="str">
        <f>IF(COUNTIF(B:B,B1077)&gt;1,_xlfn.CONCAT(A1077," (",M1077,")"),B1077)</f>
        <v>Qínlóu Jiēdào [incl. Wòlóngshān Jiēdào]</v>
      </c>
      <c r="D1077" t="s">
        <v>2459</v>
      </c>
      <c r="E1077" t="s">
        <v>7</v>
      </c>
      <c r="F1077" t="str">
        <f>_xlfn.CONCAT(D1077,", ",H1077,", ",I1077,", ","山东省")</f>
        <v>秦楼街道, 东港区, 日照市, 山东省</v>
      </c>
      <c r="G1077">
        <v>191953</v>
      </c>
      <c r="H1077" t="s">
        <v>3737</v>
      </c>
      <c r="I1077" t="s">
        <v>3736</v>
      </c>
      <c r="J1077">
        <f>VLOOKUP(F1077,[1]!china_towns_second__2[[Column1]:[Y]],3,FALSE)</f>
        <v>35.434587701525402</v>
      </c>
      <c r="K1077">
        <f>VLOOKUP(F1077,[1]!china_towns_second__2[[Column1]:[Y]],2,FALSE)</f>
        <v>119.53311170000001</v>
      </c>
      <c r="L1077" t="s">
        <v>5908</v>
      </c>
      <c r="M1077" t="str">
        <f>VLOOKUP(H1077,CHOOSE({1,2},Table17[Native],Table17[Name]),2,0)</f>
        <v>Dōnggăng Qū</v>
      </c>
      <c r="N1077" s="15" t="str">
        <f>VLOOKUP(I1077,CHOOSE({1,2},Table17[Native],Table17[Name]),2,0)</f>
        <v>Rìzhào Shì</v>
      </c>
      <c r="O1077" s="15" t="str">
        <f t="shared" si="32"/>
        <v>Qinlou Jiedao [incl. Wolongshan Jiedao] (Rìzhào Shì)</v>
      </c>
      <c r="P1077" s="15" t="str">
        <f t="shared" si="33"/>
        <v>Qinlou Jiedao [incl. Wolongshan Jiedao] (Rìzhào Shì)</v>
      </c>
    </row>
    <row r="1078" spans="1:16" hidden="1" x14ac:dyDescent="0.25">
      <c r="A1078" t="s">
        <v>3218</v>
      </c>
      <c r="B1078" t="str">
        <f>IF(COUNTIF(A:A,A1078)&gt;1,_xlfn.CONCAT(A1078," (",N1078,")"),A1078)</f>
        <v>Qíshān Jiēdào</v>
      </c>
      <c r="C1078" t="str">
        <f>IF(COUNTIF(B:B,B1078)&gt;1,_xlfn.CONCAT(A1078," (",M1078,")"),B1078)</f>
        <v>Qíshān Jiēdào</v>
      </c>
      <c r="D1078" t="s">
        <v>3219</v>
      </c>
      <c r="E1078" t="s">
        <v>7</v>
      </c>
      <c r="F1078" t="str">
        <f>_xlfn.CONCAT(D1078,", ",H1078,", ",I1078,", ","山东省")</f>
        <v>奇山街道, 芝罘区, 烟台市, 山东省</v>
      </c>
      <c r="G1078">
        <v>64906</v>
      </c>
      <c r="H1078" t="s">
        <v>3782</v>
      </c>
      <c r="I1078" t="s">
        <v>3771</v>
      </c>
      <c r="J1078">
        <f>VLOOKUP(F1078,[1]!china_towns_second__2[[Column1]:[Y]],3,FALSE)</f>
        <v>37.508854987666801</v>
      </c>
      <c r="K1078">
        <f>VLOOKUP(F1078,[1]!china_towns_second__2[[Column1]:[Y]],2,FALSE)</f>
        <v>121.4108257</v>
      </c>
      <c r="L1078" t="s">
        <v>5909</v>
      </c>
      <c r="M1078" t="str">
        <f>VLOOKUP(H1078,CHOOSE({1,2},Table17[Native],Table17[Name]),2,0)</f>
        <v>Zhīfú Qū</v>
      </c>
      <c r="N1078" s="15" t="str">
        <f>VLOOKUP(I1078,CHOOSE({1,2},Table17[Native],Table17[Name]),2,0)</f>
        <v>Yāntái Shì</v>
      </c>
      <c r="O1078" s="15" t="str">
        <f t="shared" si="32"/>
        <v>Qishan Jiedao (Yāntái Shì)</v>
      </c>
      <c r="P1078" s="15" t="str">
        <f t="shared" si="33"/>
        <v>Qishan Jiedao (Yāntái Shì)</v>
      </c>
    </row>
    <row r="1079" spans="1:16" hidden="1" x14ac:dyDescent="0.25">
      <c r="A1079" t="s">
        <v>2460</v>
      </c>
      <c r="B1079" t="str">
        <f>IF(COUNTIF(A:A,A1079)&gt;1,_xlfn.CONCAT(A1079," (",N1079,")"),A1079)</f>
        <v>Qíshān Zhèn (Rìzhào Shì)</v>
      </c>
      <c r="C1079" t="str">
        <f>IF(COUNTIF(B:B,B1079)&gt;1,_xlfn.CONCAT(A1079," (",M1079,")"),B1079)</f>
        <v>Qíshān Zhèn (Rìzhào Shì)</v>
      </c>
      <c r="D1079" t="s">
        <v>2461</v>
      </c>
      <c r="E1079" t="s">
        <v>13</v>
      </c>
      <c r="F1079" t="str">
        <f>_xlfn.CONCAT(D1079,", ",H1079,", ",I1079,", ","山东省")</f>
        <v>棋山镇, 莒县, 日照市, 山东省</v>
      </c>
      <c r="G1079">
        <v>59930</v>
      </c>
      <c r="H1079" t="s">
        <v>3739</v>
      </c>
      <c r="I1079" t="s">
        <v>3736</v>
      </c>
      <c r="J1079">
        <f>VLOOKUP(F1079,[1]!china_towns_second__2[[Column1]:[Y]],3,FALSE)</f>
        <v>35.875337653987202</v>
      </c>
      <c r="K1079">
        <f>VLOOKUP(F1079,[1]!china_towns_second__2[[Column1]:[Y]],2,FALSE)</f>
        <v>118.8660665</v>
      </c>
      <c r="L1079" t="s">
        <v>5910</v>
      </c>
      <c r="M1079" t="str">
        <f>VLOOKUP(H1079,CHOOSE({1,2},Table17[Native],Table17[Name]),2,0)</f>
        <v>Jŭ Xiàn</v>
      </c>
      <c r="N1079" s="15" t="str">
        <f>VLOOKUP(I1079,CHOOSE({1,2},Table17[Native],Table17[Name]),2,0)</f>
        <v>Rìzhào Shì</v>
      </c>
      <c r="O1079" s="15" t="str">
        <f t="shared" si="32"/>
        <v>Qishan Zhen (Rizhao Shi) (Rìzhào Shì)</v>
      </c>
      <c r="P1079" s="15" t="str">
        <f t="shared" si="33"/>
        <v>Qishan Zhen (Rizhao Shi) (Rìzhào Shì)</v>
      </c>
    </row>
    <row r="1080" spans="1:16" hidden="1" x14ac:dyDescent="0.25">
      <c r="A1080" t="s">
        <v>2460</v>
      </c>
      <c r="B1080" t="str">
        <f>IF(COUNTIF(A:A,A1080)&gt;1,_xlfn.CONCAT(A1080," (",N1080,")"),A1080)</f>
        <v>Qíshān Zhèn (Yāntái Shì)</v>
      </c>
      <c r="C1080" t="str">
        <f>IF(COUNTIF(B:B,B1080)&gt;1,_xlfn.CONCAT(A1080," (",M1080,")"),B1080)</f>
        <v>Qíshān Zhèn (Yāntái Shì)</v>
      </c>
      <c r="D1080" t="s">
        <v>3220</v>
      </c>
      <c r="E1080" t="s">
        <v>13</v>
      </c>
      <c r="F1080" t="str">
        <f>_xlfn.CONCAT(D1080,", ",H1080,", ",I1080,", ","山东省")</f>
        <v>齐山镇, 招远市, 烟台市, 山东省</v>
      </c>
      <c r="G1080">
        <v>37865</v>
      </c>
      <c r="H1080" t="s">
        <v>3781</v>
      </c>
      <c r="I1080" t="s">
        <v>3771</v>
      </c>
      <c r="J1080">
        <f>VLOOKUP(F1080,[1]!china_towns_second__2[[Column1]:[Y]],3,FALSE)</f>
        <v>37.253991795826202</v>
      </c>
      <c r="K1080">
        <f>VLOOKUP(F1080,[1]!china_towns_second__2[[Column1]:[Y]],2,FALSE)</f>
        <v>120.3766184</v>
      </c>
      <c r="L1080" t="s">
        <v>5911</v>
      </c>
      <c r="M1080" t="str">
        <f>VLOOKUP(H1080,CHOOSE({1,2},Table17[Native],Table17[Name]),2,0)</f>
        <v>Zhāoyuăn Shì</v>
      </c>
      <c r="N1080" s="15" t="str">
        <f>VLOOKUP(I1080,CHOOSE({1,2},Table17[Native],Table17[Name]),2,0)</f>
        <v>Yāntái Shì</v>
      </c>
      <c r="O1080" s="15" t="str">
        <f t="shared" si="32"/>
        <v>Qishan Zhen (Yantai Shi) (Yāntái Shì)</v>
      </c>
      <c r="P1080" s="15" t="str">
        <f t="shared" si="33"/>
        <v>Qishan Zhen (Yantai Shi) (Yāntái Shì)</v>
      </c>
    </row>
    <row r="1081" spans="1:16" hidden="1" x14ac:dyDescent="0.25">
      <c r="A1081" t="s">
        <v>2595</v>
      </c>
      <c r="B1081" t="str">
        <f>IF(COUNTIF(A:A,A1081)&gt;1,_xlfn.CONCAT(A1081," (",N1081,")"),A1081)</f>
        <v>Qiūjiādiàn Zhèn</v>
      </c>
      <c r="C1081" t="str">
        <f>IF(COUNTIF(B:B,B1081)&gt;1,_xlfn.CONCAT(A1081," (",M1081,")"),B1081)</f>
        <v>Qiūjiādiàn Zhèn</v>
      </c>
      <c r="D1081" t="s">
        <v>2596</v>
      </c>
      <c r="E1081" t="s">
        <v>13</v>
      </c>
      <c r="F1081" t="str">
        <f>_xlfn.CONCAT(D1081,", ",H1081,", ",I1081,", ","山东省")</f>
        <v>邱家店镇, 泰山区, 泰安市, 山东省</v>
      </c>
      <c r="G1081">
        <v>62026</v>
      </c>
      <c r="H1081" t="s">
        <v>3748</v>
      </c>
      <c r="I1081" t="s">
        <v>3743</v>
      </c>
      <c r="J1081">
        <f>VLOOKUP(F1081,[1]!china_towns_second__2[[Column1]:[Y]],3,FALSE)</f>
        <v>36.156148973629499</v>
      </c>
      <c r="K1081">
        <f>VLOOKUP(F1081,[1]!china_towns_second__2[[Column1]:[Y]],2,FALSE)</f>
        <v>117.25790619999999</v>
      </c>
      <c r="L1081" t="s">
        <v>5912</v>
      </c>
      <c r="M1081" t="str">
        <f>VLOOKUP(H1081,CHOOSE({1,2},Table17[Native],Table17[Name]),2,0)</f>
        <v>Tàishān Qū</v>
      </c>
      <c r="N1081" s="15" t="str">
        <f>VLOOKUP(I1081,CHOOSE({1,2},Table17[Native],Table17[Name]),2,0)</f>
        <v>Tài'ān Shì</v>
      </c>
      <c r="O1081" s="15" t="str">
        <f t="shared" si="32"/>
        <v>Qiujiadian Zhen (Tài'ān Shì)</v>
      </c>
      <c r="P1081" s="15" t="str">
        <f t="shared" si="33"/>
        <v>Qiujiadian Zhen (Tài'ān Shì)</v>
      </c>
    </row>
    <row r="1082" spans="1:16" hidden="1" x14ac:dyDescent="0.25">
      <c r="A1082" t="s">
        <v>1088</v>
      </c>
      <c r="B1082" t="str">
        <f>IF(COUNTIF(A:A,A1082)&gt;1,_xlfn.CONCAT(A1082," (",N1082,")"),A1082)</f>
        <v>Qīxián Jiēdào</v>
      </c>
      <c r="C1082" t="str">
        <f>IF(COUNTIF(B:B,B1082)&gt;1,_xlfn.CONCAT(A1082," (",M1082,")"),B1082)</f>
        <v>Qīxián Jiēdào</v>
      </c>
      <c r="D1082" t="s">
        <v>1089</v>
      </c>
      <c r="E1082" t="s">
        <v>7</v>
      </c>
      <c r="F1082" t="str">
        <f>_xlfn.CONCAT(D1082,", ",H1082,", ",I1082,", ","山东省")</f>
        <v>七贤街道, 市中区, 济南市, 山东省</v>
      </c>
      <c r="G1082">
        <v>75636</v>
      </c>
      <c r="H1082" t="s">
        <v>3683</v>
      </c>
      <c r="I1082" t="s">
        <v>3673</v>
      </c>
      <c r="J1082">
        <f>VLOOKUP(F1082,[1]!china_towns_second__2[[Column1]:[Y]],3,FALSE)</f>
        <v>36.606793669661002</v>
      </c>
      <c r="K1082">
        <f>VLOOKUP(F1082,[1]!china_towns_second__2[[Column1]:[Y]],2,FALSE)</f>
        <v>116.9527121</v>
      </c>
      <c r="L1082" t="s">
        <v>5913</v>
      </c>
      <c r="M1082" t="str">
        <f>VLOOKUP(H1082,CHOOSE({1,2},Table17[Native],Table17[Name]),2,0)</f>
        <v>Shìzhōng Qū</v>
      </c>
      <c r="N1082" s="15" t="str">
        <f>VLOOKUP(I1082,CHOOSE({1,2},Table17[Native],Table17[Name]),2,0)</f>
        <v>Jìnán Shì</v>
      </c>
      <c r="O1082" s="15" t="str">
        <f t="shared" si="32"/>
        <v>Qixian Jiedao (Jìnán Shì)</v>
      </c>
      <c r="P1082" s="15" t="str">
        <f t="shared" si="33"/>
        <v>Qixian Jiedao (Jìnán Shì)</v>
      </c>
    </row>
    <row r="1083" spans="1:16" hidden="1" x14ac:dyDescent="0.25">
      <c r="A1083" t="s">
        <v>1090</v>
      </c>
      <c r="B1083" t="str">
        <f>IF(COUNTIF(A:A,A1083)&gt;1,_xlfn.CONCAT(A1083," (",N1083,")"),A1083)</f>
        <v>Quánchénglù Jiēdào</v>
      </c>
      <c r="C1083" t="str">
        <f>IF(COUNTIF(B:B,B1083)&gt;1,_xlfn.CONCAT(A1083," (",M1083,")"),B1083)</f>
        <v>Quánchénglù Jiēdào</v>
      </c>
      <c r="D1083" t="s">
        <v>1091</v>
      </c>
      <c r="E1083" t="s">
        <v>7</v>
      </c>
      <c r="F1083" t="str">
        <f>_xlfn.CONCAT(D1083,", ",H1083,", ",I1083,", ","山东省")</f>
        <v>泉城路街道, 历下区, 济南市, 山东省</v>
      </c>
      <c r="G1083">
        <v>17717</v>
      </c>
      <c r="H1083" t="s">
        <v>3680</v>
      </c>
      <c r="I1083" t="s">
        <v>3673</v>
      </c>
      <c r="J1083">
        <f>VLOOKUP(F1083,[1]!china_towns_second__2[[Column1]:[Y]],3,FALSE)</f>
        <v>36.670487336732201</v>
      </c>
      <c r="K1083">
        <f>VLOOKUP(F1083,[1]!china_towns_second__2[[Column1]:[Y]],2,FALSE)</f>
        <v>117.0154369</v>
      </c>
      <c r="L1083" t="s">
        <v>5914</v>
      </c>
      <c r="M1083" t="str">
        <f>VLOOKUP(H1083,CHOOSE({1,2},Table17[Native],Table17[Name]),2,0)</f>
        <v>Lìxià Qū</v>
      </c>
      <c r="N1083" s="15" t="str">
        <f>VLOOKUP(I1083,CHOOSE({1,2},Table17[Native],Table17[Name]),2,0)</f>
        <v>Jìnán Shì</v>
      </c>
      <c r="O1083" s="15" t="str">
        <f t="shared" si="32"/>
        <v>Quanchenglu Jiedao (Jìnán Shì)</v>
      </c>
      <c r="P1083" s="15" t="str">
        <f t="shared" si="33"/>
        <v>Quanchenglu Jiedao (Jìnán Shì)</v>
      </c>
    </row>
    <row r="1084" spans="1:16" hidden="1" x14ac:dyDescent="0.25">
      <c r="A1084" t="s">
        <v>1092</v>
      </c>
      <c r="B1084" t="str">
        <f>IF(COUNTIF(A:A,A1084)&gt;1,_xlfn.CONCAT(A1084," (",N1084,")"),A1084)</f>
        <v>Quánfú Jiēdào</v>
      </c>
      <c r="C1084" t="str">
        <f>IF(COUNTIF(B:B,B1084)&gt;1,_xlfn.CONCAT(A1084," (",M1084,")"),B1084)</f>
        <v>Quánfú Jiēdào</v>
      </c>
      <c r="D1084" t="s">
        <v>1093</v>
      </c>
      <c r="E1084" t="s">
        <v>7</v>
      </c>
      <c r="F1084" t="str">
        <f>_xlfn.CONCAT(D1084,", ",H1084,", ",I1084,", ","山东省")</f>
        <v>全福街道, 历城区, 济南市, 山东省</v>
      </c>
      <c r="G1084">
        <v>67528</v>
      </c>
      <c r="H1084" t="s">
        <v>3679</v>
      </c>
      <c r="I1084" t="s">
        <v>3673</v>
      </c>
      <c r="J1084">
        <f>VLOOKUP(F1084,[1]!china_towns_second__2[[Column1]:[Y]],3,FALSE)</f>
        <v>36.704473064803103</v>
      </c>
      <c r="K1084">
        <f>VLOOKUP(F1084,[1]!china_towns_second__2[[Column1]:[Y]],2,FALSE)</f>
        <v>117.0700879</v>
      </c>
      <c r="L1084" t="s">
        <v>5915</v>
      </c>
      <c r="M1084" t="str">
        <f>VLOOKUP(H1084,CHOOSE({1,2},Table17[Native],Table17[Name]),2,0)</f>
        <v>Lìchéng Qū</v>
      </c>
      <c r="N1084" s="15" t="str">
        <f>VLOOKUP(I1084,CHOOSE({1,2},Table17[Native],Table17[Name]),2,0)</f>
        <v>Jìnán Shì</v>
      </c>
      <c r="O1084" s="15" t="str">
        <f t="shared" si="32"/>
        <v>Quanfu Jiedao (Jìnán Shì)</v>
      </c>
      <c r="P1084" s="15" t="str">
        <f t="shared" si="33"/>
        <v>Quanfu Jiedao (Jìnán Shì)</v>
      </c>
    </row>
    <row r="1085" spans="1:16" hidden="1" x14ac:dyDescent="0.25">
      <c r="A1085" t="s">
        <v>2597</v>
      </c>
      <c r="B1085" t="str">
        <f>IF(COUNTIF(A:A,A1085)&gt;1,_xlfn.CONCAT(A1085," (",N1085,")"),A1085)</f>
        <v>Quángōu Zhèn</v>
      </c>
      <c r="C1085" t="str">
        <f>IF(COUNTIF(B:B,B1085)&gt;1,_xlfn.CONCAT(A1085," (",M1085,")"),B1085)</f>
        <v>Quángōu Zhèn</v>
      </c>
      <c r="D1085" t="s">
        <v>2598</v>
      </c>
      <c r="E1085" t="s">
        <v>13</v>
      </c>
      <c r="F1085" t="str">
        <f>_xlfn.CONCAT(D1085,", ",H1085,", ",I1085,", ","山东省")</f>
        <v>泉沟镇, 新泰市, 泰安市, 山东省</v>
      </c>
      <c r="G1085">
        <v>48511</v>
      </c>
      <c r="H1085" t="s">
        <v>3749</v>
      </c>
      <c r="I1085" t="s">
        <v>3743</v>
      </c>
      <c r="J1085">
        <f>VLOOKUP(F1085,[1]!china_towns_second__2[[Column1]:[Y]],3,FALSE)</f>
        <v>36.009366852444202</v>
      </c>
      <c r="K1085">
        <f>VLOOKUP(F1085,[1]!china_towns_second__2[[Column1]:[Y]],2,FALSE)</f>
        <v>117.6699074</v>
      </c>
      <c r="L1085" t="s">
        <v>5916</v>
      </c>
      <c r="M1085" t="str">
        <f>VLOOKUP(H1085,CHOOSE({1,2},Table17[Native],Table17[Name]),2,0)</f>
        <v>Xīntài Shì</v>
      </c>
      <c r="N1085" s="15" t="str">
        <f>VLOOKUP(I1085,CHOOSE({1,2},Table17[Native],Table17[Name]),2,0)</f>
        <v>Tài'ān Shì</v>
      </c>
      <c r="O1085" s="15" t="str">
        <f t="shared" si="32"/>
        <v>Quangou Zhen (Tài'ān Shì)</v>
      </c>
      <c r="P1085" s="15" t="str">
        <f t="shared" si="33"/>
        <v>Quangou Zhen (Tài'ān Shì)</v>
      </c>
    </row>
    <row r="1086" spans="1:16" hidden="1" x14ac:dyDescent="0.25">
      <c r="A1086" t="s">
        <v>1976</v>
      </c>
      <c r="B1086" t="str">
        <f>IF(COUNTIF(A:A,A1086)&gt;1,_xlfn.CONCAT(A1086," (",N1086,")"),A1086)</f>
        <v>Quānlĭ Xiāng</v>
      </c>
      <c r="C1086" t="str">
        <f>IF(COUNTIF(B:B,B1086)&gt;1,_xlfn.CONCAT(A1086," (",M1086,")"),B1086)</f>
        <v>Quānlĭ Xiāng</v>
      </c>
      <c r="D1086" t="s">
        <v>1977</v>
      </c>
      <c r="E1086" t="s">
        <v>61</v>
      </c>
      <c r="F1086" t="str">
        <f>_xlfn.CONCAT(D1086,", ",H1086,", ",I1086,", ","山东省")</f>
        <v>圈里乡, 沂水县, 临沂市, 山东省</v>
      </c>
      <c r="G1086">
        <v>29141</v>
      </c>
      <c r="H1086" t="s">
        <v>3722</v>
      </c>
      <c r="I1086" t="s">
        <v>3710</v>
      </c>
      <c r="J1086" t="e">
        <f>VLOOKUP(F1086,[1]!china_towns_second__2[[Column1]:[Y]],3,FALSE)</f>
        <v>#N/A</v>
      </c>
      <c r="K1086" t="e">
        <f>VLOOKUP(F1086,[1]!china_towns_second__2[[Column1]:[Y]],2,FALSE)</f>
        <v>#N/A</v>
      </c>
      <c r="L1086" t="s">
        <v>5917</v>
      </c>
      <c r="M1086" t="str">
        <f>VLOOKUP(H1086,CHOOSE({1,2},Table17[Native],Table17[Name]),2,0)</f>
        <v>Yíshuĭ Xiàn</v>
      </c>
      <c r="N1086" s="15" t="str">
        <f>VLOOKUP(I1086,CHOOSE({1,2},Table17[Native],Table17[Name]),2,0)</f>
        <v>Línyí Shì</v>
      </c>
      <c r="O1086" s="15" t="str">
        <f t="shared" si="32"/>
        <v>Quanli Xiang (Línyí Shì)</v>
      </c>
      <c r="P1086" s="15" t="str">
        <f t="shared" si="33"/>
        <v>Quanli Xiang (Línyí Shì)</v>
      </c>
    </row>
    <row r="1087" spans="1:16" hidden="1" x14ac:dyDescent="0.25">
      <c r="A1087" t="s">
        <v>1398</v>
      </c>
      <c r="B1087" t="str">
        <f>IF(COUNTIF(A:A,A1087)&gt;1,_xlfn.CONCAT(A1087," (",N1087,")"),A1087)</f>
        <v>Quánlín Zhèn</v>
      </c>
      <c r="C1087" t="str">
        <f>IF(COUNTIF(B:B,B1087)&gt;1,_xlfn.CONCAT(A1087," (",M1087,")"),B1087)</f>
        <v>Quánlín Zhèn</v>
      </c>
      <c r="D1087" t="s">
        <v>1399</v>
      </c>
      <c r="E1087" t="s">
        <v>13</v>
      </c>
      <c r="F1087" t="str">
        <f>_xlfn.CONCAT(D1087,", ",H1087,", ",I1087,", ","山东省")</f>
        <v>泉林镇, 泗水县, 济宁市, 山东省</v>
      </c>
      <c r="G1087">
        <v>56213</v>
      </c>
      <c r="H1087" t="s">
        <v>3693</v>
      </c>
      <c r="I1087" t="s">
        <v>3687</v>
      </c>
      <c r="J1087">
        <f>VLOOKUP(F1087,[1]!china_towns_second__2[[Column1]:[Y]],3,FALSE)</f>
        <v>35.616878246938299</v>
      </c>
      <c r="K1087">
        <f>VLOOKUP(F1087,[1]!china_towns_second__2[[Column1]:[Y]],2,FALSE)</f>
        <v>117.52856199999999</v>
      </c>
      <c r="L1087" t="s">
        <v>5918</v>
      </c>
      <c r="M1087" t="str">
        <f>VLOOKUP(H1087,CHOOSE({1,2},Table17[Native],Table17[Name]),2,0)</f>
        <v>Sìshuĭ Xiàn</v>
      </c>
      <c r="N1087" s="15" t="str">
        <f>VLOOKUP(I1087,CHOOSE({1,2},Table17[Native],Table17[Name]),2,0)</f>
        <v>Jìníng Shì</v>
      </c>
      <c r="O1087" s="15" t="str">
        <f t="shared" si="32"/>
        <v>Quanlin Zhen (Jìníng Shì)</v>
      </c>
      <c r="P1087" s="15" t="str">
        <f t="shared" si="33"/>
        <v>Quanlin Zhen (Jìníng Shì)</v>
      </c>
    </row>
    <row r="1088" spans="1:16" hidden="1" x14ac:dyDescent="0.25">
      <c r="A1088" t="s">
        <v>1400</v>
      </c>
      <c r="B1088" t="str">
        <f>IF(COUNTIF(A:A,A1088)&gt;1,_xlfn.CONCAT(A1088," (",N1088,")"),A1088)</f>
        <v>Quánpū Zhèn</v>
      </c>
      <c r="C1088" t="str">
        <f>IF(COUNTIF(B:B,B1088)&gt;1,_xlfn.CONCAT(A1088," (",M1088,")"),B1088)</f>
        <v>Quánpū Zhèn</v>
      </c>
      <c r="D1088" t="s">
        <v>1401</v>
      </c>
      <c r="E1088" t="s">
        <v>13</v>
      </c>
      <c r="F1088" t="str">
        <f>_xlfn.CONCAT(D1088,", ",H1088,", ",I1088,", ","山东省")</f>
        <v>拳铺镇, 梁山县, 济宁市, 山东省</v>
      </c>
      <c r="G1088">
        <v>111714</v>
      </c>
      <c r="H1088" t="s">
        <v>3690</v>
      </c>
      <c r="I1088" t="s">
        <v>3687</v>
      </c>
      <c r="J1088">
        <f>VLOOKUP(F1088,[1]!china_towns_second__2[[Column1]:[Y]],3,FALSE)</f>
        <v>35.680501655378002</v>
      </c>
      <c r="K1088">
        <f>VLOOKUP(F1088,[1]!china_towns_second__2[[Column1]:[Y]],2,FALSE)</f>
        <v>116.16549240000001</v>
      </c>
      <c r="L1088" t="s">
        <v>5919</v>
      </c>
      <c r="M1088" t="str">
        <f>VLOOKUP(H1088,CHOOSE({1,2},Table17[Native],Table17[Name]),2,0)</f>
        <v>Liángshān Xiàn</v>
      </c>
      <c r="N1088" s="15" t="str">
        <f>VLOOKUP(I1088,CHOOSE({1,2},Table17[Native],Table17[Name]),2,0)</f>
        <v>Jìníng Shì</v>
      </c>
      <c r="O1088" s="15" t="str">
        <f t="shared" si="32"/>
        <v>Quanpu Zhen (Jìníng Shì)</v>
      </c>
      <c r="P1088" s="15" t="str">
        <f t="shared" si="33"/>
        <v>Quanpu Zhen (Jìníng Shì)</v>
      </c>
    </row>
    <row r="1089" spans="1:16" hidden="1" x14ac:dyDescent="0.25">
      <c r="A1089" t="s">
        <v>3221</v>
      </c>
      <c r="B1089" t="str">
        <f>IF(COUNTIF(A:A,A1089)&gt;1,_xlfn.CONCAT(A1089," (",N1089,")"),A1089)</f>
        <v>Quánshān Jiēdào</v>
      </c>
      <c r="C1089" t="str">
        <f>IF(COUNTIF(B:B,B1089)&gt;1,_xlfn.CONCAT(A1089," (",M1089,")"),B1089)</f>
        <v>Quánshān Jiēdào</v>
      </c>
      <c r="D1089" t="s">
        <v>3222</v>
      </c>
      <c r="E1089" t="s">
        <v>7</v>
      </c>
      <c r="F1089" t="str">
        <f>_xlfn.CONCAT(D1089,", ",H1089,", ",I1089,", ","山东省")</f>
        <v>泉山街道, 招远市, 烟台市, 山东省</v>
      </c>
      <c r="G1089">
        <v>45868</v>
      </c>
      <c r="H1089" t="s">
        <v>3781</v>
      </c>
      <c r="I1089" t="s">
        <v>3771</v>
      </c>
      <c r="J1089">
        <f>VLOOKUP(F1089,[1]!china_towns_second__2[[Column1]:[Y]],3,FALSE)</f>
        <v>37.318552879939702</v>
      </c>
      <c r="K1089">
        <f>VLOOKUP(F1089,[1]!china_towns_second__2[[Column1]:[Y]],2,FALSE)</f>
        <v>120.4116626</v>
      </c>
      <c r="L1089" t="s">
        <v>5920</v>
      </c>
      <c r="M1089" t="str">
        <f>VLOOKUP(H1089,CHOOSE({1,2},Table17[Native],Table17[Name]),2,0)</f>
        <v>Zhāoyuăn Shì</v>
      </c>
      <c r="N1089" s="15" t="str">
        <f>VLOOKUP(I1089,CHOOSE({1,2},Table17[Native],Table17[Name]),2,0)</f>
        <v>Yāntái Shì</v>
      </c>
      <c r="O1089" s="15" t="str">
        <f t="shared" si="32"/>
        <v>Quanshan Jiedao (Yāntái Shì)</v>
      </c>
      <c r="P1089" s="15" t="str">
        <f t="shared" si="33"/>
        <v>Quanshan Jiedao (Yāntái Shì)</v>
      </c>
    </row>
    <row r="1090" spans="1:16" hidden="1" x14ac:dyDescent="0.25">
      <c r="A1090" t="s">
        <v>1978</v>
      </c>
      <c r="B1090" t="str">
        <f>IF(COUNTIF(A:A,A1090)&gt;1,_xlfn.CONCAT(A1090," (",N1090,")"),A1090)</f>
        <v>Quányuán Zhèn</v>
      </c>
      <c r="C1090" t="str">
        <f>IF(COUNTIF(B:B,B1090)&gt;1,_xlfn.CONCAT(A1090," (",M1090,")"),B1090)</f>
        <v>Quányuán Zhèn</v>
      </c>
      <c r="D1090" t="s">
        <v>1979</v>
      </c>
      <c r="E1090" t="s">
        <v>13</v>
      </c>
      <c r="F1090" t="str">
        <f>_xlfn.CONCAT(D1090,", ",H1090,", ",I1090,", ","山东省")</f>
        <v>泉源镇, 郯城县, 临沂市, 山东省</v>
      </c>
      <c r="G1090">
        <v>45963</v>
      </c>
      <c r="H1090" t="s">
        <v>3720</v>
      </c>
      <c r="I1090" t="s">
        <v>3710</v>
      </c>
      <c r="J1090">
        <f>VLOOKUP(F1090,[1]!china_towns_second__2[[Column1]:[Y]],3,FALSE)</f>
        <v>34.735159513307501</v>
      </c>
      <c r="K1090">
        <f>VLOOKUP(F1090,[1]!china_towns_second__2[[Column1]:[Y]],2,FALSE)</f>
        <v>118.4524732</v>
      </c>
      <c r="L1090" t="s">
        <v>5921</v>
      </c>
      <c r="M1090" t="str">
        <f>VLOOKUP(H1090,CHOOSE({1,2},Table17[Native],Table17[Name]),2,0)</f>
        <v>Tánchéng Xiàn</v>
      </c>
      <c r="N1090" s="15" t="str">
        <f>VLOOKUP(I1090,CHOOSE({1,2},Table17[Native],Table17[Name]),2,0)</f>
        <v>Línyí Shì</v>
      </c>
      <c r="O1090" s="15" t="str">
        <f t="shared" ref="O1090:O1153" si="34">_xlfn.CONCAT(L1090," (",N1090,")")</f>
        <v>Quanyuan Zhen (Línyí Shì)</v>
      </c>
      <c r="P1090" s="15" t="str">
        <f t="shared" ref="P1090:P1153" si="35">IF(COUNTIF(O:O,O1090)&gt;1,_xlfn.CONCAT(L1090," (",M1090,")"),O1090)</f>
        <v>Quanyuan Zhen (Línyí Shì)</v>
      </c>
    </row>
    <row r="1091" spans="1:16" hidden="1" x14ac:dyDescent="0.25">
      <c r="A1091" t="s">
        <v>1980</v>
      </c>
      <c r="B1091" t="str">
        <f>IF(COUNTIF(A:A,A1091)&gt;1,_xlfn.CONCAT(A1091," (",N1091,")"),A1091)</f>
        <v>Quánzhuāng Zhèn</v>
      </c>
      <c r="C1091" t="str">
        <f>IF(COUNTIF(B:B,B1091)&gt;1,_xlfn.CONCAT(A1091," (",M1091,")"),B1091)</f>
        <v>Quánzhuāng Zhèn</v>
      </c>
      <c r="D1091" t="s">
        <v>1981</v>
      </c>
      <c r="E1091" t="s">
        <v>13</v>
      </c>
      <c r="F1091" t="str">
        <f>_xlfn.CONCAT(D1091,", ",H1091,", ",I1091,", ","山东省")</f>
        <v>泉庄镇, 沂水县, 临沂市, 山东省</v>
      </c>
      <c r="G1091">
        <v>28233</v>
      </c>
      <c r="H1091" t="s">
        <v>3722</v>
      </c>
      <c r="I1091" t="s">
        <v>3710</v>
      </c>
      <c r="J1091">
        <f>VLOOKUP(F1091,[1]!china_towns_second__2[[Column1]:[Y]],3,FALSE)</f>
        <v>35.9252705908265</v>
      </c>
      <c r="K1091">
        <f>VLOOKUP(F1091,[1]!china_towns_second__2[[Column1]:[Y]],2,FALSE)</f>
        <v>118.3884166</v>
      </c>
      <c r="L1091" t="s">
        <v>5922</v>
      </c>
      <c r="M1091" t="str">
        <f>VLOOKUP(H1091,CHOOSE({1,2},Table17[Native],Table17[Name]),2,0)</f>
        <v>Yíshuĭ Xiàn</v>
      </c>
      <c r="N1091" s="15" t="str">
        <f>VLOOKUP(I1091,CHOOSE({1,2},Table17[Native],Table17[Name]),2,0)</f>
        <v>Línyí Shì</v>
      </c>
      <c r="O1091" s="15" t="str">
        <f t="shared" si="34"/>
        <v>Quanzhuang Zhen (Línyí Shì)</v>
      </c>
      <c r="P1091" s="15" t="str">
        <f t="shared" si="35"/>
        <v>Quanzhuang Zhen (Línyí Shì)</v>
      </c>
    </row>
    <row r="1092" spans="1:16" hidden="1" x14ac:dyDescent="0.25">
      <c r="A1092" t="s">
        <v>1094</v>
      </c>
      <c r="B1092" t="str">
        <f>IF(COUNTIF(A:A,A1092)&gt;1,_xlfn.CONCAT(A1092," (",N1092,")"),A1092)</f>
        <v>Qŭdī Jiēdào</v>
      </c>
      <c r="C1092" t="str">
        <f>IF(COUNTIF(B:B,B1092)&gt;1,_xlfn.CONCAT(A1092," (",M1092,")"),B1092)</f>
        <v>Qŭdī Jiēdào</v>
      </c>
      <c r="D1092" t="s">
        <v>1095</v>
      </c>
      <c r="E1092" t="s">
        <v>7</v>
      </c>
      <c r="F1092" t="str">
        <f>_xlfn.CONCAT(D1092,", ",H1092,", ",I1092,", ","山东省")</f>
        <v>曲堤街道, 济阳区, 济南市, 山东省</v>
      </c>
      <c r="G1092">
        <v>68646</v>
      </c>
      <c r="H1092" t="s">
        <v>3677</v>
      </c>
      <c r="I1092" t="s">
        <v>3673</v>
      </c>
      <c r="J1092" t="e">
        <f>VLOOKUP(F1092,[1]!china_towns_second__2[[Column1]:[Y]],3,FALSE)</f>
        <v>#N/A</v>
      </c>
      <c r="K1092" t="e">
        <f>VLOOKUP(F1092,[1]!china_towns_second__2[[Column1]:[Y]],2,FALSE)</f>
        <v>#N/A</v>
      </c>
      <c r="L1092" t="s">
        <v>5923</v>
      </c>
      <c r="M1092" t="str">
        <f>VLOOKUP(H1092,CHOOSE({1,2},Table17[Native],Table17[Name]),2,0)</f>
        <v>Jìyáng Qū</v>
      </c>
      <c r="N1092" s="15" t="str">
        <f>VLOOKUP(I1092,CHOOSE({1,2},Table17[Native],Table17[Name]),2,0)</f>
        <v>Jìnán Shì</v>
      </c>
      <c r="O1092" s="15" t="str">
        <f t="shared" si="34"/>
        <v>Qudi Jiedao (Jìnán Shì)</v>
      </c>
      <c r="P1092" s="15" t="str">
        <f t="shared" si="35"/>
        <v>Qudi Jiedao (Jìnán Shì)</v>
      </c>
    </row>
    <row r="1093" spans="1:16" hidden="1" x14ac:dyDescent="0.25">
      <c r="A1093" t="s">
        <v>789</v>
      </c>
      <c r="B1093" t="str">
        <f>IF(COUNTIF(A:A,A1093)&gt;1,_xlfn.CONCAT(A1093," (",N1093,")"),A1093)</f>
        <v>Răngù Zhèn</v>
      </c>
      <c r="C1093" t="str">
        <f>IF(COUNTIF(B:B,B1093)&gt;1,_xlfn.CONCAT(A1093," (",M1093,")"),B1093)</f>
        <v>Răngù Zhèn</v>
      </c>
      <c r="D1093" t="s">
        <v>790</v>
      </c>
      <c r="E1093" t="s">
        <v>13</v>
      </c>
      <c r="F1093" t="str">
        <f>_xlfn.CONCAT(D1093,", ",H1093,", ",I1093,", ","山东省")</f>
        <v>冉固镇, 定陶区, 菏泽市, 山东省</v>
      </c>
      <c r="G1093">
        <v>75263</v>
      </c>
      <c r="H1093" t="s">
        <v>3665</v>
      </c>
      <c r="I1093" t="s">
        <v>3662</v>
      </c>
      <c r="J1093">
        <f>VLOOKUP(F1093,[1]!china_towns_second__2[[Column1]:[Y]],3,FALSE)</f>
        <v>35.00665320857</v>
      </c>
      <c r="K1093">
        <f>VLOOKUP(F1093,[1]!china_towns_second__2[[Column1]:[Y]],2,FALSE)</f>
        <v>115.70016149999999</v>
      </c>
      <c r="L1093" t="s">
        <v>5924</v>
      </c>
      <c r="M1093" t="str">
        <f>VLOOKUP(H1093,CHOOSE({1,2},Table17[Native],Table17[Name]),2,0)</f>
        <v>Dìngtáo Qū</v>
      </c>
      <c r="N1093" s="15" t="str">
        <f>VLOOKUP(I1093,CHOOSE({1,2},Table17[Native],Table17[Name]),2,0)</f>
        <v>Hézé Shì</v>
      </c>
      <c r="O1093" s="15" t="str">
        <f t="shared" si="34"/>
        <v>Rangu Zhen (Hézé Shì)</v>
      </c>
      <c r="P1093" s="15" t="str">
        <f t="shared" si="35"/>
        <v>Rangu Zhen (Hézé Shì)</v>
      </c>
    </row>
    <row r="1094" spans="1:16" hidden="1" x14ac:dyDescent="0.25">
      <c r="A1094" t="s">
        <v>1096</v>
      </c>
      <c r="B1094" t="str">
        <f>IF(COUNTIF(A:A,A1094)&gt;1,_xlfn.CONCAT(A1094," (",N1094,")"),A1094)</f>
        <v>Rénfēng Zhèn</v>
      </c>
      <c r="C1094" t="str">
        <f>IF(COUNTIF(B:B,B1094)&gt;1,_xlfn.CONCAT(A1094," (",M1094,")"),B1094)</f>
        <v>Rénfēng Zhèn</v>
      </c>
      <c r="D1094" t="s">
        <v>1097</v>
      </c>
      <c r="E1094" t="s">
        <v>13</v>
      </c>
      <c r="F1094" t="str">
        <f>_xlfn.CONCAT(D1094,", ",H1094,", ",I1094,", ","山东省")</f>
        <v>仁风镇, 济阳区, 济南市, 山东省</v>
      </c>
      <c r="G1094">
        <v>56853</v>
      </c>
      <c r="H1094" t="s">
        <v>3677</v>
      </c>
      <c r="I1094" t="s">
        <v>3673</v>
      </c>
      <c r="J1094">
        <f>VLOOKUP(F1094,[1]!china_towns_second__2[[Column1]:[Y]],3,FALSE)</f>
        <v>37.148462983999799</v>
      </c>
      <c r="K1094">
        <f>VLOOKUP(F1094,[1]!china_towns_second__2[[Column1]:[Y]],2,FALSE)</f>
        <v>117.38853779999999</v>
      </c>
      <c r="L1094" t="s">
        <v>5925</v>
      </c>
      <c r="M1094" t="str">
        <f>VLOOKUP(H1094,CHOOSE({1,2},Table17[Native],Table17[Name]),2,0)</f>
        <v>Jìyáng Qū</v>
      </c>
      <c r="N1094" s="15" t="str">
        <f>VLOOKUP(I1094,CHOOSE({1,2},Table17[Native],Table17[Name]),2,0)</f>
        <v>Jìnán Shì</v>
      </c>
      <c r="O1094" s="15" t="str">
        <f t="shared" si="34"/>
        <v>Renfeng Zhen (Jìnán Shì)</v>
      </c>
      <c r="P1094" s="15" t="str">
        <f t="shared" si="35"/>
        <v>Renfeng Zhen (Jìnán Shì)</v>
      </c>
    </row>
    <row r="1095" spans="1:16" hidden="1" x14ac:dyDescent="0.25">
      <c r="A1095" t="s">
        <v>1678</v>
      </c>
      <c r="B1095" t="str">
        <f>IF(COUNTIF(A:A,A1095)&gt;1,_xlfn.CONCAT(A1095," (",N1095,")"),A1095)</f>
        <v>Rénhé Jiēdào</v>
      </c>
      <c r="C1095" t="str">
        <f>IF(COUNTIF(B:B,B1095)&gt;1,_xlfn.CONCAT(A1095," (",M1095,")"),B1095)</f>
        <v>Rénhé Jiēdào</v>
      </c>
      <c r="D1095" t="s">
        <v>1679</v>
      </c>
      <c r="E1095" t="s">
        <v>7</v>
      </c>
      <c r="F1095" t="str">
        <f>_xlfn.CONCAT(D1095,", ",H1095,", ",I1095,", ","山东省")</f>
        <v>人和街道, 高唐县, 聊城市, 山东省</v>
      </c>
      <c r="G1095">
        <v>52949</v>
      </c>
      <c r="H1095" t="s">
        <v>3704</v>
      </c>
      <c r="I1095" t="s">
        <v>3700</v>
      </c>
      <c r="J1095">
        <f>VLOOKUP(F1095,[1]!china_towns_second__2[[Column1]:[Y]],3,FALSE)</f>
        <v>36.882049653024303</v>
      </c>
      <c r="K1095">
        <f>VLOOKUP(F1095,[1]!china_towns_second__2[[Column1]:[Y]],2,FALSE)</f>
        <v>116.265728</v>
      </c>
      <c r="L1095" t="s">
        <v>5926</v>
      </c>
      <c r="M1095" t="str">
        <f>VLOOKUP(H1095,CHOOSE({1,2},Table17[Native],Table17[Name]),2,0)</f>
        <v>Gāotáng Xiàn</v>
      </c>
      <c r="N1095" s="15" t="str">
        <f>VLOOKUP(I1095,CHOOSE({1,2},Table17[Native],Table17[Name]),2,0)</f>
        <v>Liáochéng Shì</v>
      </c>
      <c r="O1095" s="15" t="str">
        <f t="shared" si="34"/>
        <v>Renhe Jiedao (Liáochéng Shì)</v>
      </c>
      <c r="P1095" s="15" t="str">
        <f t="shared" si="35"/>
        <v>Renhe Jiedao (Liáochéng Shì)</v>
      </c>
    </row>
    <row r="1096" spans="1:16" hidden="1" x14ac:dyDescent="0.25">
      <c r="A1096" t="s">
        <v>2968</v>
      </c>
      <c r="B1096" t="str">
        <f>IF(COUNTIF(A:A,A1096)&gt;1,_xlfn.CONCAT(A1096," (",N1096,")"),A1096)</f>
        <v>Rénhé Zhèn</v>
      </c>
      <c r="C1096" t="str">
        <f>IF(COUNTIF(B:B,B1096)&gt;1,_xlfn.CONCAT(A1096," (",M1096,")"),B1096)</f>
        <v>Rénhé Zhèn</v>
      </c>
      <c r="D1096" t="s">
        <v>2969</v>
      </c>
      <c r="E1096" t="s">
        <v>13</v>
      </c>
      <c r="F1096" t="str">
        <f>_xlfn.CONCAT(D1096,", ",H1096,", ",I1096,", ","山东省")</f>
        <v>人和镇, 荣成市, 威海市, 山东省</v>
      </c>
      <c r="G1096">
        <v>67868</v>
      </c>
      <c r="H1096" t="s">
        <v>3767</v>
      </c>
      <c r="I1096" t="s">
        <v>3765</v>
      </c>
      <c r="J1096">
        <f>VLOOKUP(F1096,[1]!china_towns_second__2[[Column1]:[Y]],3,FALSE)</f>
        <v>36.873802459661697</v>
      </c>
      <c r="K1096">
        <f>VLOOKUP(F1096,[1]!china_towns_second__2[[Column1]:[Y]],2,FALSE)</f>
        <v>122.27235450000001</v>
      </c>
      <c r="L1096" t="s">
        <v>5927</v>
      </c>
      <c r="M1096" t="str">
        <f>VLOOKUP(H1096,CHOOSE({1,2},Table17[Native],Table17[Name]),2,0)</f>
        <v>Róngchéng Shì</v>
      </c>
      <c r="N1096" s="15" t="str">
        <f>VLOOKUP(I1096,CHOOSE({1,2},Table17[Native],Table17[Name]),2,0)</f>
        <v>Wēihăi Shì</v>
      </c>
      <c r="O1096" s="15" t="str">
        <f t="shared" si="34"/>
        <v>Renhe Zhen (Wēihăi Shì)</v>
      </c>
      <c r="P1096" s="15" t="str">
        <f t="shared" si="35"/>
        <v>Renhe Zhen (Wēihăi Shì)</v>
      </c>
    </row>
    <row r="1097" spans="1:16" hidden="1" x14ac:dyDescent="0.25">
      <c r="A1097" t="s">
        <v>352</v>
      </c>
      <c r="B1097" t="str">
        <f>IF(COUNTIF(A:A,A1097)&gt;1,_xlfn.CONCAT(A1097," (",N1097,")"),A1097)</f>
        <v>Rénlĭjí Zhèn</v>
      </c>
      <c r="C1097" t="str">
        <f>IF(COUNTIF(B:B,B1097)&gt;1,_xlfn.CONCAT(A1097," (",M1097,")"),B1097)</f>
        <v>Rénlĭjí Zhèn</v>
      </c>
      <c r="D1097" t="s">
        <v>353</v>
      </c>
      <c r="E1097" t="s">
        <v>13</v>
      </c>
      <c r="F1097" t="str">
        <f>_xlfn.CONCAT(D1097,", ",H1097,", ",I1097,", ","山东省")</f>
        <v>仁里集镇, 齐河县, 德州市, 山东省</v>
      </c>
      <c r="G1097">
        <v>47790</v>
      </c>
      <c r="H1097" t="s">
        <v>3649</v>
      </c>
      <c r="I1097" t="s">
        <v>3642</v>
      </c>
      <c r="J1097">
        <f>VLOOKUP(F1097,[1]!china_towns_second__2[[Column1]:[Y]],3,FALSE)</f>
        <v>36.542875454547499</v>
      </c>
      <c r="K1097">
        <f>VLOOKUP(F1097,[1]!china_towns_second__2[[Column1]:[Y]],2,FALSE)</f>
        <v>116.46310680000001</v>
      </c>
      <c r="L1097" t="s">
        <v>5928</v>
      </c>
      <c r="M1097" t="str">
        <f>VLOOKUP(H1097,CHOOSE({1,2},Table17[Native],Table17[Name]),2,0)</f>
        <v>Qíhé Xiàn</v>
      </c>
      <c r="N1097" s="15" t="str">
        <f>VLOOKUP(I1097,CHOOSE({1,2},Table17[Native],Table17[Name]),2,0)</f>
        <v>Dézhōu Shì</v>
      </c>
      <c r="O1097" s="15" t="str">
        <f t="shared" si="34"/>
        <v>Renliji Zhen (Dézhōu Shì)</v>
      </c>
      <c r="P1097" s="15" t="str">
        <f t="shared" si="35"/>
        <v>Renliji Zhen (Dézhōu Shì)</v>
      </c>
    </row>
    <row r="1098" spans="1:16" hidden="1" x14ac:dyDescent="0.25">
      <c r="A1098" t="s">
        <v>2286</v>
      </c>
      <c r="B1098" t="str">
        <f>IF(COUNTIF(A:A,A1098)&gt;1,_xlfn.CONCAT(A1098," (",N1098,")"),A1098)</f>
        <v>Rénzhào Zhèn</v>
      </c>
      <c r="C1098" t="str">
        <f>IF(COUNTIF(B:B,B1098)&gt;1,_xlfn.CONCAT(A1098," (",M1098,")"),B1098)</f>
        <v>Rénzhào Zhèn</v>
      </c>
      <c r="D1098" t="s">
        <v>2287</v>
      </c>
      <c r="E1098" t="s">
        <v>13</v>
      </c>
      <c r="F1098" t="str">
        <f>_xlfn.CONCAT(D1098,", ",H1098,", ",I1098,", ","山东省")</f>
        <v>仁兆镇, 平度市, 青岛市, 山东省</v>
      </c>
      <c r="G1098">
        <v>64569</v>
      </c>
      <c r="H1098" t="s">
        <v>3732</v>
      </c>
      <c r="I1098" t="s">
        <v>3724</v>
      </c>
      <c r="J1098">
        <f>VLOOKUP(F1098,[1]!china_towns_second__2[[Column1]:[Y]],3,FALSE)</f>
        <v>36.651208390913403</v>
      </c>
      <c r="K1098">
        <f>VLOOKUP(F1098,[1]!china_towns_second__2[[Column1]:[Y]],2,FALSE)</f>
        <v>120.20173459999999</v>
      </c>
      <c r="L1098" t="s">
        <v>5929</v>
      </c>
      <c r="M1098" t="str">
        <f>VLOOKUP(H1098,CHOOSE({1,2},Table17[Native],Table17[Name]),2,0)</f>
        <v>Píngdù Shì</v>
      </c>
      <c r="N1098" s="15" t="str">
        <f>VLOOKUP(I1098,CHOOSE({1,2},Table17[Native],Table17[Name]),2,0)</f>
        <v>Qīngdăo Shì</v>
      </c>
      <c r="O1098" s="15" t="str">
        <f t="shared" si="34"/>
        <v>Renzhao Zhen (Qīngdăo Shì)</v>
      </c>
      <c r="P1098" s="15" t="str">
        <f t="shared" si="35"/>
        <v>Renzhao Zhen (Qīngdăo Shì)</v>
      </c>
    </row>
    <row r="1099" spans="1:16" hidden="1" x14ac:dyDescent="0.25">
      <c r="A1099" t="s">
        <v>2462</v>
      </c>
      <c r="B1099" t="str">
        <f>IF(COUNTIF(A:A,A1099)&gt;1,_xlfn.CONCAT(A1099," (",N1099,")"),A1099)</f>
        <v>Rìzhào Jiēdào</v>
      </c>
      <c r="C1099" t="str">
        <f>IF(COUNTIF(B:B,B1099)&gt;1,_xlfn.CONCAT(A1099," (",M1099,")"),B1099)</f>
        <v>Rìzhào Jiēdào</v>
      </c>
      <c r="D1099" t="s">
        <v>2463</v>
      </c>
      <c r="E1099" t="s">
        <v>7</v>
      </c>
      <c r="F1099" t="str">
        <f>_xlfn.CONCAT(D1099,", ",H1099,", ",I1099,", ","山东省")</f>
        <v>日照街道, 东港区, 日照市, 山东省</v>
      </c>
      <c r="G1099">
        <v>221447</v>
      </c>
      <c r="H1099" t="s">
        <v>3737</v>
      </c>
      <c r="I1099" t="s">
        <v>3736</v>
      </c>
      <c r="J1099">
        <f>VLOOKUP(F1099,[1]!china_towns_second__2[[Column1]:[Y]],3,FALSE)</f>
        <v>35.452146993263298</v>
      </c>
      <c r="K1099">
        <f>VLOOKUP(F1099,[1]!china_towns_second__2[[Column1]:[Y]],2,FALSE)</f>
        <v>119.4428266</v>
      </c>
      <c r="L1099" t="s">
        <v>5930</v>
      </c>
      <c r="M1099" t="str">
        <f>VLOOKUP(H1099,CHOOSE({1,2},Table17[Native],Table17[Name]),2,0)</f>
        <v>Dōnggăng Qū</v>
      </c>
      <c r="N1099" s="15" t="str">
        <f>VLOOKUP(I1099,CHOOSE({1,2},Table17[Native],Table17[Name]),2,0)</f>
        <v>Rìzhào Shì</v>
      </c>
      <c r="O1099" s="15" t="str">
        <f t="shared" si="34"/>
        <v>Rizhao Jiedao (Rìzhào Shì)</v>
      </c>
      <c r="P1099" s="15" t="str">
        <f t="shared" si="35"/>
        <v>Rizhao Jiedao (Rìzhào Shì)</v>
      </c>
    </row>
    <row r="1100" spans="1:16" hidden="1" x14ac:dyDescent="0.25">
      <c r="A1100" t="s">
        <v>2288</v>
      </c>
      <c r="B1100" t="str">
        <f>IF(COUNTIF(A:A,A1100)&gt;1,_xlfn.CONCAT(A1100," (",N1100,")"),A1100)</f>
        <v>Rìzhuāng Zhèn</v>
      </c>
      <c r="C1100" t="str">
        <f>IF(COUNTIF(B:B,B1100)&gt;1,_xlfn.CONCAT(A1100," (",M1100,")"),B1100)</f>
        <v>Rìzhuāng Zhèn</v>
      </c>
      <c r="D1100" t="s">
        <v>2289</v>
      </c>
      <c r="E1100" t="s">
        <v>13</v>
      </c>
      <c r="F1100" t="str">
        <f>_xlfn.CONCAT(D1100,", ",H1100,", ",I1100,", ","山东省")</f>
        <v>日庄镇, 莱西市, 青岛市, 山东省</v>
      </c>
      <c r="G1100">
        <v>43758</v>
      </c>
      <c r="H1100" t="s">
        <v>3729</v>
      </c>
      <c r="I1100" t="s">
        <v>3724</v>
      </c>
      <c r="J1100">
        <f>VLOOKUP(F1100,[1]!china_towns_second__2[[Column1]:[Y]],3,FALSE)</f>
        <v>36.948556800791899</v>
      </c>
      <c r="K1100">
        <f>VLOOKUP(F1100,[1]!china_towns_second__2[[Column1]:[Y]],2,FALSE)</f>
        <v>120.3582171</v>
      </c>
      <c r="L1100" t="s">
        <v>5931</v>
      </c>
      <c r="M1100" t="str">
        <f>VLOOKUP(H1100,CHOOSE({1,2},Table17[Native],Table17[Name]),2,0)</f>
        <v>Láixī Shì</v>
      </c>
      <c r="N1100" s="15" t="str">
        <f>VLOOKUP(I1100,CHOOSE({1,2},Table17[Native],Table17[Name]),2,0)</f>
        <v>Qīngdăo Shì</v>
      </c>
      <c r="O1100" s="15" t="str">
        <f t="shared" si="34"/>
        <v>Rizhuang Zhen (Qīngdăo Shì)</v>
      </c>
      <c r="P1100" s="15" t="str">
        <f t="shared" si="35"/>
        <v>Rizhuang Zhen (Qīngdăo Shì)</v>
      </c>
    </row>
    <row r="1101" spans="1:16" hidden="1" x14ac:dyDescent="0.25">
      <c r="A1101" t="s">
        <v>2970</v>
      </c>
      <c r="B1101" t="str">
        <f>IF(COUNTIF(A:A,A1101)&gt;1,_xlfn.CONCAT(A1101," (",N1101,")"),A1101)</f>
        <v>Rŭshānkŏu Zhèn</v>
      </c>
      <c r="C1101" t="str">
        <f>IF(COUNTIF(B:B,B1101)&gt;1,_xlfn.CONCAT(A1101," (",M1101,")"),B1101)</f>
        <v>Rŭshānkŏu Zhèn</v>
      </c>
      <c r="D1101" t="s">
        <v>2971</v>
      </c>
      <c r="E1101" t="s">
        <v>13</v>
      </c>
      <c r="F1101" t="str">
        <f>_xlfn.CONCAT(D1101,", ",H1101,", ",I1101,", ","山东省")</f>
        <v>乳山口镇, 乳山市, 威海市, 山东省</v>
      </c>
      <c r="G1101">
        <v>31986</v>
      </c>
      <c r="H1101" t="s">
        <v>3768</v>
      </c>
      <c r="I1101" t="s">
        <v>3765</v>
      </c>
      <c r="J1101">
        <f>VLOOKUP(F1101,[1]!china_towns_second__2[[Column1]:[Y]],3,FALSE)</f>
        <v>36.848962734217899</v>
      </c>
      <c r="K1101">
        <f>VLOOKUP(F1101,[1]!china_towns_second__2[[Column1]:[Y]],2,FALSE)</f>
        <v>121.5198149</v>
      </c>
      <c r="L1101" t="s">
        <v>5932</v>
      </c>
      <c r="M1101" t="str">
        <f>VLOOKUP(H1101,CHOOSE({1,2},Table17[Native],Table17[Name]),2,0)</f>
        <v>Rŭshān Shì</v>
      </c>
      <c r="N1101" s="15" t="str">
        <f>VLOOKUP(I1101,CHOOSE({1,2},Table17[Native],Table17[Name]),2,0)</f>
        <v>Wēihăi Shì</v>
      </c>
      <c r="O1101" s="15" t="str">
        <f t="shared" si="34"/>
        <v>Rushankou Zhen (Wēihăi Shì)</v>
      </c>
      <c r="P1101" s="15" t="str">
        <f t="shared" si="35"/>
        <v>Rushankou Zhen (Wēihăi Shì)</v>
      </c>
    </row>
    <row r="1102" spans="1:16" hidden="1" x14ac:dyDescent="0.25">
      <c r="A1102" t="s">
        <v>2972</v>
      </c>
      <c r="B1102" t="str">
        <f>IF(COUNTIF(A:A,A1102)&gt;1,_xlfn.CONCAT(A1102," (",N1102,")"),A1102)</f>
        <v>Rŭshānzhài Zhèn</v>
      </c>
      <c r="C1102" t="str">
        <f>IF(COUNTIF(B:B,B1102)&gt;1,_xlfn.CONCAT(A1102," (",M1102,")"),B1102)</f>
        <v>Rŭshānzhài Zhèn</v>
      </c>
      <c r="D1102" t="s">
        <v>2973</v>
      </c>
      <c r="E1102" t="s">
        <v>13</v>
      </c>
      <c r="F1102" t="str">
        <f>_xlfn.CONCAT(D1102,", ",H1102,", ",I1102,", ","山东省")</f>
        <v>乳山寨镇, 乳山市, 威海市, 山东省</v>
      </c>
      <c r="G1102">
        <v>30699</v>
      </c>
      <c r="H1102" t="s">
        <v>3768</v>
      </c>
      <c r="I1102" t="s">
        <v>3765</v>
      </c>
      <c r="J1102">
        <f>VLOOKUP(F1102,[1]!china_towns_second__2[[Column1]:[Y]],3,FALSE)</f>
        <v>36.864591394151901</v>
      </c>
      <c r="K1102">
        <f>VLOOKUP(F1102,[1]!china_towns_second__2[[Column1]:[Y]],2,FALSE)</f>
        <v>121.4161593</v>
      </c>
      <c r="L1102" t="s">
        <v>5933</v>
      </c>
      <c r="M1102" t="str">
        <f>VLOOKUP(H1102,CHOOSE({1,2},Table17[Native],Table17[Name]),2,0)</f>
        <v>Rŭshān Shì</v>
      </c>
      <c r="N1102" s="15" t="str">
        <f>VLOOKUP(I1102,CHOOSE({1,2},Table17[Native],Table17[Name]),2,0)</f>
        <v>Wēihăi Shì</v>
      </c>
      <c r="O1102" s="15" t="str">
        <f t="shared" si="34"/>
        <v>Rushanzhai Zhen (Wēihăi Shì)</v>
      </c>
      <c r="P1102" s="15" t="str">
        <f t="shared" si="35"/>
        <v>Rushanzhai Zhen (Wēihăi Shì)</v>
      </c>
    </row>
    <row r="1103" spans="1:16" hidden="1" x14ac:dyDescent="0.25">
      <c r="A1103" t="s">
        <v>791</v>
      </c>
      <c r="B1103" t="str">
        <f>IF(COUNTIF(A:A,A1103)&gt;1,_xlfn.CONCAT(A1103," (",N1103,")"),A1103)</f>
        <v>Sānchūnjí Zhèn</v>
      </c>
      <c r="C1103" t="str">
        <f>IF(COUNTIF(B:B,B1103)&gt;1,_xlfn.CONCAT(A1103," (",M1103,")"),B1103)</f>
        <v>Sānchūnjí Zhèn</v>
      </c>
      <c r="D1103" t="s">
        <v>792</v>
      </c>
      <c r="E1103" t="s">
        <v>13</v>
      </c>
      <c r="F1103" t="str">
        <f>_xlfn.CONCAT(D1103,", ",H1103,", ",I1103,", ","山东省")</f>
        <v>三春集镇, 东明县, 菏泽市, 山东省</v>
      </c>
      <c r="G1103">
        <v>36692</v>
      </c>
      <c r="H1103" t="s">
        <v>3666</v>
      </c>
      <c r="I1103" t="s">
        <v>3662</v>
      </c>
      <c r="J1103">
        <f>VLOOKUP(F1103,[1]!china_towns_second__2[[Column1]:[Y]],3,FALSE)</f>
        <v>35.032894546098603</v>
      </c>
      <c r="K1103">
        <f>VLOOKUP(F1103,[1]!china_towns_second__2[[Column1]:[Y]],2,FALSE)</f>
        <v>114.9891976</v>
      </c>
      <c r="L1103" t="s">
        <v>5934</v>
      </c>
      <c r="M1103" t="str">
        <f>VLOOKUP(H1103,CHOOSE({1,2},Table17[Native],Table17[Name]),2,0)</f>
        <v>Dōngmíng Xiàn</v>
      </c>
      <c r="N1103" s="15" t="str">
        <f>VLOOKUP(I1103,CHOOSE({1,2},Table17[Native],Table17[Name]),2,0)</f>
        <v>Hézé Shì</v>
      </c>
      <c r="O1103" s="15" t="str">
        <f t="shared" si="34"/>
        <v>Sanchunji Zhen (Hézé Shì)</v>
      </c>
      <c r="P1103" s="15" t="str">
        <f t="shared" si="35"/>
        <v>Sanchunji Zhen (Hézé Shì)</v>
      </c>
    </row>
    <row r="1104" spans="1:16" hidden="1" x14ac:dyDescent="0.25">
      <c r="A1104" t="s">
        <v>1680</v>
      </c>
      <c r="B1104" t="str">
        <f>IF(COUNTIF(A:A,A1104)&gt;1,_xlfn.CONCAT(A1104," (",N1104,")"),A1104)</f>
        <v>Sāng'ā Zhèn</v>
      </c>
      <c r="C1104" t="str">
        <f>IF(COUNTIF(B:B,B1104)&gt;1,_xlfn.CONCAT(A1104," (",M1104,")"),B1104)</f>
        <v>Sāng'ā Zhèn</v>
      </c>
      <c r="D1104" t="s">
        <v>1681</v>
      </c>
      <c r="E1104" t="s">
        <v>13</v>
      </c>
      <c r="F1104" t="str">
        <f>_xlfn.CONCAT(D1104,", ",H1104,", ",I1104,", ","山东省")</f>
        <v>桑阿镇, 冠县, 聊城市, 山东省</v>
      </c>
      <c r="G1104">
        <v>60484</v>
      </c>
      <c r="H1104" t="s">
        <v>3705</v>
      </c>
      <c r="I1104" t="s">
        <v>3700</v>
      </c>
      <c r="J1104">
        <f>VLOOKUP(F1104,[1]!china_towns_second__2[[Column1]:[Y]],3,FALSE)</f>
        <v>36.4272636493886</v>
      </c>
      <c r="K1104">
        <f>VLOOKUP(F1104,[1]!china_towns_second__2[[Column1]:[Y]],2,FALSE)</f>
        <v>115.5779435</v>
      </c>
      <c r="L1104" t="s">
        <v>5935</v>
      </c>
      <c r="M1104" t="str">
        <f>VLOOKUP(H1104,CHOOSE({1,2},Table17[Native],Table17[Name]),2,0)</f>
        <v>Guān Xiàn</v>
      </c>
      <c r="N1104" s="15" t="str">
        <f>VLOOKUP(I1104,CHOOSE({1,2},Table17[Native],Table17[Name]),2,0)</f>
        <v>Liáochéng Shì</v>
      </c>
      <c r="O1104" s="15" t="str">
        <f t="shared" si="34"/>
        <v>Sang'a Zhen (Liáochéng Shì)</v>
      </c>
      <c r="P1104" s="15" t="str">
        <f t="shared" si="35"/>
        <v>Sang'a Zhen (Liáochéng Shì)</v>
      </c>
    </row>
    <row r="1105" spans="1:16" hidden="1" x14ac:dyDescent="0.25">
      <c r="A1105" t="s">
        <v>3417</v>
      </c>
      <c r="B1105" t="str">
        <f>IF(COUNTIF(A:A,A1105)&gt;1,_xlfn.CONCAT(A1105," (",N1105,")"),A1105)</f>
        <v>Sāngcūn Zhèn</v>
      </c>
      <c r="C1105" t="str">
        <f>IF(COUNTIF(B:B,B1105)&gt;1,_xlfn.CONCAT(A1105," (",M1105,")"),B1105)</f>
        <v>Sāngcūn Zhèn</v>
      </c>
      <c r="D1105" t="s">
        <v>3418</v>
      </c>
      <c r="E1105" t="s">
        <v>13</v>
      </c>
      <c r="F1105" t="str">
        <f>_xlfn.CONCAT(D1105,", ",H1105,", ",I1105,", ","山东省")</f>
        <v>桑村镇, 山亭区, 枣庄市, 山东省</v>
      </c>
      <c r="G1105">
        <v>56551</v>
      </c>
      <c r="H1105" t="s">
        <v>3785</v>
      </c>
      <c r="I1105" t="s">
        <v>3784</v>
      </c>
      <c r="J1105">
        <f>VLOOKUP(F1105,[1]!china_towns_second__2[[Column1]:[Y]],3,FALSE)</f>
        <v>35.093024220728303</v>
      </c>
      <c r="K1105">
        <f>VLOOKUP(F1105,[1]!china_towns_second__2[[Column1]:[Y]],2,FALSE)</f>
        <v>117.3413745</v>
      </c>
      <c r="L1105" t="s">
        <v>5936</v>
      </c>
      <c r="M1105" t="str">
        <f>VLOOKUP(H1105,CHOOSE({1,2},Table17[Native],Table17[Name]),2,0)</f>
        <v>Shāntíng Qū</v>
      </c>
      <c r="N1105" s="15" t="str">
        <f>VLOOKUP(I1105,CHOOSE({1,2},Table17[Native],Table17[Name]),2,0)</f>
        <v>Zăozhuāng Shì</v>
      </c>
      <c r="O1105" s="15" t="str">
        <f t="shared" si="34"/>
        <v>Sangcun Zhen (Zăozhuāng Shì)</v>
      </c>
      <c r="P1105" s="15" t="str">
        <f t="shared" si="35"/>
        <v>Sangcun Zhen (Zăozhuāng Shì)</v>
      </c>
    </row>
    <row r="1106" spans="1:16" hidden="1" x14ac:dyDescent="0.25">
      <c r="A1106" t="s">
        <v>133</v>
      </c>
      <c r="B1106" t="str">
        <f>IF(COUNTIF(A:A,A1106)&gt;1,_xlfn.CONCAT(A1106," (",N1106,")"),A1106)</f>
        <v>Sāngluòshù Zhèn</v>
      </c>
      <c r="C1106" t="str">
        <f>IF(COUNTIF(B:B,B1106)&gt;1,_xlfn.CONCAT(A1106," (",M1106,")"),B1106)</f>
        <v>Sāngluòshù Zhèn</v>
      </c>
      <c r="D1106" t="s">
        <v>134</v>
      </c>
      <c r="E1106" t="s">
        <v>13</v>
      </c>
      <c r="F1106" t="str">
        <f>_xlfn.CONCAT(D1106,", ",H1106,", ",I1106,", ","山东省")</f>
        <v>桑落墅镇, 惠民县, 滨州市, 山东省</v>
      </c>
      <c r="G1106">
        <v>25292</v>
      </c>
      <c r="H1106" t="s">
        <v>3635</v>
      </c>
      <c r="I1106" t="s">
        <v>3630</v>
      </c>
      <c r="J1106">
        <f>VLOOKUP(F1106,[1]!china_towns_second__2[[Column1]:[Y]],3,FALSE)</f>
        <v>37.481393720825402</v>
      </c>
      <c r="K1106">
        <f>VLOOKUP(F1106,[1]!china_towns_second__2[[Column1]:[Y]],2,FALSE)</f>
        <v>117.73925010000001</v>
      </c>
      <c r="L1106" t="s">
        <v>5937</v>
      </c>
      <c r="M1106" t="str">
        <f>VLOOKUP(H1106,CHOOSE({1,2},Table17[Native],Table17[Name]),2,0)</f>
        <v>Huìmín Xiàn</v>
      </c>
      <c r="N1106" s="15" t="str">
        <f>VLOOKUP(I1106,CHOOSE({1,2},Table17[Native],Table17[Name]),2,0)</f>
        <v>Bīnzhōu Shì</v>
      </c>
      <c r="O1106" s="15" t="str">
        <f t="shared" si="34"/>
        <v>Sangluoshu Zhen (Bīnzhōu Shì)</v>
      </c>
      <c r="P1106" s="15" t="str">
        <f t="shared" si="35"/>
        <v>Sangluoshu Zhen (Bīnzhōu Shì)</v>
      </c>
    </row>
    <row r="1107" spans="1:16" hidden="1" x14ac:dyDescent="0.25">
      <c r="A1107" t="s">
        <v>2464</v>
      </c>
      <c r="B1107" t="str">
        <f>IF(COUNTIF(A:A,A1107)&gt;1,_xlfn.CONCAT(A1107," (",N1107,")"),A1107)</f>
        <v>Sāngyuán Zhèn</v>
      </c>
      <c r="C1107" t="str">
        <f>IF(COUNTIF(B:B,B1107)&gt;1,_xlfn.CONCAT(A1107," (",M1107,")"),B1107)</f>
        <v>Sāngyuán Zhèn</v>
      </c>
      <c r="D1107" t="s">
        <v>2465</v>
      </c>
      <c r="E1107" t="s">
        <v>13</v>
      </c>
      <c r="F1107" t="str">
        <f>_xlfn.CONCAT(D1107,", ",H1107,", ",I1107,", ","山东省")</f>
        <v>桑园镇, 莒县, 日照市, 山东省</v>
      </c>
      <c r="G1107">
        <v>45160</v>
      </c>
      <c r="H1107" t="s">
        <v>3739</v>
      </c>
      <c r="I1107" t="s">
        <v>3736</v>
      </c>
      <c r="J1107">
        <f>VLOOKUP(F1107,[1]!china_towns_second__2[[Column1]:[Y]],3,FALSE)</f>
        <v>35.683927951677099</v>
      </c>
      <c r="K1107">
        <f>VLOOKUP(F1107,[1]!china_towns_second__2[[Column1]:[Y]],2,FALSE)</f>
        <v>119.0362915</v>
      </c>
      <c r="L1107" t="s">
        <v>5938</v>
      </c>
      <c r="M1107" t="str">
        <f>VLOOKUP(H1107,CHOOSE({1,2},Table17[Native],Table17[Name]),2,0)</f>
        <v>Jŭ Xiàn</v>
      </c>
      <c r="N1107" s="15" t="str">
        <f>VLOOKUP(I1107,CHOOSE({1,2},Table17[Native],Table17[Name]),2,0)</f>
        <v>Rìzhào Shì</v>
      </c>
      <c r="O1107" s="15" t="str">
        <f t="shared" si="34"/>
        <v>Sangyuan Zhen (Rìzhào Shì)</v>
      </c>
      <c r="P1107" s="15" t="str">
        <f t="shared" si="35"/>
        <v>Sangyuan Zhen (Rìzhào Shì)</v>
      </c>
    </row>
    <row r="1108" spans="1:16" hidden="1" x14ac:dyDescent="0.25">
      <c r="A1108" t="s">
        <v>1098</v>
      </c>
      <c r="B1108" t="str">
        <f>IF(COUNTIF(A:A,A1108)&gt;1,_xlfn.CONCAT(A1108," (",N1108,")"),A1108)</f>
        <v>Sāngzĭdiàn Jiēdào</v>
      </c>
      <c r="C1108" t="str">
        <f>IF(COUNTIF(B:B,B1108)&gt;1,_xlfn.CONCAT(A1108," (",M1108,")"),B1108)</f>
        <v>Sāngzĭdiàn Jiēdào</v>
      </c>
      <c r="D1108" t="s">
        <v>1099</v>
      </c>
      <c r="E1108" t="s">
        <v>7</v>
      </c>
      <c r="F1108" t="str">
        <f>_xlfn.CONCAT(D1108,", ",H1108,", ",I1108,", ","山东省")</f>
        <v>桑梓店街道, 天桥区, 济南市, 山东省</v>
      </c>
      <c r="G1108">
        <v>32304</v>
      </c>
      <c r="H1108" t="s">
        <v>3684</v>
      </c>
      <c r="I1108" t="s">
        <v>3673</v>
      </c>
      <c r="J1108" t="e">
        <f>VLOOKUP(F1108,[1]!china_towns_second__2[[Column1]:[Y]],3,FALSE)</f>
        <v>#N/A</v>
      </c>
      <c r="K1108" t="e">
        <f>VLOOKUP(F1108,[1]!china_towns_second__2[[Column1]:[Y]],2,FALSE)</f>
        <v>#N/A</v>
      </c>
      <c r="L1108" t="s">
        <v>5939</v>
      </c>
      <c r="M1108" t="str">
        <f>VLOOKUP(H1108,CHOOSE({1,2},Table17[Native],Table17[Name]),2,0)</f>
        <v>Tiānqiáo Qū</v>
      </c>
      <c r="N1108" s="15" t="str">
        <f>VLOOKUP(I1108,CHOOSE({1,2},Table17[Native],Table17[Name]),2,0)</f>
        <v>Jìnán Shì</v>
      </c>
      <c r="O1108" s="15" t="str">
        <f t="shared" si="34"/>
        <v>Sangzidian Jiedao (Jìnán Shì)</v>
      </c>
      <c r="P1108" s="15" t="str">
        <f t="shared" si="35"/>
        <v>Sangzidian Jiedao (Jìnán Shì)</v>
      </c>
    </row>
    <row r="1109" spans="1:16" hidden="1" x14ac:dyDescent="0.25">
      <c r="A1109" t="s">
        <v>135</v>
      </c>
      <c r="B1109" t="str">
        <f>IF(COUNTIF(A:A,A1109)&gt;1,_xlfn.CONCAT(A1109," (",N1109,")"),A1109)</f>
        <v>Sānhéhú Zhèn</v>
      </c>
      <c r="C1109" t="str">
        <f>IF(COUNTIF(B:B,B1109)&gt;1,_xlfn.CONCAT(A1109," (",M1109,")"),B1109)</f>
        <v>Sānhéhú Zhèn</v>
      </c>
      <c r="D1109" t="s">
        <v>136</v>
      </c>
      <c r="E1109" t="s">
        <v>13</v>
      </c>
      <c r="F1109" t="str">
        <f>_xlfn.CONCAT(D1109,", ",H1109,", ",I1109,", ","山东省")</f>
        <v>三河湖镇, 滨城区, 滨州市, 山东省</v>
      </c>
      <c r="G1109">
        <v>41469</v>
      </c>
      <c r="H1109" t="s">
        <v>3632</v>
      </c>
      <c r="I1109" t="s">
        <v>3630</v>
      </c>
      <c r="J1109">
        <f>VLOOKUP(F1109,[1]!china_towns_second__2[[Column1]:[Y]],3,FALSE)</f>
        <v>37.522598260805303</v>
      </c>
      <c r="K1109">
        <f>VLOOKUP(F1109,[1]!china_towns_second__2[[Column1]:[Y]],2,FALSE)</f>
        <v>117.84501779999999</v>
      </c>
      <c r="L1109" t="s">
        <v>5940</v>
      </c>
      <c r="M1109" t="str">
        <f>VLOOKUP(H1109,CHOOSE({1,2},Table17[Native],Table17[Name]),2,0)</f>
        <v>Bīnchéng Qū</v>
      </c>
      <c r="N1109" s="15" t="str">
        <f>VLOOKUP(I1109,CHOOSE({1,2},Table17[Native],Table17[Name]),2,0)</f>
        <v>Bīnzhōu Shì</v>
      </c>
      <c r="O1109" s="15" t="str">
        <f t="shared" si="34"/>
        <v>Sanhehu Zhen (Bīnzhōu Shì)</v>
      </c>
      <c r="P1109" s="15" t="str">
        <f t="shared" si="35"/>
        <v>Sanhehu Zhen (Bīnzhōu Shì)</v>
      </c>
    </row>
    <row r="1110" spans="1:16" hidden="1" x14ac:dyDescent="0.25">
      <c r="A1110" t="s">
        <v>2290</v>
      </c>
      <c r="B1110" t="str">
        <f>IF(COUNTIF(A:A,A1110)&gt;1,_xlfn.CONCAT(A1110," (",N1110,")"),A1110)</f>
        <v>Sānlĭhé Jiēdào</v>
      </c>
      <c r="C1110" t="str">
        <f>IF(COUNTIF(B:B,B1110)&gt;1,_xlfn.CONCAT(A1110," (",M1110,")"),B1110)</f>
        <v>Sānlĭhé Jiēdào</v>
      </c>
      <c r="D1110" t="s">
        <v>2291</v>
      </c>
      <c r="E1110" t="s">
        <v>7</v>
      </c>
      <c r="F1110" t="str">
        <f>_xlfn.CONCAT(D1110,", ",H1110,", ",I1110,", ","山东省")</f>
        <v>三里河街道, 胶州市, 青岛市, 山东省</v>
      </c>
      <c r="G1110">
        <v>62877</v>
      </c>
      <c r="H1110" t="s">
        <v>3727</v>
      </c>
      <c r="I1110" t="s">
        <v>3724</v>
      </c>
      <c r="J1110">
        <f>VLOOKUP(F1110,[1]!china_towns_second__2[[Column1]:[Y]],3,FALSE)</f>
        <v>36.2386433262539</v>
      </c>
      <c r="K1110">
        <f>VLOOKUP(F1110,[1]!china_towns_second__2[[Column1]:[Y]],2,FALSE)</f>
        <v>119.9888246</v>
      </c>
      <c r="L1110" t="s">
        <v>5941</v>
      </c>
      <c r="M1110" t="str">
        <f>VLOOKUP(H1110,CHOOSE({1,2},Table17[Native],Table17[Name]),2,0)</f>
        <v>Jiāozhōu Shì</v>
      </c>
      <c r="N1110" s="15" t="str">
        <f>VLOOKUP(I1110,CHOOSE({1,2},Table17[Native],Table17[Name]),2,0)</f>
        <v>Qīngdăo Shì</v>
      </c>
      <c r="O1110" s="15" t="str">
        <f t="shared" si="34"/>
        <v>Sanlihe Jiedao (Qīngdăo Shì)</v>
      </c>
      <c r="P1110" s="15" t="str">
        <f t="shared" si="35"/>
        <v>Sanlihe Jiedao (Qīngdăo Shì)</v>
      </c>
    </row>
    <row r="1111" spans="1:16" hidden="1" x14ac:dyDescent="0.25">
      <c r="A1111" t="s">
        <v>3223</v>
      </c>
      <c r="B1111" t="str">
        <f>IF(COUNTIF(A:A,A1111)&gt;1,_xlfn.CONCAT(A1111," (",N1111,")"),A1111)</f>
        <v>Sānshāndăo Jiēdào</v>
      </c>
      <c r="C1111" t="str">
        <f>IF(COUNTIF(B:B,B1111)&gt;1,_xlfn.CONCAT(A1111," (",M1111,")"),B1111)</f>
        <v>Sānshāndăo Jiēdào</v>
      </c>
      <c r="D1111" t="s">
        <v>3224</v>
      </c>
      <c r="E1111" t="s">
        <v>7</v>
      </c>
      <c r="F1111" t="str">
        <f>_xlfn.CONCAT(D1111,", ",H1111,", ",I1111,", ","山东省")</f>
        <v>三山岛街道, 莱州市, 烟台市, 山东省</v>
      </c>
      <c r="G1111">
        <v>70388</v>
      </c>
      <c r="H1111" t="s">
        <v>3776</v>
      </c>
      <c r="I1111" t="s">
        <v>3771</v>
      </c>
      <c r="J1111">
        <f>VLOOKUP(F1111,[1]!china_towns_second__2[[Column1]:[Y]],3,FALSE)</f>
        <v>37.365759564522698</v>
      </c>
      <c r="K1111">
        <f>VLOOKUP(F1111,[1]!china_towns_second__2[[Column1]:[Y]],2,FALSE)</f>
        <v>119.9863153</v>
      </c>
      <c r="L1111" t="s">
        <v>5942</v>
      </c>
      <c r="M1111" t="str">
        <f>VLOOKUP(H1111,CHOOSE({1,2},Table17[Native],Table17[Name]),2,0)</f>
        <v>Láizhōu Shì</v>
      </c>
      <c r="N1111" s="15" t="str">
        <f>VLOOKUP(I1111,CHOOSE({1,2},Table17[Native],Table17[Name]),2,0)</f>
        <v>Yāntái Shì</v>
      </c>
      <c r="O1111" s="15" t="str">
        <f t="shared" si="34"/>
        <v>Sanshandao Jiedao (Yāntái Shì)</v>
      </c>
      <c r="P1111" s="15" t="str">
        <f t="shared" si="35"/>
        <v>Sanshandao Jiedao (Yāntái Shì)</v>
      </c>
    </row>
    <row r="1112" spans="1:16" hidden="1" x14ac:dyDescent="0.25">
      <c r="A1112" t="s">
        <v>1682</v>
      </c>
      <c r="B1112" t="str">
        <f>IF(COUNTIF(A:A,A1112)&gt;1,_xlfn.CONCAT(A1112," (",N1112,")"),A1112)</f>
        <v>Sānshílĭpū Zhèn</v>
      </c>
      <c r="C1112" t="str">
        <f>IF(COUNTIF(B:B,B1112)&gt;1,_xlfn.CONCAT(A1112," (",M1112,")"),B1112)</f>
        <v>Sānshílĭpū Zhèn</v>
      </c>
      <c r="D1112" t="s">
        <v>1683</v>
      </c>
      <c r="E1112" t="s">
        <v>13</v>
      </c>
      <c r="F1112" t="str">
        <f>_xlfn.CONCAT(D1112,", ",H1112,", ",I1112,", ","山东省")</f>
        <v>三十里铺镇, 高唐县, 聊城市, 山东省</v>
      </c>
      <c r="G1112">
        <v>24677</v>
      </c>
      <c r="H1112" t="s">
        <v>3704</v>
      </c>
      <c r="I1112" t="s">
        <v>3700</v>
      </c>
      <c r="J1112">
        <f>VLOOKUP(F1112,[1]!china_towns_second__2[[Column1]:[Y]],3,FALSE)</f>
        <v>36.851422141542002</v>
      </c>
      <c r="K1112">
        <f>VLOOKUP(F1112,[1]!china_towns_second__2[[Column1]:[Y]],2,FALSE)</f>
        <v>116.0818684</v>
      </c>
      <c r="L1112" t="s">
        <v>5943</v>
      </c>
      <c r="M1112" t="str">
        <f>VLOOKUP(H1112,CHOOSE({1,2},Table17[Native],Table17[Name]),2,0)</f>
        <v>Gāotáng Xiàn</v>
      </c>
      <c r="N1112" s="15" t="str">
        <f>VLOOKUP(I1112,CHOOSE({1,2},Table17[Native],Table17[Name]),2,0)</f>
        <v>Liáochéng Shì</v>
      </c>
      <c r="O1112" s="15" t="str">
        <f t="shared" si="34"/>
        <v>Sanshilipu Zhen (Liáochéng Shì)</v>
      </c>
      <c r="P1112" s="15" t="str">
        <f t="shared" si="35"/>
        <v>Sanshilipu Zhen (Liáochéng Shì)</v>
      </c>
    </row>
    <row r="1113" spans="1:16" hidden="1" x14ac:dyDescent="0.25">
      <c r="A1113" t="s">
        <v>354</v>
      </c>
      <c r="B1113" t="str">
        <f>IF(COUNTIF(A:A,A1113)&gt;1,_xlfn.CONCAT(A1113," (",N1113,")"),A1113)</f>
        <v>Sāntáng Xiāng</v>
      </c>
      <c r="C1113" t="str">
        <f>IF(COUNTIF(B:B,B1113)&gt;1,_xlfn.CONCAT(A1113," (",M1113,")"),B1113)</f>
        <v>Sāntáng Xiāng</v>
      </c>
      <c r="D1113" t="s">
        <v>355</v>
      </c>
      <c r="E1113" t="s">
        <v>61</v>
      </c>
      <c r="F1113" t="str">
        <f>_xlfn.CONCAT(D1113,", ",H1113,", ",I1113,", ","山东省")</f>
        <v>三唐乡, 平原县, 德州市, 山东省</v>
      </c>
      <c r="G1113">
        <v>20380</v>
      </c>
      <c r="H1113" t="s">
        <v>3648</v>
      </c>
      <c r="I1113" t="s">
        <v>3642</v>
      </c>
      <c r="J1113" t="e">
        <f>VLOOKUP(F1113,[1]!china_towns_second__2[[Column1]:[Y]],3,FALSE)</f>
        <v>#N/A</v>
      </c>
      <c r="K1113" t="e">
        <f>VLOOKUP(F1113,[1]!china_towns_second__2[[Column1]:[Y]],2,FALSE)</f>
        <v>#N/A</v>
      </c>
      <c r="L1113" t="s">
        <v>5944</v>
      </c>
      <c r="M1113" t="str">
        <f>VLOOKUP(H1113,CHOOSE({1,2},Table17[Native],Table17[Name]),2,0)</f>
        <v>Píngyuán Xiàn</v>
      </c>
      <c r="N1113" s="15" t="str">
        <f>VLOOKUP(I1113,CHOOSE({1,2},Table17[Native],Table17[Name]),2,0)</f>
        <v>Dézhōu Shì</v>
      </c>
      <c r="O1113" s="15" t="str">
        <f t="shared" si="34"/>
        <v>Santang Xiang (Dézhōu Shì)</v>
      </c>
      <c r="P1113" s="15" t="str">
        <f t="shared" si="35"/>
        <v>Santang Xiang (Dézhōu Shì)</v>
      </c>
    </row>
    <row r="1114" spans="1:16" hidden="1" x14ac:dyDescent="0.25">
      <c r="A1114" t="s">
        <v>2466</v>
      </c>
      <c r="B1114" t="str">
        <f>IF(COUNTIF(A:A,A1114)&gt;1,_xlfn.CONCAT(A1114," (",N1114,")"),A1114)</f>
        <v>Sānzhuāng Zhèn</v>
      </c>
      <c r="C1114" t="str">
        <f>IF(COUNTIF(B:B,B1114)&gt;1,_xlfn.CONCAT(A1114," (",M1114,")"),B1114)</f>
        <v>Sānzhuāng Zhèn</v>
      </c>
      <c r="D1114" t="s">
        <v>2467</v>
      </c>
      <c r="E1114" t="s">
        <v>13</v>
      </c>
      <c r="F1114" t="str">
        <f>_xlfn.CONCAT(D1114,", ",H1114,", ",I1114,", ","山东省")</f>
        <v>三庄镇, 东港区, 日照市, 山东省</v>
      </c>
      <c r="G1114">
        <v>52214</v>
      </c>
      <c r="H1114" t="s">
        <v>3737</v>
      </c>
      <c r="I1114" t="s">
        <v>3736</v>
      </c>
      <c r="J1114">
        <f>VLOOKUP(F1114,[1]!china_towns_second__2[[Column1]:[Y]],3,FALSE)</f>
        <v>35.508538502053</v>
      </c>
      <c r="K1114">
        <f>VLOOKUP(F1114,[1]!china_towns_second__2[[Column1]:[Y]],2,FALSE)</f>
        <v>119.1281089</v>
      </c>
      <c r="L1114" t="s">
        <v>5945</v>
      </c>
      <c r="M1114" t="str">
        <f>VLOOKUP(H1114,CHOOSE({1,2},Table17[Native],Table17[Name]),2,0)</f>
        <v>Dōnggăng Qū</v>
      </c>
      <c r="N1114" s="15" t="str">
        <f>VLOOKUP(I1114,CHOOSE({1,2},Table17[Native],Table17[Name]),2,0)</f>
        <v>Rìzhào Shì</v>
      </c>
      <c r="O1114" s="15" t="str">
        <f t="shared" si="34"/>
        <v>Sanzhuang Zhen (Rìzhào Shì)</v>
      </c>
      <c r="P1114" s="15" t="str">
        <f t="shared" si="35"/>
        <v>Sanzhuang Zhen (Rìzhào Shì)</v>
      </c>
    </row>
    <row r="1115" spans="1:16" hidden="1" x14ac:dyDescent="0.25">
      <c r="A1115" t="s">
        <v>1982</v>
      </c>
      <c r="B1115" t="str">
        <f>IF(COUNTIF(A:A,A1115)&gt;1,_xlfn.CONCAT(A1115," (",N1115,")"),A1115)</f>
        <v>Shāgōu Zhèn (Línyí Shì)</v>
      </c>
      <c r="C1115" t="str">
        <f>IF(COUNTIF(B:B,B1115)&gt;1,_xlfn.CONCAT(A1115," (",M1115,")"),B1115)</f>
        <v>Shāgōu Zhèn (Línyí Shì)</v>
      </c>
      <c r="D1115" t="s">
        <v>1983</v>
      </c>
      <c r="E1115" t="s">
        <v>13</v>
      </c>
      <c r="F1115" t="str">
        <f>_xlfn.CONCAT(D1115,", ",H1115,", ",I1115,", ","山东省")</f>
        <v>沙沟镇, 沂水县, 临沂市, 山东省</v>
      </c>
      <c r="G1115">
        <v>52492</v>
      </c>
      <c r="H1115" t="s">
        <v>3722</v>
      </c>
      <c r="I1115" t="s">
        <v>3710</v>
      </c>
      <c r="J1115">
        <f>VLOOKUP(F1115,[1]!china_towns_second__2[[Column1]:[Y]],3,FALSE)</f>
        <v>36.090432421866602</v>
      </c>
      <c r="K1115">
        <f>VLOOKUP(F1115,[1]!china_towns_second__2[[Column1]:[Y]],2,FALSE)</f>
        <v>118.61170989999999</v>
      </c>
      <c r="L1115" t="s">
        <v>5946</v>
      </c>
      <c r="M1115" t="str">
        <f>VLOOKUP(H1115,CHOOSE({1,2},Table17[Native],Table17[Name]),2,0)</f>
        <v>Yíshuĭ Xiàn</v>
      </c>
      <c r="N1115" s="15" t="str">
        <f>VLOOKUP(I1115,CHOOSE({1,2},Table17[Native],Table17[Name]),2,0)</f>
        <v>Línyí Shì</v>
      </c>
      <c r="O1115" s="15" t="str">
        <f t="shared" si="34"/>
        <v>Shagou Zhen (Linyi Shi) (Línyí Shì)</v>
      </c>
      <c r="P1115" s="15" t="str">
        <f t="shared" si="35"/>
        <v>Shagou Zhen (Linyi Shi) (Línyí Shì)</v>
      </c>
    </row>
    <row r="1116" spans="1:16" hidden="1" x14ac:dyDescent="0.25">
      <c r="A1116" t="s">
        <v>1982</v>
      </c>
      <c r="B1116" t="str">
        <f>IF(COUNTIF(A:A,A1116)&gt;1,_xlfn.CONCAT(A1116," (",N1116,")"),A1116)</f>
        <v>Shāgōu Zhèn (Zăozhuāng Shì)</v>
      </c>
      <c r="C1116" t="str">
        <f>IF(COUNTIF(B:B,B1116)&gt;1,_xlfn.CONCAT(A1116," (",M1116,")"),B1116)</f>
        <v>Shāgōu Zhèn (Zăozhuāng Shì)</v>
      </c>
      <c r="D1116" t="s">
        <v>1983</v>
      </c>
      <c r="E1116" t="s">
        <v>13</v>
      </c>
      <c r="F1116" t="str">
        <f>_xlfn.CONCAT(D1116,", ",H1116,", ",I1116,", ","山东省")</f>
        <v>沙沟镇, 薛城区, 枣庄市, 山东省</v>
      </c>
      <c r="G1116">
        <v>46673</v>
      </c>
      <c r="H1116" t="s">
        <v>3788</v>
      </c>
      <c r="I1116" t="s">
        <v>3784</v>
      </c>
      <c r="J1116">
        <f>VLOOKUP(F1116,[1]!china_towns_second__2[[Column1]:[Y]],3,FALSE)</f>
        <v>34.743501410536503</v>
      </c>
      <c r="K1116">
        <f>VLOOKUP(F1116,[1]!china_towns_second__2[[Column1]:[Y]],2,FALSE)</f>
        <v>117.324805</v>
      </c>
      <c r="L1116" t="s">
        <v>5947</v>
      </c>
      <c r="M1116" t="str">
        <f>VLOOKUP(H1116,CHOOSE({1,2},Table17[Native],Table17[Name]),2,0)</f>
        <v>Xuēchéng Qū</v>
      </c>
      <c r="N1116" s="15" t="str">
        <f>VLOOKUP(I1116,CHOOSE({1,2},Table17[Native],Table17[Name]),2,0)</f>
        <v>Zăozhuāng Shì</v>
      </c>
      <c r="O1116" s="15" t="str">
        <f t="shared" si="34"/>
        <v>Shagou Zhen (Zaozhuang Shi) (Zăozhuāng Shì)</v>
      </c>
      <c r="P1116" s="15" t="str">
        <f t="shared" si="35"/>
        <v>Shagou Zhen (Zaozhuang Shi) (Zăozhuāng Shì)</v>
      </c>
    </row>
    <row r="1117" spans="1:16" hidden="1" x14ac:dyDescent="0.25">
      <c r="A1117" t="s">
        <v>137</v>
      </c>
      <c r="B1117" t="str">
        <f>IF(COUNTIF(A:A,A1117)&gt;1,_xlfn.CONCAT(A1117," (",N1117,")"),A1117)</f>
        <v>Shāhé Jiēdào</v>
      </c>
      <c r="C1117" t="str">
        <f>IF(COUNTIF(B:B,B1117)&gt;1,_xlfn.CONCAT(A1117," (",M1117,")"),B1117)</f>
        <v>Shāhé Jiēdào</v>
      </c>
      <c r="D1117" t="s">
        <v>138</v>
      </c>
      <c r="E1117" t="s">
        <v>7</v>
      </c>
      <c r="F1117" t="str">
        <f>_xlfn.CONCAT(D1117,", ",H1117,", ",I1117,", ","山东省")</f>
        <v>沙河街道, 滨城区, 滨州市, 山东省</v>
      </c>
      <c r="G1117">
        <v>19216</v>
      </c>
      <c r="H1117" t="s">
        <v>3632</v>
      </c>
      <c r="I1117" t="s">
        <v>3630</v>
      </c>
      <c r="J1117">
        <f>VLOOKUP(F1117,[1]!china_towns_second__2[[Column1]:[Y]],3,FALSE)</f>
        <v>37.339391071056397</v>
      </c>
      <c r="K1117">
        <f>VLOOKUP(F1117,[1]!china_towns_second__2[[Column1]:[Y]],2,FALSE)</f>
        <v>117.8907797</v>
      </c>
      <c r="L1117" t="s">
        <v>5948</v>
      </c>
      <c r="M1117" t="str">
        <f>VLOOKUP(H1117,CHOOSE({1,2},Table17[Native],Table17[Name]),2,0)</f>
        <v>Bīnchéng Qū</v>
      </c>
      <c r="N1117" s="15" t="str">
        <f>VLOOKUP(I1117,CHOOSE({1,2},Table17[Native],Table17[Name]),2,0)</f>
        <v>Bīnzhōu Shì</v>
      </c>
      <c r="O1117" s="15" t="str">
        <f t="shared" si="34"/>
        <v>Shahe Jiedao (Bīnzhōu Shì)</v>
      </c>
      <c r="P1117" s="15" t="str">
        <f t="shared" si="35"/>
        <v>Shahe Jiedao (Bīnzhōu Shì)</v>
      </c>
    </row>
    <row r="1118" spans="1:16" hidden="1" x14ac:dyDescent="0.25">
      <c r="A1118" t="s">
        <v>1100</v>
      </c>
      <c r="B1118" t="str">
        <f>IF(COUNTIF(A:A,A1118)&gt;1,_xlfn.CONCAT(A1118," (",N1118,")"),A1118)</f>
        <v>Shāhé Zhèn (Jìnán Shì)</v>
      </c>
      <c r="C1118" t="str">
        <f>IF(COUNTIF(B:B,B1118)&gt;1,_xlfn.CONCAT(A1118," (",M1118,")"),B1118)</f>
        <v>Shāhé Zhèn (Jìnán Shì)</v>
      </c>
      <c r="D1118" t="s">
        <v>1101</v>
      </c>
      <c r="E1118" t="s">
        <v>13</v>
      </c>
      <c r="F1118" t="str">
        <f>_xlfn.CONCAT(D1118,", ",H1118,", ",I1118,", ","山东省")</f>
        <v>沙河镇, 商河县, 济南市, 山东省</v>
      </c>
      <c r="G1118">
        <v>38186</v>
      </c>
      <c r="H1118" t="s">
        <v>3682</v>
      </c>
      <c r="I1118" t="s">
        <v>3673</v>
      </c>
      <c r="J1118">
        <f>VLOOKUP(F1118,[1]!china_towns_second__2[[Column1]:[Y]],3,FALSE)</f>
        <v>37.4163308988621</v>
      </c>
      <c r="K1118">
        <f>VLOOKUP(F1118,[1]!china_towns_second__2[[Column1]:[Y]],2,FALSE)</f>
        <v>117.26341170000001</v>
      </c>
      <c r="L1118" t="s">
        <v>5949</v>
      </c>
      <c r="M1118" t="str">
        <f>VLOOKUP(H1118,CHOOSE({1,2},Table17[Native],Table17[Name]),2,0)</f>
        <v>Shānghé Xiàn</v>
      </c>
      <c r="N1118" s="15" t="str">
        <f>VLOOKUP(I1118,CHOOSE({1,2},Table17[Native],Table17[Name]),2,0)</f>
        <v>Jìnán Shì</v>
      </c>
      <c r="O1118" s="15" t="str">
        <f t="shared" si="34"/>
        <v>Shahe Zhen (Jinan Shi) (Jìnán Shì)</v>
      </c>
      <c r="P1118" s="15" t="str">
        <f t="shared" si="35"/>
        <v>Shahe Zhen (Jinan Shi) (Jìnán Shì)</v>
      </c>
    </row>
    <row r="1119" spans="1:16" hidden="1" x14ac:dyDescent="0.25">
      <c r="A1119" t="s">
        <v>1100</v>
      </c>
      <c r="B1119" t="str">
        <f>IF(COUNTIF(A:A,A1119)&gt;1,_xlfn.CONCAT(A1119," (",N1119,")"),A1119)</f>
        <v>Shāhé Zhèn (Yāntái Shì)</v>
      </c>
      <c r="C1119" t="str">
        <f>IF(COUNTIF(B:B,B1119)&gt;1,_xlfn.CONCAT(A1119," (",M1119,")"),B1119)</f>
        <v>Shāhé Zhèn (Yāntái Shì)</v>
      </c>
      <c r="D1119" t="s">
        <v>1101</v>
      </c>
      <c r="E1119" t="s">
        <v>13</v>
      </c>
      <c r="F1119" t="str">
        <f>_xlfn.CONCAT(D1119,", ",H1119,", ",I1119,", ","山东省")</f>
        <v>沙河镇, 莱州市, 烟台市, 山东省</v>
      </c>
      <c r="G1119">
        <v>102735</v>
      </c>
      <c r="H1119" t="s">
        <v>3776</v>
      </c>
      <c r="I1119" t="s">
        <v>3771</v>
      </c>
      <c r="J1119">
        <f>VLOOKUP(F1119,[1]!china_towns_second__2[[Column1]:[Y]],3,FALSE)</f>
        <v>37.059450269945401</v>
      </c>
      <c r="K1119">
        <f>VLOOKUP(F1119,[1]!china_towns_second__2[[Column1]:[Y]],2,FALSE)</f>
        <v>119.79039539999999</v>
      </c>
      <c r="L1119" t="s">
        <v>5950</v>
      </c>
      <c r="M1119" t="str">
        <f>VLOOKUP(H1119,CHOOSE({1,2},Table17[Native],Table17[Name]),2,0)</f>
        <v>Láizhōu Shì</v>
      </c>
      <c r="N1119" s="15" t="str">
        <f>VLOOKUP(I1119,CHOOSE({1,2},Table17[Native],Table17[Name]),2,0)</f>
        <v>Yāntái Shì</v>
      </c>
      <c r="O1119" s="15" t="str">
        <f t="shared" si="34"/>
        <v>Shahe Zhen (Yantai Shi) (Yāntái Shì)</v>
      </c>
      <c r="P1119" s="15" t="str">
        <f t="shared" si="35"/>
        <v>Shahe Zhen (Yantai Shi) (Yāntái Shì)</v>
      </c>
    </row>
    <row r="1120" spans="1:16" hidden="1" x14ac:dyDescent="0.25">
      <c r="A1120" t="s">
        <v>2599</v>
      </c>
      <c r="B1120" t="str">
        <f>IF(COUNTIF(A:A,A1120)&gt;1,_xlfn.CONCAT(A1120," (",N1120,")"),A1120)</f>
        <v>Shāhézhàn Zhèn</v>
      </c>
      <c r="C1120" t="str">
        <f>IF(COUNTIF(B:B,B1120)&gt;1,_xlfn.CONCAT(A1120," (",M1120,")"),B1120)</f>
        <v>Shāhézhàn Zhèn</v>
      </c>
      <c r="D1120" t="s">
        <v>2600</v>
      </c>
      <c r="E1120" t="s">
        <v>13</v>
      </c>
      <c r="F1120" t="str">
        <f>_xlfn.CONCAT(D1120,", ",H1120,", ",I1120,", ","山东省")</f>
        <v>沙河站镇, 东平县, 泰安市, 山东省</v>
      </c>
      <c r="G1120">
        <v>54614</v>
      </c>
      <c r="H1120" t="s">
        <v>3745</v>
      </c>
      <c r="I1120" t="s">
        <v>3743</v>
      </c>
      <c r="J1120">
        <f>VLOOKUP(F1120,[1]!china_towns_second__2[[Column1]:[Y]],3,FALSE)</f>
        <v>35.830289369515398</v>
      </c>
      <c r="K1120">
        <f>VLOOKUP(F1120,[1]!china_towns_second__2[[Column1]:[Y]],2,FALSE)</f>
        <v>116.38727040000001</v>
      </c>
      <c r="L1120" t="s">
        <v>5951</v>
      </c>
      <c r="M1120" t="str">
        <f>VLOOKUP(H1120,CHOOSE({1,2},Table17[Native],Table17[Name]),2,0)</f>
        <v>Dōngpíng Xiàn</v>
      </c>
      <c r="N1120" s="15" t="str">
        <f>VLOOKUP(I1120,CHOOSE({1,2},Table17[Native],Table17[Name]),2,0)</f>
        <v>Tài'ān Shì</v>
      </c>
      <c r="O1120" s="15" t="str">
        <f t="shared" si="34"/>
        <v>Shahezhan Zhen (Tài'ān Shì)</v>
      </c>
      <c r="P1120" s="15" t="str">
        <f t="shared" si="35"/>
        <v>Shahezhan Zhen (Tài'ān Shì)</v>
      </c>
    </row>
    <row r="1121" spans="1:16" hidden="1" x14ac:dyDescent="0.25">
      <c r="A1121" t="s">
        <v>3419</v>
      </c>
      <c r="B1121" t="str">
        <f>IF(COUNTIF(A:A,A1121)&gt;1,_xlfn.CONCAT(A1121," (",N1121,")"),A1121)</f>
        <v>Shānchéng Jiēdào</v>
      </c>
      <c r="C1121" t="str">
        <f>IF(COUNTIF(B:B,B1121)&gt;1,_xlfn.CONCAT(A1121," (",M1121,")"),B1121)</f>
        <v>Shānchéng Jiēdào</v>
      </c>
      <c r="D1121" t="s">
        <v>3420</v>
      </c>
      <c r="E1121" t="s">
        <v>7</v>
      </c>
      <c r="F1121" t="str">
        <f>_xlfn.CONCAT(D1121,", ",H1121,", ",I1121,", ","山东省")</f>
        <v>山城街道, 山亭区, 枣庄市, 山东省</v>
      </c>
      <c r="G1121">
        <v>99245</v>
      </c>
      <c r="H1121" t="s">
        <v>3785</v>
      </c>
      <c r="I1121" t="s">
        <v>3784</v>
      </c>
      <c r="J1121">
        <f>VLOOKUP(F1121,[1]!china_towns_second__2[[Column1]:[Y]],3,FALSE)</f>
        <v>35.072855196589302</v>
      </c>
      <c r="K1121">
        <f>VLOOKUP(F1121,[1]!china_towns_second__2[[Column1]:[Y]],2,FALSE)</f>
        <v>117.44295080000001</v>
      </c>
      <c r="L1121" t="s">
        <v>5952</v>
      </c>
      <c r="M1121" t="str">
        <f>VLOOKUP(H1121,CHOOSE({1,2},Table17[Native],Table17[Name]),2,0)</f>
        <v>Shāntíng Qū</v>
      </c>
      <c r="N1121" s="15" t="str">
        <f>VLOOKUP(I1121,CHOOSE({1,2},Table17[Native],Table17[Name]),2,0)</f>
        <v>Zăozhuāng Shì</v>
      </c>
      <c r="O1121" s="15" t="str">
        <f t="shared" si="34"/>
        <v>Shancheng Jiedao (Zăozhuāng Shì)</v>
      </c>
      <c r="P1121" s="15" t="str">
        <f t="shared" si="35"/>
        <v>Shancheng Jiedao (Zăozhuāng Shì)</v>
      </c>
    </row>
    <row r="1122" spans="1:16" hidden="1" x14ac:dyDescent="0.25">
      <c r="A1122" t="s">
        <v>1102</v>
      </c>
      <c r="B1122" t="str">
        <f>IF(COUNTIF(A:A,A1122)&gt;1,_xlfn.CONCAT(A1122," (",N1122,")"),A1122)</f>
        <v>Shāndàlù Jiēdào</v>
      </c>
      <c r="C1122" t="str">
        <f>IF(COUNTIF(B:B,B1122)&gt;1,_xlfn.CONCAT(A1122," (",M1122,")"),B1122)</f>
        <v>Shāndàlù Jiēdào</v>
      </c>
      <c r="D1122" t="s">
        <v>1103</v>
      </c>
      <c r="E1122" t="s">
        <v>7</v>
      </c>
      <c r="F1122" t="str">
        <f>_xlfn.CONCAT(D1122,", ",H1122,", ",I1122,", ","山东省")</f>
        <v>山大路街道, 历城区, 济南市, 山东省</v>
      </c>
      <c r="G1122">
        <v>67135</v>
      </c>
      <c r="H1122" t="s">
        <v>3679</v>
      </c>
      <c r="I1122" t="s">
        <v>3673</v>
      </c>
      <c r="J1122">
        <f>VLOOKUP(F1122,[1]!china_towns_second__2[[Column1]:[Y]],3,FALSE)</f>
        <v>36.675761834040301</v>
      </c>
      <c r="K1122">
        <f>VLOOKUP(F1122,[1]!china_towns_second__2[[Column1]:[Y]],2,FALSE)</f>
        <v>117.0600201</v>
      </c>
      <c r="L1122" t="s">
        <v>5953</v>
      </c>
      <c r="M1122" t="str">
        <f>VLOOKUP(H1122,CHOOSE({1,2},Table17[Native],Table17[Name]),2,0)</f>
        <v>Lìchéng Qū</v>
      </c>
      <c r="N1122" s="15" t="str">
        <f>VLOOKUP(I1122,CHOOSE({1,2},Table17[Native],Table17[Name]),2,0)</f>
        <v>Jìnán Shì</v>
      </c>
      <c r="O1122" s="15" t="str">
        <f t="shared" si="34"/>
        <v>Shandalu Jiedao (Jìnán Shì)</v>
      </c>
      <c r="P1122" s="15" t="str">
        <f t="shared" si="35"/>
        <v>Shandalu Jiedao (Jìnán Shì)</v>
      </c>
    </row>
    <row r="1123" spans="1:16" hidden="1" x14ac:dyDescent="0.25">
      <c r="A1123" t="s">
        <v>545</v>
      </c>
      <c r="B1123" t="str">
        <f>IF(COUNTIF(A:A,A1123)&gt;1,_xlfn.CONCAT(A1123," (",N1123,")"),A1123)</f>
        <v>Shāndōng Shĕng Kĕnlì Jīngjì Kāifāqū</v>
      </c>
      <c r="C1123" t="str">
        <f>IF(COUNTIF(B:B,B1123)&gt;1,_xlfn.CONCAT(A1123," (",M1123,")"),B1123)</f>
        <v>Shāndōng Shĕng Kĕnlì Jīngjì Kāifāqū</v>
      </c>
      <c r="D1123" t="s">
        <v>546</v>
      </c>
      <c r="E1123" t="s">
        <v>495</v>
      </c>
      <c r="F1123" t="str">
        <f>_xlfn.CONCAT(D1123,", ",H1123,", ",I1123,", ","山东省")</f>
        <v>山东省垦利经济开发区, 垦利区, 东营市, 山东省</v>
      </c>
      <c r="G1123">
        <v>3289</v>
      </c>
      <c r="H1123" t="s">
        <v>3659</v>
      </c>
      <c r="I1123" t="s">
        <v>3655</v>
      </c>
      <c r="J1123" t="e">
        <f>VLOOKUP(F1123,[1]!china_towns_second__2[[Column1]:[Y]],3,FALSE)</f>
        <v>#N/A</v>
      </c>
      <c r="K1123" t="e">
        <f>VLOOKUP(F1123,[1]!china_towns_second__2[[Column1]:[Y]],2,FALSE)</f>
        <v>#N/A</v>
      </c>
      <c r="L1123" t="s">
        <v>5954</v>
      </c>
      <c r="M1123" t="str">
        <f>VLOOKUP(H1123,CHOOSE({1,2},Table17[Native],Table17[Name]),2,0)</f>
        <v>Kĕnlì Qū</v>
      </c>
      <c r="N1123" s="15" t="str">
        <f>VLOOKUP(I1123,CHOOSE({1,2},Table17[Native],Table17[Name]),2,0)</f>
        <v>Dōngyíng Shì</v>
      </c>
      <c r="O1123" s="15" t="str">
        <f t="shared" si="34"/>
        <v>Shandong Sheng Kenli Jingji Kaifaqu (Dōngyíng Shì)</v>
      </c>
      <c r="P1123" s="15" t="str">
        <f t="shared" si="35"/>
        <v>Shandong Sheng Kenli Jingji Kaifaqu (Dōngyíng Shì)</v>
      </c>
    </row>
    <row r="1124" spans="1:16" x14ac:dyDescent="0.25">
      <c r="A1124" t="s">
        <v>1684</v>
      </c>
      <c r="B1124" t="str">
        <f>IF(COUNTIF(A:A,A1124)&gt;1,_xlfn.CONCAT(A1124," (",N1124,")"),A1124)</f>
        <v>Shàngdiàn Zhèn</v>
      </c>
      <c r="C1124" t="str">
        <f>IF(COUNTIF(B:B,B1124)&gt;1,_xlfn.CONCAT(A1124," (",M1124,")"),B1124)</f>
        <v>Shàngdiàn Zhèn</v>
      </c>
      <c r="D1124" t="s">
        <v>1685</v>
      </c>
      <c r="E1124" t="s">
        <v>13</v>
      </c>
      <c r="F1124" t="str">
        <f>_xlfn.CONCAT(D1124,", ",H1124,", ",I1124,", ","山东省")</f>
        <v>尚店镇, 临清市, 聊城市, 山东省</v>
      </c>
      <c r="G1124">
        <v>29535</v>
      </c>
      <c r="H1124" t="s">
        <v>3706</v>
      </c>
      <c r="I1124" t="s">
        <v>3700</v>
      </c>
      <c r="J1124">
        <f>VLOOKUP(F1124,[1]!china_towns_second__2[[Column1]:[Y]],3,FALSE)</f>
        <v>36.713377721588202</v>
      </c>
      <c r="K1124">
        <f>VLOOKUP(F1124,[1]!china_towns_second__2[[Column1]:[Y]],2,FALSE)</f>
        <v>115.68922499999999</v>
      </c>
      <c r="L1124" t="s">
        <v>5955</v>
      </c>
      <c r="M1124" t="str">
        <f>VLOOKUP(H1124,CHOOSE({1,2},Table17[Native],Table17[Name]),2,0)</f>
        <v>Línqīng Shì</v>
      </c>
      <c r="N1124" s="15" t="str">
        <f>VLOOKUP(I1124,CHOOSE({1,2},Table17[Native],Table17[Name]),2,0)</f>
        <v>Liáochéng Shì</v>
      </c>
      <c r="O1124" s="15" t="str">
        <f t="shared" si="34"/>
        <v>Shangdian Zhen (Liáochéng Shì)</v>
      </c>
      <c r="P1124" s="15" t="str">
        <f t="shared" si="35"/>
        <v>Shangdian Zhen (Liáochéng Shì)</v>
      </c>
    </row>
    <row r="1125" spans="1:16" x14ac:dyDescent="0.25">
      <c r="A1125" t="s">
        <v>139</v>
      </c>
      <c r="B1125" t="str">
        <f>IF(COUNTIF(A:A,A1125)&gt;1,_xlfn.CONCAT(A1125," (",N1125,")"),A1125)</f>
        <v>Shāngdiàn Zhèn</v>
      </c>
      <c r="C1125" t="str">
        <f>IF(COUNTIF(B:B,B1125)&gt;1,_xlfn.CONCAT(A1125," (",M1125,")"),B1125)</f>
        <v>Shāngdiàn Zhèn</v>
      </c>
      <c r="D1125" t="s">
        <v>140</v>
      </c>
      <c r="E1125" t="s">
        <v>13</v>
      </c>
      <c r="F1125" t="str">
        <f>_xlfn.CONCAT(D1125,", ",H1125,", ",I1125,", ","山东省")</f>
        <v>商店镇, 阳信县, 滨州市, 山东省</v>
      </c>
      <c r="G1125">
        <v>46003</v>
      </c>
      <c r="H1125" t="s">
        <v>3637</v>
      </c>
      <c r="I1125" t="s">
        <v>3630</v>
      </c>
      <c r="J1125">
        <f>VLOOKUP(F1125,[1]!china_towns_second__2[[Column1]:[Y]],3,FALSE)</f>
        <v>37.535355687292402</v>
      </c>
      <c r="K1125">
        <f>VLOOKUP(F1125,[1]!china_towns_second__2[[Column1]:[Y]],2,FALSE)</f>
        <v>117.6689102</v>
      </c>
      <c r="L1125" t="s">
        <v>5955</v>
      </c>
      <c r="M1125" t="str">
        <f>VLOOKUP(H1125,CHOOSE({1,2},Table17[Native],Table17[Name]),2,0)</f>
        <v>Yángxìn Xiàn</v>
      </c>
      <c r="N1125" s="15" t="str">
        <f>VLOOKUP(I1125,CHOOSE({1,2},Table17[Native],Table17[Name]),2,0)</f>
        <v>Bīnzhōu Shì</v>
      </c>
      <c r="O1125" s="15" t="str">
        <f t="shared" si="34"/>
        <v>Shangdian Zhen (Bīnzhōu Shì)</v>
      </c>
      <c r="P1125" s="15" t="str">
        <f t="shared" si="35"/>
        <v>Shangdian Zhen (Bīnzhōu Shì)</v>
      </c>
    </row>
    <row r="1126" spans="1:16" hidden="1" x14ac:dyDescent="0.25">
      <c r="A1126" t="s">
        <v>2601</v>
      </c>
      <c r="B1126" t="str">
        <f>IF(COUNTIF(A:A,A1126)&gt;1,_xlfn.CONCAT(A1126," (",N1126,")"),A1126)</f>
        <v>Shànggāo Jiēdào</v>
      </c>
      <c r="C1126" t="str">
        <f>IF(COUNTIF(B:B,B1126)&gt;1,_xlfn.CONCAT(A1126," (",M1126,")"),B1126)</f>
        <v>Shànggāo Jiēdào</v>
      </c>
      <c r="D1126" t="s">
        <v>2602</v>
      </c>
      <c r="E1126" t="s">
        <v>7</v>
      </c>
      <c r="F1126" t="str">
        <f>_xlfn.CONCAT(D1126,", ",H1126,", ",I1126,", ","山东省")</f>
        <v>上高街道, 泰山区, 泰安市, 山东省</v>
      </c>
      <c r="G1126">
        <v>121586</v>
      </c>
      <c r="H1126" t="s">
        <v>3748</v>
      </c>
      <c r="I1126" t="s">
        <v>3743</v>
      </c>
      <c r="J1126">
        <f>VLOOKUP(F1126,[1]!china_towns_second__2[[Column1]:[Y]],3,FALSE)</f>
        <v>36.188448076886097</v>
      </c>
      <c r="K1126">
        <f>VLOOKUP(F1126,[1]!china_towns_second__2[[Column1]:[Y]],2,FALSE)</f>
        <v>117.17218219999999</v>
      </c>
      <c r="L1126" t="s">
        <v>5956</v>
      </c>
      <c r="M1126" t="str">
        <f>VLOOKUP(H1126,CHOOSE({1,2},Table17[Native],Table17[Name]),2,0)</f>
        <v>Tàishān Qū</v>
      </c>
      <c r="N1126" s="15" t="str">
        <f>VLOOKUP(I1126,CHOOSE({1,2},Table17[Native],Table17[Name]),2,0)</f>
        <v>Tài'ān Shì</v>
      </c>
      <c r="O1126" s="15" t="str">
        <f t="shared" si="34"/>
        <v>Shanggao Jiedao (Tài'ān Shì)</v>
      </c>
      <c r="P1126" s="15" t="str">
        <f t="shared" si="35"/>
        <v>Shanggao Jiedao (Tài'ān Shì)</v>
      </c>
    </row>
    <row r="1127" spans="1:16" hidden="1" x14ac:dyDescent="0.25">
      <c r="A1127" t="s">
        <v>3563</v>
      </c>
      <c r="B1127" t="str">
        <f>IF(COUNTIF(A:A,A1127)&gt;1,_xlfn.CONCAT(A1127," (",N1127,")"),A1127)</f>
        <v>Shāngjiā Zhèn</v>
      </c>
      <c r="C1127" t="str">
        <f>IF(COUNTIF(B:B,B1127)&gt;1,_xlfn.CONCAT(A1127," (",M1127,")"),B1127)</f>
        <v>Shāngjiā Zhèn</v>
      </c>
      <c r="D1127" t="s">
        <v>3564</v>
      </c>
      <c r="E1127" t="s">
        <v>13</v>
      </c>
      <c r="F1127" t="str">
        <f>_xlfn.CONCAT(D1127,", ",H1127,", ",I1127,", ","山东省")</f>
        <v>商家镇, 周村区, 淄博市, 山东省</v>
      </c>
      <c r="G1127">
        <v>19673</v>
      </c>
      <c r="H1127" t="s">
        <v>3798</v>
      </c>
      <c r="I1127" t="s">
        <v>3791</v>
      </c>
      <c r="J1127">
        <f>VLOOKUP(F1127,[1]!china_towns_second__2[[Column1]:[Y]],3,FALSE)</f>
        <v>36.670251110116197</v>
      </c>
      <c r="K1127">
        <f>VLOOKUP(F1127,[1]!china_towns_second__2[[Column1]:[Y]],2,FALSE)</f>
        <v>117.82963119999999</v>
      </c>
      <c r="L1127" t="s">
        <v>5957</v>
      </c>
      <c r="M1127" t="str">
        <f>VLOOKUP(H1127,CHOOSE({1,2},Table17[Native],Table17[Name]),2,0)</f>
        <v>Zhōucūn Qū</v>
      </c>
      <c r="N1127" s="15" t="str">
        <f>VLOOKUP(I1127,CHOOSE({1,2},Table17[Native],Table17[Name]),2,0)</f>
        <v>Zībó Shì</v>
      </c>
      <c r="O1127" s="15" t="str">
        <f t="shared" si="34"/>
        <v>Shangjia Zhen (Zībó Shì)</v>
      </c>
      <c r="P1127" s="15" t="str">
        <f t="shared" si="35"/>
        <v>Shangjia Zhen (Zībó Shì)</v>
      </c>
    </row>
    <row r="1128" spans="1:16" hidden="1" x14ac:dyDescent="0.25">
      <c r="A1128" t="s">
        <v>2807</v>
      </c>
      <c r="B1128" t="str">
        <f>IF(COUNTIF(A:A,A1128)&gt;1,_xlfn.CONCAT(A1128," (",N1128,")"),A1128)</f>
        <v>Shàngkŏu Zhèn</v>
      </c>
      <c r="C1128" t="str">
        <f>IF(COUNTIF(B:B,B1128)&gt;1,_xlfn.CONCAT(A1128," (",M1128,")"),B1128)</f>
        <v>Shàngkŏu Zhèn</v>
      </c>
      <c r="D1128" t="s">
        <v>2808</v>
      </c>
      <c r="E1128" t="s">
        <v>13</v>
      </c>
      <c r="F1128" t="str">
        <f>_xlfn.CONCAT(D1128,", ",H1128,", ",I1128,", ","山东省")</f>
        <v>上口镇, 寿光市, 潍坊市, 山东省</v>
      </c>
      <c r="G1128">
        <v>65770</v>
      </c>
      <c r="H1128" t="s">
        <v>3761</v>
      </c>
      <c r="I1128" t="s">
        <v>3751</v>
      </c>
      <c r="J1128">
        <f>VLOOKUP(F1128,[1]!china_towns_second__2[[Column1]:[Y]],3,FALSE)</f>
        <v>36.979498890145102</v>
      </c>
      <c r="K1128">
        <f>VLOOKUP(F1128,[1]!china_towns_second__2[[Column1]:[Y]],2,FALSE)</f>
        <v>118.8819393</v>
      </c>
      <c r="L1128" t="s">
        <v>5958</v>
      </c>
      <c r="M1128" t="str">
        <f>VLOOKUP(H1128,CHOOSE({1,2},Table17[Native],Table17[Name]),2,0)</f>
        <v>Shòuguāng Shì</v>
      </c>
      <c r="N1128" s="15" t="str">
        <f>VLOOKUP(I1128,CHOOSE({1,2},Table17[Native],Table17[Name]),2,0)</f>
        <v>Wéifāng Shì</v>
      </c>
      <c r="O1128" s="15" t="str">
        <f t="shared" si="34"/>
        <v>Shangkou Zhen (Wéifāng Shì)</v>
      </c>
      <c r="P1128" s="15" t="str">
        <f t="shared" si="35"/>
        <v>Shangkou Zhen (Wéifāng Shì)</v>
      </c>
    </row>
    <row r="1129" spans="1:16" hidden="1" x14ac:dyDescent="0.25">
      <c r="A1129" t="s">
        <v>2603</v>
      </c>
      <c r="B1129" t="str">
        <f>IF(COUNTIF(A:A,A1129)&gt;1,_xlfn.CONCAT(A1129," (",N1129,")"),A1129)</f>
        <v>Shānglăozhuāng Xiāng</v>
      </c>
      <c r="C1129" t="str">
        <f>IF(COUNTIF(B:B,B1129)&gt;1,_xlfn.CONCAT(A1129," (",M1129,")"),B1129)</f>
        <v>Shānglăozhuāng Xiāng</v>
      </c>
      <c r="D1129" t="s">
        <v>2604</v>
      </c>
      <c r="E1129" t="s">
        <v>61</v>
      </c>
      <c r="F1129" t="str">
        <f>_xlfn.CONCAT(D1129,", ",H1129,", ",I1129,", ","山东省")</f>
        <v>商老庄乡, 东平县, 泰安市, 山东省</v>
      </c>
      <c r="G1129">
        <v>29458</v>
      </c>
      <c r="H1129" t="s">
        <v>3745</v>
      </c>
      <c r="I1129" t="s">
        <v>3743</v>
      </c>
      <c r="J1129" t="e">
        <f>VLOOKUP(F1129,[1]!china_towns_second__2[[Column1]:[Y]],3,FALSE)</f>
        <v>#N/A</v>
      </c>
      <c r="K1129" t="e">
        <f>VLOOKUP(F1129,[1]!china_towns_second__2[[Column1]:[Y]],2,FALSE)</f>
        <v>#N/A</v>
      </c>
      <c r="L1129" t="s">
        <v>5959</v>
      </c>
      <c r="M1129" t="str">
        <f>VLOOKUP(H1129,CHOOSE({1,2},Table17[Native],Table17[Name]),2,0)</f>
        <v>Dōngpíng Xiàn</v>
      </c>
      <c r="N1129" s="15" t="str">
        <f>VLOOKUP(I1129,CHOOSE({1,2},Table17[Native],Table17[Name]),2,0)</f>
        <v>Tài'ān Shì</v>
      </c>
      <c r="O1129" s="15" t="str">
        <f t="shared" si="34"/>
        <v>Shanglaozhuang Xiang (Tài'ān Shì)</v>
      </c>
      <c r="P1129" s="15" t="str">
        <f t="shared" si="35"/>
        <v>Shanglaozhuang Xiang (Tài'ān Shì)</v>
      </c>
    </row>
    <row r="1130" spans="1:16" hidden="1" x14ac:dyDescent="0.25">
      <c r="A1130" t="s">
        <v>2292</v>
      </c>
      <c r="B1130" t="str">
        <f>IF(COUNTIF(A:A,A1130)&gt;1,_xlfn.CONCAT(A1130," (",N1130,")"),A1130)</f>
        <v>Shàngmă Jiēdào</v>
      </c>
      <c r="C1130" t="str">
        <f>IF(COUNTIF(B:B,B1130)&gt;1,_xlfn.CONCAT(A1130," (",M1130,")"),B1130)</f>
        <v>Shàngmă Jiēdào</v>
      </c>
      <c r="D1130" t="s">
        <v>2293</v>
      </c>
      <c r="E1130" t="s">
        <v>7</v>
      </c>
      <c r="F1130" t="str">
        <f>_xlfn.CONCAT(D1130,", ",H1130,", ",I1130,", ","山东省")</f>
        <v>上马街道, 城阳区, 青岛市, 山东省</v>
      </c>
      <c r="G1130">
        <v>52701</v>
      </c>
      <c r="H1130" t="s">
        <v>3725</v>
      </c>
      <c r="I1130" t="s">
        <v>3724</v>
      </c>
      <c r="J1130">
        <f>VLOOKUP(F1130,[1]!china_towns_second__2[[Column1]:[Y]],3,FALSE)</f>
        <v>36.2715779942993</v>
      </c>
      <c r="K1130">
        <f>VLOOKUP(F1130,[1]!china_towns_second__2[[Column1]:[Y]],2,FALSE)</f>
        <v>120.2286148</v>
      </c>
      <c r="L1130" t="s">
        <v>5960</v>
      </c>
      <c r="M1130" t="str">
        <f>VLOOKUP(H1130,CHOOSE({1,2},Table17[Native],Table17[Name]),2,0)</f>
        <v>Chéngyáng Qū</v>
      </c>
      <c r="N1130" s="15" t="str">
        <f>VLOOKUP(I1130,CHOOSE({1,2},Table17[Native],Table17[Name]),2,0)</f>
        <v>Qīngdăo Shì</v>
      </c>
      <c r="O1130" s="15" t="str">
        <f t="shared" si="34"/>
        <v>Shangma Jiedao (Qīngdăo Shì)</v>
      </c>
      <c r="P1130" s="15" t="str">
        <f t="shared" si="35"/>
        <v>Shangma Jiedao (Qīngdăo Shì)</v>
      </c>
    </row>
    <row r="1131" spans="1:16" hidden="1" x14ac:dyDescent="0.25">
      <c r="A1131" t="s">
        <v>356</v>
      </c>
      <c r="B1131" t="str">
        <f>IF(COUNTIF(A:A,A1131)&gt;1,_xlfn.CONCAT(A1131," (",N1131,")"),A1131)</f>
        <v>Shàngtáng Zhèn</v>
      </c>
      <c r="C1131" t="str">
        <f>IF(COUNTIF(B:B,B1131)&gt;1,_xlfn.CONCAT(A1131," (",M1131,")"),B1131)</f>
        <v>Shàngtáng Zhèn</v>
      </c>
      <c r="D1131" t="s">
        <v>357</v>
      </c>
      <c r="E1131" t="s">
        <v>13</v>
      </c>
      <c r="F1131" t="str">
        <f>_xlfn.CONCAT(D1131,", ",H1131,", ",I1131,", ","山东省")</f>
        <v>尚堂镇, 庆云县, 德州市, 山东省</v>
      </c>
      <c r="G1131">
        <v>57241</v>
      </c>
      <c r="H1131" t="s">
        <v>3650</v>
      </c>
      <c r="I1131" t="s">
        <v>3642</v>
      </c>
      <c r="J1131">
        <f>VLOOKUP(F1131,[1]!china_towns_second__2[[Column1]:[Y]],3,FALSE)</f>
        <v>37.715005808324598</v>
      </c>
      <c r="K1131">
        <f>VLOOKUP(F1131,[1]!china_towns_second__2[[Column1]:[Y]],2,FALSE)</f>
        <v>117.42196370000001</v>
      </c>
      <c r="L1131" t="s">
        <v>5961</v>
      </c>
      <c r="M1131" t="str">
        <f>VLOOKUP(H1131,CHOOSE({1,2},Table17[Native],Table17[Name]),2,0)</f>
        <v>Qìngyún Xiàn</v>
      </c>
      <c r="N1131" s="15" t="str">
        <f>VLOOKUP(I1131,CHOOSE({1,2},Table17[Native],Table17[Name]),2,0)</f>
        <v>Dézhōu Shì</v>
      </c>
      <c r="O1131" s="15" t="str">
        <f t="shared" si="34"/>
        <v>Shangtang Zhen (Dézhōu Shì)</v>
      </c>
      <c r="P1131" s="15" t="str">
        <f t="shared" si="35"/>
        <v>Shangtang Zhen (Dézhōu Shì)</v>
      </c>
    </row>
    <row r="1132" spans="1:16" hidden="1" x14ac:dyDescent="0.25">
      <c r="A1132" t="s">
        <v>1984</v>
      </c>
      <c r="B1132" t="str">
        <f>IF(COUNTIF(A:A,A1132)&gt;1,_xlfn.CONCAT(A1132," (",N1132,")"),A1132)</f>
        <v>Shàngyán Zhèn</v>
      </c>
      <c r="C1132" t="str">
        <f>IF(COUNTIF(B:B,B1132)&gt;1,_xlfn.CONCAT(A1132," (",M1132,")"),B1132)</f>
        <v>Shàngyán Zhèn</v>
      </c>
      <c r="D1132" t="s">
        <v>1985</v>
      </c>
      <c r="E1132" t="s">
        <v>13</v>
      </c>
      <c r="F1132" t="str">
        <f>_xlfn.CONCAT(D1132,", ",H1132,", ",I1132,", ","山东省")</f>
        <v>尚岩镇, 兰陵县, 临沂市, 山东省</v>
      </c>
      <c r="G1132">
        <v>40008</v>
      </c>
      <c r="H1132" t="s">
        <v>3714</v>
      </c>
      <c r="I1132" t="s">
        <v>3710</v>
      </c>
      <c r="J1132">
        <f>VLOOKUP(F1132,[1]!china_towns_second__2[[Column1]:[Y]],3,FALSE)</f>
        <v>34.885866962229102</v>
      </c>
      <c r="K1132">
        <f>VLOOKUP(F1132,[1]!china_towns_second__2[[Column1]:[Y]],2,FALSE)</f>
        <v>117.85623579999999</v>
      </c>
      <c r="L1132" t="s">
        <v>5962</v>
      </c>
      <c r="M1132" t="str">
        <f>VLOOKUP(H1132,CHOOSE({1,2},Table17[Native],Table17[Name]),2,0)</f>
        <v>Lánlíng Xiàn</v>
      </c>
      <c r="N1132" s="15" t="str">
        <f>VLOOKUP(I1132,CHOOSE({1,2},Table17[Native],Table17[Name]),2,0)</f>
        <v>Línyí Shì</v>
      </c>
      <c r="O1132" s="15" t="str">
        <f t="shared" si="34"/>
        <v>Shangyan Zhen (Línyí Shì)</v>
      </c>
      <c r="P1132" s="15" t="str">
        <f t="shared" si="35"/>
        <v>Shangyan Zhen (Línyí Shì)</v>
      </c>
    </row>
    <row r="1133" spans="1:16" hidden="1" x14ac:dyDescent="0.25">
      <c r="A1133" t="s">
        <v>1986</v>
      </c>
      <c r="B1133" t="str">
        <f>IF(COUNTIF(A:A,A1133)&gt;1,_xlfn.CONCAT(A1133," (",N1133,")"),A1133)</f>
        <v>Shàngyĕ Zhèn</v>
      </c>
      <c r="C1133" t="str">
        <f>IF(COUNTIF(B:B,B1133)&gt;1,_xlfn.CONCAT(A1133," (",M1133,")"),B1133)</f>
        <v>Shàngyĕ Zhèn</v>
      </c>
      <c r="D1133" t="s">
        <v>1987</v>
      </c>
      <c r="E1133" t="s">
        <v>13</v>
      </c>
      <c r="F1133" t="str">
        <f>_xlfn.CONCAT(D1133,", ",H1133,", ",I1133,", ","山东省")</f>
        <v>上冶镇, 费县, 临沂市, 山东省</v>
      </c>
      <c r="G1133">
        <v>54487</v>
      </c>
      <c r="H1133" t="s">
        <v>3711</v>
      </c>
      <c r="I1133" t="s">
        <v>3710</v>
      </c>
      <c r="J1133">
        <f>VLOOKUP(F1133,[1]!china_towns_second__2[[Column1]:[Y]],3,FALSE)</f>
        <v>35.383745481637298</v>
      </c>
      <c r="K1133">
        <f>VLOOKUP(F1133,[1]!china_towns_second__2[[Column1]:[Y]],2,FALSE)</f>
        <v>117.9300452</v>
      </c>
      <c r="L1133" t="s">
        <v>5963</v>
      </c>
      <c r="M1133" t="str">
        <f>VLOOKUP(H1133,CHOOSE({1,2},Table17[Native],Table17[Name]),2,0)</f>
        <v>Fèi Xiàn</v>
      </c>
      <c r="N1133" s="15" t="str">
        <f>VLOOKUP(I1133,CHOOSE({1,2},Table17[Native],Table17[Name]),2,0)</f>
        <v>Línyí Shì</v>
      </c>
      <c r="O1133" s="15" t="str">
        <f t="shared" si="34"/>
        <v>Shangye Zhen (Línyí Shì)</v>
      </c>
      <c r="P1133" s="15" t="str">
        <f t="shared" si="35"/>
        <v>Shangye Zhen (Línyí Shì)</v>
      </c>
    </row>
    <row r="1134" spans="1:16" hidden="1" x14ac:dyDescent="0.25">
      <c r="A1134" t="s">
        <v>2974</v>
      </c>
      <c r="B1134" t="str">
        <f>IF(COUNTIF(A:A,A1134)&gt;1,_xlfn.CONCAT(A1134," (",N1134,")"),A1134)</f>
        <v>Shàngzhuāng Zhèn</v>
      </c>
      <c r="C1134" t="str">
        <f>IF(COUNTIF(B:B,B1134)&gt;1,_xlfn.CONCAT(A1134," (",M1134,")"),B1134)</f>
        <v>Shàngzhuāng Zhèn</v>
      </c>
      <c r="D1134" t="s">
        <v>2975</v>
      </c>
      <c r="E1134" t="s">
        <v>13</v>
      </c>
      <c r="F1134" t="str">
        <f>_xlfn.CONCAT(D1134,", ",H1134,", ",I1134,", ","山东省")</f>
        <v>上庄镇, 荣成市, 威海市, 山东省</v>
      </c>
      <c r="G1134">
        <v>22890</v>
      </c>
      <c r="H1134" t="s">
        <v>3767</v>
      </c>
      <c r="I1134" t="s">
        <v>3765</v>
      </c>
      <c r="J1134">
        <f>VLOOKUP(F1134,[1]!china_towns_second__2[[Column1]:[Y]],3,FALSE)</f>
        <v>37.006599333206097</v>
      </c>
      <c r="K1134">
        <f>VLOOKUP(F1134,[1]!china_towns_second__2[[Column1]:[Y]],2,FALSE)</f>
        <v>122.2680058</v>
      </c>
      <c r="L1134" t="s">
        <v>5964</v>
      </c>
      <c r="M1134" t="str">
        <f>VLOOKUP(H1134,CHOOSE({1,2},Table17[Native],Table17[Name]),2,0)</f>
        <v>Róngchéng Shì</v>
      </c>
      <c r="N1134" s="15" t="str">
        <f>VLOOKUP(I1134,CHOOSE({1,2},Table17[Native],Table17[Name]),2,0)</f>
        <v>Wēihăi Shì</v>
      </c>
      <c r="O1134" s="15" t="str">
        <f t="shared" si="34"/>
        <v>Shangzhuang Zhen (Wēihăi Shì)</v>
      </c>
      <c r="P1134" s="15" t="str">
        <f t="shared" si="35"/>
        <v>Shangzhuang Zhen (Wēihăi Shì)</v>
      </c>
    </row>
    <row r="1135" spans="1:16" hidden="1" x14ac:dyDescent="0.25">
      <c r="A1135" t="s">
        <v>2605</v>
      </c>
      <c r="B1135" t="str">
        <f>IF(COUNTIF(A:A,A1135)&gt;1,_xlfn.CONCAT(A1135," (",N1135,")"),A1135)</f>
        <v>Shānkŏu Zhèn</v>
      </c>
      <c r="C1135" t="str">
        <f>IF(COUNTIF(B:B,B1135)&gt;1,_xlfn.CONCAT(A1135," (",M1135,")"),B1135)</f>
        <v>Shānkŏu Zhèn</v>
      </c>
      <c r="D1135" t="s">
        <v>2606</v>
      </c>
      <c r="E1135" t="s">
        <v>13</v>
      </c>
      <c r="F1135" t="str">
        <f>_xlfn.CONCAT(D1135,", ",H1135,", ",I1135,", ","山东省")</f>
        <v>山口镇, 岱岳区, 泰安市, 山东省</v>
      </c>
      <c r="G1135">
        <v>50238</v>
      </c>
      <c r="H1135" t="s">
        <v>3744</v>
      </c>
      <c r="I1135" t="s">
        <v>3743</v>
      </c>
      <c r="J1135">
        <f>VLOOKUP(F1135,[1]!china_towns_second__2[[Column1]:[Y]],3,FALSE)</f>
        <v>36.244184740242197</v>
      </c>
      <c r="K1135">
        <f>VLOOKUP(F1135,[1]!china_towns_second__2[[Column1]:[Y]],2,FALSE)</f>
        <v>117.2634027</v>
      </c>
      <c r="L1135" t="s">
        <v>5965</v>
      </c>
      <c r="M1135" t="str">
        <f>VLOOKUP(H1135,CHOOSE({1,2},Table17[Native],Table17[Name]),2,0)</f>
        <v>Dàiyuè Qū</v>
      </c>
      <c r="N1135" s="15" t="str">
        <f>VLOOKUP(I1135,CHOOSE({1,2},Table17[Native],Table17[Name]),2,0)</f>
        <v>Tài'ān Shì</v>
      </c>
      <c r="O1135" s="15" t="str">
        <f t="shared" si="34"/>
        <v>Shankou Zhen (Tài'ān Shì)</v>
      </c>
      <c r="P1135" s="15" t="str">
        <f t="shared" si="35"/>
        <v>Shankou Zhen (Tài'ān Shì)</v>
      </c>
    </row>
    <row r="1136" spans="1:16" hidden="1" x14ac:dyDescent="0.25">
      <c r="A1136" t="s">
        <v>3421</v>
      </c>
      <c r="B1136" t="str">
        <f>IF(COUNTIF(A:A,A1136)&gt;1,_xlfn.CONCAT(A1136," (",N1136,")"),A1136)</f>
        <v>Shànnán Jiēdào</v>
      </c>
      <c r="C1136" t="str">
        <f>IF(COUNTIF(B:B,B1136)&gt;1,_xlfn.CONCAT(A1136," (",M1136,")"),B1136)</f>
        <v>Shànnán Jiēdào</v>
      </c>
      <c r="D1136" t="s">
        <v>3422</v>
      </c>
      <c r="E1136" t="s">
        <v>7</v>
      </c>
      <c r="F1136" t="str">
        <f>_xlfn.CONCAT(D1136,", ",H1136,", ",I1136,", ","山东省")</f>
        <v>善南街道, 滕州市, 枣庄市, 山东省</v>
      </c>
      <c r="G1136">
        <v>25176</v>
      </c>
      <c r="H1136" t="s">
        <v>3787</v>
      </c>
      <c r="I1136" t="s">
        <v>3784</v>
      </c>
      <c r="J1136">
        <f>VLOOKUP(F1136,[1]!china_towns_second__2[[Column1]:[Y]],3,FALSE)</f>
        <v>35.045836790505803</v>
      </c>
      <c r="K1136">
        <f>VLOOKUP(F1136,[1]!china_towns_second__2[[Column1]:[Y]],2,FALSE)</f>
        <v>117.1714815</v>
      </c>
      <c r="L1136" t="s">
        <v>5966</v>
      </c>
      <c r="M1136" t="str">
        <f>VLOOKUP(H1136,CHOOSE({1,2},Table17[Native],Table17[Name]),2,0)</f>
        <v>Téngzhōu Shì</v>
      </c>
      <c r="N1136" s="15" t="str">
        <f>VLOOKUP(I1136,CHOOSE({1,2},Table17[Native],Table17[Name]),2,0)</f>
        <v>Zăozhuāng Shì</v>
      </c>
      <c r="O1136" s="15" t="str">
        <f t="shared" si="34"/>
        <v>Shannan Jiedao (Zăozhuāng Shì)</v>
      </c>
      <c r="P1136" s="15" t="str">
        <f t="shared" si="35"/>
        <v>Shannan Jiedao (Zăozhuāng Shì)</v>
      </c>
    </row>
    <row r="1137" spans="1:16" hidden="1" x14ac:dyDescent="0.25">
      <c r="A1137" t="s">
        <v>3225</v>
      </c>
      <c r="B1137" t="str">
        <f>IF(COUNTIF(A:A,A1137)&gt;1,_xlfn.CONCAT(A1137," (",N1137,")"),A1137)</f>
        <v>Shānqiándiàn Zhèn</v>
      </c>
      <c r="C1137" t="str">
        <f>IF(COUNTIF(B:B,B1137)&gt;1,_xlfn.CONCAT(A1137," (",M1137,")"),B1137)</f>
        <v>Shānqiándiàn Zhèn</v>
      </c>
      <c r="D1137" t="s">
        <v>3226</v>
      </c>
      <c r="E1137" t="s">
        <v>13</v>
      </c>
      <c r="F1137" t="str">
        <f>_xlfn.CONCAT(D1137,", ",H1137,", ",I1137,", ","山东省")</f>
        <v>山前店镇, 莱阳市, 烟台市, 山东省</v>
      </c>
      <c r="G1137">
        <v>27748</v>
      </c>
      <c r="H1137" t="s">
        <v>3775</v>
      </c>
      <c r="I1137" t="s">
        <v>3771</v>
      </c>
      <c r="J1137">
        <f>VLOOKUP(F1137,[1]!china_towns_second__2[[Column1]:[Y]],3,FALSE)</f>
        <v>37.019478721473199</v>
      </c>
      <c r="K1137">
        <f>VLOOKUP(F1137,[1]!china_towns_second__2[[Column1]:[Y]],2,FALSE)</f>
        <v>120.90617469999999</v>
      </c>
      <c r="L1137" t="s">
        <v>5967</v>
      </c>
      <c r="M1137" t="str">
        <f>VLOOKUP(H1137,CHOOSE({1,2},Table17[Native],Table17[Name]),2,0)</f>
        <v>Láiyáng Shì</v>
      </c>
      <c r="N1137" s="15" t="str">
        <f>VLOOKUP(I1137,CHOOSE({1,2},Table17[Native],Table17[Name]),2,0)</f>
        <v>Yāntái Shì</v>
      </c>
      <c r="O1137" s="15" t="str">
        <f t="shared" si="34"/>
        <v>Shanqiandian Zhen (Yāntái Shì)</v>
      </c>
      <c r="P1137" s="15" t="str">
        <f t="shared" si="35"/>
        <v>Shanqiandian Zhen (Yāntái Shì)</v>
      </c>
    </row>
    <row r="1138" spans="1:16" hidden="1" x14ac:dyDescent="0.25">
      <c r="A1138" t="s">
        <v>3565</v>
      </c>
      <c r="B1138" t="str">
        <f>IF(COUNTIF(A:A,A1138)&gt;1,_xlfn.CONCAT(A1138," (",N1138,")"),A1138)</f>
        <v>Shāntóu Jiēdào</v>
      </c>
      <c r="C1138" t="str">
        <f>IF(COUNTIF(B:B,B1138)&gt;1,_xlfn.CONCAT(A1138," (",M1138,")"),B1138)</f>
        <v>Shāntóu Jiēdào</v>
      </c>
      <c r="D1138" t="s">
        <v>3566</v>
      </c>
      <c r="E1138" t="s">
        <v>7</v>
      </c>
      <c r="F1138" t="str">
        <f>_xlfn.CONCAT(D1138,", ",H1138,", ",I1138,", ","山东省")</f>
        <v>山头街道, 博山区, 淄博市, 山东省</v>
      </c>
      <c r="G1138">
        <v>52688</v>
      </c>
      <c r="H1138" t="s">
        <v>3792</v>
      </c>
      <c r="I1138" t="s">
        <v>3791</v>
      </c>
      <c r="J1138">
        <f>VLOOKUP(F1138,[1]!china_towns_second__2[[Column1]:[Y]],3,FALSE)</f>
        <v>36.461578353441098</v>
      </c>
      <c r="K1138">
        <f>VLOOKUP(F1138,[1]!china_towns_second__2[[Column1]:[Y]],2,FALSE)</f>
        <v>117.8289719</v>
      </c>
      <c r="L1138" t="s">
        <v>5968</v>
      </c>
      <c r="M1138" t="str">
        <f>VLOOKUP(H1138,CHOOSE({1,2},Table17[Native],Table17[Name]),2,0)</f>
        <v>Bóshān Qū</v>
      </c>
      <c r="N1138" s="15" t="str">
        <f>VLOOKUP(I1138,CHOOSE({1,2},Table17[Native],Table17[Name]),2,0)</f>
        <v>Zībó Shì</v>
      </c>
      <c r="O1138" s="15" t="str">
        <f t="shared" si="34"/>
        <v>Shantou Jiedao (Zībó Shì)</v>
      </c>
      <c r="P1138" s="15" t="str">
        <f t="shared" si="35"/>
        <v>Shantou Jiedao (Zībó Shì)</v>
      </c>
    </row>
    <row r="1139" spans="1:16" hidden="1" x14ac:dyDescent="0.25">
      <c r="A1139" t="s">
        <v>2809</v>
      </c>
      <c r="B1139" t="str">
        <f>IF(COUNTIF(A:A,A1139)&gt;1,_xlfn.CONCAT(A1139," (",N1139,")"),A1139)</f>
        <v>Shānwàng Zhèn [Lónggăng Zhèn]</v>
      </c>
      <c r="C1139" t="str">
        <f>IF(COUNTIF(B:B,B1139)&gt;1,_xlfn.CONCAT(A1139," (",M1139,")"),B1139)</f>
        <v>Shānwàng Zhèn [Lónggăng Zhèn]</v>
      </c>
      <c r="D1139" t="s">
        <v>2810</v>
      </c>
      <c r="E1139" t="s">
        <v>13</v>
      </c>
      <c r="F1139" t="str">
        <f>_xlfn.CONCAT(D1139,", ",H1139,", ",I1139,", ","山东省")</f>
        <v>山旺镇, 临朐县, 潍坊市, 山东省</v>
      </c>
      <c r="G1139">
        <v>63195</v>
      </c>
      <c r="H1139" t="s">
        <v>3759</v>
      </c>
      <c r="I1139" t="s">
        <v>3751</v>
      </c>
      <c r="J1139">
        <f>VLOOKUP(F1139,[1]!china_towns_second__2[[Column1]:[Y]],3,FALSE)</f>
        <v>36.548591200660603</v>
      </c>
      <c r="K1139">
        <f>VLOOKUP(F1139,[1]!china_towns_second__2[[Column1]:[Y]],2,FALSE)</f>
        <v>118.6769024</v>
      </c>
      <c r="L1139" t="s">
        <v>5969</v>
      </c>
      <c r="M1139" t="str">
        <f>VLOOKUP(H1139,CHOOSE({1,2},Table17[Native],Table17[Name]),2,0)</f>
        <v>Línqú Xiàn</v>
      </c>
      <c r="N1139" s="15" t="str">
        <f>VLOOKUP(I1139,CHOOSE({1,2},Table17[Native],Table17[Name]),2,0)</f>
        <v>Wéifāng Shì</v>
      </c>
      <c r="O1139" s="15" t="str">
        <f t="shared" si="34"/>
        <v>Shanwang Zhen [Longgang Zhen] (Wéifāng Shì)</v>
      </c>
      <c r="P1139" s="15" t="str">
        <f t="shared" si="35"/>
        <v>Shanwang Zhen [Longgang Zhen] (Wéifāng Shì)</v>
      </c>
    </row>
    <row r="1140" spans="1:16" hidden="1" x14ac:dyDescent="0.25">
      <c r="A1140" t="s">
        <v>3567</v>
      </c>
      <c r="B1140" t="str">
        <f>IF(COUNTIF(A:A,A1140)&gt;1,_xlfn.CONCAT(A1140," (",N1140,")"),A1140)</f>
        <v>Shăohăi Jiēdào</v>
      </c>
      <c r="C1140" t="str">
        <f>IF(COUNTIF(B:B,B1140)&gt;1,_xlfn.CONCAT(A1140," (",M1140,")"),B1140)</f>
        <v>Shăohăi Jiēdào</v>
      </c>
      <c r="D1140" t="s">
        <v>3568</v>
      </c>
      <c r="E1140" t="s">
        <v>7</v>
      </c>
      <c r="F1140" t="str">
        <f>_xlfn.CONCAT(D1140,", ",H1140,", ",I1140,", ","山东省")</f>
        <v>少海街道, 桓台县, 淄博市, 山东省</v>
      </c>
      <c r="G1140">
        <v>87353</v>
      </c>
      <c r="H1140" t="s">
        <v>3794</v>
      </c>
      <c r="I1140" t="s">
        <v>3791</v>
      </c>
      <c r="J1140">
        <f>VLOOKUP(F1140,[1]!china_towns_second__2[[Column1]:[Y]],3,FALSE)</f>
        <v>36.954182301836802</v>
      </c>
      <c r="K1140">
        <f>VLOOKUP(F1140,[1]!china_towns_second__2[[Column1]:[Y]],2,FALSE)</f>
        <v>118.0836159</v>
      </c>
      <c r="L1140" t="s">
        <v>5970</v>
      </c>
      <c r="M1140" t="str">
        <f>VLOOKUP(H1140,CHOOSE({1,2},Table17[Native],Table17[Name]),2,0)</f>
        <v>Huántái Xiàn</v>
      </c>
      <c r="N1140" s="15" t="str">
        <f>VLOOKUP(I1140,CHOOSE({1,2},Table17[Native],Table17[Name]),2,0)</f>
        <v>Zībó Shì</v>
      </c>
      <c r="O1140" s="15" t="str">
        <f t="shared" si="34"/>
        <v>Shaohai Jiedao (Zībó Shì)</v>
      </c>
      <c r="P1140" s="15" t="str">
        <f t="shared" si="35"/>
        <v>Shaohai Jiedao (Zībó Shì)</v>
      </c>
    </row>
    <row r="1141" spans="1:16" hidden="1" x14ac:dyDescent="0.25">
      <c r="A1141" t="s">
        <v>2811</v>
      </c>
      <c r="B1141" t="str">
        <f>IF(COUNTIF(A:A,A1141)&gt;1,_xlfn.CONCAT(A1141," (",N1141,")"),A1141)</f>
        <v>Shàozhuāng Zhèn</v>
      </c>
      <c r="C1141" t="str">
        <f>IF(COUNTIF(B:B,B1141)&gt;1,_xlfn.CONCAT(A1141," (",M1141,")"),B1141)</f>
        <v>Shàozhuāng Zhèn</v>
      </c>
      <c r="D1141" t="s">
        <v>2812</v>
      </c>
      <c r="E1141" t="s">
        <v>13</v>
      </c>
      <c r="F1141" t="str">
        <f>_xlfn.CONCAT(D1141,", ",H1141,", ",I1141,", ","山东省")</f>
        <v>邵庄镇, 青州市, 潍坊市, 山东省</v>
      </c>
      <c r="G1141">
        <v>66728</v>
      </c>
      <c r="H1141" t="s">
        <v>3760</v>
      </c>
      <c r="I1141" t="s">
        <v>3751</v>
      </c>
      <c r="J1141">
        <f>VLOOKUP(F1141,[1]!china_towns_second__2[[Column1]:[Y]],3,FALSE)</f>
        <v>36.720701238125699</v>
      </c>
      <c r="K1141">
        <f>VLOOKUP(F1141,[1]!china_towns_second__2[[Column1]:[Y]],2,FALSE)</f>
        <v>118.3402483</v>
      </c>
      <c r="L1141" t="s">
        <v>5971</v>
      </c>
      <c r="M1141" t="str">
        <f>VLOOKUP(H1141,CHOOSE({1,2},Table17[Native],Table17[Name]),2,0)</f>
        <v>Qīngzhōu Shì</v>
      </c>
      <c r="N1141" s="15" t="str">
        <f>VLOOKUP(I1141,CHOOSE({1,2},Table17[Native],Table17[Name]),2,0)</f>
        <v>Wéifāng Shì</v>
      </c>
      <c r="O1141" s="15" t="str">
        <f t="shared" si="34"/>
        <v>Shaozhuang Zhen (Wéifāng Shì)</v>
      </c>
      <c r="P1141" s="15" t="str">
        <f t="shared" si="35"/>
        <v>Shaozhuang Zhen (Wéifāng Shì)</v>
      </c>
    </row>
    <row r="1142" spans="1:16" hidden="1" x14ac:dyDescent="0.25">
      <c r="A1142" t="s">
        <v>793</v>
      </c>
      <c r="B1142" t="str">
        <f>IF(COUNTIF(A:A,A1142)&gt;1,_xlfn.CONCAT(A1142," (",N1142,")"),A1142)</f>
        <v>Shātŭ Zhèn</v>
      </c>
      <c r="C1142" t="str">
        <f>IF(COUNTIF(B:B,B1142)&gt;1,_xlfn.CONCAT(A1142," (",M1142,")"),B1142)</f>
        <v>Shātŭ Zhèn</v>
      </c>
      <c r="D1142" t="s">
        <v>794</v>
      </c>
      <c r="E1142" t="s">
        <v>13</v>
      </c>
      <c r="F1142" t="str">
        <f>_xlfn.CONCAT(D1142,", ",H1142,", ",I1142,", ","山东省")</f>
        <v>沙土镇, 牡丹区, 菏泽市, 山东省</v>
      </c>
      <c r="G1142">
        <v>85006</v>
      </c>
      <c r="H1142" t="s">
        <v>3669</v>
      </c>
      <c r="I1142" t="s">
        <v>3662</v>
      </c>
      <c r="J1142">
        <f>VLOOKUP(F1142,[1]!china_towns_second__2[[Column1]:[Y]],3,FALSE)</f>
        <v>35.310537954679099</v>
      </c>
      <c r="K1142">
        <f>VLOOKUP(F1142,[1]!china_towns_second__2[[Column1]:[Y]],2,FALSE)</f>
        <v>115.7526518</v>
      </c>
      <c r="L1142" t="s">
        <v>5972</v>
      </c>
      <c r="M1142" t="str">
        <f>VLOOKUP(H1142,CHOOSE({1,2},Table17[Native],Table17[Name]),2,0)</f>
        <v>Mŭdān Qū</v>
      </c>
      <c r="N1142" s="15" t="str">
        <f>VLOOKUP(I1142,CHOOSE({1,2},Table17[Native],Table17[Name]),2,0)</f>
        <v>Hézé Shì</v>
      </c>
      <c r="O1142" s="15" t="str">
        <f t="shared" si="34"/>
        <v>Shatu Zhen (Hézé Shì)</v>
      </c>
      <c r="P1142" s="15" t="str">
        <f t="shared" si="35"/>
        <v>Shatu Zhen (Hézé Shì)</v>
      </c>
    </row>
    <row r="1143" spans="1:16" hidden="1" x14ac:dyDescent="0.25">
      <c r="A1143" t="s">
        <v>795</v>
      </c>
      <c r="B1143" t="str">
        <f>IF(COUNTIF(A:A,A1143)&gt;1,_xlfn.CONCAT(A1143," (",N1143,")"),A1143)</f>
        <v>Shāwō Zhèn</v>
      </c>
      <c r="C1143" t="str">
        <f>IF(COUNTIF(B:B,B1143)&gt;1,_xlfn.CONCAT(A1143," (",M1143,")"),B1143)</f>
        <v>Shāwō Zhèn</v>
      </c>
      <c r="D1143" t="s">
        <v>796</v>
      </c>
      <c r="E1143" t="s">
        <v>13</v>
      </c>
      <c r="F1143" t="str">
        <f>_xlfn.CONCAT(D1143,", ",H1143,", ",I1143,", ","山东省")</f>
        <v>沙窝镇, 东明县, 菏泽市, 山东省</v>
      </c>
      <c r="G1143">
        <v>63538</v>
      </c>
      <c r="H1143" t="s">
        <v>3666</v>
      </c>
      <c r="I1143" t="s">
        <v>3662</v>
      </c>
      <c r="J1143">
        <f>VLOOKUP(F1143,[1]!china_towns_second__2[[Column1]:[Y]],3,FALSE)</f>
        <v>35.256472167246102</v>
      </c>
      <c r="K1143">
        <f>VLOOKUP(F1143,[1]!china_towns_second__2[[Column1]:[Y]],2,FALSE)</f>
        <v>114.99792290000001</v>
      </c>
      <c r="L1143" t="s">
        <v>5973</v>
      </c>
      <c r="M1143" t="str">
        <f>VLOOKUP(H1143,CHOOSE({1,2},Table17[Native],Table17[Name]),2,0)</f>
        <v>Dōngmíng Xiàn</v>
      </c>
      <c r="N1143" s="15" t="str">
        <f>VLOOKUP(I1143,CHOOSE({1,2},Table17[Native],Table17[Name]),2,0)</f>
        <v>Hézé Shì</v>
      </c>
      <c r="O1143" s="15" t="str">
        <f t="shared" si="34"/>
        <v>Shawo Zhen (Hézé Shì)</v>
      </c>
      <c r="P1143" s="15" t="str">
        <f t="shared" si="35"/>
        <v>Shawo Zhen (Hézé Shì)</v>
      </c>
    </row>
    <row r="1144" spans="1:16" hidden="1" x14ac:dyDescent="0.25">
      <c r="A1144" t="s">
        <v>1686</v>
      </c>
      <c r="B1144" t="str">
        <f>IF(COUNTIF(A:A,A1144)&gt;1,_xlfn.CONCAT(A1144," (",N1144,")"),A1144)</f>
        <v>Shāzhèn Zhèn</v>
      </c>
      <c r="C1144" t="str">
        <f>IF(COUNTIF(B:B,B1144)&gt;1,_xlfn.CONCAT(A1144," (",M1144,")"),B1144)</f>
        <v>Shāzhèn Zhèn</v>
      </c>
      <c r="D1144" t="s">
        <v>1687</v>
      </c>
      <c r="E1144" t="s">
        <v>13</v>
      </c>
      <c r="F1144" t="str">
        <f>_xlfn.CONCAT(D1144,", ",H1144,", ",I1144,", ","山东省")</f>
        <v>沙镇镇, 东昌府区, 聊城市, 山东省</v>
      </c>
      <c r="G1144">
        <v>85731</v>
      </c>
      <c r="H1144" t="s">
        <v>3702</v>
      </c>
      <c r="I1144" t="s">
        <v>3700</v>
      </c>
      <c r="J1144">
        <f>VLOOKUP(F1144,[1]!china_towns_second__2[[Column1]:[Y]],3,FALSE)</f>
        <v>36.326100555048299</v>
      </c>
      <c r="K1144">
        <f>VLOOKUP(F1144,[1]!china_towns_second__2[[Column1]:[Y]],2,FALSE)</f>
        <v>115.7821879</v>
      </c>
      <c r="L1144" t="s">
        <v>5974</v>
      </c>
      <c r="M1144" t="str">
        <f>VLOOKUP(H1144,CHOOSE({1,2},Table17[Native],Table17[Name]),2,0)</f>
        <v>Dōngchāngfŭ Qū</v>
      </c>
      <c r="N1144" s="15" t="str">
        <f>VLOOKUP(I1144,CHOOSE({1,2},Table17[Native],Table17[Name]),2,0)</f>
        <v>Liáochéng Shì</v>
      </c>
      <c r="O1144" s="15" t="str">
        <f t="shared" si="34"/>
        <v>Shazhen Zhen (Liáochéng Shì)</v>
      </c>
      <c r="P1144" s="15" t="str">
        <f t="shared" si="35"/>
        <v>Shazhen Zhen (Liáochéng Shì)</v>
      </c>
    </row>
    <row r="1145" spans="1:16" hidden="1" x14ac:dyDescent="0.25">
      <c r="A1145" t="s">
        <v>2294</v>
      </c>
      <c r="B1145" t="str">
        <f>IF(COUNTIF(A:A,A1145)&gt;1,_xlfn.CONCAT(A1145," (",N1145,")"),A1145)</f>
        <v>Shāzikŏu Jiēdào</v>
      </c>
      <c r="C1145" t="str">
        <f>IF(COUNTIF(B:B,B1145)&gt;1,_xlfn.CONCAT(A1145," (",M1145,")"),B1145)</f>
        <v>Shāzikŏu Jiēdào</v>
      </c>
      <c r="D1145" t="s">
        <v>2295</v>
      </c>
      <c r="E1145" t="s">
        <v>7</v>
      </c>
      <c r="F1145" t="str">
        <f>_xlfn.CONCAT(D1145,", ",H1145,", ",I1145,", ","山东省")</f>
        <v>沙子口街道, 崂山区, 青岛市, 山东省</v>
      </c>
      <c r="G1145">
        <v>67876</v>
      </c>
      <c r="H1145" t="s">
        <v>3730</v>
      </c>
      <c r="I1145" t="s">
        <v>3724</v>
      </c>
      <c r="J1145">
        <f>VLOOKUP(F1145,[1]!china_towns_second__2[[Column1]:[Y]],3,FALSE)</f>
        <v>36.143295909955697</v>
      </c>
      <c r="K1145">
        <f>VLOOKUP(F1145,[1]!china_towns_second__2[[Column1]:[Y]],2,FALSE)</f>
        <v>120.568957</v>
      </c>
      <c r="L1145" t="s">
        <v>5975</v>
      </c>
      <c r="M1145" t="str">
        <f>VLOOKUP(H1145,CHOOSE({1,2},Table17[Native],Table17[Name]),2,0)</f>
        <v>Láoshān Qū</v>
      </c>
      <c r="N1145" s="15" t="str">
        <f>VLOOKUP(I1145,CHOOSE({1,2},Table17[Native],Table17[Name]),2,0)</f>
        <v>Qīngdăo Shì</v>
      </c>
      <c r="O1145" s="15" t="str">
        <f t="shared" si="34"/>
        <v>Shazikou Jiedao (Qīngdăo Shì)</v>
      </c>
      <c r="P1145" s="15" t="str">
        <f t="shared" si="35"/>
        <v>Shazikou Jiedao (Qīngdăo Shì)</v>
      </c>
    </row>
    <row r="1146" spans="1:16" hidden="1" x14ac:dyDescent="0.25">
      <c r="A1146" t="s">
        <v>141</v>
      </c>
      <c r="B1146" t="str">
        <f>IF(COUNTIF(A:A,A1146)&gt;1,_xlfn.CONCAT(A1146," (",N1146,")"),A1146)</f>
        <v>Shéjiā Zhèn [Shéjiāxiàng Xiāng]</v>
      </c>
      <c r="C1146" t="str">
        <f>IF(COUNTIF(B:B,B1146)&gt;1,_xlfn.CONCAT(A1146," (",M1146,")"),B1146)</f>
        <v>Shéjiā Zhèn [Shéjiāxiàng Xiāng]</v>
      </c>
      <c r="D1146" t="s">
        <v>142</v>
      </c>
      <c r="E1146" t="s">
        <v>13</v>
      </c>
      <c r="F1146" t="str">
        <f>_xlfn.CONCAT(D1146,", ",H1146,", ",I1146,", ","山东省")</f>
        <v>佘家镇, 无棣县, 滨州市, 山东省</v>
      </c>
      <c r="G1146">
        <v>28720</v>
      </c>
      <c r="H1146" t="s">
        <v>3636</v>
      </c>
      <c r="I1146" t="s">
        <v>3630</v>
      </c>
      <c r="J1146">
        <f>VLOOKUP(F1146,[1]!china_towns_second__2[[Column1]:[Y]],3,FALSE)</f>
        <v>37.793037457394803</v>
      </c>
      <c r="K1146">
        <f>VLOOKUP(F1146,[1]!china_towns_second__2[[Column1]:[Y]],2,FALSE)</f>
        <v>117.84131379999999</v>
      </c>
      <c r="L1146" t="s">
        <v>5976</v>
      </c>
      <c r="M1146" t="str">
        <f>VLOOKUP(H1146,CHOOSE({1,2},Table17[Native],Table17[Name]),2,0)</f>
        <v>Wúdì Xiàn</v>
      </c>
      <c r="N1146" s="15" t="str">
        <f>VLOOKUP(I1146,CHOOSE({1,2},Table17[Native],Table17[Name]),2,0)</f>
        <v>Bīnzhōu Shì</v>
      </c>
      <c r="O1146" s="15" t="str">
        <f t="shared" si="34"/>
        <v>Shejia Zhen [Shejiaxiang Xiang] (Bīnzhōu Shì)</v>
      </c>
      <c r="P1146" s="15" t="str">
        <f t="shared" si="35"/>
        <v>Shejia Zhen [Shejiaxiang Xiang] (Bīnzhōu Shì)</v>
      </c>
    </row>
    <row r="1147" spans="1:16" hidden="1" x14ac:dyDescent="0.25">
      <c r="A1147" t="s">
        <v>2813</v>
      </c>
      <c r="B1147" t="str">
        <f>IF(COUNTIF(A:A,A1147)&gt;1,_xlfn.CONCAT(A1147," (",N1147,")"),A1147)</f>
        <v>Shèngchéng Jiēdào</v>
      </c>
      <c r="C1147" t="str">
        <f>IF(COUNTIF(B:B,B1147)&gt;1,_xlfn.CONCAT(A1147," (",M1147,")"),B1147)</f>
        <v>Shèngchéng Jiēdào</v>
      </c>
      <c r="D1147" t="s">
        <v>2814</v>
      </c>
      <c r="E1147" t="s">
        <v>7</v>
      </c>
      <c r="F1147" t="str">
        <f>_xlfn.CONCAT(D1147,", ",H1147,", ",I1147,", ","山东省")</f>
        <v>圣城街道, 寿光市, 潍坊市, 山东省</v>
      </c>
      <c r="G1147">
        <v>251384</v>
      </c>
      <c r="H1147" t="s">
        <v>3761</v>
      </c>
      <c r="I1147" t="s">
        <v>3751</v>
      </c>
      <c r="J1147">
        <f>VLOOKUP(F1147,[1]!china_towns_second__2[[Column1]:[Y]],3,FALSE)</f>
        <v>36.871279413525301</v>
      </c>
      <c r="K1147">
        <f>VLOOKUP(F1147,[1]!china_towns_second__2[[Column1]:[Y]],2,FALSE)</f>
        <v>118.75013439999999</v>
      </c>
      <c r="L1147" t="s">
        <v>5977</v>
      </c>
      <c r="M1147" t="str">
        <f>VLOOKUP(H1147,CHOOSE({1,2},Table17[Native],Table17[Name]),2,0)</f>
        <v>Shòuguāng Shì</v>
      </c>
      <c r="N1147" s="15" t="str">
        <f>VLOOKUP(I1147,CHOOSE({1,2},Table17[Native],Table17[Name]),2,0)</f>
        <v>Wéifāng Shì</v>
      </c>
      <c r="O1147" s="15" t="str">
        <f t="shared" si="34"/>
        <v>Shengcheng Jiedao (Wéifāng Shì)</v>
      </c>
      <c r="P1147" s="15" t="str">
        <f t="shared" si="35"/>
        <v>Shengcheng Jiedao (Wéifāng Shì)</v>
      </c>
    </row>
    <row r="1148" spans="1:16" hidden="1" x14ac:dyDescent="0.25">
      <c r="A1148" t="s">
        <v>1104</v>
      </c>
      <c r="B1148" t="str">
        <f>IF(COUNTIF(A:A,A1148)&gt;1,_xlfn.CONCAT(A1148," (",N1148,")"),A1148)</f>
        <v>Shèngjĭng Jiēdào</v>
      </c>
      <c r="C1148" t="str">
        <f>IF(COUNTIF(B:B,B1148)&gt;1,_xlfn.CONCAT(A1148," (",M1148,")"),B1148)</f>
        <v>Shèngjĭng Jiēdào</v>
      </c>
      <c r="D1148" t="s">
        <v>1105</v>
      </c>
      <c r="E1148" t="s">
        <v>7</v>
      </c>
      <c r="F1148" t="str">
        <f>_xlfn.CONCAT(D1148,", ",H1148,", ",I1148,", ","山东省")</f>
        <v>圣井街道, 章丘区, 济南市, 山东省</v>
      </c>
      <c r="G1148">
        <v>42626</v>
      </c>
      <c r="H1148" t="s">
        <v>3685</v>
      </c>
      <c r="I1148" t="s">
        <v>3673</v>
      </c>
      <c r="J1148">
        <f>VLOOKUP(F1148,[1]!china_towns_second__2[[Column1]:[Y]],3,FALSE)</f>
        <v>36.680007951447003</v>
      </c>
      <c r="K1148">
        <f>VLOOKUP(F1148,[1]!china_towns_second__2[[Column1]:[Y]],2,FALSE)</f>
        <v>117.4054254</v>
      </c>
      <c r="L1148" t="s">
        <v>5978</v>
      </c>
      <c r="M1148" t="str">
        <f>VLOOKUP(H1148,CHOOSE({1,2},Table17[Native],Table17[Name]),2,0)</f>
        <v>Zhāngqiū Qū</v>
      </c>
      <c r="N1148" s="15" t="str">
        <f>VLOOKUP(I1148,CHOOSE({1,2},Table17[Native],Table17[Name]),2,0)</f>
        <v>Jìnán Shì</v>
      </c>
      <c r="O1148" s="15" t="str">
        <f t="shared" si="34"/>
        <v>Shengjing Jiedao (Jìnán Shì)</v>
      </c>
      <c r="P1148" s="15" t="str">
        <f t="shared" si="35"/>
        <v>Shengjing Jiedao (Jìnán Shì)</v>
      </c>
    </row>
    <row r="1149" spans="1:16" hidden="1" x14ac:dyDescent="0.25">
      <c r="A1149" t="s">
        <v>547</v>
      </c>
      <c r="B1149" t="str">
        <f>IF(COUNTIF(A:A,A1149)&gt;1,_xlfn.CONCAT(A1149," (",N1149,")"),A1149)</f>
        <v>Shènglì Jiēdào</v>
      </c>
      <c r="C1149" t="str">
        <f>IF(COUNTIF(B:B,B1149)&gt;1,_xlfn.CONCAT(A1149," (",M1149,")"),B1149)</f>
        <v>Shènglì Jiēdào</v>
      </c>
      <c r="D1149" t="s">
        <v>548</v>
      </c>
      <c r="E1149" t="s">
        <v>7</v>
      </c>
      <c r="F1149" t="str">
        <f>_xlfn.CONCAT(D1149,", ",H1149,", ",I1149,", ","山东省")</f>
        <v>胜利街道, 东营区, 东营市, 山东省</v>
      </c>
      <c r="G1149">
        <v>122650</v>
      </c>
      <c r="H1149" t="s">
        <v>3656</v>
      </c>
      <c r="I1149" t="s">
        <v>3655</v>
      </c>
      <c r="J1149">
        <f>VLOOKUP(F1149,[1]!china_towns_second__2[[Column1]:[Y]],3,FALSE)</f>
        <v>37.468140250667098</v>
      </c>
      <c r="K1149">
        <f>VLOOKUP(F1149,[1]!china_towns_second__2[[Column1]:[Y]],2,FALSE)</f>
        <v>118.71758490000001</v>
      </c>
      <c r="L1149" t="s">
        <v>5979</v>
      </c>
      <c r="M1149" t="str">
        <f>VLOOKUP(H1149,CHOOSE({1,2},Table17[Native],Table17[Name]),2,0)</f>
        <v>Dōngyíng Qū</v>
      </c>
      <c r="N1149" s="15" t="str">
        <f>VLOOKUP(I1149,CHOOSE({1,2},Table17[Native],Table17[Name]),2,0)</f>
        <v>Dōngyíng Shì</v>
      </c>
      <c r="O1149" s="15" t="str">
        <f t="shared" si="34"/>
        <v>Shengli Jiedao (Dōngyíng Shì)</v>
      </c>
      <c r="P1149" s="15" t="str">
        <f t="shared" si="35"/>
        <v>Shengli Jiedao (Dōngyíng Shì)</v>
      </c>
    </row>
    <row r="1150" spans="1:16" hidden="1" x14ac:dyDescent="0.25">
      <c r="A1150" t="s">
        <v>1988</v>
      </c>
      <c r="B1150" t="str">
        <f>IF(COUNTIF(A:A,A1150)&gt;1,_xlfn.CONCAT(A1150," (",N1150,")"),A1150)</f>
        <v>Shènglì Zhèn</v>
      </c>
      <c r="C1150" t="str">
        <f>IF(COUNTIF(B:B,B1150)&gt;1,_xlfn.CONCAT(A1150," (",M1150,")"),B1150)</f>
        <v>Shènglì Zhèn</v>
      </c>
      <c r="D1150" t="s">
        <v>1989</v>
      </c>
      <c r="E1150" t="s">
        <v>13</v>
      </c>
      <c r="F1150" t="str">
        <f>_xlfn.CONCAT(D1150,", ",H1150,", ",I1150,", ","山东省")</f>
        <v>胜利镇, 郯城县, 临沂市, 山东省</v>
      </c>
      <c r="G1150">
        <v>41376</v>
      </c>
      <c r="H1150" t="s">
        <v>3720</v>
      </c>
      <c r="I1150" t="s">
        <v>3710</v>
      </c>
      <c r="J1150">
        <f>VLOOKUP(F1150,[1]!china_towns_second__2[[Column1]:[Y]],3,FALSE)</f>
        <v>34.685704486312098</v>
      </c>
      <c r="K1150">
        <f>VLOOKUP(F1150,[1]!china_towns_second__2[[Column1]:[Y]],2,FALSE)</f>
        <v>118.23377790000001</v>
      </c>
      <c r="L1150" t="s">
        <v>5980</v>
      </c>
      <c r="M1150" t="str">
        <f>VLOOKUP(H1150,CHOOSE({1,2},Table17[Native],Table17[Name]),2,0)</f>
        <v>Tánchéng Xiàn</v>
      </c>
      <c r="N1150" s="15" t="str">
        <f>VLOOKUP(I1150,CHOOSE({1,2},Table17[Native],Table17[Name]),2,0)</f>
        <v>Línyí Shì</v>
      </c>
      <c r="O1150" s="15" t="str">
        <f t="shared" si="34"/>
        <v>Shengli Zhen (Línyí Shì)</v>
      </c>
      <c r="P1150" s="15" t="str">
        <f t="shared" si="35"/>
        <v>Shengli Zhen (Línyí Shì)</v>
      </c>
    </row>
    <row r="1151" spans="1:16" hidden="1" x14ac:dyDescent="0.25">
      <c r="A1151" t="s">
        <v>1402</v>
      </c>
      <c r="B1151" t="str">
        <f>IF(COUNTIF(A:A,A1151)&gt;1,_xlfn.CONCAT(A1151," (",N1151,")"),A1151)</f>
        <v>Shèngshuĭyù Zhèn</v>
      </c>
      <c r="C1151" t="str">
        <f>IF(COUNTIF(B:B,B1151)&gt;1,_xlfn.CONCAT(A1151," (",M1151,")"),B1151)</f>
        <v>Shèngshuĭyù Zhèn</v>
      </c>
      <c r="D1151" t="s">
        <v>1403</v>
      </c>
      <c r="E1151" t="s">
        <v>13</v>
      </c>
      <c r="F1151" t="str">
        <f>_xlfn.CONCAT(D1151,", ",H1151,", ",I1151,", ","山东省")</f>
        <v>圣水峪镇, 泗水县, 济宁市, 山东省</v>
      </c>
      <c r="G1151">
        <v>37335</v>
      </c>
      <c r="H1151" t="s">
        <v>3693</v>
      </c>
      <c r="I1151" t="s">
        <v>3687</v>
      </c>
      <c r="J1151">
        <f>VLOOKUP(F1151,[1]!china_towns_second__2[[Column1]:[Y]],3,FALSE)</f>
        <v>35.5352772421694</v>
      </c>
      <c r="K1151">
        <f>VLOOKUP(F1151,[1]!china_towns_second__2[[Column1]:[Y]],2,FALSE)</f>
        <v>117.2804795</v>
      </c>
      <c r="L1151" t="s">
        <v>5981</v>
      </c>
      <c r="M1151" t="str">
        <f>VLOOKUP(H1151,CHOOSE({1,2},Table17[Native],Table17[Name]),2,0)</f>
        <v>Sìshuĭ Xiàn</v>
      </c>
      <c r="N1151" s="15" t="str">
        <f>VLOOKUP(I1151,CHOOSE({1,2},Table17[Native],Table17[Name]),2,0)</f>
        <v>Jìníng Shì</v>
      </c>
      <c r="O1151" s="15" t="str">
        <f t="shared" si="34"/>
        <v>Shengshuiyu Zhen (Jìníng Shì)</v>
      </c>
      <c r="P1151" s="15" t="str">
        <f t="shared" si="35"/>
        <v>Shengshuiyu Zhen (Jìníng Shì)</v>
      </c>
    </row>
    <row r="1152" spans="1:16" hidden="1" x14ac:dyDescent="0.25">
      <c r="A1152" t="s">
        <v>549</v>
      </c>
      <c r="B1152" t="str">
        <f>IF(COUNTIF(A:A,A1152)&gt;1,_xlfn.CONCAT(A1152," (",N1152,")"),A1152)</f>
        <v>Shèngtuó Zhèn</v>
      </c>
      <c r="C1152" t="str">
        <f>IF(COUNTIF(B:B,B1152)&gt;1,_xlfn.CONCAT(A1152," (",M1152,")"),B1152)</f>
        <v>Shèngtuó Zhèn</v>
      </c>
      <c r="D1152" t="s">
        <v>550</v>
      </c>
      <c r="E1152" t="s">
        <v>13</v>
      </c>
      <c r="F1152" t="str">
        <f>_xlfn.CONCAT(D1152,", ",H1152,", ",I1152,", ","山东省")</f>
        <v>胜坨镇, 垦利区, 东营市, 山东省</v>
      </c>
      <c r="G1152">
        <v>57109</v>
      </c>
      <c r="H1152" t="s">
        <v>3659</v>
      </c>
      <c r="I1152" t="s">
        <v>3655</v>
      </c>
      <c r="J1152">
        <f>VLOOKUP(F1152,[1]!china_towns_second__2[[Column1]:[Y]],3,FALSE)</f>
        <v>37.5539664345063</v>
      </c>
      <c r="K1152">
        <f>VLOOKUP(F1152,[1]!china_towns_second__2[[Column1]:[Y]],2,FALSE)</f>
        <v>118.4053083</v>
      </c>
      <c r="L1152" t="s">
        <v>5982</v>
      </c>
      <c r="M1152" t="str">
        <f>VLOOKUP(H1152,CHOOSE({1,2},Table17[Native],Table17[Name]),2,0)</f>
        <v>Kĕnlì Qū</v>
      </c>
      <c r="N1152" s="15" t="str">
        <f>VLOOKUP(I1152,CHOOSE({1,2},Table17[Native],Table17[Name]),2,0)</f>
        <v>Dōngyíng Shì</v>
      </c>
      <c r="O1152" s="15" t="str">
        <f t="shared" si="34"/>
        <v>Shengtuo Zhen (Dōngyíng Shì)</v>
      </c>
      <c r="P1152" s="15" t="str">
        <f t="shared" si="35"/>
        <v>Shengtuo Zhen (Dōngyíng Shì)</v>
      </c>
    </row>
    <row r="1153" spans="1:16" hidden="1" x14ac:dyDescent="0.25">
      <c r="A1153" t="s">
        <v>551</v>
      </c>
      <c r="B1153" t="str">
        <f>IF(COUNTIF(A:A,A1153)&gt;1,_xlfn.CONCAT(A1153," (",N1153,")"),A1153)</f>
        <v>Shèngyuán Jiēdào</v>
      </c>
      <c r="C1153" t="str">
        <f>IF(COUNTIF(B:B,B1153)&gt;1,_xlfn.CONCAT(A1153," (",M1153,")"),B1153)</f>
        <v>Shèngyuán Jiēdào</v>
      </c>
      <c r="D1153" t="s">
        <v>552</v>
      </c>
      <c r="E1153" t="s">
        <v>7</v>
      </c>
      <c r="F1153" t="str">
        <f>_xlfn.CONCAT(D1153,", ",H1153,", ",I1153,", ","山东省")</f>
        <v>胜园街道, 东营区, 东营市, 山东省</v>
      </c>
      <c r="G1153">
        <v>18361</v>
      </c>
      <c r="H1153" t="s">
        <v>3656</v>
      </c>
      <c r="I1153" t="s">
        <v>3655</v>
      </c>
      <c r="J1153">
        <f>VLOOKUP(F1153,[1]!china_towns_second__2[[Column1]:[Y]],3,FALSE)</f>
        <v>37.405318561042797</v>
      </c>
      <c r="K1153">
        <f>VLOOKUP(F1153,[1]!china_towns_second__2[[Column1]:[Y]],2,FALSE)</f>
        <v>118.456255</v>
      </c>
      <c r="L1153" t="s">
        <v>5983</v>
      </c>
      <c r="M1153" t="str">
        <f>VLOOKUP(H1153,CHOOSE({1,2},Table17[Native],Table17[Name]),2,0)</f>
        <v>Dōngyíng Qū</v>
      </c>
      <c r="N1153" s="15" t="str">
        <f>VLOOKUP(I1153,CHOOSE({1,2},Table17[Native],Table17[Name]),2,0)</f>
        <v>Dōngyíng Shì</v>
      </c>
      <c r="O1153" s="15" t="str">
        <f t="shared" si="34"/>
        <v>Shengyuan Jiedao (Dōngyíng Shì)</v>
      </c>
      <c r="P1153" s="15" t="str">
        <f t="shared" si="35"/>
        <v>Shengyuan Jiedao (Dōngyíng Shì)</v>
      </c>
    </row>
    <row r="1154" spans="1:16" hidden="1" x14ac:dyDescent="0.25">
      <c r="A1154" t="s">
        <v>1990</v>
      </c>
      <c r="B1154" t="str">
        <f>IF(COUNTIF(A:A,A1154)&gt;1,_xlfn.CONCAT(A1154," (",N1154,")"),A1154)</f>
        <v>Shèngzhuāng Jiēdào [incl. Shuāngyuèhú Jiēdào]</v>
      </c>
      <c r="C1154" t="str">
        <f>IF(COUNTIF(B:B,B1154)&gt;1,_xlfn.CONCAT(A1154," (",M1154,")"),B1154)</f>
        <v>Shèngzhuāng Jiēdào [incl. Shuāngyuèhú Jiēdào]</v>
      </c>
      <c r="D1154" t="s">
        <v>1991</v>
      </c>
      <c r="E1154" t="s">
        <v>7</v>
      </c>
      <c r="F1154" t="str">
        <f>_xlfn.CONCAT(D1154,", ",H1154,", ",I1154,", ","山东省")</f>
        <v>盛庄街道, 罗庄区, 临沂市, 山东省</v>
      </c>
      <c r="G1154">
        <v>144708</v>
      </c>
      <c r="H1154" t="s">
        <v>3717</v>
      </c>
      <c r="I1154" t="s">
        <v>3710</v>
      </c>
      <c r="J1154">
        <f>VLOOKUP(F1154,[1]!china_towns_second__2[[Column1]:[Y]],3,FALSE)</f>
        <v>35.009998357813402</v>
      </c>
      <c r="K1154">
        <f>VLOOKUP(F1154,[1]!china_towns_second__2[[Column1]:[Y]],2,FALSE)</f>
        <v>118.3069653</v>
      </c>
      <c r="L1154" t="s">
        <v>5984</v>
      </c>
      <c r="M1154" t="str">
        <f>VLOOKUP(H1154,CHOOSE({1,2},Table17[Native],Table17[Name]),2,0)</f>
        <v>Luózhuāng Qū</v>
      </c>
      <c r="N1154" s="15" t="str">
        <f>VLOOKUP(I1154,CHOOSE({1,2},Table17[Native],Table17[Name]),2,0)</f>
        <v>Línyí Shì</v>
      </c>
      <c r="O1154" s="15" t="str">
        <f t="shared" ref="O1154:O1217" si="36">_xlfn.CONCAT(L1154," (",N1154,")")</f>
        <v>Shengzhuang Jiedao [incl. Shuangyuehu Jiedao] (Línyí Shì)</v>
      </c>
      <c r="P1154" s="15" t="str">
        <f t="shared" ref="P1154:P1217" si="37">IF(COUNTIF(O:O,O1154)&gt;1,_xlfn.CONCAT(L1154," (",M1154,")"),O1154)</f>
        <v>Shengzhuang Jiedao [incl. Shuangyuehu Jiedao] (Línyí Shì)</v>
      </c>
    </row>
    <row r="1155" spans="1:16" hidden="1" x14ac:dyDescent="0.25">
      <c r="A1155" t="s">
        <v>2607</v>
      </c>
      <c r="B1155" t="str">
        <f>IF(COUNTIF(A:A,A1155)&gt;1,_xlfn.CONCAT(A1155," (",N1155,")"),A1155)</f>
        <v>Shĕngzhuāng Zhèn</v>
      </c>
      <c r="C1155" t="str">
        <f>IF(COUNTIF(B:B,B1155)&gt;1,_xlfn.CONCAT(A1155," (",M1155,")"),B1155)</f>
        <v>Shĕngzhuāng Zhèn</v>
      </c>
      <c r="D1155" t="s">
        <v>2608</v>
      </c>
      <c r="E1155" t="s">
        <v>13</v>
      </c>
      <c r="F1155" t="str">
        <f>_xlfn.CONCAT(D1155,", ",H1155,", ",I1155,", ","山东省")</f>
        <v>省庄镇, 泰山区, 泰安市, 山东省</v>
      </c>
      <c r="G1155">
        <v>62541</v>
      </c>
      <c r="H1155" t="s">
        <v>3748</v>
      </c>
      <c r="I1155" t="s">
        <v>3743</v>
      </c>
      <c r="J1155">
        <f>VLOOKUP(F1155,[1]!china_towns_second__2[[Column1]:[Y]],3,FALSE)</f>
        <v>36.197113466913201</v>
      </c>
      <c r="K1155">
        <f>VLOOKUP(F1155,[1]!china_towns_second__2[[Column1]:[Y]],2,FALSE)</f>
        <v>117.2026912</v>
      </c>
      <c r="L1155" t="s">
        <v>5985</v>
      </c>
      <c r="M1155" t="str">
        <f>VLOOKUP(H1155,CHOOSE({1,2},Table17[Native],Table17[Name]),2,0)</f>
        <v>Tàishān Qū</v>
      </c>
      <c r="N1155" s="15" t="str">
        <f>VLOOKUP(I1155,CHOOSE({1,2},Table17[Native],Table17[Name]),2,0)</f>
        <v>Tài'ān Shì</v>
      </c>
      <c r="O1155" s="15" t="str">
        <f t="shared" si="36"/>
        <v>Shengzhuang Zhen (Tài'ān Shì)</v>
      </c>
      <c r="P1155" s="15" t="str">
        <f t="shared" si="37"/>
        <v>Shengzhuang Zhen (Tài'ān Shì)</v>
      </c>
    </row>
    <row r="1156" spans="1:16" hidden="1" x14ac:dyDescent="0.25">
      <c r="A1156" t="s">
        <v>1992</v>
      </c>
      <c r="B1156" t="str">
        <f>IF(COUNTIF(A:A,A1156)&gt;1,_xlfn.CONCAT(A1156," (",N1156,")"),A1156)</f>
        <v>Shénshān Zhèn</v>
      </c>
      <c r="C1156" t="str">
        <f>IF(COUNTIF(B:B,B1156)&gt;1,_xlfn.CONCAT(A1156," (",M1156,")"),B1156)</f>
        <v>Shénshān Zhèn</v>
      </c>
      <c r="D1156" t="s">
        <v>1993</v>
      </c>
      <c r="E1156" t="s">
        <v>13</v>
      </c>
      <c r="F1156" t="str">
        <f>_xlfn.CONCAT(D1156,", ",H1156,", ",I1156,", ","山东省")</f>
        <v>神山镇, 兰陵县, 临沂市, 山东省</v>
      </c>
      <c r="G1156">
        <v>51874</v>
      </c>
      <c r="H1156" t="s">
        <v>3714</v>
      </c>
      <c r="I1156" t="s">
        <v>3710</v>
      </c>
      <c r="J1156">
        <f>VLOOKUP(F1156,[1]!china_towns_second__2[[Column1]:[Y]],3,FALSE)</f>
        <v>34.876184225460896</v>
      </c>
      <c r="K1156">
        <f>VLOOKUP(F1156,[1]!china_towns_second__2[[Column1]:[Y]],2,FALSE)</f>
        <v>118.1671463</v>
      </c>
      <c r="L1156" t="s">
        <v>5986</v>
      </c>
      <c r="M1156" t="str">
        <f>VLOOKUP(H1156,CHOOSE({1,2},Table17[Native],Table17[Name]),2,0)</f>
        <v>Lánlíng Xiàn</v>
      </c>
      <c r="N1156" s="15" t="str">
        <f>VLOOKUP(I1156,CHOOSE({1,2},Table17[Native],Table17[Name]),2,0)</f>
        <v>Línyí Shì</v>
      </c>
      <c r="O1156" s="15" t="str">
        <f t="shared" si="36"/>
        <v>Shenshan Zhen (Línyí Shì)</v>
      </c>
      <c r="P1156" s="15" t="str">
        <f t="shared" si="37"/>
        <v>Shenshan Zhen (Línyí Shì)</v>
      </c>
    </row>
    <row r="1157" spans="1:16" hidden="1" x14ac:dyDescent="0.25">
      <c r="A1157" t="s">
        <v>358</v>
      </c>
      <c r="B1157" t="str">
        <f>IF(COUNTIF(A:A,A1157)&gt;1,_xlfn.CONCAT(A1157," (",N1157,")"),A1157)</f>
        <v>Shéntóu Zhèn</v>
      </c>
      <c r="C1157" t="str">
        <f>IF(COUNTIF(B:B,B1157)&gt;1,_xlfn.CONCAT(A1157," (",M1157,")"),B1157)</f>
        <v>Shéntóu Zhèn</v>
      </c>
      <c r="D1157" t="s">
        <v>359</v>
      </c>
      <c r="E1157" t="s">
        <v>13</v>
      </c>
      <c r="F1157" t="str">
        <f>_xlfn.CONCAT(D1157,", ",H1157,", ",I1157,", ","山东省")</f>
        <v>神头镇, 陵城区, 德州市, 山东省</v>
      </c>
      <c r="G1157">
        <v>51497</v>
      </c>
      <c r="H1157" t="s">
        <v>3645</v>
      </c>
      <c r="I1157" t="s">
        <v>3642</v>
      </c>
      <c r="J1157">
        <f>VLOOKUP(F1157,[1]!china_towns_second__2[[Column1]:[Y]],3,FALSE)</f>
        <v>37.388021988324603</v>
      </c>
      <c r="K1157">
        <f>VLOOKUP(F1157,[1]!china_towns_second__2[[Column1]:[Y]],2,FALSE)</f>
        <v>116.71434410000001</v>
      </c>
      <c r="L1157" t="s">
        <v>5987</v>
      </c>
      <c r="M1157" t="str">
        <f>VLOOKUP(H1157,CHOOSE({1,2},Table17[Native],Table17[Name]),2,0)</f>
        <v>Língchéng Qū</v>
      </c>
      <c r="N1157" s="15" t="str">
        <f>VLOOKUP(I1157,CHOOSE({1,2},Table17[Native],Table17[Name]),2,0)</f>
        <v>Dézhōu Shì</v>
      </c>
      <c r="O1157" s="15" t="str">
        <f t="shared" si="36"/>
        <v>Shentou Zhen (Dézhōu Shì)</v>
      </c>
      <c r="P1157" s="15" t="str">
        <f t="shared" si="37"/>
        <v>Shentou Zhen (Dézhōu Shì)</v>
      </c>
    </row>
    <row r="1158" spans="1:16" hidden="1" x14ac:dyDescent="0.25">
      <c r="A1158" t="s">
        <v>3227</v>
      </c>
      <c r="B1158" t="str">
        <f>IF(COUNTIF(A:A,A1158)&gt;1,_xlfn.CONCAT(A1158," (",N1158,")"),A1158)</f>
        <v>Shéwōbó Zhèn</v>
      </c>
      <c r="C1158" t="str">
        <f>IF(COUNTIF(B:B,B1158)&gt;1,_xlfn.CONCAT(A1158," (",M1158,")"),B1158)</f>
        <v>Shéwōbó Zhèn</v>
      </c>
      <c r="D1158" t="s">
        <v>3228</v>
      </c>
      <c r="E1158" t="s">
        <v>13</v>
      </c>
      <c r="F1158" t="str">
        <f>_xlfn.CONCAT(D1158,", ",H1158,", ",I1158,", ","山东省")</f>
        <v>蛇窝泊镇, 栖霞市, 烟台市, 山东省</v>
      </c>
      <c r="G1158">
        <v>58162</v>
      </c>
      <c r="H1158" t="s">
        <v>3780</v>
      </c>
      <c r="I1158" t="s">
        <v>3771</v>
      </c>
      <c r="J1158">
        <f>VLOOKUP(F1158,[1]!china_towns_second__2[[Column1]:[Y]],3,FALSE)</f>
        <v>37.180492300887899</v>
      </c>
      <c r="K1158">
        <f>VLOOKUP(F1158,[1]!china_towns_second__2[[Column1]:[Y]],2,FALSE)</f>
        <v>120.8969905</v>
      </c>
      <c r="L1158" t="s">
        <v>5988</v>
      </c>
      <c r="M1158" t="str">
        <f>VLOOKUP(H1158,CHOOSE({1,2},Table17[Native],Table17[Name]),2,0)</f>
        <v>Qīxiá Shì</v>
      </c>
      <c r="N1158" s="15" t="str">
        <f>VLOOKUP(I1158,CHOOSE({1,2},Table17[Native],Table17[Name]),2,0)</f>
        <v>Yāntái Shì</v>
      </c>
      <c r="O1158" s="15" t="str">
        <f t="shared" si="36"/>
        <v>Shewobo Zhen (Yāntái Shì)</v>
      </c>
      <c r="P1158" s="15" t="str">
        <f t="shared" si="37"/>
        <v>Shewobo Zhen (Yāntái Shì)</v>
      </c>
    </row>
    <row r="1159" spans="1:16" hidden="1" x14ac:dyDescent="0.25">
      <c r="A1159" t="s">
        <v>1688</v>
      </c>
      <c r="B1159" t="str">
        <f>IF(COUNTIF(A:A,A1159)&gt;1,_xlfn.CONCAT(A1159," (",N1159,")"),A1159)</f>
        <v>Shíbālĭpū Zhèn</v>
      </c>
      <c r="C1159" t="str">
        <f>IF(COUNTIF(B:B,B1159)&gt;1,_xlfn.CONCAT(A1159," (",M1159,")"),B1159)</f>
        <v>Shíbālĭpū Zhèn</v>
      </c>
      <c r="D1159" t="s">
        <v>1689</v>
      </c>
      <c r="E1159" t="s">
        <v>13</v>
      </c>
      <c r="F1159" t="str">
        <f>_xlfn.CONCAT(D1159,", ",H1159,", ",I1159,", ","山东省")</f>
        <v>十八里铺镇, 莘县, 聊城市, 山东省</v>
      </c>
      <c r="G1159">
        <v>39251</v>
      </c>
      <c r="H1159" t="s">
        <v>3707</v>
      </c>
      <c r="I1159" t="s">
        <v>3700</v>
      </c>
      <c r="J1159">
        <f>VLOOKUP(F1159,[1]!china_towns_second__2[[Column1]:[Y]],3,FALSE)</f>
        <v>36.149353700385298</v>
      </c>
      <c r="K1159">
        <f>VLOOKUP(F1159,[1]!china_towns_second__2[[Column1]:[Y]],2,FALSE)</f>
        <v>115.6273388</v>
      </c>
      <c r="L1159" t="s">
        <v>5989</v>
      </c>
      <c r="M1159" t="str">
        <f>VLOOKUP(H1159,CHOOSE({1,2},Table17[Native],Table17[Name]),2,0)</f>
        <v>Shēn Xiàn</v>
      </c>
      <c r="N1159" s="15" t="str">
        <f>VLOOKUP(I1159,CHOOSE({1,2},Table17[Native],Table17[Name]),2,0)</f>
        <v>Liáochéng Shì</v>
      </c>
      <c r="O1159" s="15" t="str">
        <f t="shared" si="36"/>
        <v>Shibalipu Zhen (Liáochéng Shì)</v>
      </c>
      <c r="P1159" s="15" t="str">
        <f t="shared" si="37"/>
        <v>Shibalipu Zhen (Liáochéng Shì)</v>
      </c>
    </row>
    <row r="1160" spans="1:16" hidden="1" x14ac:dyDescent="0.25">
      <c r="A1160" t="s">
        <v>2815</v>
      </c>
      <c r="B1160" t="str">
        <f>IF(COUNTIF(A:A,A1160)&gt;1,_xlfn.CONCAT(A1160," (",N1160,")"),A1160)</f>
        <v>Shíbùzi Zhèn</v>
      </c>
      <c r="C1160" t="str">
        <f>IF(COUNTIF(B:B,B1160)&gt;1,_xlfn.CONCAT(A1160," (",M1160,")"),B1160)</f>
        <v>Shíbùzi Zhèn</v>
      </c>
      <c r="D1160" t="s">
        <v>2816</v>
      </c>
      <c r="E1160" t="s">
        <v>13</v>
      </c>
      <c r="F1160" t="str">
        <f>_xlfn.CONCAT(D1160,", ",H1160,", ",I1160,", ","山东省")</f>
        <v>石埠子镇, 安丘市, 潍坊市, 山东省</v>
      </c>
      <c r="G1160">
        <v>58333</v>
      </c>
      <c r="H1160" t="s">
        <v>3752</v>
      </c>
      <c r="I1160" t="s">
        <v>3751</v>
      </c>
      <c r="J1160">
        <f>VLOOKUP(F1160,[1]!china_towns_second__2[[Column1]:[Y]],3,FALSE)</f>
        <v>36.149126310606398</v>
      </c>
      <c r="K1160">
        <f>VLOOKUP(F1160,[1]!china_towns_second__2[[Column1]:[Y]],2,FALSE)</f>
        <v>119.0634294</v>
      </c>
      <c r="L1160" t="s">
        <v>5990</v>
      </c>
      <c r="M1160" t="str">
        <f>VLOOKUP(H1160,CHOOSE({1,2},Table17[Native],Table17[Name]),2,0)</f>
        <v>Ānqiū Shì</v>
      </c>
      <c r="N1160" s="15" t="str">
        <f>VLOOKUP(I1160,CHOOSE({1,2},Table17[Native],Table17[Name]),2,0)</f>
        <v>Wéifāng Shì</v>
      </c>
      <c r="O1160" s="15" t="str">
        <f t="shared" si="36"/>
        <v>Shibuzi Zhen (Wéifāng Shì)</v>
      </c>
      <c r="P1160" s="15" t="str">
        <f t="shared" si="37"/>
        <v>Shibuzi Zhen (Wéifāng Shì)</v>
      </c>
    </row>
    <row r="1161" spans="1:16" hidden="1" x14ac:dyDescent="0.25">
      <c r="A1161" t="s">
        <v>2468</v>
      </c>
      <c r="B1161" t="str">
        <f>IF(COUNTIF(A:A,A1161)&gt;1,_xlfn.CONCAT(A1161," (",N1161,")"),A1161)</f>
        <v>Shíchăng Xiāng</v>
      </c>
      <c r="C1161" t="str">
        <f>IF(COUNTIF(B:B,B1161)&gt;1,_xlfn.CONCAT(A1161," (",M1161,")"),B1161)</f>
        <v>Shíchăng Xiāng</v>
      </c>
      <c r="D1161" t="s">
        <v>2469</v>
      </c>
      <c r="E1161" t="s">
        <v>61</v>
      </c>
      <c r="F1161" t="str">
        <f>_xlfn.CONCAT(D1161,", ",H1161,", ",I1161,", ","山东省")</f>
        <v>石场乡, 五莲县, 日照市, 山东省</v>
      </c>
      <c r="G1161">
        <v>17652</v>
      </c>
      <c r="H1161" t="s">
        <v>3741</v>
      </c>
      <c r="I1161" t="s">
        <v>3736</v>
      </c>
      <c r="J1161" t="e">
        <f>VLOOKUP(F1161,[1]!china_towns_second__2[[Column1]:[Y]],3,FALSE)</f>
        <v>#N/A</v>
      </c>
      <c r="K1161" t="e">
        <f>VLOOKUP(F1161,[1]!china_towns_second__2[[Column1]:[Y]],2,FALSE)</f>
        <v>#N/A</v>
      </c>
      <c r="L1161" t="s">
        <v>5991</v>
      </c>
      <c r="M1161" t="str">
        <f>VLOOKUP(H1161,CHOOSE({1,2},Table17[Native],Table17[Name]),2,0)</f>
        <v>Wŭlián Xiàn</v>
      </c>
      <c r="N1161" s="15" t="str">
        <f>VLOOKUP(I1161,CHOOSE({1,2},Table17[Native],Table17[Name]),2,0)</f>
        <v>Rìzhào Shì</v>
      </c>
      <c r="O1161" s="15" t="str">
        <f t="shared" si="36"/>
        <v>Shichang Xiang (Rìzhào Shì)</v>
      </c>
      <c r="P1161" s="15" t="str">
        <f t="shared" si="37"/>
        <v>Shichang Xiang (Rìzhào Shì)</v>
      </c>
    </row>
    <row r="1162" spans="1:16" hidden="1" x14ac:dyDescent="0.25">
      <c r="A1162" t="s">
        <v>143</v>
      </c>
      <c r="B1162" t="str">
        <f>IF(COUNTIF(A:A,A1162)&gt;1,_xlfn.CONCAT(A1162," (",N1162,")"),A1162)</f>
        <v>Shìdōng Jiēdào</v>
      </c>
      <c r="C1162" t="str">
        <f>IF(COUNTIF(B:B,B1162)&gt;1,_xlfn.CONCAT(A1162," (",M1162,")"),B1162)</f>
        <v>Shìdōng Jiēdào</v>
      </c>
      <c r="D1162" t="s">
        <v>144</v>
      </c>
      <c r="E1162" t="s">
        <v>7</v>
      </c>
      <c r="F1162" t="str">
        <f>_xlfn.CONCAT(D1162,", ",H1162,", ",I1162,", ","山东省")</f>
        <v>市东街道, 滨城区, 滨州市, 山东省</v>
      </c>
      <c r="G1162">
        <v>53112</v>
      </c>
      <c r="H1162" t="s">
        <v>3632</v>
      </c>
      <c r="I1162" t="s">
        <v>3630</v>
      </c>
      <c r="J1162">
        <f>VLOOKUP(F1162,[1]!china_towns_second__2[[Column1]:[Y]],3,FALSE)</f>
        <v>37.416564382412403</v>
      </c>
      <c r="K1162">
        <f>VLOOKUP(F1162,[1]!china_towns_second__2[[Column1]:[Y]],2,FALSE)</f>
        <v>118.0200909</v>
      </c>
      <c r="L1162" t="s">
        <v>5992</v>
      </c>
      <c r="M1162" t="str">
        <f>VLOOKUP(H1162,CHOOSE({1,2},Table17[Native],Table17[Name]),2,0)</f>
        <v>Bīnchéng Qū</v>
      </c>
      <c r="N1162" s="15" t="str">
        <f>VLOOKUP(I1162,CHOOSE({1,2},Table17[Native],Table17[Name]),2,0)</f>
        <v>Bīnzhōu Shì</v>
      </c>
      <c r="O1162" s="15" t="str">
        <f t="shared" si="36"/>
        <v>Shidong Jiedao (Bīnzhōu Shì)</v>
      </c>
      <c r="P1162" s="15" t="str">
        <f t="shared" si="37"/>
        <v>Shidong Jiedao (Bīnzhōu Shì)</v>
      </c>
    </row>
    <row r="1163" spans="1:16" hidden="1" x14ac:dyDescent="0.25">
      <c r="A1163" t="s">
        <v>2817</v>
      </c>
      <c r="B1163" t="str">
        <f>IF(COUNTIF(A:A,A1163)&gt;1,_xlfn.CONCAT(A1163," (",N1163,")"),A1163)</f>
        <v>Shíduī Zhèn</v>
      </c>
      <c r="C1163" t="str">
        <f>IF(COUNTIF(B:B,B1163)&gt;1,_xlfn.CONCAT(A1163," (",M1163,")"),B1163)</f>
        <v>Shíduī Zhèn</v>
      </c>
      <c r="D1163" t="s">
        <v>2818</v>
      </c>
      <c r="E1163" t="s">
        <v>13</v>
      </c>
      <c r="F1163" t="str">
        <f>_xlfn.CONCAT(D1163,", ",H1163,", ",I1163,", ","山东省")</f>
        <v>石堆镇, 安丘市, 潍坊市, 山东省</v>
      </c>
      <c r="G1163">
        <v>35367</v>
      </c>
      <c r="H1163" t="s">
        <v>3752</v>
      </c>
      <c r="I1163" t="s">
        <v>3751</v>
      </c>
      <c r="J1163">
        <f>VLOOKUP(F1163,[1]!china_towns_second__2[[Column1]:[Y]],3,FALSE)</f>
        <v>36.3936368752411</v>
      </c>
      <c r="K1163">
        <f>VLOOKUP(F1163,[1]!china_towns_second__2[[Column1]:[Y]],2,FALSE)</f>
        <v>119.3147608</v>
      </c>
      <c r="L1163" t="s">
        <v>5993</v>
      </c>
      <c r="M1163" t="str">
        <f>VLOOKUP(H1163,CHOOSE({1,2},Table17[Native],Table17[Name]),2,0)</f>
        <v>Ānqiū Shì</v>
      </c>
      <c r="N1163" s="15" t="str">
        <f>VLOOKUP(I1163,CHOOSE({1,2},Table17[Native],Table17[Name]),2,0)</f>
        <v>Wéifāng Shì</v>
      </c>
      <c r="O1163" s="15" t="str">
        <f t="shared" si="36"/>
        <v>Shidui Zhen (Wéifāng Shì)</v>
      </c>
      <c r="P1163" s="15" t="str">
        <f t="shared" si="37"/>
        <v>Shidui Zhen (Wéifāng Shì)</v>
      </c>
    </row>
    <row r="1164" spans="1:16" hidden="1" x14ac:dyDescent="0.25">
      <c r="A1164" t="s">
        <v>1690</v>
      </c>
      <c r="B1164" t="str">
        <f>IF(COUNTIF(A:A,A1164)&gt;1,_xlfn.CONCAT(A1164," (",N1164,")"),A1164)</f>
        <v>Shífó Zhèn</v>
      </c>
      <c r="C1164" t="str">
        <f>IF(COUNTIF(B:B,B1164)&gt;1,_xlfn.CONCAT(A1164," (",M1164,")"),B1164)</f>
        <v>Shífó Zhèn</v>
      </c>
      <c r="D1164" t="s">
        <v>1691</v>
      </c>
      <c r="E1164" t="s">
        <v>13</v>
      </c>
      <c r="F1164" t="str">
        <f>_xlfn.CONCAT(D1164,", ",H1164,", ",I1164,", ","山东省")</f>
        <v>石佛镇, 阳谷县, 聊城市, 山东省</v>
      </c>
      <c r="G1164">
        <v>34387</v>
      </c>
      <c r="H1164" t="s">
        <v>3708</v>
      </c>
      <c r="I1164" t="s">
        <v>3700</v>
      </c>
      <c r="J1164">
        <f>VLOOKUP(F1164,[1]!china_towns_second__2[[Column1]:[Y]],3,FALSE)</f>
        <v>36.225700500210998</v>
      </c>
      <c r="K1164">
        <f>VLOOKUP(F1164,[1]!china_towns_second__2[[Column1]:[Y]],2,FALSE)</f>
        <v>115.85191039999999</v>
      </c>
      <c r="L1164" t="s">
        <v>5994</v>
      </c>
      <c r="M1164" t="str">
        <f>VLOOKUP(H1164,CHOOSE({1,2},Table17[Native],Table17[Name]),2,0)</f>
        <v>Yánggŭ Xiàn</v>
      </c>
      <c r="N1164" s="15" t="str">
        <f>VLOOKUP(I1164,CHOOSE({1,2},Table17[Native],Table17[Name]),2,0)</f>
        <v>Liáochéng Shì</v>
      </c>
      <c r="O1164" s="15" t="str">
        <f t="shared" si="36"/>
        <v>Shifo Zhen (Liáochéng Shì)</v>
      </c>
      <c r="P1164" s="15" t="str">
        <f t="shared" si="37"/>
        <v>Shifo Zhen (Liáochéng Shì)</v>
      </c>
    </row>
    <row r="1165" spans="1:16" hidden="1" x14ac:dyDescent="0.25">
      <c r="A1165" t="s">
        <v>2609</v>
      </c>
      <c r="B1165" t="str">
        <f>IF(COUNTIF(A:A,A1165)&gt;1,_xlfn.CONCAT(A1165," (",N1165,")"),A1165)</f>
        <v>Shíhéng Zhèn</v>
      </c>
      <c r="C1165" t="str">
        <f>IF(COUNTIF(B:B,B1165)&gt;1,_xlfn.CONCAT(A1165," (",M1165,")"),B1165)</f>
        <v>Shíhéng Zhèn</v>
      </c>
      <c r="D1165" t="s">
        <v>2610</v>
      </c>
      <c r="E1165" t="s">
        <v>13</v>
      </c>
      <c r="F1165" t="str">
        <f>_xlfn.CONCAT(D1165,", ",H1165,", ",I1165,", ","山东省")</f>
        <v>石横镇, 肥城市, 泰安市, 山东省</v>
      </c>
      <c r="G1165">
        <v>80515</v>
      </c>
      <c r="H1165" t="s">
        <v>3746</v>
      </c>
      <c r="I1165" t="s">
        <v>3743</v>
      </c>
      <c r="J1165">
        <f>VLOOKUP(F1165,[1]!china_towns_second__2[[Column1]:[Y]],3,FALSE)</f>
        <v>36.1994166924962</v>
      </c>
      <c r="K1165">
        <f>VLOOKUP(F1165,[1]!china_towns_second__2[[Column1]:[Y]],2,FALSE)</f>
        <v>116.5376053</v>
      </c>
      <c r="L1165" t="s">
        <v>5995</v>
      </c>
      <c r="M1165" t="str">
        <f>VLOOKUP(H1165,CHOOSE({1,2},Table17[Native],Table17[Name]),2,0)</f>
        <v>Féichéng Shì</v>
      </c>
      <c r="N1165" s="15" t="str">
        <f>VLOOKUP(I1165,CHOOSE({1,2},Table17[Native],Table17[Name]),2,0)</f>
        <v>Tài'ān Shì</v>
      </c>
      <c r="O1165" s="15" t="str">
        <f t="shared" si="36"/>
        <v>Shiheng Zhen (Tài'ān Shì)</v>
      </c>
      <c r="P1165" s="15" t="str">
        <f t="shared" si="37"/>
        <v>Shiheng Zhen (Tài'ān Shì)</v>
      </c>
    </row>
    <row r="1166" spans="1:16" hidden="1" x14ac:dyDescent="0.25">
      <c r="A1166" t="s">
        <v>3229</v>
      </c>
      <c r="B1166" t="str">
        <f>IF(COUNTIF(A:A,A1166)&gt;1,_xlfn.CONCAT(A1166," (",N1166,")"),A1166)</f>
        <v>Shìhuíyáo Jiēdào</v>
      </c>
      <c r="C1166" t="str">
        <f>IF(COUNTIF(B:B,B1166)&gt;1,_xlfn.CONCAT(A1166," (",M1166,")"),B1166)</f>
        <v>Shìhuíyáo Jiēdào</v>
      </c>
      <c r="D1166" t="s">
        <v>3230</v>
      </c>
      <c r="E1166" t="s">
        <v>7</v>
      </c>
      <c r="F1166" t="str">
        <f>_xlfn.CONCAT(D1166,", ",H1166,", ",I1166,", ","山东省")</f>
        <v>世回尧街道, 芝罘区, 烟台市, 山东省</v>
      </c>
      <c r="G1166">
        <v>86596</v>
      </c>
      <c r="H1166" t="s">
        <v>3782</v>
      </c>
      <c r="I1166" t="s">
        <v>3771</v>
      </c>
      <c r="J1166">
        <f>VLOOKUP(F1166,[1]!china_towns_second__2[[Column1]:[Y]],3,FALSE)</f>
        <v>37.506862757293803</v>
      </c>
      <c r="K1166">
        <f>VLOOKUP(F1166,[1]!china_towns_second__2[[Column1]:[Y]],2,FALSE)</f>
        <v>121.36015089999999</v>
      </c>
      <c r="L1166" t="s">
        <v>5996</v>
      </c>
      <c r="M1166" t="str">
        <f>VLOOKUP(H1166,CHOOSE({1,2},Table17[Native],Table17[Name]),2,0)</f>
        <v>Zhīfú Qū</v>
      </c>
      <c r="N1166" s="15" t="str">
        <f>VLOOKUP(I1166,CHOOSE({1,2},Table17[Native],Table17[Name]),2,0)</f>
        <v>Yāntái Shì</v>
      </c>
      <c r="O1166" s="15" t="str">
        <f t="shared" si="36"/>
        <v>Shihuiyao Jiedao (Yāntái Shì)</v>
      </c>
      <c r="P1166" s="15" t="str">
        <f t="shared" si="37"/>
        <v>Shihuiyao Jiedao (Yāntái Shì)</v>
      </c>
    </row>
    <row r="1167" spans="1:16" hidden="1" x14ac:dyDescent="0.25">
      <c r="A1167" t="s">
        <v>360</v>
      </c>
      <c r="B1167" t="str">
        <f>IF(COUNTIF(A:A,A1167)&gt;1,_xlfn.CONCAT(A1167," (",N1167,")"),A1167)</f>
        <v>Shíjí Zhèn (Dézhōu Shì)</v>
      </c>
      <c r="C1167" t="str">
        <f>IF(COUNTIF(B:B,B1167)&gt;1,_xlfn.CONCAT(A1167," (",M1167,")"),B1167)</f>
        <v>Shíjí Zhèn (Dézhōu Shì)</v>
      </c>
      <c r="D1167" t="s">
        <v>361</v>
      </c>
      <c r="E1167" t="s">
        <v>13</v>
      </c>
      <c r="F1167" t="str">
        <f>_xlfn.CONCAT(D1167,", ",H1167,", ",I1167,", ","山东省")</f>
        <v>时集镇, 宁津县, 德州市, 山东省</v>
      </c>
      <c r="G1167">
        <v>28882</v>
      </c>
      <c r="H1167" t="s">
        <v>3647</v>
      </c>
      <c r="I1167" t="s">
        <v>3642</v>
      </c>
      <c r="J1167">
        <f>VLOOKUP(F1167,[1]!china_towns_second__2[[Column1]:[Y]],3,FALSE)</f>
        <v>37.696479494405303</v>
      </c>
      <c r="K1167">
        <f>VLOOKUP(F1167,[1]!china_towns_second__2[[Column1]:[Y]],2,FALSE)</f>
        <v>116.7655721</v>
      </c>
      <c r="L1167" t="s">
        <v>5997</v>
      </c>
      <c r="M1167" t="str">
        <f>VLOOKUP(H1167,CHOOSE({1,2},Table17[Native],Table17[Name]),2,0)</f>
        <v>Níngjīn Xiàn</v>
      </c>
      <c r="N1167" s="15" t="str">
        <f>VLOOKUP(I1167,CHOOSE({1,2},Table17[Native],Table17[Name]),2,0)</f>
        <v>Dézhōu Shì</v>
      </c>
      <c r="O1167" s="15" t="str">
        <f t="shared" si="36"/>
        <v>Shiji Zhen (Dezhou Shi) (Dézhōu Shì)</v>
      </c>
      <c r="P1167" s="15" t="str">
        <f t="shared" si="37"/>
        <v>Shiji Zhen (Dezhou Shi) (Dézhōu Shì)</v>
      </c>
    </row>
    <row r="1168" spans="1:16" hidden="1" x14ac:dyDescent="0.25">
      <c r="A1168" t="s">
        <v>360</v>
      </c>
      <c r="B1168" t="str">
        <f>IF(COUNTIF(A:A,A1168)&gt;1,_xlfn.CONCAT(A1168," (",N1168,")"),A1168)</f>
        <v>Shíjí Zhèn (Hézé Shì)</v>
      </c>
      <c r="C1168" t="str">
        <f>IF(COUNTIF(B:B,B1168)&gt;1,_xlfn.CONCAT(A1168," (",M1168,")"),B1168)</f>
        <v>Shíjí Zhèn (Hézé Shì)</v>
      </c>
      <c r="D1168" t="s">
        <v>797</v>
      </c>
      <c r="E1168" t="s">
        <v>13</v>
      </c>
      <c r="F1168" t="str">
        <f>_xlfn.CONCAT(D1168,", ",H1168,", ",I1168,", ","山东省")</f>
        <v>什集镇, 鄄城县, 菏泽市, 山东省</v>
      </c>
      <c r="G1168">
        <v>54024</v>
      </c>
      <c r="H1168" t="s">
        <v>3667</v>
      </c>
      <c r="I1168" t="s">
        <v>3662</v>
      </c>
      <c r="J1168">
        <f>VLOOKUP(F1168,[1]!china_towns_second__2[[Column1]:[Y]],3,FALSE)</f>
        <v>35.4389409522568</v>
      </c>
      <c r="K1168">
        <f>VLOOKUP(F1168,[1]!china_towns_second__2[[Column1]:[Y]],2,FALSE)</f>
        <v>115.45654450000001</v>
      </c>
      <c r="L1168" t="s">
        <v>5998</v>
      </c>
      <c r="M1168" t="str">
        <f>VLOOKUP(H1168,CHOOSE({1,2},Table17[Native],Table17[Name]),2,0)</f>
        <v>Juànchéng Xiàn</v>
      </c>
      <c r="N1168" s="15" t="str">
        <f>VLOOKUP(I1168,CHOOSE({1,2},Table17[Native],Table17[Name]),2,0)</f>
        <v>Hézé Shì</v>
      </c>
      <c r="O1168" s="15" t="str">
        <f t="shared" si="36"/>
        <v>Shiji Zhen (Heze Shi) (Hézé Shì)</v>
      </c>
      <c r="P1168" s="15" t="str">
        <f t="shared" si="37"/>
        <v>Shiji Zhen (Heze Shi) (Hézé Shì)</v>
      </c>
    </row>
    <row r="1169" spans="1:16" hidden="1" x14ac:dyDescent="0.25">
      <c r="A1169" t="s">
        <v>1994</v>
      </c>
      <c r="B1169" t="str">
        <f>IF(COUNTIF(A:A,A1169)&gt;1,_xlfn.CONCAT(A1169," (",N1169,")"),A1169)</f>
        <v>Shíjĭng Zhèn</v>
      </c>
      <c r="C1169" t="str">
        <f>IF(COUNTIF(B:B,B1169)&gt;1,_xlfn.CONCAT(A1169," (",M1169,")"),B1169)</f>
        <v>Shíjĭng Zhèn</v>
      </c>
      <c r="D1169" t="s">
        <v>1995</v>
      </c>
      <c r="E1169" t="s">
        <v>13</v>
      </c>
      <c r="F1169" t="str">
        <f>_xlfn.CONCAT(D1169,", ",H1169,", ",I1169,", ","山东省")</f>
        <v>石井镇, 费县, 临沂市, 山东省</v>
      </c>
      <c r="G1169">
        <v>31683</v>
      </c>
      <c r="H1169" t="s">
        <v>3711</v>
      </c>
      <c r="I1169" t="s">
        <v>3710</v>
      </c>
      <c r="J1169">
        <f>VLOOKUP(F1169,[1]!china_towns_second__2[[Column1]:[Y]],3,FALSE)</f>
        <v>35.070808744158498</v>
      </c>
      <c r="K1169">
        <f>VLOOKUP(F1169,[1]!china_towns_second__2[[Column1]:[Y]],2,FALSE)</f>
        <v>117.7395918</v>
      </c>
      <c r="L1169" t="s">
        <v>5999</v>
      </c>
      <c r="M1169" t="str">
        <f>VLOOKUP(H1169,CHOOSE({1,2},Table17[Native],Table17[Name]),2,0)</f>
        <v>Fèi Xiàn</v>
      </c>
      <c r="N1169" s="15" t="str">
        <f>VLOOKUP(I1169,CHOOSE({1,2},Table17[Native],Table17[Name]),2,0)</f>
        <v>Línyí Shì</v>
      </c>
      <c r="O1169" s="15" t="str">
        <f t="shared" si="36"/>
        <v>Shijing Zhen (Línyí Shì)</v>
      </c>
      <c r="P1169" s="15" t="str">
        <f t="shared" si="37"/>
        <v>Shijing Zhen (Línyí Shì)</v>
      </c>
    </row>
    <row r="1170" spans="1:16" hidden="1" x14ac:dyDescent="0.25">
      <c r="A1170" t="s">
        <v>2470</v>
      </c>
      <c r="B1170" t="str">
        <f>IF(COUNTIF(A:A,A1170)&gt;1,_xlfn.CONCAT(A1170," (",N1170,")"),A1170)</f>
        <v>Shíjiù Jiēdào</v>
      </c>
      <c r="C1170" t="str">
        <f>IF(COUNTIF(B:B,B1170)&gt;1,_xlfn.CONCAT(A1170," (",M1170,")"),B1170)</f>
        <v>Shíjiù Jiēdào</v>
      </c>
      <c r="D1170" t="s">
        <v>2471</v>
      </c>
      <c r="E1170" t="s">
        <v>7</v>
      </c>
      <c r="F1170" t="str">
        <f>_xlfn.CONCAT(D1170,", ",H1170,", ",I1170,", ","山东省")</f>
        <v>石臼街道, 东港区, 日照市, 山东省</v>
      </c>
      <c r="G1170">
        <v>82898</v>
      </c>
      <c r="H1170" t="s">
        <v>3737</v>
      </c>
      <c r="I1170" t="s">
        <v>3736</v>
      </c>
      <c r="J1170">
        <f>VLOOKUP(F1170,[1]!china_towns_second__2[[Column1]:[Y]],3,FALSE)</f>
        <v>35.377984311592101</v>
      </c>
      <c r="K1170">
        <f>VLOOKUP(F1170,[1]!china_towns_second__2[[Column1]:[Y]],2,FALSE)</f>
        <v>119.5465147</v>
      </c>
      <c r="L1170" t="s">
        <v>6000</v>
      </c>
      <c r="M1170" t="str">
        <f>VLOOKUP(H1170,CHOOSE({1,2},Table17[Native],Table17[Name]),2,0)</f>
        <v>Dōnggăng Qū</v>
      </c>
      <c r="N1170" s="15" t="str">
        <f>VLOOKUP(I1170,CHOOSE({1,2},Table17[Native],Table17[Name]),2,0)</f>
        <v>Rìzhào Shì</v>
      </c>
      <c r="O1170" s="15" t="str">
        <f t="shared" si="36"/>
        <v>Shijiu Jiedao (Rìzhào Shì)</v>
      </c>
      <c r="P1170" s="15" t="str">
        <f t="shared" si="37"/>
        <v>Shijiu Jiedao (Rìzhào Shì)</v>
      </c>
    </row>
    <row r="1171" spans="1:16" hidden="1" x14ac:dyDescent="0.25">
      <c r="A1171" t="s">
        <v>553</v>
      </c>
      <c r="B1171" t="str">
        <f>IF(COUNTIF(A:A,A1171)&gt;1,_xlfn.CONCAT(A1171," (",N1171,")"),A1171)</f>
        <v>Shĭkŏu Zhèn</v>
      </c>
      <c r="C1171" t="str">
        <f>IF(COUNTIF(B:B,B1171)&gt;1,_xlfn.CONCAT(A1171," (",M1171,")"),B1171)</f>
        <v>Shĭkŏu Zhèn</v>
      </c>
      <c r="D1171" t="s">
        <v>554</v>
      </c>
      <c r="E1171" t="s">
        <v>13</v>
      </c>
      <c r="F1171" t="str">
        <f>_xlfn.CONCAT(D1171,", ",H1171,", ",I1171,", ","山东省")</f>
        <v>史口镇, 东营区, 东营市, 山东省</v>
      </c>
      <c r="G1171">
        <v>34501</v>
      </c>
      <c r="H1171" t="s">
        <v>3656</v>
      </c>
      <c r="I1171" t="s">
        <v>3655</v>
      </c>
      <c r="J1171">
        <f>VLOOKUP(F1171,[1]!china_towns_second__2[[Column1]:[Y]],3,FALSE)</f>
        <v>37.388582038628797</v>
      </c>
      <c r="K1171">
        <f>VLOOKUP(F1171,[1]!china_towns_second__2[[Column1]:[Y]],2,FALSE)</f>
        <v>118.38692810000001</v>
      </c>
      <c r="L1171" t="s">
        <v>6001</v>
      </c>
      <c r="M1171" t="str">
        <f>VLOOKUP(H1171,CHOOSE({1,2},Table17[Native],Table17[Name]),2,0)</f>
        <v>Dōngyíng Qū</v>
      </c>
      <c r="N1171" s="15" t="str">
        <f>VLOOKUP(I1171,CHOOSE({1,2},Table17[Native],Table17[Name]),2,0)</f>
        <v>Dōngyíng Shì</v>
      </c>
      <c r="O1171" s="15" t="str">
        <f t="shared" si="36"/>
        <v>Shikou Zhen (Dōngyíng Shì)</v>
      </c>
      <c r="P1171" s="15" t="str">
        <f t="shared" si="37"/>
        <v>Shikou Zhen (Dōngyíng Shì)</v>
      </c>
    </row>
    <row r="1172" spans="1:16" hidden="1" x14ac:dyDescent="0.25">
      <c r="A1172" t="s">
        <v>2611</v>
      </c>
      <c r="B1172" t="str">
        <f>IF(COUNTIF(A:A,A1172)&gt;1,_xlfn.CONCAT(A1172," (",N1172,")"),A1172)</f>
        <v>Shílái Zhèn</v>
      </c>
      <c r="C1172" t="str">
        <f>IF(COUNTIF(B:B,B1172)&gt;1,_xlfn.CONCAT(A1172," (",M1172,")"),B1172)</f>
        <v>Shílái Zhèn</v>
      </c>
      <c r="D1172" t="s">
        <v>2612</v>
      </c>
      <c r="E1172" t="s">
        <v>13</v>
      </c>
      <c r="F1172" t="str">
        <f>_xlfn.CONCAT(D1172,", ",H1172,", ",I1172,", ","山东省")</f>
        <v>石莱镇, 新泰市, 泰安市, 山东省</v>
      </c>
      <c r="G1172">
        <v>60091</v>
      </c>
      <c r="H1172" t="s">
        <v>3749</v>
      </c>
      <c r="I1172" t="s">
        <v>3743</v>
      </c>
      <c r="J1172">
        <f>VLOOKUP(F1172,[1]!china_towns_second__2[[Column1]:[Y]],3,FALSE)</f>
        <v>35.758298013213</v>
      </c>
      <c r="K1172">
        <f>VLOOKUP(F1172,[1]!china_towns_second__2[[Column1]:[Y]],2,FALSE)</f>
        <v>117.5192909</v>
      </c>
      <c r="L1172" t="s">
        <v>6002</v>
      </c>
      <c r="M1172" t="str">
        <f>VLOOKUP(H1172,CHOOSE({1,2},Table17[Native],Table17[Name]),2,0)</f>
        <v>Xīntài Shì</v>
      </c>
      <c r="N1172" s="15" t="str">
        <f>VLOOKUP(I1172,CHOOSE({1,2},Table17[Native],Table17[Name]),2,0)</f>
        <v>Tài'ān Shì</v>
      </c>
      <c r="O1172" s="15" t="str">
        <f t="shared" si="36"/>
        <v>Shilai Zhen (Tài'ān Shì)</v>
      </c>
      <c r="P1172" s="15" t="str">
        <f t="shared" si="37"/>
        <v>Shilai Zhen (Tài'ān Shì)</v>
      </c>
    </row>
    <row r="1173" spans="1:16" hidden="1" x14ac:dyDescent="0.25">
      <c r="A1173" t="s">
        <v>3231</v>
      </c>
      <c r="B1173" t="str">
        <f>IF(COUNTIF(A:A,A1173)&gt;1,_xlfn.CONCAT(A1173," (",N1173,")"),A1173)</f>
        <v>Shíliáng Zhèn</v>
      </c>
      <c r="C1173" t="str">
        <f>IF(COUNTIF(B:B,B1173)&gt;1,_xlfn.CONCAT(A1173," (",M1173,")"),B1173)</f>
        <v>Shíliáng Zhèn</v>
      </c>
      <c r="D1173" t="s">
        <v>3232</v>
      </c>
      <c r="E1173" t="s">
        <v>13</v>
      </c>
      <c r="F1173" t="str">
        <f>_xlfn.CONCAT(D1173,", ",H1173,", ",I1173,", ","山东省")</f>
        <v>石良镇, 龙口市, 烟台市, 山东省</v>
      </c>
      <c r="G1173">
        <v>55362</v>
      </c>
      <c r="H1173" t="s">
        <v>3777</v>
      </c>
      <c r="I1173" t="s">
        <v>3771</v>
      </c>
      <c r="J1173">
        <f>VLOOKUP(F1173,[1]!china_towns_second__2[[Column1]:[Y]],3,FALSE)</f>
        <v>37.558084607780401</v>
      </c>
      <c r="K1173">
        <f>VLOOKUP(F1173,[1]!china_towns_second__2[[Column1]:[Y]],2,FALSE)</f>
        <v>120.6860171</v>
      </c>
      <c r="L1173" t="s">
        <v>6003</v>
      </c>
      <c r="M1173" t="str">
        <f>VLOOKUP(H1173,CHOOSE({1,2},Table17[Native],Table17[Name]),2,0)</f>
        <v>Lóngkŏu Shì</v>
      </c>
      <c r="N1173" s="15" t="str">
        <f>VLOOKUP(I1173,CHOOSE({1,2},Table17[Native],Table17[Name]),2,0)</f>
        <v>Yāntái Shì</v>
      </c>
      <c r="O1173" s="15" t="str">
        <f t="shared" si="36"/>
        <v>Shiliang Zhen (Yāntái Shì)</v>
      </c>
      <c r="P1173" s="15" t="str">
        <f t="shared" si="37"/>
        <v>Shiliang Zhen (Yāntái Shì)</v>
      </c>
    </row>
    <row r="1174" spans="1:16" hidden="1" x14ac:dyDescent="0.25">
      <c r="A1174" t="s">
        <v>1996</v>
      </c>
      <c r="B1174" t="str">
        <f>IF(COUNTIF(A:A,A1174)&gt;1,_xlfn.CONCAT(A1174," (",N1174,")"),A1174)</f>
        <v>Shíliánzi Zhèn [incl. Tīngshuĭ Zhèn]</v>
      </c>
      <c r="C1174" t="str">
        <f>IF(COUNTIF(B:B,B1174)&gt;1,_xlfn.CONCAT(A1174," (",M1174,")"),B1174)</f>
        <v>Shíliánzi Zhèn [incl. Tīngshuĭ Zhèn]</v>
      </c>
      <c r="D1174" t="s">
        <v>1997</v>
      </c>
      <c r="E1174" t="s">
        <v>13</v>
      </c>
      <c r="F1174" t="str">
        <f>_xlfn.CONCAT(D1174,", ",H1174,", ",I1174,", ","山东省")</f>
        <v>石莲子镇, 莒南县, 临沂市, 山东省</v>
      </c>
      <c r="G1174">
        <v>60661</v>
      </c>
      <c r="H1174" t="s">
        <v>3713</v>
      </c>
      <c r="I1174" t="s">
        <v>3710</v>
      </c>
      <c r="J1174">
        <f>VLOOKUP(F1174,[1]!china_towns_second__2[[Column1]:[Y]],3,FALSE)</f>
        <v>35.325727172405998</v>
      </c>
      <c r="K1174">
        <f>VLOOKUP(F1174,[1]!china_towns_second__2[[Column1]:[Y]],2,FALSE)</f>
        <v>118.6259001</v>
      </c>
      <c r="L1174" t="s">
        <v>6004</v>
      </c>
      <c r="M1174" t="str">
        <f>VLOOKUP(H1174,CHOOSE({1,2},Table17[Native],Table17[Name]),2,0)</f>
        <v>Jŭnán Xiàn</v>
      </c>
      <c r="N1174" s="15" t="str">
        <f>VLOOKUP(I1174,CHOOSE({1,2},Table17[Native],Table17[Name]),2,0)</f>
        <v>Línyí Shì</v>
      </c>
      <c r="O1174" s="15" t="str">
        <f t="shared" si="36"/>
        <v>Shilianzi Zhen [incl. Tingshui Zhen] (Línyí Shì)</v>
      </c>
      <c r="P1174" s="15" t="str">
        <f t="shared" si="37"/>
        <v>Shilianzi Zhen [incl. Tingshui Zhen] (Línyí Shì)</v>
      </c>
    </row>
    <row r="1175" spans="1:16" hidden="1" x14ac:dyDescent="0.25">
      <c r="A1175" t="s">
        <v>1106</v>
      </c>
      <c r="B1175" t="str">
        <f>IF(COUNTIF(A:A,A1175)&gt;1,_xlfn.CONCAT(A1175," (",N1175,")"),A1175)</f>
        <v>Shíliùlĭhé Jiēdào</v>
      </c>
      <c r="C1175" t="str">
        <f>IF(COUNTIF(B:B,B1175)&gt;1,_xlfn.CONCAT(A1175," (",M1175,")"),B1175)</f>
        <v>Shíliùlĭhé Jiēdào</v>
      </c>
      <c r="D1175" t="s">
        <v>1107</v>
      </c>
      <c r="E1175" t="s">
        <v>7</v>
      </c>
      <c r="F1175" t="str">
        <f>_xlfn.CONCAT(D1175,", ",H1175,", ",I1175,", ","山东省")</f>
        <v>十六里河街道, 市中区, 济南市, 山东省</v>
      </c>
      <c r="G1175">
        <v>64477</v>
      </c>
      <c r="H1175" t="s">
        <v>3683</v>
      </c>
      <c r="I1175" t="s">
        <v>3673</v>
      </c>
      <c r="J1175">
        <f>VLOOKUP(F1175,[1]!china_towns_second__2[[Column1]:[Y]],3,FALSE)</f>
        <v>36.565208400216498</v>
      </c>
      <c r="K1175">
        <f>VLOOKUP(F1175,[1]!china_towns_second__2[[Column1]:[Y]],2,FALSE)</f>
        <v>116.9891805</v>
      </c>
      <c r="L1175" t="s">
        <v>6005</v>
      </c>
      <c r="M1175" t="str">
        <f>VLOOKUP(H1175,CHOOSE({1,2},Table17[Native],Table17[Name]),2,0)</f>
        <v>Shìzhōng Qū</v>
      </c>
      <c r="N1175" s="15" t="str">
        <f>VLOOKUP(I1175,CHOOSE({1,2},Table17[Native],Table17[Name]),2,0)</f>
        <v>Jìnán Shì</v>
      </c>
      <c r="O1175" s="15" t="str">
        <f t="shared" si="36"/>
        <v>Shiliulihe Jiedao (Jìnán Shì)</v>
      </c>
      <c r="P1175" s="15" t="str">
        <f t="shared" si="37"/>
        <v>Shiliulihe Jiedao (Jìnán Shì)</v>
      </c>
    </row>
    <row r="1176" spans="1:16" hidden="1" x14ac:dyDescent="0.25">
      <c r="A1176" t="s">
        <v>362</v>
      </c>
      <c r="B1176" t="str">
        <f>IF(COUNTIF(A:A,A1176)&gt;1,_xlfn.CONCAT(A1176," (",N1176,")"),A1176)</f>
        <v>Shílĭwàng Huízú Zhèn</v>
      </c>
      <c r="C1176" t="str">
        <f>IF(COUNTIF(B:B,B1176)&gt;1,_xlfn.CONCAT(A1176," (",M1176,")"),B1176)</f>
        <v>Shílĭwàng Huízú Zhèn</v>
      </c>
      <c r="D1176" t="s">
        <v>363</v>
      </c>
      <c r="E1176" t="s">
        <v>13</v>
      </c>
      <c r="F1176" t="str">
        <f>_xlfn.CONCAT(D1176,", ",H1176,", ",I1176,", ","山东省")</f>
        <v>十里望回族镇, 禹城市, 德州市, 山东省</v>
      </c>
      <c r="G1176">
        <v>29929</v>
      </c>
      <c r="H1176" t="s">
        <v>3653</v>
      </c>
      <c r="I1176" t="s">
        <v>3642</v>
      </c>
      <c r="J1176">
        <f>VLOOKUP(F1176,[1]!china_towns_second__2[[Column1]:[Y]],3,FALSE)</f>
        <v>36.967923468431302</v>
      </c>
      <c r="K1176">
        <f>VLOOKUP(F1176,[1]!china_towns_second__2[[Column1]:[Y]],2,FALSE)</f>
        <v>116.6005804</v>
      </c>
      <c r="L1176" t="s">
        <v>6006</v>
      </c>
      <c r="M1176" t="str">
        <f>VLOOKUP(H1176,CHOOSE({1,2},Table17[Native],Table17[Name]),2,0)</f>
        <v>Yŭchéng Shì</v>
      </c>
      <c r="N1176" s="15" t="str">
        <f>VLOOKUP(I1176,CHOOSE({1,2},Table17[Native],Table17[Name]),2,0)</f>
        <v>Dézhōu Shì</v>
      </c>
      <c r="O1176" s="15" t="str">
        <f t="shared" si="36"/>
        <v>Shiliwang Huizu Zhen (Dézhōu Shì)</v>
      </c>
      <c r="P1176" s="15" t="str">
        <f t="shared" si="37"/>
        <v>Shiliwang Huizu Zhen (Dézhōu Shì)</v>
      </c>
    </row>
    <row r="1177" spans="1:16" hidden="1" x14ac:dyDescent="0.25">
      <c r="A1177" t="s">
        <v>798</v>
      </c>
      <c r="B1177" t="str">
        <f>IF(COUNTIF(A:A,A1177)&gt;1,_xlfn.CONCAT(A1177," (",N1177,")"),A1177)</f>
        <v>Shílóu Zhèn</v>
      </c>
      <c r="C1177" t="str">
        <f>IF(COUNTIF(B:B,B1177)&gt;1,_xlfn.CONCAT(A1177," (",M1177,")"),B1177)</f>
        <v>Shílóu Zhèn</v>
      </c>
      <c r="D1177" t="s">
        <v>799</v>
      </c>
      <c r="E1177" t="s">
        <v>13</v>
      </c>
      <c r="F1177" t="str">
        <f>_xlfn.CONCAT(D1177,", ",H1177,", ",I1177,", ","山东省")</f>
        <v>时楼镇, 单县, 菏泽市, 山东省</v>
      </c>
      <c r="G1177">
        <v>37098</v>
      </c>
      <c r="H1177" t="s">
        <v>3670</v>
      </c>
      <c r="I1177" t="s">
        <v>3662</v>
      </c>
      <c r="J1177">
        <f>VLOOKUP(F1177,[1]!china_towns_second__2[[Column1]:[Y]],3,FALSE)</f>
        <v>34.8211063274221</v>
      </c>
      <c r="K1177">
        <f>VLOOKUP(F1177,[1]!china_towns_second__2[[Column1]:[Y]],2,FALSE)</f>
        <v>116.2708557</v>
      </c>
      <c r="L1177" t="s">
        <v>6007</v>
      </c>
      <c r="M1177" t="str">
        <f>VLOOKUP(H1177,CHOOSE({1,2},Table17[Native],Table17[Name]),2,0)</f>
        <v>Shàn Xiàn</v>
      </c>
      <c r="N1177" s="15" t="str">
        <f>VLOOKUP(I1177,CHOOSE({1,2},Table17[Native],Table17[Name]),2,0)</f>
        <v>Hézé Shì</v>
      </c>
      <c r="O1177" s="15" t="str">
        <f t="shared" si="36"/>
        <v>Shilou Zhen (Hézé Shì)</v>
      </c>
      <c r="P1177" s="15" t="str">
        <f t="shared" si="37"/>
        <v>Shilou Zhen (Hézé Shì)</v>
      </c>
    </row>
    <row r="1178" spans="1:16" hidden="1" x14ac:dyDescent="0.25">
      <c r="A1178" t="s">
        <v>3569</v>
      </c>
      <c r="B1178" t="str">
        <f>IF(COUNTIF(A:A,A1178)&gt;1,_xlfn.CONCAT(A1178," (",N1178,")"),A1178)</f>
        <v>Shímă Zhèn</v>
      </c>
      <c r="C1178" t="str">
        <f>IF(COUNTIF(B:B,B1178)&gt;1,_xlfn.CONCAT(A1178," (",M1178,")"),B1178)</f>
        <v>Shímă Zhèn</v>
      </c>
      <c r="D1178" t="s">
        <v>3570</v>
      </c>
      <c r="E1178" t="s">
        <v>13</v>
      </c>
      <c r="F1178" t="str">
        <f>_xlfn.CONCAT(D1178,", ",H1178,", ",I1178,", ","山东省")</f>
        <v>石马镇, 博山区, 淄博市, 山东省</v>
      </c>
      <c r="G1178">
        <v>21865</v>
      </c>
      <c r="H1178" t="s">
        <v>3792</v>
      </c>
      <c r="I1178" t="s">
        <v>3791</v>
      </c>
      <c r="J1178">
        <f>VLOOKUP(F1178,[1]!china_towns_second__2[[Column1]:[Y]],3,FALSE)</f>
        <v>36.408167849627802</v>
      </c>
      <c r="K1178">
        <f>VLOOKUP(F1178,[1]!china_towns_second__2[[Column1]:[Y]],2,FALSE)</f>
        <v>117.88956210000001</v>
      </c>
      <c r="L1178" t="s">
        <v>6008</v>
      </c>
      <c r="M1178" t="str">
        <f>VLOOKUP(H1178,CHOOSE({1,2},Table17[Native],Table17[Name]),2,0)</f>
        <v>Bóshān Qū</v>
      </c>
      <c r="N1178" s="15" t="str">
        <f>VLOOKUP(I1178,CHOOSE({1,2},Table17[Native],Table17[Name]),2,0)</f>
        <v>Zībó Shì</v>
      </c>
      <c r="O1178" s="15" t="str">
        <f t="shared" si="36"/>
        <v>Shima Zhen (Zībó Shì)</v>
      </c>
      <c r="P1178" s="15" t="str">
        <f t="shared" si="37"/>
        <v>Shima Zhen (Zībó Shì)</v>
      </c>
    </row>
    <row r="1179" spans="1:16" hidden="1" x14ac:dyDescent="0.25">
      <c r="A1179" t="s">
        <v>1998</v>
      </c>
      <c r="B1179" t="str">
        <f>IF(COUNTIF(A:A,A1179)&gt;1,_xlfn.CONCAT(A1179," (",N1179,")"),A1179)</f>
        <v>Shímén Zhèn</v>
      </c>
      <c r="C1179" t="str">
        <f>IF(COUNTIF(B:B,B1179)&gt;1,_xlfn.CONCAT(A1179," (",M1179,")"),B1179)</f>
        <v>Shímén Zhèn</v>
      </c>
      <c r="D1179" t="s">
        <v>1999</v>
      </c>
      <c r="E1179" t="s">
        <v>13</v>
      </c>
      <c r="F1179" t="str">
        <f>_xlfn.CONCAT(D1179,", ",H1179,", ",I1179,", ","山东省")</f>
        <v>石门镇, 临沭县, 临沂市, 山东省</v>
      </c>
      <c r="G1179">
        <v>47827</v>
      </c>
      <c r="H1179" t="s">
        <v>3716</v>
      </c>
      <c r="I1179" t="s">
        <v>3710</v>
      </c>
      <c r="J1179">
        <f>VLOOKUP(F1179,[1]!china_towns_second__2[[Column1]:[Y]],3,FALSE)</f>
        <v>34.741324127708097</v>
      </c>
      <c r="K1179">
        <f>VLOOKUP(F1179,[1]!china_towns_second__2[[Column1]:[Y]],2,FALSE)</f>
        <v>118.58924759999999</v>
      </c>
      <c r="L1179" t="s">
        <v>6009</v>
      </c>
      <c r="M1179" t="str">
        <f>VLOOKUP(H1179,CHOOSE({1,2},Table17[Native],Table17[Name]),2,0)</f>
        <v>Línshù Xiàn</v>
      </c>
      <c r="N1179" s="15" t="str">
        <f>VLOOKUP(I1179,CHOOSE({1,2},Table17[Native],Table17[Name]),2,0)</f>
        <v>Línyí Shì</v>
      </c>
      <c r="O1179" s="15" t="str">
        <f t="shared" si="36"/>
        <v>Shimen Zhen (Línyí Shì)</v>
      </c>
      <c r="P1179" s="15" t="str">
        <f t="shared" si="37"/>
        <v>Shimen Zhen (Línyí Shì)</v>
      </c>
    </row>
    <row r="1180" spans="1:16" hidden="1" x14ac:dyDescent="0.25">
      <c r="A1180" t="s">
        <v>1404</v>
      </c>
      <c r="B1180" t="str">
        <f>IF(COUNTIF(A:A,A1180)&gt;1,_xlfn.CONCAT(A1180," (",N1180,")"),A1180)</f>
        <v>Shíménshān Zhèn [Dŏngzhuāng Xiāng]</v>
      </c>
      <c r="C1180" t="str">
        <f>IF(COUNTIF(B:B,B1180)&gt;1,_xlfn.CONCAT(A1180," (",M1180,")"),B1180)</f>
        <v>Shíménshān Zhèn [Dŏngzhuāng Xiāng]</v>
      </c>
      <c r="D1180" t="s">
        <v>1405</v>
      </c>
      <c r="E1180" t="s">
        <v>13</v>
      </c>
      <c r="F1180" t="str">
        <f>_xlfn.CONCAT(D1180,", ",H1180,", ",I1180,", ","山东省")</f>
        <v>石门山镇, 曲阜市, 济宁市, 山东省</v>
      </c>
      <c r="G1180">
        <v>40046</v>
      </c>
      <c r="H1180" t="s">
        <v>3691</v>
      </c>
      <c r="I1180" t="s">
        <v>3687</v>
      </c>
      <c r="J1180">
        <f>VLOOKUP(F1180,[1]!china_towns_second__2[[Column1]:[Y]],3,FALSE)</f>
        <v>35.747673814449897</v>
      </c>
      <c r="K1180">
        <f>VLOOKUP(F1180,[1]!china_towns_second__2[[Column1]:[Y]],2,FALSE)</f>
        <v>117.07010390000001</v>
      </c>
      <c r="L1180" t="s">
        <v>6010</v>
      </c>
      <c r="M1180" t="str">
        <f>VLOOKUP(H1180,CHOOSE({1,2},Table17[Native],Table17[Name]),2,0)</f>
        <v>Qŭfù Shì</v>
      </c>
      <c r="N1180" s="15" t="str">
        <f>VLOOKUP(I1180,CHOOSE({1,2},Table17[Native],Table17[Name]),2,0)</f>
        <v>Jìníng Shì</v>
      </c>
      <c r="O1180" s="15" t="str">
        <f t="shared" si="36"/>
        <v>Shimenshan Zhen [Dongzhuang Xiang] (Jìníng Shì)</v>
      </c>
      <c r="P1180" s="15" t="str">
        <f t="shared" si="37"/>
        <v>Shimenshan Zhen [Dongzhuang Xiang] (Jìníng Shì)</v>
      </c>
    </row>
    <row r="1181" spans="1:16" hidden="1" x14ac:dyDescent="0.25">
      <c r="A1181" t="s">
        <v>145</v>
      </c>
      <c r="B1181" t="str">
        <f>IF(COUNTIF(A:A,A1181)&gt;1,_xlfn.CONCAT(A1181," (",N1181,")"),A1181)</f>
        <v>Shímiào Zhèn</v>
      </c>
      <c r="C1181" t="str">
        <f>IF(COUNTIF(B:B,B1181)&gt;1,_xlfn.CONCAT(A1181," (",M1181,")"),B1181)</f>
        <v>Shímiào Zhèn</v>
      </c>
      <c r="D1181" t="s">
        <v>146</v>
      </c>
      <c r="E1181" t="s">
        <v>13</v>
      </c>
      <c r="F1181" t="str">
        <f>_xlfn.CONCAT(D1181,", ",H1181,", ",I1181,", ","山东省")</f>
        <v>石庙镇, 惠民县, 滨州市, 山东省</v>
      </c>
      <c r="G1181">
        <v>51790</v>
      </c>
      <c r="H1181" t="s">
        <v>3635</v>
      </c>
      <c r="I1181" t="s">
        <v>3630</v>
      </c>
      <c r="J1181">
        <f>VLOOKUP(F1181,[1]!china_towns_second__2[[Column1]:[Y]],3,FALSE)</f>
        <v>37.4623310916732</v>
      </c>
      <c r="K1181">
        <f>VLOOKUP(F1181,[1]!china_towns_second__2[[Column1]:[Y]],2,FALSE)</f>
        <v>117.3830669</v>
      </c>
      <c r="L1181" t="s">
        <v>6011</v>
      </c>
      <c r="M1181" t="str">
        <f>VLOOKUP(H1181,CHOOSE({1,2},Table17[Native],Table17[Name]),2,0)</f>
        <v>Huìmín Xiàn</v>
      </c>
      <c r="N1181" s="15" t="str">
        <f>VLOOKUP(I1181,CHOOSE({1,2},Table17[Native],Table17[Name]),2,0)</f>
        <v>Bīnzhōu Shì</v>
      </c>
      <c r="O1181" s="15" t="str">
        <f t="shared" si="36"/>
        <v>Shimiao Zhen (Bīnzhōu Shì)</v>
      </c>
      <c r="P1181" s="15" t="str">
        <f t="shared" si="37"/>
        <v>Shimiao Zhen (Bīnzhōu Shì)</v>
      </c>
    </row>
    <row r="1182" spans="1:16" hidden="1" x14ac:dyDescent="0.25">
      <c r="A1182" t="s">
        <v>1406</v>
      </c>
      <c r="B1182" t="str">
        <f>IF(COUNTIF(A:A,A1182)&gt;1,_xlfn.CONCAT(A1182," (",N1182,")"),A1182)</f>
        <v>Shíqiáng Zhèn</v>
      </c>
      <c r="C1182" t="str">
        <f>IF(COUNTIF(B:B,B1182)&gt;1,_xlfn.CONCAT(A1182," (",M1182,")"),B1182)</f>
        <v>Shíqiáng Zhèn</v>
      </c>
      <c r="D1182" t="s">
        <v>1407</v>
      </c>
      <c r="E1182" t="s">
        <v>13</v>
      </c>
      <c r="F1182" t="str">
        <f>_xlfn.CONCAT(D1182,", ",H1182,", ",I1182,", ","山东省")</f>
        <v>石墙镇, 邹城市, 济宁市, 山东省</v>
      </c>
      <c r="G1182">
        <v>70098</v>
      </c>
      <c r="H1182" t="s">
        <v>3698</v>
      </c>
      <c r="I1182" t="s">
        <v>3687</v>
      </c>
      <c r="J1182">
        <f>VLOOKUP(F1182,[1]!china_towns_second__2[[Column1]:[Y]],3,FALSE)</f>
        <v>35.240435416810897</v>
      </c>
      <c r="K1182">
        <f>VLOOKUP(F1182,[1]!china_towns_second__2[[Column1]:[Y]],2,FALSE)</f>
        <v>116.9227305</v>
      </c>
      <c r="L1182" t="s">
        <v>6012</v>
      </c>
      <c r="M1182" t="str">
        <f>VLOOKUP(H1182,CHOOSE({1,2},Table17[Native],Table17[Name]),2,0)</f>
        <v>Zōuchéng Shì</v>
      </c>
      <c r="N1182" s="15" t="str">
        <f>VLOOKUP(I1182,CHOOSE({1,2},Table17[Native],Table17[Name]),2,0)</f>
        <v>Jìníng Shì</v>
      </c>
      <c r="O1182" s="15" t="str">
        <f t="shared" si="36"/>
        <v>Shiqiang Zhen (Jìníng Shì)</v>
      </c>
      <c r="P1182" s="15" t="str">
        <f t="shared" si="37"/>
        <v>Shiqiang Zhen (Jìníng Shì)</v>
      </c>
    </row>
    <row r="1183" spans="1:16" hidden="1" x14ac:dyDescent="0.25">
      <c r="A1183" t="s">
        <v>1408</v>
      </c>
      <c r="B1183" t="str">
        <f>IF(COUNTIF(A:A,A1183)&gt;1,_xlfn.CONCAT(A1183," (",N1183,")"),A1183)</f>
        <v>Shíqiáo Zhèn (Jìníng Shì)</v>
      </c>
      <c r="C1183" t="str">
        <f>IF(COUNTIF(B:B,B1183)&gt;1,_xlfn.CONCAT(A1183," (",M1183,")"),B1183)</f>
        <v>Shíqiáo Zhèn (Jìníng Shì)</v>
      </c>
      <c r="D1183" t="s">
        <v>1409</v>
      </c>
      <c r="E1183" t="s">
        <v>13</v>
      </c>
      <c r="F1183" t="str">
        <f>_xlfn.CONCAT(D1183,", ",H1183,", ",I1183,", ","山东省")</f>
        <v>石桥镇, 任城区, 济宁市, 山东省</v>
      </c>
      <c r="G1183">
        <v>46665</v>
      </c>
      <c r="H1183" t="s">
        <v>3692</v>
      </c>
      <c r="I1183" t="s">
        <v>3687</v>
      </c>
      <c r="J1183">
        <f>VLOOKUP(F1183,[1]!china_towns_second__2[[Column1]:[Y]],3,FALSE)</f>
        <v>35.308171938316299</v>
      </c>
      <c r="K1183">
        <f>VLOOKUP(F1183,[1]!china_towns_second__2[[Column1]:[Y]],2,FALSE)</f>
        <v>116.6777798</v>
      </c>
      <c r="L1183" t="s">
        <v>6013</v>
      </c>
      <c r="M1183" t="str">
        <f>VLOOKUP(H1183,CHOOSE({1,2},Table17[Native],Table17[Name]),2,0)</f>
        <v>Rènchéng Qū</v>
      </c>
      <c r="N1183" s="15" t="str">
        <f>VLOOKUP(I1183,CHOOSE({1,2},Table17[Native],Table17[Name]),2,0)</f>
        <v>Jìníng Shì</v>
      </c>
      <c r="O1183" s="15" t="str">
        <f t="shared" si="36"/>
        <v>Shiqiao Zhen (Jining Shi) (Jìníng Shì)</v>
      </c>
      <c r="P1183" s="15" t="str">
        <f t="shared" si="37"/>
        <v>Shiqiao Zhen (Jining Shi) (Jìníng Shì)</v>
      </c>
    </row>
    <row r="1184" spans="1:16" hidden="1" x14ac:dyDescent="0.25">
      <c r="A1184" t="s">
        <v>1408</v>
      </c>
      <c r="B1184" t="str">
        <f>IF(COUNTIF(A:A,A1184)&gt;1,_xlfn.CONCAT(A1184," (",N1184,")"),A1184)</f>
        <v>Shíqiáo Zhèn (Zībó Shì)</v>
      </c>
      <c r="C1184" t="str">
        <f>IF(COUNTIF(B:B,B1184)&gt;1,_xlfn.CONCAT(A1184," (",M1184,")"),B1184)</f>
        <v>Shíqiáo Zhèn (Zībó Shì)</v>
      </c>
      <c r="D1184" t="s">
        <v>1409</v>
      </c>
      <c r="E1184" t="s">
        <v>13</v>
      </c>
      <c r="F1184" t="str">
        <f>_xlfn.CONCAT(D1184,", ",H1184,", ",I1184,", ","山东省")</f>
        <v>石桥镇, 沂源县, 淄博市, 山东省</v>
      </c>
      <c r="G1184">
        <v>27385</v>
      </c>
      <c r="H1184" t="s">
        <v>3796</v>
      </c>
      <c r="I1184" t="s">
        <v>3791</v>
      </c>
      <c r="J1184">
        <f>VLOOKUP(F1184,[1]!china_towns_second__2[[Column1]:[Y]],3,FALSE)</f>
        <v>36.145491864514298</v>
      </c>
      <c r="K1184">
        <f>VLOOKUP(F1184,[1]!china_towns_second__2[[Column1]:[Y]],2,FALSE)</f>
        <v>118.3418238</v>
      </c>
      <c r="L1184" t="s">
        <v>6014</v>
      </c>
      <c r="M1184" t="str">
        <f>VLOOKUP(H1184,CHOOSE({1,2},Table17[Native],Table17[Name]),2,0)</f>
        <v>Yíyuán Xiàn</v>
      </c>
      <c r="N1184" s="15" t="str">
        <f>VLOOKUP(I1184,CHOOSE({1,2},Table17[Native],Table17[Name]),2,0)</f>
        <v>Zībó Shì</v>
      </c>
      <c r="O1184" s="15" t="str">
        <f t="shared" si="36"/>
        <v>Shiqiao Zhen (Zibo Shi) (Zībó Shì)</v>
      </c>
      <c r="P1184" s="15" t="str">
        <f t="shared" si="37"/>
        <v>Shiqiao Zhen (Zibo Shi) (Zībó Shì)</v>
      </c>
    </row>
    <row r="1185" spans="1:16" hidden="1" x14ac:dyDescent="0.25">
      <c r="A1185" t="s">
        <v>2819</v>
      </c>
      <c r="B1185" t="str">
        <f>IF(COUNTIF(A:A,A1185)&gt;1,_xlfn.CONCAT(A1185," (",N1185,")"),A1185)</f>
        <v>Shíqiáozi Zhèn</v>
      </c>
      <c r="C1185" t="str">
        <f>IF(COUNTIF(B:B,B1185)&gt;1,_xlfn.CONCAT(A1185," (",M1185,")"),B1185)</f>
        <v>Shíqiáozi Zhèn</v>
      </c>
      <c r="D1185" t="s">
        <v>2820</v>
      </c>
      <c r="E1185" t="s">
        <v>13</v>
      </c>
      <c r="F1185" t="str">
        <f>_xlfn.CONCAT(D1185,", ",H1185,", ",I1185,", ","山东省")</f>
        <v>石桥子镇, 诸城市, 潍坊市, 山东省</v>
      </c>
      <c r="G1185">
        <v>58538</v>
      </c>
      <c r="H1185" t="s">
        <v>3763</v>
      </c>
      <c r="I1185" t="s">
        <v>3751</v>
      </c>
      <c r="J1185">
        <f>VLOOKUP(F1185,[1]!china_towns_second__2[[Column1]:[Y]],3,FALSE)</f>
        <v>36.143619096973801</v>
      </c>
      <c r="K1185">
        <f>VLOOKUP(F1185,[1]!china_towns_second__2[[Column1]:[Y]],2,FALSE)</f>
        <v>119.24184630000001</v>
      </c>
      <c r="L1185" t="s">
        <v>6015</v>
      </c>
      <c r="M1185" t="str">
        <f>VLOOKUP(H1185,CHOOSE({1,2},Table17[Native],Table17[Name]),2,0)</f>
        <v>Zhūchéng Shì</v>
      </c>
      <c r="N1185" s="15" t="str">
        <f>VLOOKUP(I1185,CHOOSE({1,2},Table17[Native],Table17[Name]),2,0)</f>
        <v>Wéifāng Shì</v>
      </c>
      <c r="O1185" s="15" t="str">
        <f t="shared" si="36"/>
        <v>Shiqiaozi Zhen (Wéifāng Shì)</v>
      </c>
      <c r="P1185" s="15" t="str">
        <f t="shared" si="37"/>
        <v>Shiqiaozi Zhen (Wéifāng Shì)</v>
      </c>
    </row>
    <row r="1186" spans="1:16" hidden="1" x14ac:dyDescent="0.25">
      <c r="A1186" t="s">
        <v>1692</v>
      </c>
      <c r="B1186" t="str">
        <f>IF(COUNTIF(A:A,A1186)&gt;1,_xlfn.CONCAT(A1186," (",N1186,")"),A1186)</f>
        <v>Shíwŭlĭyuán Zhèn</v>
      </c>
      <c r="C1186" t="str">
        <f>IF(COUNTIF(B:B,B1186)&gt;1,_xlfn.CONCAT(A1186," (",M1186,")"),B1186)</f>
        <v>Shíwŭlĭyuán Zhèn</v>
      </c>
      <c r="D1186" t="s">
        <v>1693</v>
      </c>
      <c r="E1186" t="s">
        <v>13</v>
      </c>
      <c r="F1186" t="str">
        <f>_xlfn.CONCAT(D1186,", ",H1186,", ",I1186,", ","山东省")</f>
        <v>十五里园镇, 阳谷县, 聊城市, 山东省</v>
      </c>
      <c r="G1186">
        <v>42271</v>
      </c>
      <c r="H1186" t="s">
        <v>3708</v>
      </c>
      <c r="I1186" t="s">
        <v>3700</v>
      </c>
      <c r="J1186">
        <f>VLOOKUP(F1186,[1]!china_towns_second__2[[Column1]:[Y]],3,FALSE)</f>
        <v>36.062961494220403</v>
      </c>
      <c r="K1186">
        <f>VLOOKUP(F1186,[1]!china_towns_second__2[[Column1]:[Y]],2,FALSE)</f>
        <v>115.92139760000001</v>
      </c>
      <c r="L1186" t="s">
        <v>6016</v>
      </c>
      <c r="M1186" t="str">
        <f>VLOOKUP(H1186,CHOOSE({1,2},Table17[Native],Table17[Name]),2,0)</f>
        <v>Yánggŭ Xiàn</v>
      </c>
      <c r="N1186" s="15" t="str">
        <f>VLOOKUP(I1186,CHOOSE({1,2},Table17[Native],Table17[Name]),2,0)</f>
        <v>Liáochéng Shì</v>
      </c>
      <c r="O1186" s="15" t="str">
        <f t="shared" si="36"/>
        <v>Shiwuliyuan Zhen (Liáochéng Shì)</v>
      </c>
      <c r="P1186" s="15" t="str">
        <f t="shared" si="37"/>
        <v>Shiwuliyuan Zhen (Liáochéng Shì)</v>
      </c>
    </row>
    <row r="1187" spans="1:16" hidden="1" x14ac:dyDescent="0.25">
      <c r="A1187" t="s">
        <v>147</v>
      </c>
      <c r="B1187" t="str">
        <f>IF(COUNTIF(A:A,A1187)&gt;1,_xlfn.CONCAT(A1187," (",N1187,")"),A1187)</f>
        <v>Shìxī Jiēdào</v>
      </c>
      <c r="C1187" t="str">
        <f>IF(COUNTIF(B:B,B1187)&gt;1,_xlfn.CONCAT(A1187," (",M1187,")"),B1187)</f>
        <v>Shìxī Jiēdào</v>
      </c>
      <c r="D1187" t="s">
        <v>148</v>
      </c>
      <c r="E1187" t="s">
        <v>7</v>
      </c>
      <c r="F1187" t="str">
        <f>_xlfn.CONCAT(D1187,", ",H1187,", ",I1187,", ","山东省")</f>
        <v>市西街道, 滨城区, 滨州市, 山东省</v>
      </c>
      <c r="G1187">
        <v>68597</v>
      </c>
      <c r="H1187" t="s">
        <v>3632</v>
      </c>
      <c r="I1187" t="s">
        <v>3630</v>
      </c>
      <c r="J1187">
        <f>VLOOKUP(F1187,[1]!china_towns_second__2[[Column1]:[Y]],3,FALSE)</f>
        <v>37.346491025545298</v>
      </c>
      <c r="K1187">
        <f>VLOOKUP(F1187,[1]!china_towns_second__2[[Column1]:[Y]],2,FALSE)</f>
        <v>117.9748926</v>
      </c>
      <c r="L1187" t="s">
        <v>6017</v>
      </c>
      <c r="M1187" t="str">
        <f>VLOOKUP(H1187,CHOOSE({1,2},Table17[Native],Table17[Name]),2,0)</f>
        <v>Bīnchéng Qū</v>
      </c>
      <c r="N1187" s="15" t="str">
        <f>VLOOKUP(I1187,CHOOSE({1,2},Table17[Native],Table17[Name]),2,0)</f>
        <v>Bīnzhōu Shì</v>
      </c>
      <c r="O1187" s="15" t="str">
        <f t="shared" si="36"/>
        <v>Shixi Jiedao (Bīnzhōu Shì)</v>
      </c>
      <c r="P1187" s="15" t="str">
        <f t="shared" si="37"/>
        <v>Shixi Jiedao (Bīnzhōu Shì)</v>
      </c>
    </row>
    <row r="1188" spans="1:16" hidden="1" x14ac:dyDescent="0.25">
      <c r="A1188" t="s">
        <v>149</v>
      </c>
      <c r="B1188" t="str">
        <f>IF(COUNTIF(A:A,A1188)&gt;1,_xlfn.CONCAT(A1188," (",N1188,")"),A1188)</f>
        <v>Shìzhōng Jiēdào (Bīnzhōu Shì)</v>
      </c>
      <c r="C1188" t="str">
        <f>IF(COUNTIF(B:B,B1188)&gt;1,_xlfn.CONCAT(A1188," (",M1188,")"),B1188)</f>
        <v>Shìzhōng Jiēdào (Bīnzhōu Shì)</v>
      </c>
      <c r="D1188" t="s">
        <v>150</v>
      </c>
      <c r="E1188" t="s">
        <v>7</v>
      </c>
      <c r="F1188" t="str">
        <f>_xlfn.CONCAT(D1188,", ",H1188,", ",I1188,", ","山东省")</f>
        <v>市中街道, 滨城区, 滨州市, 山东省</v>
      </c>
      <c r="G1188">
        <v>62152</v>
      </c>
      <c r="H1188" t="s">
        <v>3632</v>
      </c>
      <c r="I1188" t="s">
        <v>3630</v>
      </c>
      <c r="J1188">
        <f>VLOOKUP(F1188,[1]!china_towns_second__2[[Column1]:[Y]],3,FALSE)</f>
        <v>37.348455289192003</v>
      </c>
      <c r="K1188">
        <f>VLOOKUP(F1188,[1]!china_towns_second__2[[Column1]:[Y]],2,FALSE)</f>
        <v>118.02274269999999</v>
      </c>
      <c r="L1188" t="s">
        <v>6018</v>
      </c>
      <c r="M1188" t="str">
        <f>VLOOKUP(H1188,CHOOSE({1,2},Table17[Native],Table17[Name]),2,0)</f>
        <v>Bīnchéng Qū</v>
      </c>
      <c r="N1188" s="15" t="str">
        <f>VLOOKUP(I1188,CHOOSE({1,2},Table17[Native],Table17[Name]),2,0)</f>
        <v>Bīnzhōu Shì</v>
      </c>
      <c r="O1188" s="15" t="str">
        <f t="shared" si="36"/>
        <v>Shizhong Jiedao (Binzhou Shi) (Bīnzhōu Shì)</v>
      </c>
      <c r="P1188" s="15" t="str">
        <f t="shared" si="37"/>
        <v>Shizhong Jiedao (Binzhou Shi) (Bīnzhōu Shì)</v>
      </c>
    </row>
    <row r="1189" spans="1:16" hidden="1" x14ac:dyDescent="0.25">
      <c r="A1189" t="s">
        <v>149</v>
      </c>
      <c r="B1189" t="str">
        <f>IF(COUNTIF(A:A,A1189)&gt;1,_xlfn.CONCAT(A1189," (",N1189,")"),A1189)</f>
        <v>Shìzhōng Jiēdào (Dézhōu Shì)</v>
      </c>
      <c r="C1189" t="str">
        <f>IF(COUNTIF(B:B,B1189)&gt;1,_xlfn.CONCAT(A1189," (",M1189,")"),B1189)</f>
        <v>Shìzhōng Jiēdào (Dézhōu Shì)</v>
      </c>
      <c r="D1189" t="s">
        <v>150</v>
      </c>
      <c r="E1189" t="s">
        <v>7</v>
      </c>
      <c r="F1189" t="str">
        <f>_xlfn.CONCAT(D1189,", ",H1189,", ",I1189,", ","山东省")</f>
        <v>市中街道, 乐陵市, 德州市, 山东省</v>
      </c>
      <c r="G1189">
        <v>105719</v>
      </c>
      <c r="H1189" t="s">
        <v>3644</v>
      </c>
      <c r="I1189" t="s">
        <v>3642</v>
      </c>
      <c r="J1189">
        <f>VLOOKUP(F1189,[1]!china_towns_second__2[[Column1]:[Y]],3,FALSE)</f>
        <v>37.727675866327203</v>
      </c>
      <c r="K1189">
        <f>VLOOKUP(F1189,[1]!china_towns_second__2[[Column1]:[Y]],2,FALSE)</f>
        <v>117.201441</v>
      </c>
      <c r="L1189" t="s">
        <v>6019</v>
      </c>
      <c r="M1189" t="str">
        <f>VLOOKUP(H1189,CHOOSE({1,2},Table17[Native],Table17[Name]),2,0)</f>
        <v>Lèlíng Shì</v>
      </c>
      <c r="N1189" s="15" t="str">
        <f>VLOOKUP(I1189,CHOOSE({1,2},Table17[Native],Table17[Name]),2,0)</f>
        <v>Dézhōu Shì</v>
      </c>
      <c r="O1189" s="15" t="str">
        <f t="shared" si="36"/>
        <v>Shizhong Jiedao (Dezhou Shi) (Dézhōu Shì)</v>
      </c>
      <c r="P1189" s="15" t="str">
        <f t="shared" si="37"/>
        <v>Shizhong Jiedao (Dezhou Shi) (Dézhōu Shì)</v>
      </c>
    </row>
    <row r="1190" spans="1:16" hidden="1" x14ac:dyDescent="0.25">
      <c r="A1190" t="s">
        <v>364</v>
      </c>
      <c r="B1190" t="str">
        <f>IF(COUNTIF(A:A,A1190)&gt;1,_xlfn.CONCAT(A1190," (",N1190,")"),A1190)</f>
        <v>Shìzhōng Jiēdào [incl. Yǔxìng Jiēdào]</v>
      </c>
      <c r="C1190" t="str">
        <f>IF(COUNTIF(B:B,B1190)&gt;1,_xlfn.CONCAT(A1190," (",M1190,")"),B1190)</f>
        <v>Shìzhōng Jiēdào [incl. Yǔxìng Jiēdào]</v>
      </c>
      <c r="D1190" t="s">
        <v>150</v>
      </c>
      <c r="E1190" t="s">
        <v>7</v>
      </c>
      <c r="F1190" t="str">
        <f>_xlfn.CONCAT(D1190,", ",H1190,", ",I1190,", ","山东省")</f>
        <v>市中街道, 禹城市, 德州市, 山东省</v>
      </c>
      <c r="G1190">
        <v>151441</v>
      </c>
      <c r="H1190" t="s">
        <v>3653</v>
      </c>
      <c r="I1190" t="s">
        <v>3642</v>
      </c>
      <c r="J1190">
        <f>VLOOKUP(F1190,[1]!china_towns_second__2[[Column1]:[Y]],3,FALSE)</f>
        <v>36.9067323467279</v>
      </c>
      <c r="K1190">
        <f>VLOOKUP(F1190,[1]!china_towns_second__2[[Column1]:[Y]],2,FALSE)</f>
        <v>116.66005970000001</v>
      </c>
      <c r="L1190" t="s">
        <v>6020</v>
      </c>
      <c r="M1190" t="str">
        <f>VLOOKUP(H1190,CHOOSE({1,2},Table17[Native],Table17[Name]),2,0)</f>
        <v>Yŭchéng Shì</v>
      </c>
      <c r="N1190" s="15" t="str">
        <f>VLOOKUP(I1190,CHOOSE({1,2},Table17[Native],Table17[Name]),2,0)</f>
        <v>Dézhōu Shì</v>
      </c>
      <c r="O1190" s="15" t="str">
        <f t="shared" si="36"/>
        <v>Shizhong Jiedao [incl. Yuxing Jiedao] (Dézhōu Shì)</v>
      </c>
      <c r="P1190" s="15" t="str">
        <f t="shared" si="37"/>
        <v>Shizhong Jiedao [incl. Yuxing Jiedao] (Dézhōu Shì)</v>
      </c>
    </row>
    <row r="1191" spans="1:16" hidden="1" x14ac:dyDescent="0.25">
      <c r="A1191" t="s">
        <v>1410</v>
      </c>
      <c r="B1191" t="str">
        <f>IF(COUNTIF(A:A,A1191)&gt;1,_xlfn.CONCAT(A1191," (",N1191,")"),A1191)</f>
        <v>Shízhuāng Jiēdào</v>
      </c>
      <c r="C1191" t="str">
        <f>IF(COUNTIF(B:B,B1191)&gt;1,_xlfn.CONCAT(A1191," (",M1191,")"),B1191)</f>
        <v>Shízhuāng Jiēdào</v>
      </c>
      <c r="D1191" t="s">
        <v>1411</v>
      </c>
      <c r="E1191" t="s">
        <v>7</v>
      </c>
      <c r="F1191" t="str">
        <f>_xlfn.CONCAT(D1191,", ",H1191,", ",I1191,", ","山东省")</f>
        <v>时庄街道, 曲阜市, 济宁市, 山东省</v>
      </c>
      <c r="G1191">
        <v>53584</v>
      </c>
      <c r="H1191" t="s">
        <v>3691</v>
      </c>
      <c r="I1191" t="s">
        <v>3687</v>
      </c>
      <c r="J1191">
        <f>VLOOKUP(F1191,[1]!china_towns_second__2[[Column1]:[Y]],3,FALSE)</f>
        <v>35.594908590592098</v>
      </c>
      <c r="K1191">
        <f>VLOOKUP(F1191,[1]!china_towns_second__2[[Column1]:[Y]],2,FALSE)</f>
        <v>116.8961778</v>
      </c>
      <c r="L1191" t="s">
        <v>6021</v>
      </c>
      <c r="M1191" t="str">
        <f>VLOOKUP(H1191,CHOOSE({1,2},Table17[Native],Table17[Name]),2,0)</f>
        <v>Qŭfù Shì</v>
      </c>
      <c r="N1191" s="15" t="str">
        <f>VLOOKUP(I1191,CHOOSE({1,2},Table17[Native],Table17[Name]),2,0)</f>
        <v>Jìníng Shì</v>
      </c>
      <c r="O1191" s="15" t="str">
        <f t="shared" si="36"/>
        <v>Shizhuang Jiedao (Jìníng Shì)</v>
      </c>
      <c r="P1191" s="15" t="str">
        <f t="shared" si="37"/>
        <v>Shizhuang Jiedao (Jìníng Shì)</v>
      </c>
    </row>
    <row r="1192" spans="1:16" hidden="1" x14ac:dyDescent="0.25">
      <c r="A1192" t="s">
        <v>1694</v>
      </c>
      <c r="B1192" t="str">
        <f>IF(COUNTIF(A:A,A1192)&gt;1,_xlfn.CONCAT(A1192," (",N1192,")"),A1192)</f>
        <v>Shīzilóu Jiēdào</v>
      </c>
      <c r="C1192" t="str">
        <f>IF(COUNTIF(B:B,B1192)&gt;1,_xlfn.CONCAT(A1192," (",M1192,")"),B1192)</f>
        <v>Shīzilóu Jiēdào</v>
      </c>
      <c r="D1192" t="s">
        <v>1695</v>
      </c>
      <c r="E1192" t="s">
        <v>7</v>
      </c>
      <c r="F1192" t="str">
        <f>_xlfn.CONCAT(D1192,", ",H1192,", ",I1192,", ","山东省")</f>
        <v>狮子楼街道, 阳谷县, 聊城市, 山东省</v>
      </c>
      <c r="G1192">
        <v>40177</v>
      </c>
      <c r="H1192" t="s">
        <v>3708</v>
      </c>
      <c r="I1192" t="s">
        <v>3700</v>
      </c>
      <c r="J1192">
        <f>VLOOKUP(F1192,[1]!china_towns_second__2[[Column1]:[Y]],3,FALSE)</f>
        <v>36.113597343708797</v>
      </c>
      <c r="K1192">
        <f>VLOOKUP(F1192,[1]!china_towns_second__2[[Column1]:[Y]],2,FALSE)</f>
        <v>115.7527554</v>
      </c>
      <c r="L1192" t="s">
        <v>6022</v>
      </c>
      <c r="M1192" t="str">
        <f>VLOOKUP(H1192,CHOOSE({1,2},Table17[Native],Table17[Name]),2,0)</f>
        <v>Yánggŭ Xiàn</v>
      </c>
      <c r="N1192" s="15" t="str">
        <f>VLOOKUP(I1192,CHOOSE({1,2},Table17[Native],Table17[Name]),2,0)</f>
        <v>Liáochéng Shì</v>
      </c>
      <c r="O1192" s="15" t="str">
        <f t="shared" si="36"/>
        <v>Shizilou Jiedao (Liáochéng Shì)</v>
      </c>
      <c r="P1192" s="15" t="str">
        <f t="shared" si="37"/>
        <v>Shizilou Jiedao (Liáochéng Shì)</v>
      </c>
    </row>
    <row r="1193" spans="1:16" hidden="1" x14ac:dyDescent="0.25">
      <c r="A1193" t="s">
        <v>2000</v>
      </c>
      <c r="B1193" t="str">
        <f>IF(COUNTIF(A:A,A1193)&gt;1,_xlfn.CONCAT(A1193," (",N1193,")"),A1193)</f>
        <v>Shízìlù Jiēdào</v>
      </c>
      <c r="C1193" t="str">
        <f>IF(COUNTIF(B:B,B1193)&gt;1,_xlfn.CONCAT(A1193," (",M1193,")"),B1193)</f>
        <v>Shízìlù Jiēdào</v>
      </c>
      <c r="D1193" t="s">
        <v>2001</v>
      </c>
      <c r="E1193" t="s">
        <v>7</v>
      </c>
      <c r="F1193" t="str">
        <f>_xlfn.CONCAT(D1193,", ",H1193,", ",I1193,", ","山东省")</f>
        <v>十字路街道, 莒南县, 临沂市, 山东省</v>
      </c>
      <c r="G1193">
        <v>185211</v>
      </c>
      <c r="H1193" t="s">
        <v>3713</v>
      </c>
      <c r="I1193" t="s">
        <v>3710</v>
      </c>
      <c r="J1193">
        <f>VLOOKUP(F1193,[1]!china_towns_second__2[[Column1]:[Y]],3,FALSE)</f>
        <v>35.186725622406897</v>
      </c>
      <c r="K1193">
        <f>VLOOKUP(F1193,[1]!china_towns_second__2[[Column1]:[Y]],2,FALSE)</f>
        <v>118.82094360000001</v>
      </c>
      <c r="L1193" t="s">
        <v>6023</v>
      </c>
      <c r="M1193" t="str">
        <f>VLOOKUP(H1193,CHOOSE({1,2},Table17[Native],Table17[Name]),2,0)</f>
        <v>Jŭnán Xiàn</v>
      </c>
      <c r="N1193" s="15" t="str">
        <f>VLOOKUP(I1193,CHOOSE({1,2},Table17[Native],Table17[Name]),2,0)</f>
        <v>Línyí Shì</v>
      </c>
      <c r="O1193" s="15" t="str">
        <f t="shared" si="36"/>
        <v>Shizilu Jiedao (Línyí Shì)</v>
      </c>
      <c r="P1193" s="15" t="str">
        <f t="shared" si="37"/>
        <v>Shizilu Jiedao (Línyí Shì)</v>
      </c>
    </row>
    <row r="1194" spans="1:16" hidden="1" x14ac:dyDescent="0.25">
      <c r="A1194" t="s">
        <v>1696</v>
      </c>
      <c r="B1194" t="str">
        <f>IF(COUNTIF(A:A,A1194)&gt;1,_xlfn.CONCAT(A1194," (",N1194,")"),A1194)</f>
        <v>Shìziyuán Zhèn</v>
      </c>
      <c r="C1194" t="str">
        <f>IF(COUNTIF(B:B,B1194)&gt;1,_xlfn.CONCAT(A1194," (",M1194,")"),B1194)</f>
        <v>Shìziyuán Zhèn</v>
      </c>
      <c r="D1194" t="s">
        <v>1697</v>
      </c>
      <c r="E1194" t="s">
        <v>13</v>
      </c>
      <c r="F1194" t="str">
        <f>_xlfn.CONCAT(D1194,", ",H1194,", ",I1194,", ","山东省")</f>
        <v>柿子园镇, 莘县, 聊城市, 山东省</v>
      </c>
      <c r="G1194">
        <v>30345</v>
      </c>
      <c r="H1194" t="s">
        <v>3707</v>
      </c>
      <c r="I1194" t="s">
        <v>3700</v>
      </c>
      <c r="J1194">
        <f>VLOOKUP(F1194,[1]!china_towns_second__2[[Column1]:[Y]],3,FALSE)</f>
        <v>35.9757064621053</v>
      </c>
      <c r="K1194">
        <f>VLOOKUP(F1194,[1]!china_towns_second__2[[Column1]:[Y]],2,FALSE)</f>
        <v>115.5499174</v>
      </c>
      <c r="L1194" t="s">
        <v>6024</v>
      </c>
      <c r="M1194" t="str">
        <f>VLOOKUP(H1194,CHOOSE({1,2},Table17[Native],Table17[Name]),2,0)</f>
        <v>Shēn Xiàn</v>
      </c>
      <c r="N1194" s="15" t="str">
        <f>VLOOKUP(I1194,CHOOSE({1,2},Table17[Native],Table17[Name]),2,0)</f>
        <v>Liáochéng Shì</v>
      </c>
      <c r="O1194" s="15" t="str">
        <f t="shared" si="36"/>
        <v>Shiziyuan Zhen (Liáochéng Shì)</v>
      </c>
      <c r="P1194" s="15" t="str">
        <f t="shared" si="37"/>
        <v>Shiziyuan Zhen (Liáochéng Shì)</v>
      </c>
    </row>
    <row r="1195" spans="1:16" hidden="1" x14ac:dyDescent="0.25">
      <c r="A1195" t="s">
        <v>1698</v>
      </c>
      <c r="B1195" t="str">
        <f>IF(COUNTIF(A:A,A1195)&gt;1,_xlfn.CONCAT(A1195," (",N1195,")"),A1195)</f>
        <v>Shòuzhāng Zhèn</v>
      </c>
      <c r="C1195" t="str">
        <f>IF(COUNTIF(B:B,B1195)&gt;1,_xlfn.CONCAT(A1195," (",M1195,")"),B1195)</f>
        <v>Shòuzhāng Zhèn</v>
      </c>
      <c r="D1195" t="s">
        <v>1699</v>
      </c>
      <c r="E1195" t="s">
        <v>13</v>
      </c>
      <c r="F1195" t="str">
        <f>_xlfn.CONCAT(D1195,", ",H1195,", ",I1195,", ","山东省")</f>
        <v>寿张镇, 阳谷县, 聊城市, 山东省</v>
      </c>
      <c r="G1195">
        <v>65436</v>
      </c>
      <c r="H1195" t="s">
        <v>3708</v>
      </c>
      <c r="I1195" t="s">
        <v>3700</v>
      </c>
      <c r="J1195">
        <f>VLOOKUP(F1195,[1]!china_towns_second__2[[Column1]:[Y]],3,FALSE)</f>
        <v>36.041666556583102</v>
      </c>
      <c r="K1195">
        <f>VLOOKUP(F1195,[1]!china_towns_second__2[[Column1]:[Y]],2,FALSE)</f>
        <v>115.83683499999999</v>
      </c>
      <c r="L1195" t="s">
        <v>6025</v>
      </c>
      <c r="M1195" t="str">
        <f>VLOOKUP(H1195,CHOOSE({1,2},Table17[Native],Table17[Name]),2,0)</f>
        <v>Yánggŭ Xiàn</v>
      </c>
      <c r="N1195" s="15" t="str">
        <f>VLOOKUP(I1195,CHOOSE({1,2},Table17[Native],Table17[Name]),2,0)</f>
        <v>Liáochéng Shì</v>
      </c>
      <c r="O1195" s="15" t="str">
        <f t="shared" si="36"/>
        <v>Shouzhang Zhen (Liáochéng Shì)</v>
      </c>
      <c r="P1195" s="15" t="str">
        <f t="shared" si="37"/>
        <v>Shouzhang Zhen (Liáochéng Shì)</v>
      </c>
    </row>
    <row r="1196" spans="1:16" hidden="1" x14ac:dyDescent="0.25">
      <c r="A1196" t="s">
        <v>1412</v>
      </c>
      <c r="B1196" t="str">
        <f>IF(COUNTIF(A:A,A1196)&gt;1,_xlfn.CONCAT(A1196," (",N1196,")"),A1196)</f>
        <v>Shòuzhāngjí Zhèn</v>
      </c>
      <c r="C1196" t="str">
        <f>IF(COUNTIF(B:B,B1196)&gt;1,_xlfn.CONCAT(A1196," (",M1196,")"),B1196)</f>
        <v>Shòuzhāngjí Zhèn</v>
      </c>
      <c r="D1196" t="s">
        <v>1413</v>
      </c>
      <c r="E1196" t="s">
        <v>13</v>
      </c>
      <c r="F1196" t="str">
        <f>_xlfn.CONCAT(D1196,", ",H1196,", ",I1196,", ","山东省")</f>
        <v>寿张集镇, 梁山县, 济宁市, 山东省</v>
      </c>
      <c r="G1196">
        <v>34462</v>
      </c>
      <c r="H1196" t="s">
        <v>3690</v>
      </c>
      <c r="I1196" t="s">
        <v>3687</v>
      </c>
      <c r="J1196">
        <f>VLOOKUP(F1196,[1]!china_towns_second__2[[Column1]:[Y]],3,FALSE)</f>
        <v>35.869610873177301</v>
      </c>
      <c r="K1196">
        <f>VLOOKUP(F1196,[1]!china_towns_second__2[[Column1]:[Y]],2,FALSE)</f>
        <v>116.0440092</v>
      </c>
      <c r="L1196" t="s">
        <v>6026</v>
      </c>
      <c r="M1196" t="str">
        <f>VLOOKUP(H1196,CHOOSE({1,2},Table17[Native],Table17[Name]),2,0)</f>
        <v>Liángshān Xiàn</v>
      </c>
      <c r="N1196" s="15" t="str">
        <f>VLOOKUP(I1196,CHOOSE({1,2},Table17[Native],Table17[Name]),2,0)</f>
        <v>Jìníng Shì</v>
      </c>
      <c r="O1196" s="15" t="str">
        <f t="shared" si="36"/>
        <v>Shouzhangji Zhen (Jìníng Shì)</v>
      </c>
      <c r="P1196" s="15" t="str">
        <f t="shared" si="37"/>
        <v>Shouzhangji Zhen (Jìníng Shì)</v>
      </c>
    </row>
    <row r="1197" spans="1:16" hidden="1" x14ac:dyDescent="0.25">
      <c r="A1197" t="s">
        <v>2002</v>
      </c>
      <c r="B1197" t="str">
        <f>IF(COUNTIF(A:A,A1197)&gt;1,_xlfn.CONCAT(A1197," (",N1197,")"),A1197)</f>
        <v>Shuānghòu Zhèn</v>
      </c>
      <c r="C1197" t="str">
        <f>IF(COUNTIF(B:B,B1197)&gt;1,_xlfn.CONCAT(A1197," (",M1197,")"),B1197)</f>
        <v>Shuānghòu Zhèn</v>
      </c>
      <c r="D1197" t="s">
        <v>2003</v>
      </c>
      <c r="E1197" t="s">
        <v>13</v>
      </c>
      <c r="F1197" t="str">
        <f>_xlfn.CONCAT(D1197,", ",H1197,", ",I1197,", ","山东省")</f>
        <v>双堠镇, 沂南县, 临沂市, 山东省</v>
      </c>
      <c r="G1197">
        <v>35800</v>
      </c>
      <c r="H1197" t="s">
        <v>3721</v>
      </c>
      <c r="I1197" t="s">
        <v>3710</v>
      </c>
      <c r="J1197">
        <f>VLOOKUP(F1197,[1]!china_towns_second__2[[Column1]:[Y]],3,FALSE)</f>
        <v>35.467672628944598</v>
      </c>
      <c r="K1197">
        <f>VLOOKUP(F1197,[1]!china_towns_second__2[[Column1]:[Y]],2,FALSE)</f>
        <v>118.208198</v>
      </c>
      <c r="L1197" t="s">
        <v>6027</v>
      </c>
      <c r="M1197" t="str">
        <f>VLOOKUP(H1197,CHOOSE({1,2},Table17[Native],Table17[Name]),2,0)</f>
        <v>Yínán Xiàn</v>
      </c>
      <c r="N1197" s="15" t="str">
        <f>VLOOKUP(I1197,CHOOSE({1,2},Table17[Native],Table17[Name]),2,0)</f>
        <v>Línyí Shì</v>
      </c>
      <c r="O1197" s="15" t="str">
        <f t="shared" si="36"/>
        <v>Shuanghou Zhen (Línyí Shì)</v>
      </c>
      <c r="P1197" s="15" t="str">
        <f t="shared" si="37"/>
        <v>Shuanghou Zhen (Línyí Shì)</v>
      </c>
    </row>
    <row r="1198" spans="1:16" hidden="1" x14ac:dyDescent="0.25">
      <c r="A1198" t="s">
        <v>365</v>
      </c>
      <c r="B1198" t="str">
        <f>IF(COUNTIF(A:A,A1198)&gt;1,_xlfn.CONCAT(A1198," (",N1198,")"),A1198)</f>
        <v>Shuāngmiào Zhèn</v>
      </c>
      <c r="C1198" t="str">
        <f>IF(COUNTIF(B:B,B1198)&gt;1,_xlfn.CONCAT(A1198," (",M1198,")"),B1198)</f>
        <v>Shuāngmiào Zhèn</v>
      </c>
      <c r="D1198" t="s">
        <v>366</v>
      </c>
      <c r="E1198" t="s">
        <v>13</v>
      </c>
      <c r="F1198" t="str">
        <f>_xlfn.CONCAT(D1198,", ",H1198,", ",I1198,", ","山东省")</f>
        <v>双庙镇, 夏津县, 德州市, 山东省</v>
      </c>
      <c r="G1198">
        <v>24595</v>
      </c>
      <c r="H1198" t="s">
        <v>3652</v>
      </c>
      <c r="I1198" t="s">
        <v>3642</v>
      </c>
      <c r="J1198">
        <f>VLOOKUP(F1198,[1]!china_towns_second__2[[Column1]:[Y]],3,FALSE)</f>
        <v>36.970841436700603</v>
      </c>
      <c r="K1198">
        <f>VLOOKUP(F1198,[1]!china_towns_second__2[[Column1]:[Y]],2,FALSE)</f>
        <v>115.914136</v>
      </c>
      <c r="L1198" t="s">
        <v>6028</v>
      </c>
      <c r="M1198" t="str">
        <f>VLOOKUP(H1198,CHOOSE({1,2},Table17[Native],Table17[Name]),2,0)</f>
        <v>Xiàjīn Xiàn</v>
      </c>
      <c r="N1198" s="15" t="str">
        <f>VLOOKUP(I1198,CHOOSE({1,2},Table17[Native],Table17[Name]),2,0)</f>
        <v>Dézhōu Shì</v>
      </c>
      <c r="O1198" s="15" t="str">
        <f t="shared" si="36"/>
        <v>Shuangmiao Zhen (Dézhōu Shì)</v>
      </c>
      <c r="P1198" s="15" t="str">
        <f t="shared" si="37"/>
        <v>Shuangmiao Zhen (Dézhōu Shì)</v>
      </c>
    </row>
    <row r="1199" spans="1:16" hidden="1" x14ac:dyDescent="0.25">
      <c r="A1199" t="s">
        <v>800</v>
      </c>
      <c r="B1199" t="str">
        <f>IF(COUNTIF(A:A,A1199)&gt;1,_xlfn.CONCAT(A1199," (",N1199,")"),A1199)</f>
        <v>Shuāngqiáo Zhèn</v>
      </c>
      <c r="C1199" t="str">
        <f>IF(COUNTIF(B:B,B1199)&gt;1,_xlfn.CONCAT(A1199," (",M1199,")"),B1199)</f>
        <v>Shuāngqiáo Zhèn</v>
      </c>
      <c r="D1199" t="s">
        <v>801</v>
      </c>
      <c r="E1199" t="s">
        <v>13</v>
      </c>
      <c r="F1199" t="str">
        <f>_xlfn.CONCAT(D1199,", ",H1199,", ",I1199,", ","山东省")</f>
        <v>双桥镇, 郓城县, 菏泽市, 山东省</v>
      </c>
      <c r="G1199">
        <v>48048</v>
      </c>
      <c r="H1199" t="s">
        <v>3671</v>
      </c>
      <c r="I1199" t="s">
        <v>3662</v>
      </c>
      <c r="J1199">
        <f>VLOOKUP(F1199,[1]!china_towns_second__2[[Column1]:[Y]],3,FALSE)</f>
        <v>35.559096092151599</v>
      </c>
      <c r="K1199">
        <f>VLOOKUP(F1199,[1]!china_towns_second__2[[Column1]:[Y]],2,FALSE)</f>
        <v>115.8505727</v>
      </c>
      <c r="L1199" t="s">
        <v>6029</v>
      </c>
      <c r="M1199" t="str">
        <f>VLOOKUP(H1199,CHOOSE({1,2},Table17[Native],Table17[Name]),2,0)</f>
        <v>Yùnchéng Xiàn</v>
      </c>
      <c r="N1199" s="15" t="str">
        <f>VLOOKUP(I1199,CHOOSE({1,2},Table17[Native],Table17[Name]),2,0)</f>
        <v>Hézé Shì</v>
      </c>
      <c r="O1199" s="15" t="str">
        <f t="shared" si="36"/>
        <v>Shuangqiao Zhen (Hézé Shì)</v>
      </c>
      <c r="P1199" s="15" t="str">
        <f t="shared" si="37"/>
        <v>Shuangqiao Zhen (Hézé Shì)</v>
      </c>
    </row>
    <row r="1200" spans="1:16" hidden="1" x14ac:dyDescent="0.25">
      <c r="A1200" t="s">
        <v>1108</v>
      </c>
      <c r="B1200" t="str">
        <f>IF(COUNTIF(A:A,A1200)&gt;1,_xlfn.CONCAT(A1200," (",N1200,")"),A1200)</f>
        <v>Shuāngquán Zhèn</v>
      </c>
      <c r="C1200" t="str">
        <f>IF(COUNTIF(B:B,B1200)&gt;1,_xlfn.CONCAT(A1200," (",M1200,")"),B1200)</f>
        <v>Shuāngquán Zhèn</v>
      </c>
      <c r="D1200" t="s">
        <v>1109</v>
      </c>
      <c r="E1200" t="s">
        <v>13</v>
      </c>
      <c r="F1200" t="str">
        <f>_xlfn.CONCAT(D1200,", ",H1200,", ",I1200,", ","山东省")</f>
        <v>双泉镇, 长清区, 济南市, 山东省</v>
      </c>
      <c r="G1200">
        <v>21674</v>
      </c>
      <c r="H1200" t="s">
        <v>3674</v>
      </c>
      <c r="I1200" t="s">
        <v>3673</v>
      </c>
      <c r="J1200">
        <f>VLOOKUP(F1200,[1]!china_towns_second__2[[Column1]:[Y]],3,FALSE)</f>
        <v>36.332161229220901</v>
      </c>
      <c r="K1200">
        <f>VLOOKUP(F1200,[1]!china_towns_second__2[[Column1]:[Y]],2,FALSE)</f>
        <v>116.70114909999999</v>
      </c>
      <c r="L1200" t="s">
        <v>6030</v>
      </c>
      <c r="M1200" t="str">
        <f>VLOOKUP(H1200,CHOOSE({1,2},Table17[Native],Table17[Name]),2,0)</f>
        <v>Chángqīng Qū</v>
      </c>
      <c r="N1200" s="15" t="str">
        <f>VLOOKUP(I1200,CHOOSE({1,2},Table17[Native],Table17[Name]),2,0)</f>
        <v>Jìnán Shì</v>
      </c>
      <c r="O1200" s="15" t="str">
        <f t="shared" si="36"/>
        <v>Shuangquan Zhen (Jìnán Shì)</v>
      </c>
      <c r="P1200" s="15" t="str">
        <f t="shared" si="37"/>
        <v>Shuangquan Zhen (Jìnán Shì)</v>
      </c>
    </row>
    <row r="1201" spans="1:16" hidden="1" x14ac:dyDescent="0.25">
      <c r="A1201" t="s">
        <v>1110</v>
      </c>
      <c r="B1201" t="str">
        <f>IF(COUNTIF(A:A,A1201)&gt;1,_xlfn.CONCAT(A1201," (",N1201,")"),A1201)</f>
        <v>Shuāngshān Jiēdào</v>
      </c>
      <c r="C1201" t="str">
        <f>IF(COUNTIF(B:B,B1201)&gt;1,_xlfn.CONCAT(A1201," (",M1201,")"),B1201)</f>
        <v>Shuāngshān Jiēdào</v>
      </c>
      <c r="D1201" t="s">
        <v>1111</v>
      </c>
      <c r="E1201" t="s">
        <v>7</v>
      </c>
      <c r="F1201" t="str">
        <f>_xlfn.CONCAT(D1201,", ",H1201,", ",I1201,", ","山东省")</f>
        <v>双山街道, 章丘区, 济南市, 山东省</v>
      </c>
      <c r="G1201">
        <v>121487</v>
      </c>
      <c r="H1201" t="s">
        <v>3685</v>
      </c>
      <c r="I1201" t="s">
        <v>3673</v>
      </c>
      <c r="J1201">
        <f>VLOOKUP(F1201,[1]!china_towns_second__2[[Column1]:[Y]],3,FALSE)</f>
        <v>36.671691701837503</v>
      </c>
      <c r="K1201">
        <f>VLOOKUP(F1201,[1]!china_towns_second__2[[Column1]:[Y]],2,FALSE)</f>
        <v>117.51966299999999</v>
      </c>
      <c r="L1201" t="s">
        <v>6031</v>
      </c>
      <c r="M1201" t="str">
        <f>VLOOKUP(H1201,CHOOSE({1,2},Table17[Native],Table17[Name]),2,0)</f>
        <v>Zhāngqiū Qū</v>
      </c>
      <c r="N1201" s="15" t="str">
        <f>VLOOKUP(I1201,CHOOSE({1,2},Table17[Native],Table17[Name]),2,0)</f>
        <v>Jìnán Shì</v>
      </c>
      <c r="O1201" s="15" t="str">
        <f t="shared" si="36"/>
        <v>Shuangshan Jiedao (Jìnán Shì)</v>
      </c>
      <c r="P1201" s="15" t="str">
        <f t="shared" si="37"/>
        <v>Shuangshan Jiedao (Jìnán Shì)</v>
      </c>
    </row>
    <row r="1202" spans="1:16" hidden="1" x14ac:dyDescent="0.25">
      <c r="A1202" t="s">
        <v>3571</v>
      </c>
      <c r="B1202" t="str">
        <f>IF(COUNTIF(A:A,A1202)&gt;1,_xlfn.CONCAT(A1202," (",N1202,")"),A1202)</f>
        <v>Shuāngyáng Zhèn</v>
      </c>
      <c r="C1202" t="str">
        <f>IF(COUNTIF(B:B,B1202)&gt;1,_xlfn.CONCAT(A1202," (",M1202,")"),B1202)</f>
        <v>Shuāngyáng Zhèn</v>
      </c>
      <c r="D1202" t="s">
        <v>3572</v>
      </c>
      <c r="E1202" t="s">
        <v>13</v>
      </c>
      <c r="F1202" t="str">
        <f>_xlfn.CONCAT(D1202,", ",H1202,", ",I1202,", ","山东省")</f>
        <v>双杨镇, 淄川区, 淄博市, 山东省</v>
      </c>
      <c r="G1202">
        <v>71561</v>
      </c>
      <c r="H1202" t="s">
        <v>3799</v>
      </c>
      <c r="I1202" t="s">
        <v>3791</v>
      </c>
      <c r="J1202">
        <f>VLOOKUP(F1202,[1]!china_towns_second__2[[Column1]:[Y]],3,FALSE)</f>
        <v>36.710280067390002</v>
      </c>
      <c r="K1202">
        <f>VLOOKUP(F1202,[1]!china_towns_second__2[[Column1]:[Y]],2,FALSE)</f>
        <v>117.9836485</v>
      </c>
      <c r="L1202" t="s">
        <v>6032</v>
      </c>
      <c r="M1202" t="str">
        <f>VLOOKUP(H1202,CHOOSE({1,2},Table17[Native],Table17[Name]),2,0)</f>
        <v>Zīchuān Qū</v>
      </c>
      <c r="N1202" s="15" t="str">
        <f>VLOOKUP(I1202,CHOOSE({1,2},Table17[Native],Table17[Name]),2,0)</f>
        <v>Zībó Shì</v>
      </c>
      <c r="O1202" s="15" t="str">
        <f t="shared" si="36"/>
        <v>Shuangyang Zhen (Zībó Shì)</v>
      </c>
      <c r="P1202" s="15" t="str">
        <f t="shared" si="37"/>
        <v>Shuangyang Zhen (Zībó Shì)</v>
      </c>
    </row>
    <row r="1203" spans="1:16" hidden="1" x14ac:dyDescent="0.25">
      <c r="A1203" t="s">
        <v>802</v>
      </c>
      <c r="B1203" t="str">
        <f>IF(COUNTIF(A:A,A1203)&gt;1,_xlfn.CONCAT(A1203," (",N1203,")"),A1203)</f>
        <v>Shuĭbăo Xiāng</v>
      </c>
      <c r="C1203" t="str">
        <f>IF(COUNTIF(B:B,B1203)&gt;1,_xlfn.CONCAT(A1203," (",M1203,")"),B1203)</f>
        <v>Shuĭbăo Xiāng</v>
      </c>
      <c r="D1203" t="s">
        <v>803</v>
      </c>
      <c r="E1203" t="s">
        <v>61</v>
      </c>
      <c r="F1203" t="str">
        <f>_xlfn.CONCAT(D1203,", ",H1203,", ",I1203,", ","山东省")</f>
        <v>水堡乡, 郓城县, 菏泽市, 山东省</v>
      </c>
      <c r="G1203">
        <v>19588</v>
      </c>
      <c r="H1203" t="s">
        <v>3671</v>
      </c>
      <c r="I1203" t="s">
        <v>3662</v>
      </c>
      <c r="J1203" t="e">
        <f>VLOOKUP(F1203,[1]!china_towns_second__2[[Column1]:[Y]],3,FALSE)</f>
        <v>#N/A</v>
      </c>
      <c r="K1203" t="e">
        <f>VLOOKUP(F1203,[1]!china_towns_second__2[[Column1]:[Y]],2,FALSE)</f>
        <v>#N/A</v>
      </c>
      <c r="L1203" t="s">
        <v>6033</v>
      </c>
      <c r="M1203" t="str">
        <f>VLOOKUP(H1203,CHOOSE({1,2},Table17[Native],Table17[Name]),2,0)</f>
        <v>Yùnchéng Xiàn</v>
      </c>
      <c r="N1203" s="15" t="str">
        <f>VLOOKUP(I1203,CHOOSE({1,2},Table17[Native],Table17[Name]),2,0)</f>
        <v>Hézé Shì</v>
      </c>
      <c r="O1203" s="15" t="str">
        <f t="shared" si="36"/>
        <v>Shuibao Xiang (Hézé Shì)</v>
      </c>
      <c r="P1203" s="15" t="str">
        <f t="shared" si="37"/>
        <v>Shuibao Xiang (Hézé Shì)</v>
      </c>
    </row>
    <row r="1204" spans="1:16" hidden="1" x14ac:dyDescent="0.25">
      <c r="A1204" t="s">
        <v>1414</v>
      </c>
      <c r="B1204" t="str">
        <f>IF(COUNTIF(A:A,A1204)&gt;1,_xlfn.CONCAT(A1204," (",N1204,")"),A1204)</f>
        <v>Shuĭbó Jiēdào</v>
      </c>
      <c r="C1204" t="str">
        <f>IF(COUNTIF(B:B,B1204)&gt;1,_xlfn.CONCAT(A1204," (",M1204,")"),B1204)</f>
        <v>Shuĭbó Jiēdào</v>
      </c>
      <c r="D1204" t="s">
        <v>1415</v>
      </c>
      <c r="E1204" t="s">
        <v>7</v>
      </c>
      <c r="F1204" t="str">
        <f>_xlfn.CONCAT(D1204,", ",H1204,", ",I1204,", ","山东省")</f>
        <v>水泊街道, 梁山县, 济宁市, 山东省</v>
      </c>
      <c r="G1204">
        <v>82339</v>
      </c>
      <c r="H1204" t="s">
        <v>3690</v>
      </c>
      <c r="I1204" t="s">
        <v>3687</v>
      </c>
      <c r="J1204">
        <f>VLOOKUP(F1204,[1]!china_towns_second__2[[Column1]:[Y]],3,FALSE)</f>
        <v>35.785838519983699</v>
      </c>
      <c r="K1204">
        <f>VLOOKUP(F1204,[1]!china_towns_second__2[[Column1]:[Y]],2,FALSE)</f>
        <v>116.10873890000001</v>
      </c>
      <c r="L1204" t="s">
        <v>6034</v>
      </c>
      <c r="M1204" t="str">
        <f>VLOOKUP(H1204,CHOOSE({1,2},Table17[Native],Table17[Name]),2,0)</f>
        <v>Liángshān Xiàn</v>
      </c>
      <c r="N1204" s="15" t="str">
        <f>VLOOKUP(I1204,CHOOSE({1,2},Table17[Native],Table17[Name]),2,0)</f>
        <v>Jìníng Shì</v>
      </c>
      <c r="O1204" s="15" t="str">
        <f t="shared" si="36"/>
        <v>Shuibo Jiedao (Jìníng Shì)</v>
      </c>
      <c r="P1204" s="15" t="str">
        <f t="shared" si="37"/>
        <v>Shuibo Jiedao (Jìníng Shì)</v>
      </c>
    </row>
    <row r="1205" spans="1:16" hidden="1" x14ac:dyDescent="0.25">
      <c r="A1205" t="s">
        <v>3233</v>
      </c>
      <c r="B1205" t="str">
        <f>IF(COUNTIF(A:A,A1205)&gt;1,_xlfn.CONCAT(A1205," (",N1205,")"),A1205)</f>
        <v>Shuĭdào Zhèn</v>
      </c>
      <c r="C1205" t="str">
        <f>IF(COUNTIF(B:B,B1205)&gt;1,_xlfn.CONCAT(A1205," (",M1205,")"),B1205)</f>
        <v>Shuĭdào Zhèn</v>
      </c>
      <c r="D1205" t="s">
        <v>3234</v>
      </c>
      <c r="E1205" t="s">
        <v>13</v>
      </c>
      <c r="F1205" t="str">
        <f>_xlfn.CONCAT(D1205,", ",H1205,", ",I1205,", ","山东省")</f>
        <v>水道镇, 牟平区, 烟台市, 山东省</v>
      </c>
      <c r="G1205">
        <v>29664</v>
      </c>
      <c r="H1205" t="s">
        <v>3778</v>
      </c>
      <c r="I1205" t="s">
        <v>3771</v>
      </c>
      <c r="J1205">
        <f>VLOOKUP(F1205,[1]!china_towns_second__2[[Column1]:[Y]],3,FALSE)</f>
        <v>37.168236421373699</v>
      </c>
      <c r="K1205">
        <f>VLOOKUP(F1205,[1]!china_towns_second__2[[Column1]:[Y]],2,FALSE)</f>
        <v>121.5265096</v>
      </c>
      <c r="L1205" t="s">
        <v>6035</v>
      </c>
      <c r="M1205" t="str">
        <f>VLOOKUP(H1205,CHOOSE({1,2},Table17[Native],Table17[Name]),2,0)</f>
        <v>Mùpíng Qū</v>
      </c>
      <c r="N1205" s="15" t="str">
        <f>VLOOKUP(I1205,CHOOSE({1,2},Table17[Native],Table17[Name]),2,0)</f>
        <v>Yāntái Shì</v>
      </c>
      <c r="O1205" s="15" t="str">
        <f t="shared" si="36"/>
        <v>Shuidao Zhen (Yāntái Shì)</v>
      </c>
      <c r="P1205" s="15" t="str">
        <f t="shared" si="37"/>
        <v>Shuidao Zhen (Yāntái Shì)</v>
      </c>
    </row>
    <row r="1206" spans="1:16" hidden="1" x14ac:dyDescent="0.25">
      <c r="A1206" t="s">
        <v>3423</v>
      </c>
      <c r="B1206" t="str">
        <f>IF(COUNTIF(A:A,A1206)&gt;1,_xlfn.CONCAT(A1206," (",N1206,")"),A1206)</f>
        <v>Shuìguō Zhèn</v>
      </c>
      <c r="C1206" t="str">
        <f>IF(COUNTIF(B:B,B1206)&gt;1,_xlfn.CONCAT(A1206," (",M1206,")"),B1206)</f>
        <v>Shuìguō Zhèn</v>
      </c>
      <c r="D1206" t="s">
        <v>3424</v>
      </c>
      <c r="E1206" t="s">
        <v>13</v>
      </c>
      <c r="F1206" t="str">
        <f>_xlfn.CONCAT(D1206,", ",H1206,", ",I1206,", ","山东省")</f>
        <v>税郭镇, 市中区, 枣庄市, 山东省</v>
      </c>
      <c r="G1206">
        <v>45156</v>
      </c>
      <c r="H1206" t="s">
        <v>3683</v>
      </c>
      <c r="I1206" t="s">
        <v>3784</v>
      </c>
      <c r="J1206">
        <f>VLOOKUP(F1206,[1]!china_towns_second__2[[Column1]:[Y]],3,FALSE)</f>
        <v>34.859273116172098</v>
      </c>
      <c r="K1206">
        <f>VLOOKUP(F1206,[1]!china_towns_second__2[[Column1]:[Y]],2,FALSE)</f>
        <v>117.6903887</v>
      </c>
      <c r="L1206" t="s">
        <v>6036</v>
      </c>
      <c r="M1206" t="str">
        <f>VLOOKUP(H1206,CHOOSE({1,2},Table17[Native],Table17[Name]),2,0)</f>
        <v>Shìzhōng Qū</v>
      </c>
      <c r="N1206" s="15" t="str">
        <f>VLOOKUP(I1206,CHOOSE({1,2},Table17[Native],Table17[Name]),2,0)</f>
        <v>Zăozhuāng Shì</v>
      </c>
      <c r="O1206" s="15" t="str">
        <f t="shared" si="36"/>
        <v>Shuiguo Zhen (Zăozhuāng Shì)</v>
      </c>
      <c r="P1206" s="15" t="str">
        <f t="shared" si="37"/>
        <v>Shuiguo Zhen (Zăozhuāng Shì)</v>
      </c>
    </row>
    <row r="1207" spans="1:16" hidden="1" x14ac:dyDescent="0.25">
      <c r="A1207" t="s">
        <v>2296</v>
      </c>
      <c r="B1207" t="str">
        <f>IF(COUNTIF(A:A,A1207)&gt;1,_xlfn.CONCAT(A1207," (",N1207,")"),A1207)</f>
        <v>Shuĭjí Jiēdào</v>
      </c>
      <c r="C1207" t="str">
        <f>IF(COUNTIF(B:B,B1207)&gt;1,_xlfn.CONCAT(A1207," (",M1207,")"),B1207)</f>
        <v>Shuĭjí Jiēdào</v>
      </c>
      <c r="D1207" t="s">
        <v>2297</v>
      </c>
      <c r="E1207" t="s">
        <v>7</v>
      </c>
      <c r="F1207" t="str">
        <f>_xlfn.CONCAT(D1207,", ",H1207,", ",I1207,", ","山东省")</f>
        <v>水集街道, 莱西市, 青岛市, 山东省</v>
      </c>
      <c r="G1207">
        <v>139808</v>
      </c>
      <c r="H1207" t="s">
        <v>3729</v>
      </c>
      <c r="I1207" t="s">
        <v>3724</v>
      </c>
      <c r="J1207">
        <f>VLOOKUP(F1207,[1]!china_towns_second__2[[Column1]:[Y]],3,FALSE)</f>
        <v>36.918455858875397</v>
      </c>
      <c r="K1207">
        <f>VLOOKUP(F1207,[1]!china_towns_second__2[[Column1]:[Y]],2,FALSE)</f>
        <v>120.4693099</v>
      </c>
      <c r="L1207" t="s">
        <v>6037</v>
      </c>
      <c r="M1207" t="str">
        <f>VLOOKUP(H1207,CHOOSE({1,2},Table17[Native],Table17[Name]),2,0)</f>
        <v>Láixī Shì</v>
      </c>
      <c r="N1207" s="15" t="str">
        <f>VLOOKUP(I1207,CHOOSE({1,2},Table17[Native],Table17[Name]),2,0)</f>
        <v>Qīngdăo Shì</v>
      </c>
      <c r="O1207" s="15" t="str">
        <f t="shared" si="36"/>
        <v>Shuiji Jiedao (Qīngdăo Shì)</v>
      </c>
      <c r="P1207" s="15" t="str">
        <f t="shared" si="37"/>
        <v>Shuiji Jiedao (Qīngdăo Shì)</v>
      </c>
    </row>
    <row r="1208" spans="1:16" hidden="1" x14ac:dyDescent="0.25">
      <c r="A1208" t="s">
        <v>151</v>
      </c>
      <c r="B1208" t="str">
        <f>IF(COUNTIF(A:A,A1208)&gt;1,_xlfn.CONCAT(A1208," (",N1208,")"),A1208)</f>
        <v>Shuĭluòpō Zhèn</v>
      </c>
      <c r="C1208" t="str">
        <f>IF(COUNTIF(B:B,B1208)&gt;1,_xlfn.CONCAT(A1208," (",M1208,")"),B1208)</f>
        <v>Shuĭluòpō Zhèn</v>
      </c>
      <c r="D1208" t="s">
        <v>152</v>
      </c>
      <c r="E1208" t="s">
        <v>13</v>
      </c>
      <c r="F1208" t="str">
        <f>_xlfn.CONCAT(D1208,", ",H1208,", ",I1208,", ","山东省")</f>
        <v>水落坡镇, 阳信县, 滨州市, 山东省</v>
      </c>
      <c r="G1208">
        <v>55684</v>
      </c>
      <c r="H1208" t="s">
        <v>3637</v>
      </c>
      <c r="I1208" t="s">
        <v>3630</v>
      </c>
      <c r="J1208">
        <f>VLOOKUP(F1208,[1]!china_towns_second__2[[Column1]:[Y]],3,FALSE)</f>
        <v>37.575657738003201</v>
      </c>
      <c r="K1208">
        <f>VLOOKUP(F1208,[1]!china_towns_second__2[[Column1]:[Y]],2,FALSE)</f>
        <v>117.77063769999999</v>
      </c>
      <c r="L1208" t="s">
        <v>6038</v>
      </c>
      <c r="M1208" t="str">
        <f>VLOOKUP(H1208,CHOOSE({1,2},Table17[Native],Table17[Name]),2,0)</f>
        <v>Yángxìn Xiàn</v>
      </c>
      <c r="N1208" s="15" t="str">
        <f>VLOOKUP(I1208,CHOOSE({1,2},Table17[Native],Table17[Name]),2,0)</f>
        <v>Bīnzhōu Shì</v>
      </c>
      <c r="O1208" s="15" t="str">
        <f t="shared" si="36"/>
        <v>Shuiluopo Zhen (Bīnzhōu Shì)</v>
      </c>
      <c r="P1208" s="15" t="str">
        <f t="shared" si="37"/>
        <v>Shuiluopo Zhen (Bīnzhōu Shì)</v>
      </c>
    </row>
    <row r="1209" spans="1:16" hidden="1" x14ac:dyDescent="0.25">
      <c r="A1209" t="s">
        <v>2298</v>
      </c>
      <c r="B1209" t="str">
        <f>IF(COUNTIF(A:A,A1209)&gt;1,_xlfn.CONCAT(A1209," (",N1209,")"),A1209)</f>
        <v>Shuĭqīnggōu Jiēdào</v>
      </c>
      <c r="C1209" t="str">
        <f>IF(COUNTIF(B:B,B1209)&gt;1,_xlfn.CONCAT(A1209," (",M1209,")"),B1209)</f>
        <v>Shuĭqīnggōu Jiēdào</v>
      </c>
      <c r="D1209" t="s">
        <v>2299</v>
      </c>
      <c r="E1209" t="s">
        <v>7</v>
      </c>
      <c r="F1209" t="str">
        <f>_xlfn.CONCAT(D1209,", ",H1209,", ",I1209,", ","山东省")</f>
        <v>水清沟街道, 市北区, 青岛市, 山东省</v>
      </c>
      <c r="G1209">
        <v>67361</v>
      </c>
      <c r="H1209" t="s">
        <v>3733</v>
      </c>
      <c r="I1209" t="s">
        <v>3724</v>
      </c>
      <c r="J1209">
        <f>VLOOKUP(F1209,[1]!china_towns_second__2[[Column1]:[Y]],3,FALSE)</f>
        <v>36.131283251855002</v>
      </c>
      <c r="K1209">
        <f>VLOOKUP(F1209,[1]!china_towns_second__2[[Column1]:[Y]],2,FALSE)</f>
        <v>120.3648862</v>
      </c>
      <c r="L1209" t="s">
        <v>6039</v>
      </c>
      <c r="M1209" t="str">
        <f>VLOOKUP(H1209,CHOOSE({1,2},Table17[Native],Table17[Name]),2,0)</f>
        <v>Shìbĕi Qū</v>
      </c>
      <c r="N1209" s="15" t="str">
        <f>VLOOKUP(I1209,CHOOSE({1,2},Table17[Native],Table17[Name]),2,0)</f>
        <v>Qīngdăo Shì</v>
      </c>
      <c r="O1209" s="15" t="str">
        <f t="shared" si="36"/>
        <v>Shuiqinggou Jiedao (Qīngdăo Shì)</v>
      </c>
      <c r="P1209" s="15" t="str">
        <f t="shared" si="37"/>
        <v>Shuiqinggou Jiedao (Qīngdăo Shì)</v>
      </c>
    </row>
    <row r="1210" spans="1:16" hidden="1" x14ac:dyDescent="0.25">
      <c r="A1210" t="s">
        <v>3425</v>
      </c>
      <c r="B1210" t="str">
        <f>IF(COUNTIF(A:A,A1210)&gt;1,_xlfn.CONCAT(A1210," (",N1210,")"),A1210)</f>
        <v>Shuĭquán Zhèn</v>
      </c>
      <c r="C1210" t="str">
        <f>IF(COUNTIF(B:B,B1210)&gt;1,_xlfn.CONCAT(A1210," (",M1210,")"),B1210)</f>
        <v>Shuĭquán Zhèn</v>
      </c>
      <c r="D1210" t="s">
        <v>3426</v>
      </c>
      <c r="E1210" t="s">
        <v>13</v>
      </c>
      <c r="F1210" t="str">
        <f>_xlfn.CONCAT(D1210,", ",H1210,", ",I1210,", ","山东省")</f>
        <v>水泉镇, 山亭区, 枣庄市, 山东省</v>
      </c>
      <c r="G1210">
        <v>39412</v>
      </c>
      <c r="H1210" t="s">
        <v>3785</v>
      </c>
      <c r="I1210" t="s">
        <v>3784</v>
      </c>
      <c r="J1210">
        <f>VLOOKUP(F1210,[1]!china_towns_second__2[[Column1]:[Y]],3,FALSE)</f>
        <v>35.1737074509089</v>
      </c>
      <c r="K1210">
        <f>VLOOKUP(F1210,[1]!china_towns_second__2[[Column1]:[Y]],2,FALSE)</f>
        <v>117.4488637</v>
      </c>
      <c r="L1210" t="s">
        <v>6040</v>
      </c>
      <c r="M1210" t="str">
        <f>VLOOKUP(H1210,CHOOSE({1,2},Table17[Native],Table17[Name]),2,0)</f>
        <v>Shāntíng Qū</v>
      </c>
      <c r="N1210" s="15" t="str">
        <f>VLOOKUP(I1210,CHOOSE({1,2},Table17[Native],Table17[Name]),2,0)</f>
        <v>Zăozhuāng Shì</v>
      </c>
      <c r="O1210" s="15" t="str">
        <f t="shared" si="36"/>
        <v>Shuiquan Zhen (Zăozhuāng Shì)</v>
      </c>
      <c r="P1210" s="15" t="str">
        <f t="shared" si="37"/>
        <v>Shuiquan Zhen (Zăozhuāng Shì)</v>
      </c>
    </row>
    <row r="1211" spans="1:16" hidden="1" x14ac:dyDescent="0.25">
      <c r="A1211" t="s">
        <v>153</v>
      </c>
      <c r="B1211" t="str">
        <f>IF(COUNTIF(A:A,A1211)&gt;1,_xlfn.CONCAT(A1211," (",N1211,")"),A1211)</f>
        <v>Shuĭwān Zhèn</v>
      </c>
      <c r="C1211" t="str">
        <f>IF(COUNTIF(B:B,B1211)&gt;1,_xlfn.CONCAT(A1211," (",M1211,")"),B1211)</f>
        <v>Shuĭwān Zhèn</v>
      </c>
      <c r="D1211" t="s">
        <v>154</v>
      </c>
      <c r="E1211" t="s">
        <v>13</v>
      </c>
      <c r="F1211" t="str">
        <f>_xlfn.CONCAT(D1211,", ",H1211,", ",I1211,", ","山东省")</f>
        <v>水湾镇, 无棣县, 滨州市, 山东省</v>
      </c>
      <c r="G1211">
        <v>48535</v>
      </c>
      <c r="H1211" t="s">
        <v>3636</v>
      </c>
      <c r="I1211" t="s">
        <v>3630</v>
      </c>
      <c r="J1211">
        <f>VLOOKUP(F1211,[1]!china_towns_second__2[[Column1]:[Y]],3,FALSE)</f>
        <v>37.8162763469211</v>
      </c>
      <c r="K1211">
        <f>VLOOKUP(F1211,[1]!china_towns_second__2[[Column1]:[Y]],2,FALSE)</f>
        <v>117.7150819</v>
      </c>
      <c r="L1211" t="s">
        <v>6041</v>
      </c>
      <c r="M1211" t="str">
        <f>VLOOKUP(H1211,CHOOSE({1,2},Table17[Native],Table17[Name]),2,0)</f>
        <v>Wúdì Xiàn</v>
      </c>
      <c r="N1211" s="15" t="str">
        <f>VLOOKUP(I1211,CHOOSE({1,2},Table17[Native],Table17[Name]),2,0)</f>
        <v>Bīnzhōu Shì</v>
      </c>
      <c r="O1211" s="15" t="str">
        <f t="shared" si="36"/>
        <v>Shuiwan Zhen (Bīnzhōu Shì)</v>
      </c>
      <c r="P1211" s="15" t="str">
        <f t="shared" si="37"/>
        <v>Shuiwan Zhen (Bīnzhōu Shì)</v>
      </c>
    </row>
    <row r="1212" spans="1:16" hidden="1" x14ac:dyDescent="0.25">
      <c r="A1212" t="s">
        <v>1112</v>
      </c>
      <c r="B1212" t="str">
        <f>IF(COUNTIF(A:A,A1212)&gt;1,_xlfn.CONCAT(A1212," (",N1212,")"),A1212)</f>
        <v>Shuĭzhài Zhèn</v>
      </c>
      <c r="C1212" t="str">
        <f>IF(COUNTIF(B:B,B1212)&gt;1,_xlfn.CONCAT(A1212," (",M1212,")"),B1212)</f>
        <v>Shuĭzhài Zhèn</v>
      </c>
      <c r="D1212" t="s">
        <v>1113</v>
      </c>
      <c r="E1212" t="s">
        <v>13</v>
      </c>
      <c r="F1212" t="str">
        <f>_xlfn.CONCAT(D1212,", ",H1212,", ",I1212,", ","山东省")</f>
        <v>水寨镇, 章丘区, 济南市, 山东省</v>
      </c>
      <c r="G1212">
        <v>34170</v>
      </c>
      <c r="H1212" t="s">
        <v>3685</v>
      </c>
      <c r="I1212" t="s">
        <v>3673</v>
      </c>
      <c r="J1212">
        <f>VLOOKUP(F1212,[1]!china_towns_second__2[[Column1]:[Y]],3,FALSE)</f>
        <v>36.916262450255502</v>
      </c>
      <c r="K1212">
        <f>VLOOKUP(F1212,[1]!china_towns_second__2[[Column1]:[Y]],2,FALSE)</f>
        <v>117.41352310000001</v>
      </c>
      <c r="L1212" t="s">
        <v>6042</v>
      </c>
      <c r="M1212" t="str">
        <f>VLOOKUP(H1212,CHOOSE({1,2},Table17[Native],Table17[Name]),2,0)</f>
        <v>Zhāngqiū Qū</v>
      </c>
      <c r="N1212" s="15" t="str">
        <f>VLOOKUP(I1212,CHOOSE({1,2},Table17[Native],Table17[Name]),2,0)</f>
        <v>Jìnán Shì</v>
      </c>
      <c r="O1212" s="15" t="str">
        <f t="shared" si="36"/>
        <v>Shuizhai Zhen (Jìnán Shì)</v>
      </c>
      <c r="P1212" s="15" t="str">
        <f t="shared" si="37"/>
        <v>Shuizhai Zhen (Jìnán Shì)</v>
      </c>
    </row>
    <row r="1213" spans="1:16" hidden="1" x14ac:dyDescent="0.25">
      <c r="A1213" t="s">
        <v>1114</v>
      </c>
      <c r="B1213" t="str">
        <f>IF(COUNTIF(A:A,A1213)&gt;1,_xlfn.CONCAT(A1213," (",N1213,")"),A1213)</f>
        <v>Shùngēng Jiēdào</v>
      </c>
      <c r="C1213" t="str">
        <f>IF(COUNTIF(B:B,B1213)&gt;1,_xlfn.CONCAT(A1213," (",M1213,")"),B1213)</f>
        <v>Shùngēng Jiēdào</v>
      </c>
      <c r="D1213" t="s">
        <v>1115</v>
      </c>
      <c r="E1213" t="s">
        <v>7</v>
      </c>
      <c r="F1213" t="str">
        <f>_xlfn.CONCAT(D1213,", ",H1213,", ",I1213,", ","山东省")</f>
        <v>舜耕街道, 市中区, 济南市, 山东省</v>
      </c>
      <c r="G1213">
        <v>17512</v>
      </c>
      <c r="H1213" t="s">
        <v>3683</v>
      </c>
      <c r="I1213" t="s">
        <v>3673</v>
      </c>
      <c r="J1213">
        <f>VLOOKUP(F1213,[1]!china_towns_second__2[[Column1]:[Y]],3,FALSE)</f>
        <v>36.615491964385903</v>
      </c>
      <c r="K1213">
        <f>VLOOKUP(F1213,[1]!china_towns_second__2[[Column1]:[Y]],2,FALSE)</f>
        <v>117.0264931</v>
      </c>
      <c r="L1213" t="s">
        <v>6043</v>
      </c>
      <c r="M1213" t="str">
        <f>VLOOKUP(H1213,CHOOSE({1,2},Table17[Native],Table17[Name]),2,0)</f>
        <v>Shìzhōng Qū</v>
      </c>
      <c r="N1213" s="15" t="str">
        <f>VLOOKUP(I1213,CHOOSE({1,2},Table17[Native],Table17[Name]),2,0)</f>
        <v>Jìnán Shì</v>
      </c>
      <c r="O1213" s="15" t="str">
        <f t="shared" si="36"/>
        <v>Shungeng Jiedao (Jìnán Shì)</v>
      </c>
      <c r="P1213" s="15" t="str">
        <f t="shared" si="37"/>
        <v>Shungeng Jiedao (Jìnán Shì)</v>
      </c>
    </row>
    <row r="1214" spans="1:16" hidden="1" x14ac:dyDescent="0.25">
      <c r="A1214" t="s">
        <v>1116</v>
      </c>
      <c r="B1214" t="str">
        <f>IF(COUNTIF(A:A,A1214)&gt;1,_xlfn.CONCAT(A1214," (",N1214,")"),A1214)</f>
        <v>Shùnhuálù Jiēdào</v>
      </c>
      <c r="C1214" t="str">
        <f>IF(COUNTIF(B:B,B1214)&gt;1,_xlfn.CONCAT(A1214," (",M1214,")"),B1214)</f>
        <v>Shùnhuálù Jiēdào</v>
      </c>
      <c r="D1214" t="s">
        <v>1117</v>
      </c>
      <c r="E1214" t="s">
        <v>7</v>
      </c>
      <c r="F1214" t="str">
        <f>_xlfn.CONCAT(D1214,", ",H1214,", ",I1214,", ","山东省")</f>
        <v>舜华路街道, 历下区, 济南市, 山东省</v>
      </c>
      <c r="G1214">
        <v>43717</v>
      </c>
      <c r="H1214" t="s">
        <v>3680</v>
      </c>
      <c r="I1214" t="s">
        <v>3673</v>
      </c>
      <c r="J1214">
        <f>VLOOKUP(F1214,[1]!china_towns_second__2[[Column1]:[Y]],3,FALSE)</f>
        <v>36.679396323241399</v>
      </c>
      <c r="K1214">
        <f>VLOOKUP(F1214,[1]!china_towns_second__2[[Column1]:[Y]],2,FALSE)</f>
        <v>117.1247576</v>
      </c>
      <c r="L1214" t="s">
        <v>6044</v>
      </c>
      <c r="M1214" t="str">
        <f>VLOOKUP(H1214,CHOOSE({1,2},Table17[Native],Table17[Name]),2,0)</f>
        <v>Lìxià Qū</v>
      </c>
      <c r="N1214" s="15" t="str">
        <f>VLOOKUP(I1214,CHOOSE({1,2},Table17[Native],Table17[Name]),2,0)</f>
        <v>Jìnán Shì</v>
      </c>
      <c r="O1214" s="15" t="str">
        <f t="shared" si="36"/>
        <v>Shunhualu Jiedao (Jìnán Shì)</v>
      </c>
      <c r="P1214" s="15" t="str">
        <f t="shared" si="37"/>
        <v>Shunhualu Jiedao (Jìnán Shì)</v>
      </c>
    </row>
    <row r="1215" spans="1:16" hidden="1" x14ac:dyDescent="0.25">
      <c r="A1215" t="s">
        <v>2821</v>
      </c>
      <c r="B1215" t="str">
        <f>IF(COUNTIF(A:A,A1215)&gt;1,_xlfn.CONCAT(A1215," (",N1215,")"),A1215)</f>
        <v>Shùnwáng Jiēdào</v>
      </c>
      <c r="C1215" t="str">
        <f>IF(COUNTIF(B:B,B1215)&gt;1,_xlfn.CONCAT(A1215," (",M1215,")"),B1215)</f>
        <v>Shùnwáng Jiēdào</v>
      </c>
      <c r="D1215" t="s">
        <v>2822</v>
      </c>
      <c r="E1215" t="s">
        <v>7</v>
      </c>
      <c r="F1215" t="str">
        <f>_xlfn.CONCAT(D1215,", ",H1215,", ",I1215,", ","山东省")</f>
        <v>舜王街道, 诸城市, 潍坊市, 山东省</v>
      </c>
      <c r="G1215">
        <v>134890</v>
      </c>
      <c r="H1215" t="s">
        <v>3763</v>
      </c>
      <c r="I1215" t="s">
        <v>3751</v>
      </c>
      <c r="J1215">
        <f>VLOOKUP(F1215,[1]!china_towns_second__2[[Column1]:[Y]],3,FALSE)</f>
        <v>36.064640770108198</v>
      </c>
      <c r="K1215">
        <f>VLOOKUP(F1215,[1]!china_towns_second__2[[Column1]:[Y]],2,FALSE)</f>
        <v>119.3165558</v>
      </c>
      <c r="L1215" t="s">
        <v>6045</v>
      </c>
      <c r="M1215" t="str">
        <f>VLOOKUP(H1215,CHOOSE({1,2},Table17[Native],Table17[Name]),2,0)</f>
        <v>Zhūchéng Shì</v>
      </c>
      <c r="N1215" s="15" t="str">
        <f>VLOOKUP(I1215,CHOOSE({1,2},Table17[Native],Table17[Name]),2,0)</f>
        <v>Wéifāng Shì</v>
      </c>
      <c r="O1215" s="15" t="str">
        <f t="shared" si="36"/>
        <v>Shunwang Jiedao (Wéifāng Shì)</v>
      </c>
      <c r="P1215" s="15" t="str">
        <f t="shared" si="37"/>
        <v>Shunwang Jiedao (Wéifāng Shì)</v>
      </c>
    </row>
    <row r="1216" spans="1:16" hidden="1" x14ac:dyDescent="0.25">
      <c r="A1216" t="s">
        <v>1118</v>
      </c>
      <c r="B1216" t="str">
        <f>IF(COUNTIF(A:A,A1216)&gt;1,_xlfn.CONCAT(A1216," (",N1216,")"),A1216)</f>
        <v>Shùnyùlù Jiēdào</v>
      </c>
      <c r="C1216" t="str">
        <f>IF(COUNTIF(B:B,B1216)&gt;1,_xlfn.CONCAT(A1216," (",M1216,")"),B1216)</f>
        <v>Shùnyùlù Jiēdào</v>
      </c>
      <c r="D1216" t="s">
        <v>1119</v>
      </c>
      <c r="E1216" t="s">
        <v>7</v>
      </c>
      <c r="F1216" t="str">
        <f>_xlfn.CONCAT(D1216,", ",H1216,", ",I1216,", ","山东省")</f>
        <v>舜玉路街道, 市中区, 济南市, 山东省</v>
      </c>
      <c r="G1216">
        <v>69131</v>
      </c>
      <c r="H1216" t="s">
        <v>3683</v>
      </c>
      <c r="I1216" t="s">
        <v>3673</v>
      </c>
      <c r="J1216">
        <f>VLOOKUP(F1216,[1]!china_towns_second__2[[Column1]:[Y]],3,FALSE)</f>
        <v>36.623825776443098</v>
      </c>
      <c r="K1216">
        <f>VLOOKUP(F1216,[1]!china_towns_second__2[[Column1]:[Y]],2,FALSE)</f>
        <v>117.01251739999999</v>
      </c>
      <c r="L1216" t="s">
        <v>6046</v>
      </c>
      <c r="M1216" t="str">
        <f>VLOOKUP(H1216,CHOOSE({1,2},Table17[Native],Table17[Name]),2,0)</f>
        <v>Shìzhōng Qū</v>
      </c>
      <c r="N1216" s="15" t="str">
        <f>VLOOKUP(I1216,CHOOSE({1,2},Table17[Native],Table17[Name]),2,0)</f>
        <v>Jìnán Shì</v>
      </c>
      <c r="O1216" s="15" t="str">
        <f t="shared" si="36"/>
        <v>Shunyulu Jiedao (Jìnán Shì)</v>
      </c>
      <c r="P1216" s="15" t="str">
        <f t="shared" si="37"/>
        <v>Shunyulu Jiedao (Jìnán Shì)</v>
      </c>
    </row>
    <row r="1217" spans="1:16" hidden="1" x14ac:dyDescent="0.25">
      <c r="A1217" t="s">
        <v>1416</v>
      </c>
      <c r="B1217" t="str">
        <f>IF(COUNTIF(A:A,A1217)&gt;1,_xlfn.CONCAT(A1217," (",N1217,")"),A1217)</f>
        <v>Shūyuàn Jiēdào</v>
      </c>
      <c r="C1217" t="str">
        <f>IF(COUNTIF(B:B,B1217)&gt;1,_xlfn.CONCAT(A1217," (",M1217,")"),B1217)</f>
        <v>Shūyuàn Jiēdào</v>
      </c>
      <c r="D1217" t="s">
        <v>1417</v>
      </c>
      <c r="E1217" t="s">
        <v>7</v>
      </c>
      <c r="F1217" t="str">
        <f>_xlfn.CONCAT(D1217,", ",H1217,", ",I1217,", ","山东省")</f>
        <v>书院街道, 曲阜市, 济宁市, 山东省</v>
      </c>
      <c r="G1217">
        <v>33885</v>
      </c>
      <c r="H1217" t="s">
        <v>3691</v>
      </c>
      <c r="I1217" t="s">
        <v>3687</v>
      </c>
      <c r="J1217">
        <f>VLOOKUP(F1217,[1]!china_towns_second__2[[Column1]:[Y]],3,FALSE)</f>
        <v>35.619624296008404</v>
      </c>
      <c r="K1217">
        <f>VLOOKUP(F1217,[1]!china_towns_second__2[[Column1]:[Y]],2,FALSE)</f>
        <v>117.01761399999999</v>
      </c>
      <c r="L1217" t="s">
        <v>6047</v>
      </c>
      <c r="M1217" t="str">
        <f>VLOOKUP(H1217,CHOOSE({1,2},Table17[Native],Table17[Name]),2,0)</f>
        <v>Qŭfù Shì</v>
      </c>
      <c r="N1217" s="15" t="str">
        <f>VLOOKUP(I1217,CHOOSE({1,2},Table17[Native],Table17[Name]),2,0)</f>
        <v>Jìníng Shì</v>
      </c>
      <c r="O1217" s="15" t="str">
        <f t="shared" si="36"/>
        <v>Shuyuan Jiedao (Jìníng Shì)</v>
      </c>
      <c r="P1217" s="15" t="str">
        <f t="shared" si="37"/>
        <v>Shuyuan Jiedao (Jìníng Shì)</v>
      </c>
    </row>
    <row r="1218" spans="1:16" hidden="1" x14ac:dyDescent="0.25">
      <c r="A1218" t="s">
        <v>3573</v>
      </c>
      <c r="B1218" t="str">
        <f>IF(COUNTIF(A:A,A1218)&gt;1,_xlfn.CONCAT(A1218," (",N1218,")"),A1218)</f>
        <v>Sìbăoshān Jiēdào [incl. Shíqiáo Jiēdào]</v>
      </c>
      <c r="C1218" t="str">
        <f>IF(COUNTIF(B:B,B1218)&gt;1,_xlfn.CONCAT(A1218," (",M1218,")"),B1218)</f>
        <v>Sìbăoshān Jiēdào [incl. Shíqiáo Jiēdào]</v>
      </c>
      <c r="D1218" t="s">
        <v>3574</v>
      </c>
      <c r="E1218" t="s">
        <v>7</v>
      </c>
      <c r="F1218" t="str">
        <f>_xlfn.CONCAT(D1218,", ",H1218,", ",I1218,", ","山东省")</f>
        <v>四宝山街道, 张店区, 淄博市, 山东省</v>
      </c>
      <c r="G1218">
        <v>148416</v>
      </c>
      <c r="H1218" t="s">
        <v>3797</v>
      </c>
      <c r="I1218" t="s">
        <v>3791</v>
      </c>
      <c r="J1218">
        <f>VLOOKUP(F1218,[1]!china_towns_second__2[[Column1]:[Y]],3,FALSE)</f>
        <v>36.857895290187301</v>
      </c>
      <c r="K1218">
        <f>VLOOKUP(F1218,[1]!china_towns_second__2[[Column1]:[Y]],2,FALSE)</f>
        <v>118.0822756</v>
      </c>
      <c r="L1218" t="s">
        <v>6048</v>
      </c>
      <c r="M1218" t="str">
        <f>VLOOKUP(H1218,CHOOSE({1,2},Table17[Native],Table17[Name]),2,0)</f>
        <v>Zhāngdiàn Qū</v>
      </c>
      <c r="N1218" s="15" t="str">
        <f>VLOOKUP(I1218,CHOOSE({1,2},Table17[Native],Table17[Name]),2,0)</f>
        <v>Zībó Shì</v>
      </c>
      <c r="O1218" s="15" t="str">
        <f t="shared" ref="O1218:O1281" si="38">_xlfn.CONCAT(L1218," (",N1218,")")</f>
        <v>Sibaoshan Jiedao [incl. Shiqiao Jiedao] (Zībó Shì)</v>
      </c>
      <c r="P1218" s="15" t="str">
        <f t="shared" ref="P1218:P1281" si="39">IF(COUNTIF(O:O,O1218)&gt;1,_xlfn.CONCAT(L1218," (",M1218,")"),O1218)</f>
        <v>Sibaoshan Jiedao [incl. Shiqiao Jiedao] (Zībó Shì)</v>
      </c>
    </row>
    <row r="1219" spans="1:16" hidden="1" x14ac:dyDescent="0.25">
      <c r="A1219" t="s">
        <v>3575</v>
      </c>
      <c r="B1219" t="str">
        <f>IF(COUNTIF(A:A,A1219)&gt;1,_xlfn.CONCAT(A1219," (",N1219,")"),A1219)</f>
        <v>Sīchóulù Jiēdào</v>
      </c>
      <c r="C1219" t="str">
        <f>IF(COUNTIF(B:B,B1219)&gt;1,_xlfn.CONCAT(A1219," (",M1219,")"),B1219)</f>
        <v>Sīchóulù Jiēdào</v>
      </c>
      <c r="D1219" t="s">
        <v>3576</v>
      </c>
      <c r="E1219" t="s">
        <v>7</v>
      </c>
      <c r="F1219" t="str">
        <f>_xlfn.CONCAT(D1219,", ",H1219,", ",I1219,", ","山东省")</f>
        <v>丝绸路街道, 周村区, 淄博市, 山东省</v>
      </c>
      <c r="G1219">
        <v>46513</v>
      </c>
      <c r="H1219" t="s">
        <v>3798</v>
      </c>
      <c r="I1219" t="s">
        <v>3791</v>
      </c>
      <c r="J1219">
        <f>VLOOKUP(F1219,[1]!china_towns_second__2[[Column1]:[Y]],3,FALSE)</f>
        <v>36.789002298834497</v>
      </c>
      <c r="K1219">
        <f>VLOOKUP(F1219,[1]!china_towns_second__2[[Column1]:[Y]],2,FALSE)</f>
        <v>117.8562246</v>
      </c>
      <c r="L1219" t="s">
        <v>6049</v>
      </c>
      <c r="M1219" t="str">
        <f>VLOOKUP(H1219,CHOOSE({1,2},Table17[Native],Table17[Name]),2,0)</f>
        <v>Zhōucūn Qū</v>
      </c>
      <c r="N1219" s="15" t="str">
        <f>VLOOKUP(I1219,CHOOSE({1,2},Table17[Native],Table17[Name]),2,0)</f>
        <v>Zībó Shì</v>
      </c>
      <c r="O1219" s="15" t="str">
        <f t="shared" si="38"/>
        <v>Sichoulu Jiedao (Zībó Shì)</v>
      </c>
      <c r="P1219" s="15" t="str">
        <f t="shared" si="39"/>
        <v>Sichoulu Jiedao (Zībó Shì)</v>
      </c>
    </row>
    <row r="1220" spans="1:16" hidden="1" x14ac:dyDescent="0.25">
      <c r="A1220" t="s">
        <v>2613</v>
      </c>
      <c r="B1220" t="str">
        <f>IF(COUNTIF(A:A,A1220)&gt;1,_xlfn.CONCAT(A1220," (",N1220,")"),A1220)</f>
        <v>Sìdiàn Zhèn</v>
      </c>
      <c r="C1220" t="str">
        <f>IF(COUNTIF(B:B,B1220)&gt;1,_xlfn.CONCAT(A1220," (",M1220,")"),B1220)</f>
        <v>Sìdiàn Zhèn</v>
      </c>
      <c r="D1220" t="s">
        <v>2614</v>
      </c>
      <c r="E1220" t="s">
        <v>13</v>
      </c>
      <c r="F1220" t="str">
        <f>_xlfn.CONCAT(D1220,", ",H1220,", ",I1220,", ","山东省")</f>
        <v>泗店镇, 宁阳县, 泰安市, 山东省</v>
      </c>
      <c r="G1220">
        <v>39919</v>
      </c>
      <c r="H1220" t="s">
        <v>3747</v>
      </c>
      <c r="I1220" t="s">
        <v>3743</v>
      </c>
      <c r="J1220">
        <f>VLOOKUP(F1220,[1]!china_towns_second__2[[Column1]:[Y]],3,FALSE)</f>
        <v>35.721607086596997</v>
      </c>
      <c r="K1220">
        <f>VLOOKUP(F1220,[1]!china_towns_second__2[[Column1]:[Y]],2,FALSE)</f>
        <v>116.7655049</v>
      </c>
      <c r="L1220" t="s">
        <v>6050</v>
      </c>
      <c r="M1220" t="str">
        <f>VLOOKUP(H1220,CHOOSE({1,2},Table17[Native],Table17[Name]),2,0)</f>
        <v>Níngyáng Xiàn</v>
      </c>
      <c r="N1220" s="15" t="str">
        <f>VLOOKUP(I1220,CHOOSE({1,2},Table17[Native],Table17[Name]),2,0)</f>
        <v>Tài'ān Shì</v>
      </c>
      <c r="O1220" s="15" t="str">
        <f t="shared" si="38"/>
        <v>Sidian Zhen (Tài'ān Shì)</v>
      </c>
      <c r="P1220" s="15" t="str">
        <f t="shared" si="39"/>
        <v>Sidian Zhen (Tài'ān Shì)</v>
      </c>
    </row>
    <row r="1221" spans="1:16" hidden="1" x14ac:dyDescent="0.25">
      <c r="A1221" t="s">
        <v>2300</v>
      </c>
      <c r="B1221" t="str">
        <f>IF(COUNTIF(A:A,A1221)&gt;1,_xlfn.CONCAT(A1221," (",N1221,")"),A1221)</f>
        <v>Sìfāng Jiēdào [Jiāxīnglù Jiēdào]</v>
      </c>
      <c r="C1221" t="str">
        <f>IF(COUNTIF(B:B,B1221)&gt;1,_xlfn.CONCAT(A1221," (",M1221,")"),B1221)</f>
        <v>Sìfāng Jiēdào [Jiāxīnglù Jiēdào]</v>
      </c>
      <c r="D1221" t="s">
        <v>2301</v>
      </c>
      <c r="E1221" t="s">
        <v>7</v>
      </c>
      <c r="F1221" t="str">
        <f>_xlfn.CONCAT(D1221,", ",H1221,", ",I1221,", ","山东省")</f>
        <v>四方街道, 市北区, 青岛市, 山东省</v>
      </c>
      <c r="G1221">
        <v>79064</v>
      </c>
      <c r="H1221" t="s">
        <v>3733</v>
      </c>
      <c r="I1221" t="s">
        <v>3724</v>
      </c>
      <c r="J1221">
        <f>VLOOKUP(F1221,[1]!china_towns_second__2[[Column1]:[Y]],3,FALSE)</f>
        <v>36.113422815463103</v>
      </c>
      <c r="K1221">
        <f>VLOOKUP(F1221,[1]!china_towns_second__2[[Column1]:[Y]],2,FALSE)</f>
        <v>120.3544744</v>
      </c>
      <c r="L1221" t="s">
        <v>6051</v>
      </c>
      <c r="M1221" t="str">
        <f>VLOOKUP(H1221,CHOOSE({1,2},Table17[Native],Table17[Name]),2,0)</f>
        <v>Shìbĕi Qū</v>
      </c>
      <c r="N1221" s="15" t="str">
        <f>VLOOKUP(I1221,CHOOSE({1,2},Table17[Native],Table17[Name]),2,0)</f>
        <v>Qīngdăo Shì</v>
      </c>
      <c r="O1221" s="15" t="str">
        <f t="shared" si="38"/>
        <v>Sifang Jiedao [Jiaxinglu Jiedao] (Qīngdăo Shì)</v>
      </c>
      <c r="P1221" s="15" t="str">
        <f t="shared" si="39"/>
        <v>Sifang Jiedao [Jiaxinglu Jiedao] (Qīngdăo Shì)</v>
      </c>
    </row>
    <row r="1222" spans="1:16" hidden="1" x14ac:dyDescent="0.25">
      <c r="A1222" t="s">
        <v>1418</v>
      </c>
      <c r="B1222" t="str">
        <f>IF(COUNTIF(A:A,A1222)&gt;1,_xlfn.CONCAT(A1222," (",N1222,")"),A1222)</f>
        <v>Sìhé Jiēdào</v>
      </c>
      <c r="C1222" t="str">
        <f>IF(COUNTIF(B:B,B1222)&gt;1,_xlfn.CONCAT(A1222," (",M1222,")"),B1222)</f>
        <v>Sìhé Jiēdào</v>
      </c>
      <c r="D1222" t="s">
        <v>1419</v>
      </c>
      <c r="E1222" t="s">
        <v>7</v>
      </c>
      <c r="F1222" t="str">
        <f>_xlfn.CONCAT(D1222,", ",H1222,", ",I1222,", ","山东省")</f>
        <v>泗河街道, 泗水县, 济宁市, 山东省</v>
      </c>
      <c r="G1222">
        <v>53505</v>
      </c>
      <c r="H1222" t="s">
        <v>3693</v>
      </c>
      <c r="I1222" t="s">
        <v>3687</v>
      </c>
      <c r="J1222">
        <f>VLOOKUP(F1222,[1]!china_towns_second__2[[Column1]:[Y]],3,FALSE)</f>
        <v>35.670237876542998</v>
      </c>
      <c r="K1222">
        <f>VLOOKUP(F1222,[1]!china_towns_second__2[[Column1]:[Y]],2,FALSE)</f>
        <v>117.2850754</v>
      </c>
      <c r="L1222" t="s">
        <v>6052</v>
      </c>
      <c r="M1222" t="str">
        <f>VLOOKUP(H1222,CHOOSE({1,2},Table17[Native],Table17[Name]),2,0)</f>
        <v>Sìshuĭ Xiàn</v>
      </c>
      <c r="N1222" s="15" t="str">
        <f>VLOOKUP(I1222,CHOOSE({1,2},Table17[Native],Table17[Name]),2,0)</f>
        <v>Jìníng Shì</v>
      </c>
      <c r="O1222" s="15" t="str">
        <f t="shared" si="38"/>
        <v>Sihe Jiedao (Jìníng Shì)</v>
      </c>
      <c r="P1222" s="15" t="str">
        <f t="shared" si="39"/>
        <v>Sihe Jiedao (Jìníng Shì)</v>
      </c>
    </row>
    <row r="1223" spans="1:16" hidden="1" x14ac:dyDescent="0.25">
      <c r="A1223" t="s">
        <v>3235</v>
      </c>
      <c r="B1223" t="str">
        <f>IF(COUNTIF(A:A,A1223)&gt;1,_xlfn.CONCAT(A1223," (",N1223,")"),A1223)</f>
        <v>Sìkŏu Zhèn</v>
      </c>
      <c r="C1223" t="str">
        <f>IF(COUNTIF(B:B,B1223)&gt;1,_xlfn.CONCAT(A1223," (",M1223,")"),B1223)</f>
        <v>Sìkŏu Zhèn</v>
      </c>
      <c r="D1223" t="s">
        <v>3236</v>
      </c>
      <c r="E1223" t="s">
        <v>13</v>
      </c>
      <c r="F1223" t="str">
        <f>_xlfn.CONCAT(D1223,", ",H1223,", ",I1223,", ","山东省")</f>
        <v>寺口镇, 栖霞市, 烟台市, 山东省</v>
      </c>
      <c r="G1223">
        <v>19706</v>
      </c>
      <c r="H1223" t="s">
        <v>3780</v>
      </c>
      <c r="I1223" t="s">
        <v>3771</v>
      </c>
      <c r="J1223">
        <f>VLOOKUP(F1223,[1]!china_towns_second__2[[Column1]:[Y]],3,FALSE)</f>
        <v>37.3205800631168</v>
      </c>
      <c r="K1223">
        <f>VLOOKUP(F1223,[1]!china_towns_second__2[[Column1]:[Y]],2,FALSE)</f>
        <v>120.63397500000001</v>
      </c>
      <c r="L1223" t="s">
        <v>6053</v>
      </c>
      <c r="M1223" t="str">
        <f>VLOOKUP(H1223,CHOOSE({1,2},Table17[Native],Table17[Name]),2,0)</f>
        <v>Qīxiá Shì</v>
      </c>
      <c r="N1223" s="15" t="str">
        <f>VLOOKUP(I1223,CHOOSE({1,2},Table17[Native],Table17[Name]),2,0)</f>
        <v>Yāntái Shì</v>
      </c>
      <c r="O1223" s="15" t="str">
        <f t="shared" si="38"/>
        <v>Sikou Zhen (Yāntái Shì)</v>
      </c>
      <c r="P1223" s="15" t="str">
        <f t="shared" si="39"/>
        <v>Sikou Zhen (Yāntái Shì)</v>
      </c>
    </row>
    <row r="1224" spans="1:16" hidden="1" x14ac:dyDescent="0.25">
      <c r="A1224" t="s">
        <v>1120</v>
      </c>
      <c r="B1224" t="str">
        <f>IF(COUNTIF(A:A,A1224)&gt;1,_xlfn.CONCAT(A1224," (",N1224,")"),A1224)</f>
        <v>Sìlĭcūn Jiēdào</v>
      </c>
      <c r="C1224" t="str">
        <f>IF(COUNTIF(B:B,B1224)&gt;1,_xlfn.CONCAT(A1224," (",M1224,")"),B1224)</f>
        <v>Sìlĭcūn Jiēdào</v>
      </c>
      <c r="D1224" t="s">
        <v>1121</v>
      </c>
      <c r="E1224" t="s">
        <v>7</v>
      </c>
      <c r="F1224" t="str">
        <f>_xlfn.CONCAT(D1224,", ",H1224,", ",I1224,", ","山东省")</f>
        <v>四里村街道, 市中区, 济南市, 山东省</v>
      </c>
      <c r="G1224">
        <v>45527</v>
      </c>
      <c r="H1224" t="s">
        <v>3683</v>
      </c>
      <c r="I1224" t="s">
        <v>3673</v>
      </c>
      <c r="J1224">
        <f>VLOOKUP(F1224,[1]!china_towns_second__2[[Column1]:[Y]],3,FALSE)</f>
        <v>36.6420878584048</v>
      </c>
      <c r="K1224">
        <f>VLOOKUP(F1224,[1]!china_towns_second__2[[Column1]:[Y]],2,FALSE)</f>
        <v>116.995921</v>
      </c>
      <c r="L1224" t="s">
        <v>6054</v>
      </c>
      <c r="M1224" t="str">
        <f>VLOOKUP(H1224,CHOOSE({1,2},Table17[Native],Table17[Name]),2,0)</f>
        <v>Shìzhōng Qū</v>
      </c>
      <c r="N1224" s="15" t="str">
        <f>VLOOKUP(I1224,CHOOSE({1,2},Table17[Native],Table17[Name]),2,0)</f>
        <v>Jìnán Shì</v>
      </c>
      <c r="O1224" s="15" t="str">
        <f t="shared" si="38"/>
        <v>Silicun Jiedao (Jìnán Shì)</v>
      </c>
      <c r="P1224" s="15" t="str">
        <f t="shared" si="39"/>
        <v>Silicun Jiedao (Jìnán Shì)</v>
      </c>
    </row>
    <row r="1225" spans="1:16" hidden="1" x14ac:dyDescent="0.25">
      <c r="A1225" t="s">
        <v>1420</v>
      </c>
      <c r="B1225" t="str">
        <f>IF(COUNTIF(A:A,A1225)&gt;1,_xlfn.CONCAT(A1225," (",N1225,")"),A1225)</f>
        <v>Sīmă Zhèn</v>
      </c>
      <c r="C1225" t="str">
        <f>IF(COUNTIF(B:B,B1225)&gt;1,_xlfn.CONCAT(A1225," (",M1225,")"),B1225)</f>
        <v>Sīmă Zhèn</v>
      </c>
      <c r="D1225" t="s">
        <v>1421</v>
      </c>
      <c r="E1225" t="s">
        <v>13</v>
      </c>
      <c r="F1225" t="str">
        <f>_xlfn.CONCAT(D1225,", ",H1225,", ",I1225,", ","山东省")</f>
        <v>司马镇, 金乡县, 济宁市, 山东省</v>
      </c>
      <c r="G1225">
        <v>29199</v>
      </c>
      <c r="H1225" t="s">
        <v>3689</v>
      </c>
      <c r="I1225" t="s">
        <v>3687</v>
      </c>
      <c r="J1225">
        <f>VLOOKUP(F1225,[1]!china_towns_second__2[[Column1]:[Y]],3,FALSE)</f>
        <v>34.908033795258099</v>
      </c>
      <c r="K1225">
        <f>VLOOKUP(F1225,[1]!china_towns_second__2[[Column1]:[Y]],2,FALSE)</f>
        <v>116.3099411</v>
      </c>
      <c r="L1225" t="s">
        <v>6055</v>
      </c>
      <c r="M1225" t="str">
        <f>VLOOKUP(H1225,CHOOSE({1,2},Table17[Native],Table17[Name]),2,0)</f>
        <v>Jīnxiāng Xiàn</v>
      </c>
      <c r="N1225" s="15" t="str">
        <f>VLOOKUP(I1225,CHOOSE({1,2},Table17[Native],Table17[Name]),2,0)</f>
        <v>Jìníng Shì</v>
      </c>
      <c r="O1225" s="15" t="str">
        <f t="shared" si="38"/>
        <v>Sima Zhen (Jìníng Shì)</v>
      </c>
      <c r="P1225" s="15" t="str">
        <f t="shared" si="39"/>
        <v>Sima Zhen (Jìníng Shì)</v>
      </c>
    </row>
    <row r="1226" spans="1:16" hidden="1" x14ac:dyDescent="0.25">
      <c r="A1226" t="s">
        <v>2004</v>
      </c>
      <c r="B1226" t="str">
        <f>IF(COUNTIF(A:A,A1226)&gt;1,_xlfn.CONCAT(A1226," (",N1226,")"),A1226)</f>
        <v>Sìshílĭbăo Zhèn</v>
      </c>
      <c r="C1226" t="str">
        <f>IF(COUNTIF(B:B,B1226)&gt;1,_xlfn.CONCAT(A1226," (",M1226,")"),B1226)</f>
        <v>Sìshílĭbăo Zhèn</v>
      </c>
      <c r="D1226" t="s">
        <v>2005</v>
      </c>
      <c r="E1226" t="s">
        <v>13</v>
      </c>
      <c r="F1226" t="str">
        <f>_xlfn.CONCAT(D1226,", ",H1226,", ",I1226,", ","山东省")</f>
        <v>四十里堡镇, 沂水县, 临沂市, 山东省</v>
      </c>
      <c r="G1226">
        <v>55960</v>
      </c>
      <c r="H1226" t="s">
        <v>3722</v>
      </c>
      <c r="I1226" t="s">
        <v>3710</v>
      </c>
      <c r="J1226">
        <f>VLOOKUP(F1226,[1]!china_towns_second__2[[Column1]:[Y]],3,FALSE)</f>
        <v>35.676351562299899</v>
      </c>
      <c r="K1226">
        <f>VLOOKUP(F1226,[1]!china_towns_second__2[[Column1]:[Y]],2,FALSE)</f>
        <v>118.7245552</v>
      </c>
      <c r="L1226" t="s">
        <v>6056</v>
      </c>
      <c r="M1226" t="str">
        <f>VLOOKUP(H1226,CHOOSE({1,2},Table17[Native],Table17[Name]),2,0)</f>
        <v>Yíshuĭ Xiàn</v>
      </c>
      <c r="N1226" s="15" t="str">
        <f>VLOOKUP(I1226,CHOOSE({1,2},Table17[Native],Table17[Name]),2,0)</f>
        <v>Línyí Shì</v>
      </c>
      <c r="O1226" s="15" t="str">
        <f t="shared" si="38"/>
        <v>Sishilibao Zhen (Línyí Shì)</v>
      </c>
      <c r="P1226" s="15" t="str">
        <f t="shared" si="39"/>
        <v>Sishilibao Zhen (Línyí Shì)</v>
      </c>
    </row>
    <row r="1227" spans="1:16" hidden="1" x14ac:dyDescent="0.25">
      <c r="A1227" t="s">
        <v>2823</v>
      </c>
      <c r="B1227" t="str">
        <f>IF(COUNTIF(A:A,A1227)&gt;1,_xlfn.CONCAT(A1227," (",N1227,")"),A1227)</f>
        <v>Sìtóu Zhèn</v>
      </c>
      <c r="C1227" t="str">
        <f>IF(COUNTIF(B:B,B1227)&gt;1,_xlfn.CONCAT(A1227," (",M1227,")"),B1227)</f>
        <v>Sìtóu Zhèn</v>
      </c>
      <c r="D1227" t="s">
        <v>2824</v>
      </c>
      <c r="E1227" t="s">
        <v>13</v>
      </c>
      <c r="F1227" t="str">
        <f>_xlfn.CONCAT(D1227,", ",H1227,", ",I1227,", ","山东省")</f>
        <v>寺头镇, 临朐县, 潍坊市, 山东省</v>
      </c>
      <c r="G1227">
        <v>56289</v>
      </c>
      <c r="H1227" t="s">
        <v>3759</v>
      </c>
      <c r="I1227" t="s">
        <v>3751</v>
      </c>
      <c r="J1227">
        <f>VLOOKUP(F1227,[1]!china_towns_second__2[[Column1]:[Y]],3,FALSE)</f>
        <v>36.293260188364997</v>
      </c>
      <c r="K1227">
        <f>VLOOKUP(F1227,[1]!china_towns_second__2[[Column1]:[Y]],2,FALSE)</f>
        <v>118.4348322</v>
      </c>
      <c r="L1227" t="s">
        <v>6057</v>
      </c>
      <c r="M1227" t="str">
        <f>VLOOKUP(H1227,CHOOSE({1,2},Table17[Native],Table17[Name]),2,0)</f>
        <v>Línqú Xiàn</v>
      </c>
      <c r="N1227" s="15" t="str">
        <f>VLOOKUP(I1227,CHOOSE({1,2},Table17[Native],Table17[Name]),2,0)</f>
        <v>Wéifāng Shì</v>
      </c>
      <c r="O1227" s="15" t="str">
        <f t="shared" si="38"/>
        <v>Sitou Zhen (Wéifāng Shì)</v>
      </c>
      <c r="P1227" s="15" t="str">
        <f t="shared" si="39"/>
        <v>Sitou Zhen (Wéifāng Shì)</v>
      </c>
    </row>
    <row r="1228" spans="1:16" hidden="1" x14ac:dyDescent="0.25">
      <c r="A1228" t="s">
        <v>1422</v>
      </c>
      <c r="B1228" t="str">
        <f>IF(COUNTIF(A:A,A1228)&gt;1,_xlfn.CONCAT(A1228," (",N1228,")"),A1228)</f>
        <v>Sìzhāng Zhèn</v>
      </c>
      <c r="C1228" t="str">
        <f>IF(COUNTIF(B:B,B1228)&gt;1,_xlfn.CONCAT(A1228," (",M1228,")"),B1228)</f>
        <v>Sìzhāng Zhèn</v>
      </c>
      <c r="D1228" t="s">
        <v>1423</v>
      </c>
      <c r="E1228" t="s">
        <v>13</v>
      </c>
      <c r="F1228" t="str">
        <f>_xlfn.CONCAT(D1228,", ",H1228,", ",I1228,", ","山东省")</f>
        <v>泗张镇, 泗水县, 济宁市, 山东省</v>
      </c>
      <c r="G1228">
        <v>41158</v>
      </c>
      <c r="H1228" t="s">
        <v>3693</v>
      </c>
      <c r="I1228" t="s">
        <v>3687</v>
      </c>
      <c r="J1228">
        <f>VLOOKUP(F1228,[1]!china_towns_second__2[[Column1]:[Y]],3,FALSE)</f>
        <v>35.526153211995798</v>
      </c>
      <c r="K1228">
        <f>VLOOKUP(F1228,[1]!china_towns_second__2[[Column1]:[Y]],2,FALSE)</f>
        <v>117.42452900000001</v>
      </c>
      <c r="L1228" t="s">
        <v>6058</v>
      </c>
      <c r="M1228" t="str">
        <f>VLOOKUP(H1228,CHOOSE({1,2},Table17[Native],Table17[Name]),2,0)</f>
        <v>Sìshuĭ Xiàn</v>
      </c>
      <c r="N1228" s="15" t="str">
        <f>VLOOKUP(I1228,CHOOSE({1,2},Table17[Native],Table17[Name]),2,0)</f>
        <v>Jìníng Shì</v>
      </c>
      <c r="O1228" s="15" t="str">
        <f t="shared" si="38"/>
        <v>Sizhang Zhen (Jìníng Shì)</v>
      </c>
      <c r="P1228" s="15" t="str">
        <f t="shared" si="39"/>
        <v>Sizhang Zhen (Jìníng Shì)</v>
      </c>
    </row>
    <row r="1229" spans="1:16" hidden="1" x14ac:dyDescent="0.25">
      <c r="A1229" t="s">
        <v>2472</v>
      </c>
      <c r="B1229" t="str">
        <f>IF(COUNTIF(A:A,A1229)&gt;1,_xlfn.CONCAT(A1229," (",N1229,")"),A1229)</f>
        <v>Sōngbǎi Zhèn</v>
      </c>
      <c r="C1229" t="str">
        <f>IF(COUNTIF(B:B,B1229)&gt;1,_xlfn.CONCAT(A1229," (",M1229,")"),B1229)</f>
        <v>Sōngbǎi Zhèn</v>
      </c>
      <c r="D1229" t="s">
        <v>2473</v>
      </c>
      <c r="E1229" t="s">
        <v>13</v>
      </c>
      <c r="F1229" t="str">
        <f>_xlfn.CONCAT(D1229,", ",H1229,", ",I1229,", ","山东省")</f>
        <v>松柏镇, 五莲县, 日照市, 山东省</v>
      </c>
      <c r="G1229">
        <v>15957</v>
      </c>
      <c r="H1229" t="s">
        <v>3741</v>
      </c>
      <c r="I1229" t="s">
        <v>3736</v>
      </c>
      <c r="J1229">
        <f>VLOOKUP(F1229,[1]!china_towns_second__2[[Column1]:[Y]],3,FALSE)</f>
        <v>35.723859156113697</v>
      </c>
      <c r="K1229">
        <f>VLOOKUP(F1229,[1]!china_towns_second__2[[Column1]:[Y]],2,FALSE)</f>
        <v>119.3167134</v>
      </c>
      <c r="L1229" t="s">
        <v>6059</v>
      </c>
      <c r="M1229" t="str">
        <f>VLOOKUP(H1229,CHOOSE({1,2},Table17[Native],Table17[Name]),2,0)</f>
        <v>Wŭlián Xiàn</v>
      </c>
      <c r="N1229" s="15" t="str">
        <f>VLOOKUP(I1229,CHOOSE({1,2},Table17[Native],Table17[Name]),2,0)</f>
        <v>Rìzhào Shì</v>
      </c>
      <c r="O1229" s="15" t="str">
        <f t="shared" si="38"/>
        <v>Songbai Zhen (Rìzhào Shì)</v>
      </c>
      <c r="P1229" s="15" t="str">
        <f t="shared" si="39"/>
        <v>Songbai Zhen (Rìzhào Shì)</v>
      </c>
    </row>
    <row r="1230" spans="1:16" hidden="1" x14ac:dyDescent="0.25">
      <c r="A1230" t="s">
        <v>2976</v>
      </c>
      <c r="B1230" t="str">
        <f>IF(COUNTIF(A:A,A1230)&gt;1,_xlfn.CONCAT(A1230," (",N1230,")"),A1230)</f>
        <v>Sòngcūn Zhèn</v>
      </c>
      <c r="C1230" t="str">
        <f>IF(COUNTIF(B:B,B1230)&gt;1,_xlfn.CONCAT(A1230," (",M1230,")"),B1230)</f>
        <v>Sòngcūn Zhèn</v>
      </c>
      <c r="D1230" t="s">
        <v>2977</v>
      </c>
      <c r="E1230" t="s">
        <v>13</v>
      </c>
      <c r="F1230" t="str">
        <f>_xlfn.CONCAT(D1230,", ",H1230,", ",I1230,", ","山东省")</f>
        <v>宋村镇, 文登区, 威海市, 山东省</v>
      </c>
      <c r="G1230">
        <v>37381</v>
      </c>
      <c r="H1230" t="s">
        <v>3769</v>
      </c>
      <c r="I1230" t="s">
        <v>3765</v>
      </c>
      <c r="J1230">
        <f>VLOOKUP(F1230,[1]!china_towns_second__2[[Column1]:[Y]],3,FALSE)</f>
        <v>37.086746553551798</v>
      </c>
      <c r="K1230">
        <f>VLOOKUP(F1230,[1]!china_towns_second__2[[Column1]:[Y]],2,FALSE)</f>
        <v>121.9910556</v>
      </c>
      <c r="L1230" t="s">
        <v>6060</v>
      </c>
      <c r="M1230" t="str">
        <f>VLOOKUP(H1230,CHOOSE({1,2},Table17[Native],Table17[Name]),2,0)</f>
        <v>Wéndēng Qū</v>
      </c>
      <c r="N1230" s="15" t="str">
        <f>VLOOKUP(I1230,CHOOSE({1,2},Table17[Native],Table17[Name]),2,0)</f>
        <v>Wēihăi Shì</v>
      </c>
      <c r="O1230" s="15" t="str">
        <f t="shared" si="38"/>
        <v>Songcun Zhen (Wēihăi Shì)</v>
      </c>
      <c r="P1230" s="15" t="str">
        <f t="shared" si="39"/>
        <v>Songcun Zhen (Wēihăi Shì)</v>
      </c>
    </row>
    <row r="1231" spans="1:16" hidden="1" x14ac:dyDescent="0.25">
      <c r="A1231" t="s">
        <v>367</v>
      </c>
      <c r="B1231" t="str">
        <f>IF(COUNTIF(A:A,A1231)&gt;1,_xlfn.CONCAT(A1231," (",N1231,")"),A1231)</f>
        <v>Sòngguāntún Jiēdào</v>
      </c>
      <c r="C1231" t="str">
        <f>IF(COUNTIF(B:B,B1231)&gt;1,_xlfn.CONCAT(A1231," (",M1231,")"),B1231)</f>
        <v>Sòngguāntún Jiēdào</v>
      </c>
      <c r="D1231" t="s">
        <v>368</v>
      </c>
      <c r="E1231" t="s">
        <v>7</v>
      </c>
      <c r="F1231" t="str">
        <f>_xlfn.CONCAT(D1231,", ",H1231,", ",I1231,", ","山东省")</f>
        <v>宋官屯街道, 德城区, 德州市, 山东省</v>
      </c>
      <c r="G1231">
        <v>41757</v>
      </c>
      <c r="H1231" t="s">
        <v>3643</v>
      </c>
      <c r="I1231" t="s">
        <v>3642</v>
      </c>
      <c r="J1231">
        <f>VLOOKUP(F1231,[1]!china_towns_second__2[[Column1]:[Y]],3,FALSE)</f>
        <v>37.458907612154</v>
      </c>
      <c r="K1231">
        <f>VLOOKUP(F1231,[1]!china_towns_second__2[[Column1]:[Y]],2,FALSE)</f>
        <v>116.3798536</v>
      </c>
      <c r="L1231" t="s">
        <v>6061</v>
      </c>
      <c r="M1231" t="str">
        <f>VLOOKUP(H1231,CHOOSE({1,2},Table17[Native],Table17[Name]),2,0)</f>
        <v>Déchéng Qū</v>
      </c>
      <c r="N1231" s="15" t="str">
        <f>VLOOKUP(I1231,CHOOSE({1,2},Table17[Native],Table17[Name]),2,0)</f>
        <v>Dézhōu Shì</v>
      </c>
      <c r="O1231" s="15" t="str">
        <f t="shared" si="38"/>
        <v>Songguantun Jiedao (Dézhōu Shì)</v>
      </c>
      <c r="P1231" s="15" t="str">
        <f t="shared" si="39"/>
        <v>Songguantun Jiedao (Dézhōu Shì)</v>
      </c>
    </row>
    <row r="1232" spans="1:16" hidden="1" x14ac:dyDescent="0.25">
      <c r="A1232" t="s">
        <v>369</v>
      </c>
      <c r="B1232" t="str">
        <f>IF(COUNTIF(A:A,A1232)&gt;1,_xlfn.CONCAT(A1232," (",N1232,")"),A1232)</f>
        <v>Sòngjiā Zhèn</v>
      </c>
      <c r="C1232" t="str">
        <f>IF(COUNTIF(B:B,B1232)&gt;1,_xlfn.CONCAT(A1232," (",M1232,")"),B1232)</f>
        <v>Sòngjiā Zhèn</v>
      </c>
      <c r="D1232" t="s">
        <v>370</v>
      </c>
      <c r="E1232" t="s">
        <v>13</v>
      </c>
      <c r="F1232" t="str">
        <f>_xlfn.CONCAT(D1232,", ",H1232,", ",I1232,", ","山东省")</f>
        <v>宋家镇, 陵城区, 德州市, 山东省</v>
      </c>
      <c r="G1232">
        <v>38611</v>
      </c>
      <c r="H1232" t="s">
        <v>3645</v>
      </c>
      <c r="I1232" t="s">
        <v>3642</v>
      </c>
      <c r="J1232">
        <f>VLOOKUP(F1232,[1]!china_towns_second__2[[Column1]:[Y]],3,FALSE)</f>
        <v>37.552444265297098</v>
      </c>
      <c r="K1232">
        <f>VLOOKUP(F1232,[1]!china_towns_second__2[[Column1]:[Y]],2,FALSE)</f>
        <v>116.8610329</v>
      </c>
      <c r="L1232" t="s">
        <v>6062</v>
      </c>
      <c r="M1232" t="str">
        <f>VLOOKUP(H1232,CHOOSE({1,2},Table17[Native],Table17[Name]),2,0)</f>
        <v>Língchéng Qū</v>
      </c>
      <c r="N1232" s="15" t="str">
        <f>VLOOKUP(I1232,CHOOSE({1,2},Table17[Native],Table17[Name]),2,0)</f>
        <v>Dézhōu Shì</v>
      </c>
      <c r="O1232" s="15" t="str">
        <f t="shared" si="38"/>
        <v>Songjia Zhen (Dézhōu Shì)</v>
      </c>
      <c r="P1232" s="15" t="str">
        <f t="shared" si="39"/>
        <v>Songjia Zhen (Dézhōu Shì)</v>
      </c>
    </row>
    <row r="1233" spans="1:16" hidden="1" x14ac:dyDescent="0.25">
      <c r="A1233" t="s">
        <v>1700</v>
      </c>
      <c r="B1233" t="str">
        <f>IF(COUNTIF(A:A,A1233)&gt;1,_xlfn.CONCAT(A1233," (",N1233,")"),A1233)</f>
        <v>Sōnglín Zhèn</v>
      </c>
      <c r="C1233" t="str">
        <f>IF(COUNTIF(B:B,B1233)&gt;1,_xlfn.CONCAT(A1233," (",M1233,")"),B1233)</f>
        <v>Sōnglín Zhèn</v>
      </c>
      <c r="D1233" t="s">
        <v>1701</v>
      </c>
      <c r="E1233" t="s">
        <v>13</v>
      </c>
      <c r="F1233" t="str">
        <f>_xlfn.CONCAT(D1233,", ",H1233,", ",I1233,", ","山东省")</f>
        <v>松林镇, 临清市, 聊城市, 山东省</v>
      </c>
      <c r="G1233">
        <v>32198</v>
      </c>
      <c r="H1233" t="s">
        <v>3706</v>
      </c>
      <c r="I1233" t="s">
        <v>3700</v>
      </c>
      <c r="J1233">
        <f>VLOOKUP(F1233,[1]!china_towns_second__2[[Column1]:[Y]],3,FALSE)</f>
        <v>36.875505582340899</v>
      </c>
      <c r="K1233">
        <f>VLOOKUP(F1233,[1]!china_towns_second__2[[Column1]:[Y]],2,FALSE)</f>
        <v>115.883116</v>
      </c>
      <c r="L1233" t="s">
        <v>6063</v>
      </c>
      <c r="M1233" t="str">
        <f>VLOOKUP(H1233,CHOOSE({1,2},Table17[Native],Table17[Name]),2,0)</f>
        <v>Línqīng Shì</v>
      </c>
      <c r="N1233" s="15" t="str">
        <f>VLOOKUP(I1233,CHOOSE({1,2},Table17[Native],Table17[Name]),2,0)</f>
        <v>Liáochéng Shì</v>
      </c>
      <c r="O1233" s="15" t="str">
        <f t="shared" si="38"/>
        <v>Songlin Zhen (Liáochéng Shì)</v>
      </c>
      <c r="P1233" s="15" t="str">
        <f t="shared" si="39"/>
        <v>Songlin Zhen (Liáochéng Shì)</v>
      </c>
    </row>
    <row r="1234" spans="1:16" hidden="1" x14ac:dyDescent="0.25">
      <c r="A1234" t="s">
        <v>3577</v>
      </c>
      <c r="B1234" t="str">
        <f>IF(COUNTIF(A:A,A1234)&gt;1,_xlfn.CONCAT(A1234," (",N1234,")"),A1234)</f>
        <v>Sōnglínglù Jiēdào</v>
      </c>
      <c r="C1234" t="str">
        <f>IF(COUNTIF(B:B,B1234)&gt;1,_xlfn.CONCAT(A1234," (",M1234,")"),B1234)</f>
        <v>Sōnglínglù Jiēdào</v>
      </c>
      <c r="D1234" t="s">
        <v>3578</v>
      </c>
      <c r="E1234" t="s">
        <v>7</v>
      </c>
      <c r="F1234" t="str">
        <f>_xlfn.CONCAT(D1234,", ",H1234,", ",I1234,", ","山东省")</f>
        <v>松龄路街道, 淄川区, 淄博市, 山东省</v>
      </c>
      <c r="G1234">
        <v>60972</v>
      </c>
      <c r="H1234" t="s">
        <v>3799</v>
      </c>
      <c r="I1234" t="s">
        <v>3791</v>
      </c>
      <c r="J1234">
        <f>VLOOKUP(F1234,[1]!china_towns_second__2[[Column1]:[Y]],3,FALSE)</f>
        <v>36.659414708176399</v>
      </c>
      <c r="K1234">
        <f>VLOOKUP(F1234,[1]!china_towns_second__2[[Column1]:[Y]],2,FALSE)</f>
        <v>117.97368059999999</v>
      </c>
      <c r="L1234" t="s">
        <v>6064</v>
      </c>
      <c r="M1234" t="str">
        <f>VLOOKUP(H1234,CHOOSE({1,2},Table17[Native],Table17[Name]),2,0)</f>
        <v>Zīchuān Qū</v>
      </c>
      <c r="N1234" s="15" t="str">
        <f>VLOOKUP(I1234,CHOOSE({1,2},Table17[Native],Table17[Name]),2,0)</f>
        <v>Zībó Shì</v>
      </c>
      <c r="O1234" s="15" t="str">
        <f t="shared" si="38"/>
        <v>Songlinglu Jiedao (Zībó Shì)</v>
      </c>
      <c r="P1234" s="15" t="str">
        <f t="shared" si="39"/>
        <v>Songlinglu Jiedao (Zībó Shì)</v>
      </c>
    </row>
    <row r="1235" spans="1:16" hidden="1" x14ac:dyDescent="0.25">
      <c r="A1235" t="s">
        <v>371</v>
      </c>
      <c r="B1235" t="str">
        <f>IF(COUNTIF(A:A,A1235)&gt;1,_xlfn.CONCAT(A1235," (",N1235,")"),A1235)</f>
        <v>Sònglóu Zhèn</v>
      </c>
      <c r="C1235" t="str">
        <f>IF(COUNTIF(B:B,B1235)&gt;1,_xlfn.CONCAT(A1235," (",M1235,")"),B1235)</f>
        <v>Sònglóu Zhèn</v>
      </c>
      <c r="D1235" t="s">
        <v>372</v>
      </c>
      <c r="E1235" t="s">
        <v>13</v>
      </c>
      <c r="F1235" t="str">
        <f>_xlfn.CONCAT(D1235,", ",H1235,", ",I1235,", ","山东省")</f>
        <v>宋楼镇, 夏津县, 德州市, 山东省</v>
      </c>
      <c r="G1235">
        <v>30811</v>
      </c>
      <c r="H1235" t="s">
        <v>3652</v>
      </c>
      <c r="I1235" t="s">
        <v>3642</v>
      </c>
      <c r="J1235">
        <f>VLOOKUP(F1235,[1]!china_towns_second__2[[Column1]:[Y]],3,FALSE)</f>
        <v>36.9190126914731</v>
      </c>
      <c r="K1235">
        <f>VLOOKUP(F1235,[1]!china_towns_second__2[[Column1]:[Y]],2,FALSE)</f>
        <v>115.929286</v>
      </c>
      <c r="L1235" t="s">
        <v>6065</v>
      </c>
      <c r="M1235" t="str">
        <f>VLOOKUP(H1235,CHOOSE({1,2},Table17[Native],Table17[Name]),2,0)</f>
        <v>Xiàjīn Xiàn</v>
      </c>
      <c r="N1235" s="15" t="str">
        <f>VLOOKUP(I1235,CHOOSE({1,2},Table17[Native],Table17[Name]),2,0)</f>
        <v>Dézhōu Shì</v>
      </c>
      <c r="O1235" s="15" t="str">
        <f t="shared" si="38"/>
        <v>Songlou Zhen (Dézhōu Shì)</v>
      </c>
      <c r="P1235" s="15" t="str">
        <f t="shared" si="39"/>
        <v>Songlou Zhen (Dézhōu Shì)</v>
      </c>
    </row>
    <row r="1236" spans="1:16" hidden="1" x14ac:dyDescent="0.25">
      <c r="A1236" t="s">
        <v>3237</v>
      </c>
      <c r="B1236" t="str">
        <f>IF(COUNTIF(A:A,A1236)&gt;1,_xlfn.CONCAT(A1236," (",N1236,")"),A1236)</f>
        <v>Sōngshān Jiēdào</v>
      </c>
      <c r="C1236" t="str">
        <f>IF(COUNTIF(B:B,B1236)&gt;1,_xlfn.CONCAT(A1236," (",M1236,")"),B1236)</f>
        <v>Sōngshān Jiēdào</v>
      </c>
      <c r="D1236" t="s">
        <v>3238</v>
      </c>
      <c r="E1236" t="s">
        <v>7</v>
      </c>
      <c r="F1236" t="str">
        <f>_xlfn.CONCAT(D1236,", ",H1236,", ",I1236,", ","山东省")</f>
        <v>松山街道, 栖霞市, 烟台市, 山东省</v>
      </c>
      <c r="G1236">
        <v>37378</v>
      </c>
      <c r="H1236" t="s">
        <v>3780</v>
      </c>
      <c r="I1236" t="s">
        <v>3771</v>
      </c>
      <c r="J1236">
        <f>VLOOKUP(F1236,[1]!china_towns_second__2[[Column1]:[Y]],3,FALSE)</f>
        <v>37.3869773085286</v>
      </c>
      <c r="K1236">
        <f>VLOOKUP(F1236,[1]!china_towns_second__2[[Column1]:[Y]],2,FALSE)</f>
        <v>120.8613963</v>
      </c>
      <c r="L1236" t="s">
        <v>6066</v>
      </c>
      <c r="M1236" t="str">
        <f>VLOOKUP(H1236,CHOOSE({1,2},Table17[Native],Table17[Name]),2,0)</f>
        <v>Qīxiá Shì</v>
      </c>
      <c r="N1236" s="15" t="str">
        <f>VLOOKUP(I1236,CHOOSE({1,2},Table17[Native],Table17[Name]),2,0)</f>
        <v>Yāntái Shì</v>
      </c>
      <c r="O1236" s="15" t="str">
        <f t="shared" si="38"/>
        <v>Songshan Jiedao (Yāntái Shì)</v>
      </c>
      <c r="P1236" s="15" t="str">
        <f t="shared" si="39"/>
        <v>Songshan Jiedao (Yāntái Shì)</v>
      </c>
    </row>
    <row r="1237" spans="1:16" hidden="1" x14ac:dyDescent="0.25">
      <c r="A1237" t="s">
        <v>373</v>
      </c>
      <c r="B1237" t="str">
        <f>IF(COUNTIF(A:A,A1237)&gt;1,_xlfn.CONCAT(A1237," (",N1237,")"),A1237)</f>
        <v>Sù'ān Xiāng</v>
      </c>
      <c r="C1237" t="str">
        <f>IF(COUNTIF(B:B,B1237)&gt;1,_xlfn.CONCAT(A1237," (",M1237,")"),B1237)</f>
        <v>Sù'ān Xiāng</v>
      </c>
      <c r="D1237" t="s">
        <v>374</v>
      </c>
      <c r="E1237" t="s">
        <v>61</v>
      </c>
      <c r="F1237" t="str">
        <f>_xlfn.CONCAT(D1237,", ",H1237,", ",I1237,", ","山东省")</f>
        <v>宿安乡, 临邑县, 德州市, 山东省</v>
      </c>
      <c r="G1237">
        <v>23476</v>
      </c>
      <c r="H1237" t="s">
        <v>3646</v>
      </c>
      <c r="I1237" t="s">
        <v>3642</v>
      </c>
      <c r="J1237" t="e">
        <f>VLOOKUP(F1237,[1]!china_towns_second__2[[Column1]:[Y]],3,FALSE)</f>
        <v>#N/A</v>
      </c>
      <c r="K1237" t="e">
        <f>VLOOKUP(F1237,[1]!china_towns_second__2[[Column1]:[Y]],2,FALSE)</f>
        <v>#N/A</v>
      </c>
      <c r="L1237" t="s">
        <v>6067</v>
      </c>
      <c r="M1237" t="str">
        <f>VLOOKUP(H1237,CHOOSE({1,2},Table17[Native],Table17[Name]),2,0)</f>
        <v>Línyì Xiàn</v>
      </c>
      <c r="N1237" s="15" t="str">
        <f>VLOOKUP(I1237,CHOOSE({1,2},Table17[Native],Table17[Name]),2,0)</f>
        <v>Dézhōu Shì</v>
      </c>
      <c r="O1237" s="15" t="str">
        <f t="shared" si="38"/>
        <v>Su'an Xiang (Dézhōu Shì)</v>
      </c>
      <c r="P1237" s="15" t="str">
        <f t="shared" si="39"/>
        <v>Su'an Xiang (Dézhōu Shì)</v>
      </c>
    </row>
    <row r="1238" spans="1:16" hidden="1" x14ac:dyDescent="0.25">
      <c r="A1238" t="s">
        <v>2006</v>
      </c>
      <c r="B1238" t="str">
        <f>IF(COUNTIF(A:A,A1238)&gt;1,_xlfn.CONCAT(A1238," (",N1238,")"),A1238)</f>
        <v>Sūcūn Zhèn</v>
      </c>
      <c r="C1238" t="str">
        <f>IF(COUNTIF(B:B,B1238)&gt;1,_xlfn.CONCAT(A1238," (",M1238,")"),B1238)</f>
        <v>Sūcūn Zhèn</v>
      </c>
      <c r="D1238" t="s">
        <v>2007</v>
      </c>
      <c r="E1238" t="s">
        <v>13</v>
      </c>
      <c r="F1238" t="str">
        <f>_xlfn.CONCAT(D1238,", ",H1238,", ",I1238,", ","山东省")</f>
        <v>苏村镇, 沂南县, 临沂市, 山东省</v>
      </c>
      <c r="G1238">
        <v>46366</v>
      </c>
      <c r="H1238" t="s">
        <v>3721</v>
      </c>
      <c r="I1238" t="s">
        <v>3710</v>
      </c>
      <c r="J1238">
        <f>VLOOKUP(F1238,[1]!china_towns_second__2[[Column1]:[Y]],3,FALSE)</f>
        <v>35.606768365649401</v>
      </c>
      <c r="K1238">
        <f>VLOOKUP(F1238,[1]!china_towns_second__2[[Column1]:[Y]],2,FALSE)</f>
        <v>118.5682742</v>
      </c>
      <c r="L1238" t="s">
        <v>6068</v>
      </c>
      <c r="M1238" t="str">
        <f>VLOOKUP(H1238,CHOOSE({1,2},Table17[Native],Table17[Name]),2,0)</f>
        <v>Yínán Xiàn</v>
      </c>
      <c r="N1238" s="15" t="str">
        <f>VLOOKUP(I1238,CHOOSE({1,2},Table17[Native],Table17[Name]),2,0)</f>
        <v>Línyí Shì</v>
      </c>
      <c r="O1238" s="15" t="str">
        <f t="shared" si="38"/>
        <v>Sucun Zhen (Línyí Shì)</v>
      </c>
      <c r="P1238" s="15" t="str">
        <f t="shared" si="39"/>
        <v>Sucun Zhen (Línyí Shì)</v>
      </c>
    </row>
    <row r="1239" spans="1:16" hidden="1" x14ac:dyDescent="0.25">
      <c r="A1239" t="s">
        <v>804</v>
      </c>
      <c r="B1239" t="str">
        <f>IF(COUNTIF(A:A,A1239)&gt;1,_xlfn.CONCAT(A1239," (",N1239,")"),A1239)</f>
        <v>Suíguāntún Zhèn</v>
      </c>
      <c r="C1239" t="str">
        <f>IF(COUNTIF(B:B,B1239)&gt;1,_xlfn.CONCAT(A1239," (",M1239,")"),B1239)</f>
        <v>Suíguāntún Zhèn</v>
      </c>
      <c r="D1239" t="s">
        <v>805</v>
      </c>
      <c r="E1239" t="s">
        <v>13</v>
      </c>
      <c r="F1239" t="str">
        <f>_xlfn.CONCAT(D1239,", ",H1239,", ",I1239,", ","山东省")</f>
        <v>随官屯镇, 郓城县, 菏泽市, 山东省</v>
      </c>
      <c r="G1239">
        <v>48362</v>
      </c>
      <c r="H1239" t="s">
        <v>3671</v>
      </c>
      <c r="I1239" t="s">
        <v>3662</v>
      </c>
      <c r="J1239">
        <f>VLOOKUP(F1239,[1]!china_towns_second__2[[Column1]:[Y]],3,FALSE)</f>
        <v>35.4605485705886</v>
      </c>
      <c r="K1239">
        <f>VLOOKUP(F1239,[1]!china_towns_second__2[[Column1]:[Y]],2,FALSE)</f>
        <v>116.00721830000001</v>
      </c>
      <c r="L1239" t="s">
        <v>6069</v>
      </c>
      <c r="M1239" t="str">
        <f>VLOOKUP(H1239,CHOOSE({1,2},Table17[Native],Table17[Name]),2,0)</f>
        <v>Yùnchéng Xiàn</v>
      </c>
      <c r="N1239" s="15" t="str">
        <f>VLOOKUP(I1239,CHOOSE({1,2},Table17[Native],Table17[Name]),2,0)</f>
        <v>Hézé Shì</v>
      </c>
      <c r="O1239" s="15" t="str">
        <f t="shared" si="38"/>
        <v>Suiguantun Zhen (Hézé Shì)</v>
      </c>
      <c r="P1239" s="15" t="str">
        <f t="shared" si="39"/>
        <v>Suiguantun Zhen (Hézé Shì)</v>
      </c>
    </row>
    <row r="1240" spans="1:16" hidden="1" x14ac:dyDescent="0.25">
      <c r="A1240" t="s">
        <v>806</v>
      </c>
      <c r="B1240" t="str">
        <f>IF(COUNTIF(A:A,A1240)&gt;1,_xlfn.CONCAT(A1240," (",N1240,")"),A1240)</f>
        <v>Sūjí Zhèn</v>
      </c>
      <c r="C1240" t="str">
        <f>IF(COUNTIF(B:B,B1240)&gt;1,_xlfn.CONCAT(A1240," (",M1240,")"),B1240)</f>
        <v>Sūjí Zhèn</v>
      </c>
      <c r="D1240" t="s">
        <v>807</v>
      </c>
      <c r="E1240" t="s">
        <v>13</v>
      </c>
      <c r="F1240" t="str">
        <f>_xlfn.CONCAT(D1240,", ",H1240,", ",I1240,", ","山东省")</f>
        <v>苏集镇, 曹县, 菏泽市, 山东省</v>
      </c>
      <c r="G1240">
        <v>68498</v>
      </c>
      <c r="H1240" t="s">
        <v>3663</v>
      </c>
      <c r="I1240" t="s">
        <v>3662</v>
      </c>
      <c r="J1240">
        <f>VLOOKUP(F1240,[1]!china_towns_second__2[[Column1]:[Y]],3,FALSE)</f>
        <v>34.787006524730501</v>
      </c>
      <c r="K1240">
        <f>VLOOKUP(F1240,[1]!china_towns_second__2[[Column1]:[Y]],2,FALSE)</f>
        <v>115.7913362</v>
      </c>
      <c r="L1240" t="s">
        <v>6070</v>
      </c>
      <c r="M1240" t="str">
        <f>VLOOKUP(H1240,CHOOSE({1,2},Table17[Native],Table17[Name]),2,0)</f>
        <v>Cáo Xiàn</v>
      </c>
      <c r="N1240" s="15" t="str">
        <f>VLOOKUP(I1240,CHOOSE({1,2},Table17[Native],Table17[Name]),2,0)</f>
        <v>Hézé Shì</v>
      </c>
      <c r="O1240" s="15" t="str">
        <f t="shared" si="38"/>
        <v>Suji Zhen (Hézé Shì)</v>
      </c>
      <c r="P1240" s="15" t="str">
        <f t="shared" si="39"/>
        <v>Suji Zhen (Hézé Shì)</v>
      </c>
    </row>
    <row r="1241" spans="1:16" hidden="1" x14ac:dyDescent="0.25">
      <c r="A1241" t="s">
        <v>3239</v>
      </c>
      <c r="B1241" t="str">
        <f>IF(COUNTIF(A:A,A1241)&gt;1,_xlfn.CONCAT(A1241," (",N1241,")"),A1241)</f>
        <v>Sūjiādiàn Zhèn</v>
      </c>
      <c r="C1241" t="str">
        <f>IF(COUNTIF(B:B,B1241)&gt;1,_xlfn.CONCAT(A1241," (",M1241,")"),B1241)</f>
        <v>Sūjiādiàn Zhèn</v>
      </c>
      <c r="D1241" t="s">
        <v>3240</v>
      </c>
      <c r="E1241" t="s">
        <v>13</v>
      </c>
      <c r="F1241" t="str">
        <f>_xlfn.CONCAT(D1241,", ",H1241,", ",I1241,", ","山东省")</f>
        <v>苏家店镇, 栖霞市, 烟台市, 山东省</v>
      </c>
      <c r="G1241">
        <v>32642</v>
      </c>
      <c r="H1241" t="s">
        <v>3780</v>
      </c>
      <c r="I1241" t="s">
        <v>3771</v>
      </c>
      <c r="J1241">
        <f>VLOOKUP(F1241,[1]!china_towns_second__2[[Column1]:[Y]],3,FALSE)</f>
        <v>37.419153236831697</v>
      </c>
      <c r="K1241">
        <f>VLOOKUP(F1241,[1]!china_towns_second__2[[Column1]:[Y]],2,FALSE)</f>
        <v>120.6725781</v>
      </c>
      <c r="L1241" t="s">
        <v>6071</v>
      </c>
      <c r="M1241" t="str">
        <f>VLOOKUP(H1241,CHOOSE({1,2},Table17[Native],Table17[Name]),2,0)</f>
        <v>Qīxiá Shì</v>
      </c>
      <c r="N1241" s="15" t="str">
        <f>VLOOKUP(I1241,CHOOSE({1,2},Table17[Native],Table17[Name]),2,0)</f>
        <v>Yāntái Shì</v>
      </c>
      <c r="O1241" s="15" t="str">
        <f t="shared" si="38"/>
        <v>Sujiadian Zhen (Yāntái Shì)</v>
      </c>
      <c r="P1241" s="15" t="str">
        <f t="shared" si="39"/>
        <v>Sujiadian Zhen (Yāntái Shì)</v>
      </c>
    </row>
    <row r="1242" spans="1:16" hidden="1" x14ac:dyDescent="0.25">
      <c r="A1242" t="s">
        <v>375</v>
      </c>
      <c r="B1242" t="str">
        <f>IF(COUNTIF(A:A,A1242)&gt;1,_xlfn.CONCAT(A1242," (",N1242,")"),A1242)</f>
        <v>Sūliúzhuāng Zhèn</v>
      </c>
      <c r="C1242" t="str">
        <f>IF(COUNTIF(B:B,B1242)&gt;1,_xlfn.CONCAT(A1242," (",M1242,")"),B1242)</f>
        <v>Sūliúzhuāng Zhèn</v>
      </c>
      <c r="D1242" t="s">
        <v>376</v>
      </c>
      <c r="E1242" t="s">
        <v>13</v>
      </c>
      <c r="F1242" t="str">
        <f>_xlfn.CONCAT(D1242,", ",H1242,", ",I1242,", ","山东省")</f>
        <v>苏留庄镇, 夏津县, 德州市, 山东省</v>
      </c>
      <c r="G1242">
        <v>46965</v>
      </c>
      <c r="H1242" t="s">
        <v>3652</v>
      </c>
      <c r="I1242" t="s">
        <v>3642</v>
      </c>
      <c r="J1242">
        <f>VLOOKUP(F1242,[1]!china_towns_second__2[[Column1]:[Y]],3,FALSE)</f>
        <v>37.073848689758996</v>
      </c>
      <c r="K1242">
        <f>VLOOKUP(F1242,[1]!china_towns_second__2[[Column1]:[Y]],2,FALSE)</f>
        <v>116.1246146</v>
      </c>
      <c r="L1242" t="s">
        <v>6072</v>
      </c>
      <c r="M1242" t="str">
        <f>VLOOKUP(H1242,CHOOSE({1,2},Table17[Native],Table17[Name]),2,0)</f>
        <v>Xiàjīn Xiàn</v>
      </c>
      <c r="N1242" s="15" t="str">
        <f>VLOOKUP(I1242,CHOOSE({1,2},Table17[Native],Table17[Name]),2,0)</f>
        <v>Dézhōu Shì</v>
      </c>
      <c r="O1242" s="15" t="str">
        <f t="shared" si="38"/>
        <v>Suliuzhuang Zhen (Dézhōu Shì)</v>
      </c>
      <c r="P1242" s="15" t="str">
        <f t="shared" si="39"/>
        <v>Suliuzhuang Zhen (Dézhōu Shì)</v>
      </c>
    </row>
    <row r="1243" spans="1:16" hidden="1" x14ac:dyDescent="0.25">
      <c r="A1243" t="s">
        <v>2615</v>
      </c>
      <c r="B1243" t="str">
        <f>IF(COUNTIF(A:A,A1243)&gt;1,_xlfn.CONCAT(A1243," (",N1243,")"),A1243)</f>
        <v>Sūnbó Zhèn</v>
      </c>
      <c r="C1243" t="str">
        <f>IF(COUNTIF(B:B,B1243)&gt;1,_xlfn.CONCAT(A1243," (",M1243,")"),B1243)</f>
        <v>Sūnbó Zhèn</v>
      </c>
      <c r="D1243" t="s">
        <v>2616</v>
      </c>
      <c r="E1243" t="s">
        <v>13</v>
      </c>
      <c r="F1243" t="str">
        <f>_xlfn.CONCAT(D1243,", ",H1243,", ",I1243,", ","山东省")</f>
        <v>孙伯镇, 肥城市, 泰安市, 山东省</v>
      </c>
      <c r="G1243">
        <v>27872</v>
      </c>
      <c r="H1243" t="s">
        <v>3746</v>
      </c>
      <c r="I1243" t="s">
        <v>3743</v>
      </c>
      <c r="J1243">
        <f>VLOOKUP(F1243,[1]!china_towns_second__2[[Column1]:[Y]],3,FALSE)</f>
        <v>35.974690534203802</v>
      </c>
      <c r="K1243">
        <f>VLOOKUP(F1243,[1]!china_towns_second__2[[Column1]:[Y]],2,FALSE)</f>
        <v>116.6785125</v>
      </c>
      <c r="L1243" t="s">
        <v>6073</v>
      </c>
      <c r="M1243" t="str">
        <f>VLOOKUP(H1243,CHOOSE({1,2},Table17[Native],Table17[Name]),2,0)</f>
        <v>Féichéng Shì</v>
      </c>
      <c r="N1243" s="15" t="str">
        <f>VLOOKUP(I1243,CHOOSE({1,2},Table17[Native],Table17[Name]),2,0)</f>
        <v>Tài'ān Shì</v>
      </c>
      <c r="O1243" s="15" t="str">
        <f t="shared" si="38"/>
        <v>Sunbo Zhen (Tài'ān Shì)</v>
      </c>
      <c r="P1243" s="15" t="str">
        <f t="shared" si="39"/>
        <v>Sunbo Zhen (Tài'ān Shì)</v>
      </c>
    </row>
    <row r="1244" spans="1:16" hidden="1" x14ac:dyDescent="0.25">
      <c r="A1244" t="s">
        <v>1122</v>
      </c>
      <c r="B1244" t="str">
        <f>IF(COUNTIF(A:A,A1244)&gt;1,_xlfn.CONCAT(A1244," (",N1244,")"),A1244)</f>
        <v>Sūncūn Jiēdào</v>
      </c>
      <c r="C1244" t="str">
        <f>IF(COUNTIF(B:B,B1244)&gt;1,_xlfn.CONCAT(A1244," (",M1244,")"),B1244)</f>
        <v>Sūncūn Jiēdào</v>
      </c>
      <c r="D1244" t="s">
        <v>1123</v>
      </c>
      <c r="E1244" t="s">
        <v>7</v>
      </c>
      <c r="F1244" t="str">
        <f>_xlfn.CONCAT(D1244,", ",H1244,", ",I1244,", ","山东省")</f>
        <v>孙村街道, 历城区, 济南市, 山东省</v>
      </c>
      <c r="G1244">
        <v>30937</v>
      </c>
      <c r="H1244" t="s">
        <v>3679</v>
      </c>
      <c r="I1244" t="s">
        <v>3673</v>
      </c>
      <c r="J1244">
        <f>VLOOKUP(F1244,[1]!china_towns_second__2[[Column1]:[Y]],3,FALSE)</f>
        <v>36.694658010688897</v>
      </c>
      <c r="K1244">
        <f>VLOOKUP(F1244,[1]!china_towns_second__2[[Column1]:[Y]],2,FALSE)</f>
        <v>117.2795869</v>
      </c>
      <c r="L1244" t="s">
        <v>6074</v>
      </c>
      <c r="M1244" t="str">
        <f>VLOOKUP(H1244,CHOOSE({1,2},Table17[Native],Table17[Name]),2,0)</f>
        <v>Lìchéng Qū</v>
      </c>
      <c r="N1244" s="15" t="str">
        <f>VLOOKUP(I1244,CHOOSE({1,2},Table17[Native],Table17[Name]),2,0)</f>
        <v>Jìnán Shì</v>
      </c>
      <c r="O1244" s="15" t="str">
        <f t="shared" si="38"/>
        <v>Suncun Jiedao (Jìnán Shì)</v>
      </c>
      <c r="P1244" s="15" t="str">
        <f t="shared" si="39"/>
        <v>Suncun Jiedao (Jìnán Shì)</v>
      </c>
    </row>
    <row r="1245" spans="1:16" hidden="1" x14ac:dyDescent="0.25">
      <c r="A1245" t="s">
        <v>1124</v>
      </c>
      <c r="B1245" t="str">
        <f>IF(COUNTIF(A:A,A1245)&gt;1,_xlfn.CONCAT(A1245," (",N1245,")"),A1245)</f>
        <v>Sūngĕng Jiēdào</v>
      </c>
      <c r="C1245" t="str">
        <f>IF(COUNTIF(B:B,B1245)&gt;1,_xlfn.CONCAT(A1245," (",M1245,")"),B1245)</f>
        <v>Sūngĕng Jiēdào</v>
      </c>
      <c r="D1245" t="s">
        <v>1125</v>
      </c>
      <c r="E1245" t="s">
        <v>7</v>
      </c>
      <c r="F1245" t="str">
        <f>_xlfn.CONCAT(D1245,", ",H1245,", ",I1245,", ","山东省")</f>
        <v>孙耿街道, 济阳区, 济南市, 山东省</v>
      </c>
      <c r="G1245">
        <v>47308</v>
      </c>
      <c r="H1245" t="s">
        <v>3677</v>
      </c>
      <c r="I1245" t="s">
        <v>3673</v>
      </c>
      <c r="J1245" t="e">
        <f>VLOOKUP(F1245,[1]!china_towns_second__2[[Column1]:[Y]],3,FALSE)</f>
        <v>#N/A</v>
      </c>
      <c r="K1245" t="e">
        <f>VLOOKUP(F1245,[1]!china_towns_second__2[[Column1]:[Y]],2,FALSE)</f>
        <v>#N/A</v>
      </c>
      <c r="L1245" t="s">
        <v>6075</v>
      </c>
      <c r="M1245" t="str">
        <f>VLOOKUP(H1245,CHOOSE({1,2},Table17[Native],Table17[Name]),2,0)</f>
        <v>Jìyáng Qū</v>
      </c>
      <c r="N1245" s="15" t="str">
        <f>VLOOKUP(I1245,CHOOSE({1,2},Table17[Native],Table17[Name]),2,0)</f>
        <v>Jìnán Shì</v>
      </c>
      <c r="O1245" s="15" t="str">
        <f t="shared" si="38"/>
        <v>Sungeng Jiedao (Jìnán Shì)</v>
      </c>
      <c r="P1245" s="15" t="str">
        <f t="shared" si="39"/>
        <v>Sungeng Jiedao (Jìnán Shì)</v>
      </c>
    </row>
    <row r="1246" spans="1:16" hidden="1" x14ac:dyDescent="0.25">
      <c r="A1246" t="s">
        <v>1126</v>
      </c>
      <c r="B1246" t="str">
        <f>IF(COUNTIF(A:A,A1246)&gt;1,_xlfn.CONCAT(A1246," (",N1246,")"),A1246)</f>
        <v>Sūnjí Zhèn</v>
      </c>
      <c r="C1246" t="str">
        <f>IF(COUNTIF(B:B,B1246)&gt;1,_xlfn.CONCAT(A1246," (",M1246,")"),B1246)</f>
        <v>Sūnjí Zhèn</v>
      </c>
      <c r="D1246" t="s">
        <v>1127</v>
      </c>
      <c r="E1246" t="s">
        <v>13</v>
      </c>
      <c r="F1246" t="str">
        <f>_xlfn.CONCAT(D1246,", ",H1246,", ",I1246,", ","山东省")</f>
        <v>孙集镇, 商河县, 济南市, 山东省</v>
      </c>
      <c r="G1246">
        <v>45898</v>
      </c>
      <c r="H1246" t="s">
        <v>3682</v>
      </c>
      <c r="I1246" t="s">
        <v>3673</v>
      </c>
      <c r="J1246">
        <f>VLOOKUP(F1246,[1]!china_towns_second__2[[Column1]:[Y]],3,FALSE)</f>
        <v>37.311740043825701</v>
      </c>
      <c r="K1246">
        <f>VLOOKUP(F1246,[1]!china_towns_second__2[[Column1]:[Y]],2,FALSE)</f>
        <v>117.240645</v>
      </c>
      <c r="L1246" t="s">
        <v>6076</v>
      </c>
      <c r="M1246" t="str">
        <f>VLOOKUP(H1246,CHOOSE({1,2},Table17[Native],Table17[Name]),2,0)</f>
        <v>Shānghé Xiàn</v>
      </c>
      <c r="N1246" s="15" t="str">
        <f>VLOOKUP(I1246,CHOOSE({1,2},Table17[Native],Table17[Name]),2,0)</f>
        <v>Jìnán Shì</v>
      </c>
      <c r="O1246" s="15" t="str">
        <f t="shared" si="38"/>
        <v>Sunji Zhen (Jìnán Shì)</v>
      </c>
      <c r="P1246" s="15" t="str">
        <f t="shared" si="39"/>
        <v>Sunji Zhen (Jìnán Shì)</v>
      </c>
    </row>
    <row r="1247" spans="1:16" hidden="1" x14ac:dyDescent="0.25">
      <c r="A1247" t="s">
        <v>2825</v>
      </c>
      <c r="B1247" t="str">
        <f>IF(COUNTIF(A:A,A1247)&gt;1,_xlfn.CONCAT(A1247," (",N1247,")"),A1247)</f>
        <v>Sūnjiājí Jiēdào</v>
      </c>
      <c r="C1247" t="str">
        <f>IF(COUNTIF(B:B,B1247)&gt;1,_xlfn.CONCAT(A1247," (",M1247,")"),B1247)</f>
        <v>Sūnjiājí Jiēdào</v>
      </c>
      <c r="D1247" t="s">
        <v>2826</v>
      </c>
      <c r="E1247" t="s">
        <v>7</v>
      </c>
      <c r="F1247" t="str">
        <f>_xlfn.CONCAT(D1247,", ",H1247,", ",I1247,", ","山东省")</f>
        <v>孙家集街道, 寿光市, 潍坊市, 山东省</v>
      </c>
      <c r="G1247">
        <v>57268</v>
      </c>
      <c r="H1247" t="s">
        <v>3761</v>
      </c>
      <c r="I1247" t="s">
        <v>3751</v>
      </c>
      <c r="J1247">
        <f>VLOOKUP(F1247,[1]!china_towns_second__2[[Column1]:[Y]],3,FALSE)</f>
        <v>36.812151417034002</v>
      </c>
      <c r="K1247">
        <f>VLOOKUP(F1247,[1]!china_towns_second__2[[Column1]:[Y]],2,FALSE)</f>
        <v>118.69014749999999</v>
      </c>
      <c r="L1247" t="s">
        <v>6077</v>
      </c>
      <c r="M1247" t="str">
        <f>VLOOKUP(H1247,CHOOSE({1,2},Table17[Native],Table17[Name]),2,0)</f>
        <v>Shòuguāng Shì</v>
      </c>
      <c r="N1247" s="15" t="str">
        <f>VLOOKUP(I1247,CHOOSE({1,2},Table17[Native],Table17[Name]),2,0)</f>
        <v>Wéifāng Shì</v>
      </c>
      <c r="O1247" s="15" t="str">
        <f t="shared" si="38"/>
        <v>Sunjiaji Jiedao (Wéifāng Shì)</v>
      </c>
      <c r="P1247" s="15" t="str">
        <f t="shared" si="39"/>
        <v>Sunjiaji Jiedao (Wéifāng Shì)</v>
      </c>
    </row>
    <row r="1248" spans="1:16" hidden="1" x14ac:dyDescent="0.25">
      <c r="A1248" t="s">
        <v>2978</v>
      </c>
      <c r="B1248" t="str">
        <f>IF(COUNTIF(A:A,A1248)&gt;1,_xlfn.CONCAT(A1248," (",N1248,")"),A1248)</f>
        <v>Sūnjiātuăn Jiēdào</v>
      </c>
      <c r="C1248" t="str">
        <f>IF(COUNTIF(B:B,B1248)&gt;1,_xlfn.CONCAT(A1248," (",M1248,")"),B1248)</f>
        <v>Sūnjiātuăn Jiēdào</v>
      </c>
      <c r="D1248" t="s">
        <v>2979</v>
      </c>
      <c r="E1248" t="s">
        <v>7</v>
      </c>
      <c r="F1248" t="str">
        <f>_xlfn.CONCAT(D1248,", ",H1248,", ",I1248,", ","山东省")</f>
        <v>孙家疃街道, 环翠区, 威海市, 山东省</v>
      </c>
      <c r="G1248">
        <v>16495</v>
      </c>
      <c r="H1248" t="s">
        <v>3766</v>
      </c>
      <c r="I1248" t="s">
        <v>3765</v>
      </c>
      <c r="J1248" t="e">
        <f>VLOOKUP(F1248,[1]!china_towns_second__2[[Column1]:[Y]],3,FALSE)</f>
        <v>#N/A</v>
      </c>
      <c r="K1248" t="e">
        <f>VLOOKUP(F1248,[1]!china_towns_second__2[[Column1]:[Y]],2,FALSE)</f>
        <v>#N/A</v>
      </c>
      <c r="L1248" t="s">
        <v>6078</v>
      </c>
      <c r="M1248" t="str">
        <f>VLOOKUP(H1248,CHOOSE({1,2},Table17[Native],Table17[Name]),2,0)</f>
        <v>Huáncuì Qū</v>
      </c>
      <c r="N1248" s="15" t="str">
        <f>VLOOKUP(I1248,CHOOSE({1,2},Table17[Native],Table17[Name]),2,0)</f>
        <v>Wēihăi Shì</v>
      </c>
      <c r="O1248" s="15" t="str">
        <f t="shared" si="38"/>
        <v>Sunjiatuan Jiedao (Wēihăi Shì)</v>
      </c>
      <c r="P1248" s="15" t="str">
        <f t="shared" si="39"/>
        <v>Sunjiatuan Jiedao (Wēihăi Shì)</v>
      </c>
    </row>
    <row r="1249" spans="1:16" hidden="1" x14ac:dyDescent="0.25">
      <c r="A1249" t="s">
        <v>808</v>
      </c>
      <c r="B1249" t="str">
        <f>IF(COUNTIF(A:A,A1249)&gt;1,_xlfn.CONCAT(A1249," (",N1249,")"),A1249)</f>
        <v>Sūnlăojiā Zhèn</v>
      </c>
      <c r="C1249" t="str">
        <f>IF(COUNTIF(B:B,B1249)&gt;1,_xlfn.CONCAT(A1249," (",M1249,")"),B1249)</f>
        <v>Sūnlăojiā Zhèn</v>
      </c>
      <c r="D1249" t="s">
        <v>809</v>
      </c>
      <c r="E1249" t="s">
        <v>13</v>
      </c>
      <c r="F1249" t="str">
        <f>_xlfn.CONCAT(D1249,", ",H1249,", ",I1249,", ","山东省")</f>
        <v>孙老家镇, 曹县, 菏泽市, 山东省</v>
      </c>
      <c r="G1249">
        <v>44338</v>
      </c>
      <c r="H1249" t="s">
        <v>3663</v>
      </c>
      <c r="I1249" t="s">
        <v>3662</v>
      </c>
      <c r="J1249">
        <f>VLOOKUP(F1249,[1]!china_towns_second__2[[Column1]:[Y]],3,FALSE)</f>
        <v>34.778713480141001</v>
      </c>
      <c r="K1249">
        <f>VLOOKUP(F1249,[1]!china_towns_second__2[[Column1]:[Y]],2,FALSE)</f>
        <v>115.66948410000001</v>
      </c>
      <c r="L1249" t="s">
        <v>6079</v>
      </c>
      <c r="M1249" t="str">
        <f>VLOOKUP(H1249,CHOOSE({1,2},Table17[Native],Table17[Name]),2,0)</f>
        <v>Cáo Xiàn</v>
      </c>
      <c r="N1249" s="15" t="str">
        <f>VLOOKUP(I1249,CHOOSE({1,2},Table17[Native],Table17[Name]),2,0)</f>
        <v>Hézé Shì</v>
      </c>
      <c r="O1249" s="15" t="str">
        <f t="shared" si="38"/>
        <v>Sunlaojia Zhen (Hézé Shì)</v>
      </c>
      <c r="P1249" s="15" t="str">
        <f t="shared" si="39"/>
        <v>Sunlaojia Zhen (Hézé Shì)</v>
      </c>
    </row>
    <row r="1250" spans="1:16" hidden="1" x14ac:dyDescent="0.25">
      <c r="A1250" t="s">
        <v>155</v>
      </c>
      <c r="B1250" t="str">
        <f>IF(COUNTIF(A:A,A1250)&gt;1,_xlfn.CONCAT(A1250," (",N1250,")"),A1250)</f>
        <v>Sūnwŭ Jiēdào</v>
      </c>
      <c r="C1250" t="str">
        <f>IF(COUNTIF(B:B,B1250)&gt;1,_xlfn.CONCAT(A1250," (",M1250,")"),B1250)</f>
        <v>Sūnwŭ Jiēdào</v>
      </c>
      <c r="D1250" t="s">
        <v>156</v>
      </c>
      <c r="E1250" t="s">
        <v>7</v>
      </c>
      <c r="F1250" t="str">
        <f>_xlfn.CONCAT(D1250,", ",H1250,", ",I1250,", ","山东省")</f>
        <v>孙武街道, 惠民县, 滨州市, 山东省</v>
      </c>
      <c r="G1250">
        <v>91984</v>
      </c>
      <c r="H1250" t="s">
        <v>3635</v>
      </c>
      <c r="I1250" t="s">
        <v>3630</v>
      </c>
      <c r="J1250">
        <f>VLOOKUP(F1250,[1]!china_towns_second__2[[Column1]:[Y]],3,FALSE)</f>
        <v>37.505354654519202</v>
      </c>
      <c r="K1250">
        <f>VLOOKUP(F1250,[1]!china_towns_second__2[[Column1]:[Y]],2,FALSE)</f>
        <v>117.4846557</v>
      </c>
      <c r="L1250" t="s">
        <v>6080</v>
      </c>
      <c r="M1250" t="str">
        <f>VLOOKUP(H1250,CHOOSE({1,2},Table17[Native],Table17[Name]),2,0)</f>
        <v>Huìmín Xiàn</v>
      </c>
      <c r="N1250" s="15" t="str">
        <f>VLOOKUP(I1250,CHOOSE({1,2},Table17[Native],Table17[Name]),2,0)</f>
        <v>Bīnzhōu Shì</v>
      </c>
      <c r="O1250" s="15" t="str">
        <f t="shared" si="38"/>
        <v>Sunwu Jiedao (Bīnzhōu Shì)</v>
      </c>
      <c r="P1250" s="15" t="str">
        <f t="shared" si="39"/>
        <v>Sunwu Jiedao (Bīnzhōu Shì)</v>
      </c>
    </row>
    <row r="1251" spans="1:16" hidden="1" x14ac:dyDescent="0.25">
      <c r="A1251" t="s">
        <v>157</v>
      </c>
      <c r="B1251" t="str">
        <f>IF(COUNTIF(A:A,A1251)&gt;1,_xlfn.CONCAT(A1251," (",N1251,")"),A1251)</f>
        <v>Sūnzhèn Zhèn</v>
      </c>
      <c r="C1251" t="str">
        <f>IF(COUNTIF(B:B,B1251)&gt;1,_xlfn.CONCAT(A1251," (",M1251,")"),B1251)</f>
        <v>Sūnzhèn Zhèn</v>
      </c>
      <c r="D1251" t="s">
        <v>158</v>
      </c>
      <c r="E1251" t="s">
        <v>13</v>
      </c>
      <c r="F1251" t="str">
        <f>_xlfn.CONCAT(D1251,", ",H1251,", ",I1251,", ","山东省")</f>
        <v>孙镇镇, 邹平市, 滨州市, 山东省</v>
      </c>
      <c r="G1251">
        <v>36356</v>
      </c>
      <c r="H1251" t="s">
        <v>3640</v>
      </c>
      <c r="I1251" t="s">
        <v>3630</v>
      </c>
      <c r="J1251">
        <f>VLOOKUP(F1251,[1]!china_towns_second__2[[Column1]:[Y]],3,FALSE)</f>
        <v>37.027253944117497</v>
      </c>
      <c r="K1251">
        <f>VLOOKUP(F1251,[1]!china_towns_second__2[[Column1]:[Y]],2,FALSE)</f>
        <v>117.7179021</v>
      </c>
      <c r="L1251" t="s">
        <v>6081</v>
      </c>
      <c r="M1251" t="str">
        <f>VLOOKUP(H1251,CHOOSE({1,2},Table17[Native],Table17[Name]),2,0)</f>
        <v>Zōupíng Shì</v>
      </c>
      <c r="N1251" s="15" t="str">
        <f>VLOOKUP(I1251,CHOOSE({1,2},Table17[Native],Table17[Name]),2,0)</f>
        <v>Bīnzhōu Shì</v>
      </c>
      <c r="O1251" s="15" t="str">
        <f t="shared" si="38"/>
        <v>Sunzhen Zhen (Bīnzhōu Shì)</v>
      </c>
      <c r="P1251" s="15" t="str">
        <f t="shared" si="39"/>
        <v>Sunzhen Zhen (Bīnzhōu Shì)</v>
      </c>
    </row>
    <row r="1252" spans="1:16" hidden="1" x14ac:dyDescent="0.25">
      <c r="A1252" t="s">
        <v>2008</v>
      </c>
      <c r="B1252" t="str">
        <f>IF(COUNTIF(A:A,A1252)&gt;1,_xlfn.CONCAT(A1252," (",N1252,")"),A1252)</f>
        <v>Sūnzŭ Zhèn</v>
      </c>
      <c r="C1252" t="str">
        <f>IF(COUNTIF(B:B,B1252)&gt;1,_xlfn.CONCAT(A1252," (",M1252,")"),B1252)</f>
        <v>Sūnzŭ Zhèn</v>
      </c>
      <c r="D1252" t="s">
        <v>2009</v>
      </c>
      <c r="E1252" t="s">
        <v>13</v>
      </c>
      <c r="F1252" t="str">
        <f>_xlfn.CONCAT(D1252,", ",H1252,", ",I1252,", ","山东省")</f>
        <v>孙祖镇, 沂南县, 临沂市, 山东省</v>
      </c>
      <c r="G1252">
        <v>33401</v>
      </c>
      <c r="H1252" t="s">
        <v>3721</v>
      </c>
      <c r="I1252" t="s">
        <v>3710</v>
      </c>
      <c r="J1252">
        <f>VLOOKUP(F1252,[1]!china_towns_second__2[[Column1]:[Y]],3,FALSE)</f>
        <v>35.545535692918001</v>
      </c>
      <c r="K1252">
        <f>VLOOKUP(F1252,[1]!china_towns_second__2[[Column1]:[Y]],2,FALSE)</f>
        <v>118.2809281</v>
      </c>
      <c r="L1252" t="s">
        <v>6082</v>
      </c>
      <c r="M1252" t="str">
        <f>VLOOKUP(H1252,CHOOSE({1,2},Table17[Native],Table17[Name]),2,0)</f>
        <v>Yínán Xiàn</v>
      </c>
      <c r="N1252" s="15" t="str">
        <f>VLOOKUP(I1252,CHOOSE({1,2},Table17[Native],Table17[Name]),2,0)</f>
        <v>Línyí Shì</v>
      </c>
      <c r="O1252" s="15" t="str">
        <f t="shared" si="38"/>
        <v>Sunzu Zhen (Línyí Shì)</v>
      </c>
      <c r="P1252" s="15" t="str">
        <f t="shared" si="39"/>
        <v>Sunzu Zhen (Línyí Shì)</v>
      </c>
    </row>
    <row r="1253" spans="1:16" hidden="1" x14ac:dyDescent="0.25">
      <c r="A1253" t="s">
        <v>3579</v>
      </c>
      <c r="B1253" t="str">
        <f>IF(COUNTIF(A:A,A1253)&gt;1,_xlfn.CONCAT(A1253," (",N1253,")"),A1253)</f>
        <v>Suŏzhèn Jiēdào</v>
      </c>
      <c r="C1253" t="str">
        <f>IF(COUNTIF(B:B,B1253)&gt;1,_xlfn.CONCAT(A1253," (",M1253,")"),B1253)</f>
        <v>Suŏzhèn Jiēdào</v>
      </c>
      <c r="D1253" t="s">
        <v>3580</v>
      </c>
      <c r="E1253" t="s">
        <v>7</v>
      </c>
      <c r="F1253" t="str">
        <f>_xlfn.CONCAT(D1253,", ",H1253,", ",I1253,", ","山东省")</f>
        <v>索镇街道, 桓台县, 淄博市, 山东省</v>
      </c>
      <c r="G1253">
        <v>68702</v>
      </c>
      <c r="H1253" t="s">
        <v>3794</v>
      </c>
      <c r="I1253" t="s">
        <v>3791</v>
      </c>
      <c r="J1253">
        <f>VLOOKUP(F1253,[1]!china_towns_second__2[[Column1]:[Y]],3,FALSE)</f>
        <v>36.971256128435897</v>
      </c>
      <c r="K1253">
        <f>VLOOKUP(F1253,[1]!china_towns_second__2[[Column1]:[Y]],2,FALSE)</f>
        <v>118.12828519999999</v>
      </c>
      <c r="L1253" t="s">
        <v>6083</v>
      </c>
      <c r="M1253" t="str">
        <f>VLOOKUP(H1253,CHOOSE({1,2},Table17[Native],Table17[Name]),2,0)</f>
        <v>Huántái Xiàn</v>
      </c>
      <c r="N1253" s="15" t="str">
        <f>VLOOKUP(I1253,CHOOSE({1,2},Table17[Native],Table17[Name]),2,0)</f>
        <v>Zībó Shì</v>
      </c>
      <c r="O1253" s="15" t="str">
        <f t="shared" si="38"/>
        <v>Suozhen Jiedao (Zībó Shì)</v>
      </c>
      <c r="P1253" s="15" t="str">
        <f t="shared" si="39"/>
        <v>Suozhen Jiedao (Zībó Shì)</v>
      </c>
    </row>
    <row r="1254" spans="1:16" hidden="1" x14ac:dyDescent="0.25">
      <c r="A1254" t="s">
        <v>2827</v>
      </c>
      <c r="B1254" t="str">
        <f>IF(COUNTIF(A:A,A1254)&gt;1,_xlfn.CONCAT(A1254," (",N1254,")"),A1254)</f>
        <v>Tàibăozhuāng Jiēdào</v>
      </c>
      <c r="C1254" t="str">
        <f>IF(COUNTIF(B:B,B1254)&gt;1,_xlfn.CONCAT(A1254," (",M1254,")"),B1254)</f>
        <v>Tàibăozhuāng Jiēdào</v>
      </c>
      <c r="D1254" t="s">
        <v>2828</v>
      </c>
      <c r="E1254" t="s">
        <v>7</v>
      </c>
      <c r="F1254" t="str">
        <f>_xlfn.CONCAT(D1254,", ",H1254,", ",I1254,", ","山东省")</f>
        <v>太保庄街道, 坊子区, 潍坊市, 山东省</v>
      </c>
      <c r="G1254">
        <v>131531</v>
      </c>
      <c r="H1254" t="s">
        <v>3755</v>
      </c>
      <c r="I1254" t="s">
        <v>3751</v>
      </c>
      <c r="J1254" t="e">
        <f>VLOOKUP(F1254,[1]!china_towns_second__2[[Column1]:[Y]],3,FALSE)</f>
        <v>#N/A</v>
      </c>
      <c r="K1254" t="e">
        <f>VLOOKUP(F1254,[1]!china_towns_second__2[[Column1]:[Y]],2,FALSE)</f>
        <v>#N/A</v>
      </c>
      <c r="L1254" t="s">
        <v>6084</v>
      </c>
      <c r="M1254" t="str">
        <f>VLOOKUP(H1254,CHOOSE({1,2},Table17[Native],Table17[Name]),2,0)</f>
        <v>Fāngzi Qū</v>
      </c>
      <c r="N1254" s="15" t="str">
        <f>VLOOKUP(I1254,CHOOSE({1,2},Table17[Native],Table17[Name]),2,0)</f>
        <v>Wéifāng Shì</v>
      </c>
      <c r="O1254" s="15" t="str">
        <f t="shared" si="38"/>
        <v>Taibaozhuang Jiedao (Wéifāng Shì)</v>
      </c>
      <c r="P1254" s="15" t="str">
        <f t="shared" si="39"/>
        <v>Taibaozhuang Jiedao (Wéifāng Shì)</v>
      </c>
    </row>
    <row r="1255" spans="1:16" hidden="1" x14ac:dyDescent="0.25">
      <c r="A1255" t="s">
        <v>2302</v>
      </c>
      <c r="B1255" t="str">
        <f>IF(COUNTIF(A:A,A1255)&gt;1,_xlfn.CONCAT(A1255," (",N1255,")"),A1255)</f>
        <v>Táidōng Jiēdào</v>
      </c>
      <c r="C1255" t="str">
        <f>IF(COUNTIF(B:B,B1255)&gt;1,_xlfn.CONCAT(A1255," (",M1255,")"),B1255)</f>
        <v>Táidōng Jiēdào</v>
      </c>
      <c r="D1255" t="s">
        <v>2303</v>
      </c>
      <c r="E1255" t="s">
        <v>7</v>
      </c>
      <c r="F1255" t="str">
        <f>_xlfn.CONCAT(D1255,", ",H1255,", ",I1255,", ","山东省")</f>
        <v>台东街道, 市北区, 青岛市, 山东省</v>
      </c>
      <c r="G1255">
        <v>50013</v>
      </c>
      <c r="H1255" t="s">
        <v>3733</v>
      </c>
      <c r="I1255" t="s">
        <v>3724</v>
      </c>
      <c r="J1255">
        <f>VLOOKUP(F1255,[1]!china_towns_second__2[[Column1]:[Y]],3,FALSE)</f>
        <v>36.085459607186003</v>
      </c>
      <c r="K1255">
        <f>VLOOKUP(F1255,[1]!china_towns_second__2[[Column1]:[Y]],2,FALSE)</f>
        <v>120.35088039999999</v>
      </c>
      <c r="L1255" t="s">
        <v>6085</v>
      </c>
      <c r="M1255" t="str">
        <f>VLOOKUP(H1255,CHOOSE({1,2},Table17[Native],Table17[Name]),2,0)</f>
        <v>Shìbĕi Qū</v>
      </c>
      <c r="N1255" s="15" t="str">
        <f>VLOOKUP(I1255,CHOOSE({1,2},Table17[Native],Table17[Name]),2,0)</f>
        <v>Qīngdăo Shì</v>
      </c>
      <c r="O1255" s="15" t="str">
        <f t="shared" si="38"/>
        <v>Taidong Jiedao (Qīngdăo Shì)</v>
      </c>
      <c r="P1255" s="15" t="str">
        <f t="shared" si="39"/>
        <v>Taidong Jiedao (Qīngdăo Shì)</v>
      </c>
    </row>
    <row r="1256" spans="1:16" hidden="1" x14ac:dyDescent="0.25">
      <c r="A1256" t="s">
        <v>3581</v>
      </c>
      <c r="B1256" t="str">
        <f>IF(COUNTIF(A:A,A1256)&gt;1,_xlfn.CONCAT(A1256," (",N1256,")"),A1256)</f>
        <v>Tàihé Zhèn [incl. Zīhé Zhèn]</v>
      </c>
      <c r="C1256" t="str">
        <f>IF(COUNTIF(B:B,B1256)&gt;1,_xlfn.CONCAT(A1256," (",M1256,")"),B1256)</f>
        <v>Tàihé Zhèn [incl. Zīhé Zhèn]</v>
      </c>
      <c r="D1256" t="s">
        <v>3582</v>
      </c>
      <c r="E1256" t="s">
        <v>13</v>
      </c>
      <c r="F1256" t="str">
        <f>_xlfn.CONCAT(D1256,", ",H1256,", ",I1256,", ","山东省")</f>
        <v>太河镇, 淄川区, 淄博市, 山东省</v>
      </c>
      <c r="G1256">
        <v>51159</v>
      </c>
      <c r="H1256" t="s">
        <v>3799</v>
      </c>
      <c r="I1256" t="s">
        <v>3791</v>
      </c>
      <c r="J1256">
        <f>VLOOKUP(F1256,[1]!china_towns_second__2[[Column1]:[Y]],3,FALSE)</f>
        <v>36.483942616571497</v>
      </c>
      <c r="K1256">
        <f>VLOOKUP(F1256,[1]!china_towns_second__2[[Column1]:[Y]],2,FALSE)</f>
        <v>118.1389473</v>
      </c>
      <c r="L1256" t="s">
        <v>6086</v>
      </c>
      <c r="M1256" t="str">
        <f>VLOOKUP(H1256,CHOOSE({1,2},Table17[Native],Table17[Name]),2,0)</f>
        <v>Zīchuān Qū</v>
      </c>
      <c r="N1256" s="15" t="str">
        <f>VLOOKUP(I1256,CHOOSE({1,2},Table17[Native],Table17[Name]),2,0)</f>
        <v>Zībó Shì</v>
      </c>
      <c r="O1256" s="15" t="str">
        <f t="shared" si="38"/>
        <v>Taihe Zhen [incl. Zihe Zhen] (Zībó Shì)</v>
      </c>
      <c r="P1256" s="15" t="str">
        <f t="shared" si="39"/>
        <v>Taihe Zhen [incl. Zihe Zhen] (Zībó Shì)</v>
      </c>
    </row>
    <row r="1257" spans="1:16" hidden="1" x14ac:dyDescent="0.25">
      <c r="A1257" t="s">
        <v>1128</v>
      </c>
      <c r="B1257" t="str">
        <f>IF(COUNTIF(A:A,A1257)&gt;1,_xlfn.CONCAT(A1257," (",N1257,")"),A1257)</f>
        <v>Tàipíng Jiēdào (Jìnán Shì)</v>
      </c>
      <c r="C1257" t="str">
        <f>IF(COUNTIF(B:B,B1257)&gt;1,_xlfn.CONCAT(A1257," (",M1257,")"),B1257)</f>
        <v>Tàipíng Jiēdào (Jìnán Shì)</v>
      </c>
      <c r="D1257" t="s">
        <v>1129</v>
      </c>
      <c r="E1257" t="s">
        <v>7</v>
      </c>
      <c r="F1257" t="str">
        <f>_xlfn.CONCAT(D1257,", ",H1257,", ",I1257,", ","山东省")</f>
        <v>太平街道, 济阳区, 济南市, 山东省</v>
      </c>
      <c r="G1257">
        <v>47546</v>
      </c>
      <c r="H1257" t="s">
        <v>3677</v>
      </c>
      <c r="I1257" t="s">
        <v>3673</v>
      </c>
      <c r="J1257" t="e">
        <f>VLOOKUP(F1257,[1]!china_towns_second__2[[Column1]:[Y]],3,FALSE)</f>
        <v>#N/A</v>
      </c>
      <c r="K1257" t="e">
        <f>VLOOKUP(F1257,[1]!china_towns_second__2[[Column1]:[Y]],2,FALSE)</f>
        <v>#N/A</v>
      </c>
      <c r="L1257" t="s">
        <v>6087</v>
      </c>
      <c r="M1257" t="str">
        <f>VLOOKUP(H1257,CHOOSE({1,2},Table17[Native],Table17[Name]),2,0)</f>
        <v>Jìyáng Qū</v>
      </c>
      <c r="N1257" s="15" t="str">
        <f>VLOOKUP(I1257,CHOOSE({1,2},Table17[Native],Table17[Name]),2,0)</f>
        <v>Jìnán Shì</v>
      </c>
      <c r="O1257" s="15" t="str">
        <f t="shared" si="38"/>
        <v>Taiping Jiedao (Jinan Shi) (Jìnán Shì)</v>
      </c>
      <c r="P1257" s="15" t="str">
        <f t="shared" si="39"/>
        <v>Taiping Jiedao (Jinan Shi) (Jìnán Shì)</v>
      </c>
    </row>
    <row r="1258" spans="1:16" hidden="1" x14ac:dyDescent="0.25">
      <c r="A1258" t="s">
        <v>1128</v>
      </c>
      <c r="B1258" t="str">
        <f>IF(COUNTIF(A:A,A1258)&gt;1,_xlfn.CONCAT(A1258," (",N1258,")"),A1258)</f>
        <v>Tàipíng Jiēdào (Línyí Shì)</v>
      </c>
      <c r="C1258" t="str">
        <f>IF(COUNTIF(B:B,B1258)&gt;1,_xlfn.CONCAT(A1258," (",M1258,")"),B1258)</f>
        <v>Tàipíng Jiēdào (Línyí Shì)</v>
      </c>
      <c r="D1258" t="s">
        <v>1129</v>
      </c>
      <c r="E1258" t="s">
        <v>7</v>
      </c>
      <c r="F1258" t="str">
        <f>_xlfn.CONCAT(D1258,", ",H1258,", ",I1258,", ","山东省")</f>
        <v>太平街道, 河东区, 临沂市, 山东省</v>
      </c>
      <c r="G1258">
        <v>46585</v>
      </c>
      <c r="H1258" t="s">
        <v>3712</v>
      </c>
      <c r="I1258" t="s">
        <v>3710</v>
      </c>
      <c r="J1258">
        <f>VLOOKUP(F1258,[1]!china_towns_second__2[[Column1]:[Y]],3,FALSE)</f>
        <v>35.176151691619197</v>
      </c>
      <c r="K1258">
        <f>VLOOKUP(F1258,[1]!china_towns_second__2[[Column1]:[Y]],2,FALSE)</f>
        <v>118.4658347</v>
      </c>
      <c r="L1258" t="s">
        <v>6088</v>
      </c>
      <c r="M1258" t="str">
        <f>VLOOKUP(H1258,CHOOSE({1,2},Table17[Native],Table17[Name]),2,0)</f>
        <v>Hédōng Qū</v>
      </c>
      <c r="N1258" s="15" t="str">
        <f>VLOOKUP(I1258,CHOOSE({1,2},Table17[Native],Table17[Name]),2,0)</f>
        <v>Línyí Shì</v>
      </c>
      <c r="O1258" s="15" t="str">
        <f t="shared" si="38"/>
        <v>Taiping Jiedao (Linyi Shi) (Línyí Shì)</v>
      </c>
      <c r="P1258" s="15" t="str">
        <f t="shared" si="39"/>
        <v>Taiping Jiedao (Linyi Shi) (Línyí Shì)</v>
      </c>
    </row>
    <row r="1259" spans="1:16" hidden="1" x14ac:dyDescent="0.25">
      <c r="A1259" t="s">
        <v>810</v>
      </c>
      <c r="B1259" t="str">
        <f>IF(COUNTIF(A:A,A1259)&gt;1,_xlfn.CONCAT(A1259," (",N1259,")"),A1259)</f>
        <v>Tàipíng Zhèn (Hézé Shì)</v>
      </c>
      <c r="C1259" t="str">
        <f>IF(COUNTIF(B:B,B1259)&gt;1,_xlfn.CONCAT(A1259," (",M1259,")"),B1259)</f>
        <v>Tàipíng Zhèn (Hézé Shì)</v>
      </c>
      <c r="D1259" t="s">
        <v>811</v>
      </c>
      <c r="E1259" t="s">
        <v>13</v>
      </c>
      <c r="F1259" t="str">
        <f>_xlfn.CONCAT(D1259,", ",H1259,", ",I1259,", ","山东省")</f>
        <v>太平镇, 巨野县, 菏泽市, 山东省</v>
      </c>
      <c r="G1259">
        <v>42452</v>
      </c>
      <c r="H1259" t="s">
        <v>3668</v>
      </c>
      <c r="I1259" t="s">
        <v>3662</v>
      </c>
      <c r="J1259">
        <f>VLOOKUP(F1259,[1]!china_towns_second__2[[Column1]:[Y]],3,FALSE)</f>
        <v>35.3436693041768</v>
      </c>
      <c r="K1259">
        <f>VLOOKUP(F1259,[1]!china_towns_second__2[[Column1]:[Y]],2,FALSE)</f>
        <v>115.8513525</v>
      </c>
      <c r="L1259" t="s">
        <v>6089</v>
      </c>
      <c r="M1259" t="str">
        <f>VLOOKUP(H1259,CHOOSE({1,2},Table17[Native],Table17[Name]),2,0)</f>
        <v>Jùyĕ Xiàn</v>
      </c>
      <c r="N1259" s="15" t="str">
        <f>VLOOKUP(I1259,CHOOSE({1,2},Table17[Native],Table17[Name]),2,0)</f>
        <v>Hézé Shì</v>
      </c>
      <c r="O1259" s="15" t="str">
        <f t="shared" si="38"/>
        <v>Taiping Zhen (Heze Shi) (Hézé Shì)</v>
      </c>
      <c r="P1259" s="15" t="str">
        <f t="shared" si="39"/>
        <v>Taiping Zhen (Heze Shi) (Hézé Shì)</v>
      </c>
    </row>
    <row r="1260" spans="1:16" hidden="1" x14ac:dyDescent="0.25">
      <c r="A1260" t="s">
        <v>810</v>
      </c>
      <c r="B1260" t="str">
        <f>IF(COUNTIF(A:A,A1260)&gt;1,_xlfn.CONCAT(A1260," (",N1260,")"),A1260)</f>
        <v>Tàipíng Zhèn (Jìníng Shì)</v>
      </c>
      <c r="C1260" t="str">
        <f>IF(COUNTIF(B:B,B1260)&gt;1,_xlfn.CONCAT(A1260," (",M1260,")"),B1260)</f>
        <v>Tàipíng Zhèn (Jìníng Shì)</v>
      </c>
      <c r="D1260" t="s">
        <v>811</v>
      </c>
      <c r="E1260" t="s">
        <v>13</v>
      </c>
      <c r="F1260" t="str">
        <f>_xlfn.CONCAT(D1260,", ",H1260,", ",I1260,", ","山东省")</f>
        <v>太平镇, 邹城市, 济宁市, 山东省</v>
      </c>
      <c r="G1260">
        <v>110992</v>
      </c>
      <c r="H1260" t="s">
        <v>3698</v>
      </c>
      <c r="I1260" t="s">
        <v>3687</v>
      </c>
      <c r="J1260">
        <f>VLOOKUP(F1260,[1]!china_towns_second__2[[Column1]:[Y]],3,FALSE)</f>
        <v>35.350785420399497</v>
      </c>
      <c r="K1260">
        <f>VLOOKUP(F1260,[1]!china_towns_second__2[[Column1]:[Y]],2,FALSE)</f>
        <v>116.8077083</v>
      </c>
      <c r="L1260" t="s">
        <v>6090</v>
      </c>
      <c r="M1260" t="str">
        <f>VLOOKUP(H1260,CHOOSE({1,2},Table17[Native],Table17[Name]),2,0)</f>
        <v>Zōuchéng Shì</v>
      </c>
      <c r="N1260" s="15" t="str">
        <f>VLOOKUP(I1260,CHOOSE({1,2},Table17[Native],Table17[Name]),2,0)</f>
        <v>Jìníng Shì</v>
      </c>
      <c r="O1260" s="15" t="str">
        <f t="shared" si="38"/>
        <v>Taiping Zhen (Jining Shi) (Jìníng Shì)</v>
      </c>
      <c r="P1260" s="15" t="str">
        <f t="shared" si="39"/>
        <v>Taiping Zhen (Jining Shi) (Jìníng Shì)</v>
      </c>
    </row>
    <row r="1261" spans="1:16" hidden="1" x14ac:dyDescent="0.25">
      <c r="A1261" t="s">
        <v>2617</v>
      </c>
      <c r="B1261" t="str">
        <f>IF(COUNTIF(A:A,A1261)&gt;1,_xlfn.CONCAT(A1261," (",N1261,")"),A1261)</f>
        <v>Tàiqián Jiēdào</v>
      </c>
      <c r="C1261" t="str">
        <f>IF(COUNTIF(B:B,B1261)&gt;1,_xlfn.CONCAT(A1261," (",M1261,")"),B1261)</f>
        <v>Tàiqián Jiēdào</v>
      </c>
      <c r="D1261" t="s">
        <v>2618</v>
      </c>
      <c r="E1261" t="s">
        <v>7</v>
      </c>
      <c r="F1261" t="str">
        <f>_xlfn.CONCAT(D1261,", ",H1261,", ",I1261,", ","山东省")</f>
        <v>泰前街道, 泰山区, 泰安市, 山东省</v>
      </c>
      <c r="G1261">
        <v>161678</v>
      </c>
      <c r="H1261" t="s">
        <v>3748</v>
      </c>
      <c r="I1261" t="s">
        <v>3743</v>
      </c>
      <c r="J1261">
        <f>VLOOKUP(F1261,[1]!china_towns_second__2[[Column1]:[Y]],3,FALSE)</f>
        <v>36.244349899102303</v>
      </c>
      <c r="K1261">
        <f>VLOOKUP(F1261,[1]!china_towns_second__2[[Column1]:[Y]],2,FALSE)</f>
        <v>117.11776020000001</v>
      </c>
      <c r="L1261" t="s">
        <v>6091</v>
      </c>
      <c r="M1261" t="str">
        <f>VLOOKUP(H1261,CHOOSE({1,2},Table17[Native],Table17[Name]),2,0)</f>
        <v>Tàishān Qū</v>
      </c>
      <c r="N1261" s="15" t="str">
        <f>VLOOKUP(I1261,CHOOSE({1,2},Table17[Native],Table17[Name]),2,0)</f>
        <v>Tài'ān Shì</v>
      </c>
      <c r="O1261" s="15" t="str">
        <f t="shared" si="38"/>
        <v>Taiqian Jiedao (Tài'ān Shì)</v>
      </c>
      <c r="P1261" s="15" t="str">
        <f t="shared" si="39"/>
        <v>Taiqian Jiedao (Tài'ān Shì)</v>
      </c>
    </row>
    <row r="1262" spans="1:16" hidden="1" x14ac:dyDescent="0.25">
      <c r="A1262" t="s">
        <v>2829</v>
      </c>
      <c r="B1262" t="str">
        <f>IF(COUNTIF(A:A,A1262)&gt;1,_xlfn.CONCAT(A1262," (",N1262,")"),A1262)</f>
        <v>Táitóu Zhèn</v>
      </c>
      <c r="C1262" t="str">
        <f>IF(COUNTIF(B:B,B1262)&gt;1,_xlfn.CONCAT(A1262," (",M1262,")"),B1262)</f>
        <v>Táitóu Zhèn</v>
      </c>
      <c r="D1262" t="s">
        <v>2830</v>
      </c>
      <c r="E1262" t="s">
        <v>13</v>
      </c>
      <c r="F1262" t="str">
        <f>_xlfn.CONCAT(D1262,", ",H1262,", ",I1262,", ","山东省")</f>
        <v>台头镇, 寿光市, 潍坊市, 山东省</v>
      </c>
      <c r="G1262">
        <v>60354</v>
      </c>
      <c r="H1262" t="s">
        <v>3761</v>
      </c>
      <c r="I1262" t="s">
        <v>3751</v>
      </c>
      <c r="J1262">
        <f>VLOOKUP(F1262,[1]!china_towns_second__2[[Column1]:[Y]],3,FALSE)</f>
        <v>37.024463875389301</v>
      </c>
      <c r="K1262">
        <f>VLOOKUP(F1262,[1]!china_towns_second__2[[Column1]:[Y]],2,FALSE)</f>
        <v>118.63235109999999</v>
      </c>
      <c r="L1262" t="s">
        <v>6092</v>
      </c>
      <c r="M1262" t="str">
        <f>VLOOKUP(H1262,CHOOSE({1,2},Table17[Native],Table17[Name]),2,0)</f>
        <v>Shòuguāng Shì</v>
      </c>
      <c r="N1262" s="15" t="str">
        <f>VLOOKUP(I1262,CHOOSE({1,2},Table17[Native],Table17[Name]),2,0)</f>
        <v>Wéifāng Shì</v>
      </c>
      <c r="O1262" s="15" t="str">
        <f t="shared" si="38"/>
        <v>Taitou Zhen (Wéifāng Shì)</v>
      </c>
      <c r="P1262" s="15" t="str">
        <f t="shared" si="39"/>
        <v>Taitou Zhen (Wéifāng Shì)</v>
      </c>
    </row>
    <row r="1263" spans="1:16" hidden="1" x14ac:dyDescent="0.25">
      <c r="A1263" t="s">
        <v>377</v>
      </c>
      <c r="B1263" t="str">
        <f>IF(COUNTIF(A:A,A1263)&gt;1,_xlfn.CONCAT(A1263," (",N1263,")"),A1263)</f>
        <v>Táitóusì Zhèn</v>
      </c>
      <c r="C1263" t="str">
        <f>IF(COUNTIF(B:B,B1263)&gt;1,_xlfn.CONCAT(A1263," (",M1263,")"),B1263)</f>
        <v>Táitóusì Zhèn</v>
      </c>
      <c r="D1263" t="s">
        <v>378</v>
      </c>
      <c r="E1263" t="s">
        <v>13</v>
      </c>
      <c r="F1263" t="str">
        <f>_xlfn.CONCAT(D1263,", ",H1263,", ",I1263,", ","山东省")</f>
        <v>抬头寺镇, 德城区, 德州市, 山东省</v>
      </c>
      <c r="G1263">
        <v>24387</v>
      </c>
      <c r="H1263" t="s">
        <v>3643</v>
      </c>
      <c r="I1263" t="s">
        <v>3642</v>
      </c>
      <c r="J1263">
        <f>VLOOKUP(F1263,[1]!china_towns_second__2[[Column1]:[Y]],3,FALSE)</f>
        <v>37.372371596816201</v>
      </c>
      <c r="K1263">
        <f>VLOOKUP(F1263,[1]!china_towns_second__2[[Column1]:[Y]],2,FALSE)</f>
        <v>116.3947335</v>
      </c>
      <c r="L1263" t="s">
        <v>6093</v>
      </c>
      <c r="M1263" t="str">
        <f>VLOOKUP(H1263,CHOOSE({1,2},Table17[Native],Table17[Name]),2,0)</f>
        <v>Déchéng Qū</v>
      </c>
      <c r="N1263" s="15" t="str">
        <f>VLOOKUP(I1263,CHOOSE({1,2},Table17[Native],Table17[Name]),2,0)</f>
        <v>Dézhōu Shì</v>
      </c>
      <c r="O1263" s="15" t="str">
        <f t="shared" si="38"/>
        <v>Taitousi Zhen (Dézhōu Shì)</v>
      </c>
      <c r="P1263" s="15" t="str">
        <f t="shared" si="39"/>
        <v>Taitousi Zhen (Dézhōu Shì)</v>
      </c>
    </row>
    <row r="1264" spans="1:16" hidden="1" x14ac:dyDescent="0.25">
      <c r="A1264" t="s">
        <v>2304</v>
      </c>
      <c r="B1264" t="str">
        <f>IF(COUNTIF(A:A,A1264)&gt;1,_xlfn.CONCAT(A1264," (",N1264,")"),A1264)</f>
        <v>Táixī Jiēdào</v>
      </c>
      <c r="C1264" t="str">
        <f>IF(COUNTIF(B:B,B1264)&gt;1,_xlfn.CONCAT(A1264," (",M1264,")"),B1264)</f>
        <v>Táixī Jiēdào</v>
      </c>
      <c r="D1264" t="s">
        <v>2305</v>
      </c>
      <c r="E1264" t="s">
        <v>7</v>
      </c>
      <c r="F1264" t="str">
        <f>_xlfn.CONCAT(D1264,", ",H1264,", ",I1264,", ","山东省")</f>
        <v>台西街道, 市南区, 青岛市, 山东省</v>
      </c>
      <c r="G1264">
        <v>52010</v>
      </c>
      <c r="H1264" t="s">
        <v>3734</v>
      </c>
      <c r="I1264" t="s">
        <v>3724</v>
      </c>
      <c r="J1264" t="e">
        <f>VLOOKUP(F1264,[1]!china_towns_second__2[[Column1]:[Y]],3,FALSE)</f>
        <v>#N/A</v>
      </c>
      <c r="K1264" t="e">
        <f>VLOOKUP(F1264,[1]!china_towns_second__2[[Column1]:[Y]],2,FALSE)</f>
        <v>#N/A</v>
      </c>
      <c r="L1264" t="s">
        <v>6094</v>
      </c>
      <c r="M1264" t="str">
        <f>VLOOKUP(H1264,CHOOSE({1,2},Table17[Native],Table17[Name]),2,0)</f>
        <v>Shìnán Qū</v>
      </c>
      <c r="N1264" s="15" t="str">
        <f>VLOOKUP(I1264,CHOOSE({1,2},Table17[Native],Table17[Name]),2,0)</f>
        <v>Qīngdăo Shì</v>
      </c>
      <c r="O1264" s="15" t="str">
        <f t="shared" si="38"/>
        <v>Taixi Jiedao (Qīngdăo Shì)</v>
      </c>
      <c r="P1264" s="15" t="str">
        <f t="shared" si="39"/>
        <v>Taixi Jiedao (Qīngdăo Shì)</v>
      </c>
    </row>
    <row r="1265" spans="1:16" hidden="1" x14ac:dyDescent="0.25">
      <c r="A1265" t="s">
        <v>159</v>
      </c>
      <c r="B1265" t="str">
        <f>IF(COUNTIF(A:A,A1265)&gt;1,_xlfn.CONCAT(A1265," (",N1265,")"),A1265)</f>
        <v>Táizi Zhèn</v>
      </c>
      <c r="C1265" t="str">
        <f>IF(COUNTIF(B:B,B1265)&gt;1,_xlfn.CONCAT(A1265," (",M1265,")"),B1265)</f>
        <v>Táizi Zhèn</v>
      </c>
      <c r="D1265" t="s">
        <v>160</v>
      </c>
      <c r="E1265" t="s">
        <v>13</v>
      </c>
      <c r="F1265" t="str">
        <f>_xlfn.CONCAT(D1265,", ",H1265,", ",I1265,", ","山东省")</f>
        <v>台子镇, 邹平市, 滨州市, 山东省</v>
      </c>
      <c r="G1265">
        <v>30010</v>
      </c>
      <c r="H1265" t="s">
        <v>3640</v>
      </c>
      <c r="I1265" t="s">
        <v>3630</v>
      </c>
      <c r="J1265">
        <f>VLOOKUP(F1265,[1]!china_towns_second__2[[Column1]:[Y]],3,FALSE)</f>
        <v>37.092310612090799</v>
      </c>
      <c r="K1265">
        <f>VLOOKUP(F1265,[1]!china_towns_second__2[[Column1]:[Y]],2,FALSE)</f>
        <v>117.5078247</v>
      </c>
      <c r="L1265" t="s">
        <v>6095</v>
      </c>
      <c r="M1265" t="str">
        <f>VLOOKUP(H1265,CHOOSE({1,2},Table17[Native],Table17[Name]),2,0)</f>
        <v>Zōupíng Shì</v>
      </c>
      <c r="N1265" s="15" t="str">
        <f>VLOOKUP(I1265,CHOOSE({1,2},Table17[Native],Table17[Name]),2,0)</f>
        <v>Bīnzhōu Shì</v>
      </c>
      <c r="O1265" s="15" t="str">
        <f t="shared" si="38"/>
        <v>Taizi Zhen (Bīnzhōu Shì)</v>
      </c>
      <c r="P1265" s="15" t="str">
        <f t="shared" si="39"/>
        <v>Taizi Zhen (Bīnzhōu Shì)</v>
      </c>
    </row>
    <row r="1266" spans="1:16" hidden="1" x14ac:dyDescent="0.25">
      <c r="A1266" t="s">
        <v>2010</v>
      </c>
      <c r="B1266" t="str">
        <f>IF(COUNTIF(A:A,A1266)&gt;1,_xlfn.CONCAT(A1266," (",N1266,")"),A1266)</f>
        <v>Tănbù Zhèn</v>
      </c>
      <c r="C1266" t="str">
        <f>IF(COUNTIF(B:B,B1266)&gt;1,_xlfn.CONCAT(A1266," (",M1266,")"),B1266)</f>
        <v>Tănbù Zhèn</v>
      </c>
      <c r="D1266" t="s">
        <v>2011</v>
      </c>
      <c r="E1266" t="s">
        <v>13</v>
      </c>
      <c r="F1266" t="str">
        <f>_xlfn.CONCAT(D1266,", ",H1266,", ",I1266,", ","山东省")</f>
        <v>坦埠镇, 蒙阴县, 临沂市, 山东省</v>
      </c>
      <c r="G1266">
        <v>24853</v>
      </c>
      <c r="H1266" t="s">
        <v>3718</v>
      </c>
      <c r="I1266" t="s">
        <v>3710</v>
      </c>
      <c r="J1266">
        <f>VLOOKUP(F1266,[1]!china_towns_second__2[[Column1]:[Y]],3,FALSE)</f>
        <v>35.807952282651001</v>
      </c>
      <c r="K1266">
        <f>VLOOKUP(F1266,[1]!china_towns_second__2[[Column1]:[Y]],2,FALSE)</f>
        <v>118.1744231</v>
      </c>
      <c r="L1266" t="s">
        <v>6096</v>
      </c>
      <c r="M1266" t="str">
        <f>VLOOKUP(H1266,CHOOSE({1,2},Table17[Native],Table17[Name]),2,0)</f>
        <v>Mĕngyīn Xiàn</v>
      </c>
      <c r="N1266" s="15" t="str">
        <f>VLOOKUP(I1266,CHOOSE({1,2},Table17[Native],Table17[Name]),2,0)</f>
        <v>Línyí Shì</v>
      </c>
      <c r="O1266" s="15" t="str">
        <f t="shared" si="38"/>
        <v>Tanbu Zhen (Línyí Shì)</v>
      </c>
      <c r="P1266" s="15" t="str">
        <f t="shared" si="39"/>
        <v>Tanbu Zhen (Línyí Shì)</v>
      </c>
    </row>
    <row r="1267" spans="1:16" hidden="1" x14ac:dyDescent="0.25">
      <c r="A1267" t="s">
        <v>2012</v>
      </c>
      <c r="B1267" t="str">
        <f>IF(COUNTIF(A:A,A1267)&gt;1,_xlfn.CONCAT(A1267," (",N1267,")"),A1267)</f>
        <v>Tánchéng Jiēdào</v>
      </c>
      <c r="C1267" t="str">
        <f>IF(COUNTIF(B:B,B1267)&gt;1,_xlfn.CONCAT(A1267," (",M1267,")"),B1267)</f>
        <v>Tánchéng Jiēdào</v>
      </c>
      <c r="D1267" t="s">
        <v>2013</v>
      </c>
      <c r="E1267" t="s">
        <v>7</v>
      </c>
      <c r="F1267" t="str">
        <f>_xlfn.CONCAT(D1267,", ",H1267,", ",I1267,", ","山东省")</f>
        <v>郯城街道, 郯城县, 临沂市, 山东省</v>
      </c>
      <c r="G1267">
        <v>197214</v>
      </c>
      <c r="H1267" t="s">
        <v>3720</v>
      </c>
      <c r="I1267" t="s">
        <v>3710</v>
      </c>
      <c r="J1267">
        <f>VLOOKUP(F1267,[1]!china_towns_second__2[[Column1]:[Y]],3,FALSE)</f>
        <v>34.652182890247801</v>
      </c>
      <c r="K1267">
        <f>VLOOKUP(F1267,[1]!china_towns_second__2[[Column1]:[Y]],2,FALSE)</f>
        <v>118.3652709</v>
      </c>
      <c r="L1267" t="s">
        <v>6097</v>
      </c>
      <c r="M1267" t="str">
        <f>VLOOKUP(H1267,CHOOSE({1,2},Table17[Native],Table17[Name]),2,0)</f>
        <v>Tánchéng Xiàn</v>
      </c>
      <c r="N1267" s="15" t="str">
        <f>VLOOKUP(I1267,CHOOSE({1,2},Table17[Native],Table17[Name]),2,0)</f>
        <v>Línyí Shì</v>
      </c>
      <c r="O1267" s="15" t="str">
        <f t="shared" si="38"/>
        <v>Tancheng Jiedao (Línyí Shì)</v>
      </c>
      <c r="P1267" s="15" t="str">
        <f t="shared" si="39"/>
        <v>Tancheng Jiedao (Línyí Shì)</v>
      </c>
    </row>
    <row r="1268" spans="1:16" hidden="1" x14ac:dyDescent="0.25">
      <c r="A1268" t="s">
        <v>2831</v>
      </c>
      <c r="B1268" t="str">
        <f>IF(COUNTIF(A:A,A1268)&gt;1,_xlfn.CONCAT(A1268," (",N1268,")"),A1268)</f>
        <v>Tánfāng Zhèn</v>
      </c>
      <c r="C1268" t="str">
        <f>IF(COUNTIF(B:B,B1268)&gt;1,_xlfn.CONCAT(A1268," (",M1268,")"),B1268)</f>
        <v>Tánfāng Zhèn</v>
      </c>
      <c r="D1268" t="s">
        <v>2832</v>
      </c>
      <c r="E1268" t="s">
        <v>13</v>
      </c>
      <c r="F1268" t="str">
        <f>_xlfn.CONCAT(D1268,", ",H1268,", ",I1268,", ","山东省")</f>
        <v>谭坊镇, 青州市, 潍坊市, 山东省</v>
      </c>
      <c r="G1268">
        <v>91460</v>
      </c>
      <c r="H1268" t="s">
        <v>3760</v>
      </c>
      <c r="I1268" t="s">
        <v>3751</v>
      </c>
      <c r="J1268">
        <f>VLOOKUP(F1268,[1]!china_towns_second__2[[Column1]:[Y]],3,FALSE)</f>
        <v>36.656435181223301</v>
      </c>
      <c r="K1268">
        <f>VLOOKUP(F1268,[1]!china_towns_second__2[[Column1]:[Y]],2,FALSE)</f>
        <v>118.70096119999999</v>
      </c>
      <c r="L1268" t="s">
        <v>6098</v>
      </c>
      <c r="M1268" t="str">
        <f>VLOOKUP(H1268,CHOOSE({1,2},Table17[Native],Table17[Name]),2,0)</f>
        <v>Qīngzhōu Shì</v>
      </c>
      <c r="N1268" s="15" t="str">
        <f>VLOOKUP(I1268,CHOOSE({1,2},Table17[Native],Table17[Name]),2,0)</f>
        <v>Wéifāng Shì</v>
      </c>
      <c r="O1268" s="15" t="str">
        <f t="shared" si="38"/>
        <v>Tanfang Zhen (Wéifāng Shì)</v>
      </c>
      <c r="P1268" s="15" t="str">
        <f t="shared" si="39"/>
        <v>Tanfang Zhen (Wéifāng Shì)</v>
      </c>
    </row>
    <row r="1269" spans="1:16" hidden="1" x14ac:dyDescent="0.25">
      <c r="A1269" t="s">
        <v>1424</v>
      </c>
      <c r="B1269" t="str">
        <f>IF(COUNTIF(A:A,A1269)&gt;1,_xlfn.CONCAT(A1269," (",N1269,")"),A1269)</f>
        <v>Tángcūn Zhèn</v>
      </c>
      <c r="C1269" t="str">
        <f>IF(COUNTIF(B:B,B1269)&gt;1,_xlfn.CONCAT(A1269," (",M1269,")"),B1269)</f>
        <v>Tángcūn Zhèn</v>
      </c>
      <c r="D1269" t="s">
        <v>1425</v>
      </c>
      <c r="E1269" t="s">
        <v>13</v>
      </c>
      <c r="F1269" t="str">
        <f>_xlfn.CONCAT(D1269,", ",H1269,", ",I1269,", ","山东省")</f>
        <v>唐村镇, 邹城市, 济宁市, 山东省</v>
      </c>
      <c r="G1269">
        <v>36446</v>
      </c>
      <c r="H1269" t="s">
        <v>3698</v>
      </c>
      <c r="I1269" t="s">
        <v>3687</v>
      </c>
      <c r="J1269">
        <f>VLOOKUP(F1269,[1]!china_towns_second__2[[Column1]:[Y]],3,FALSE)</f>
        <v>35.323782446787</v>
      </c>
      <c r="K1269">
        <f>VLOOKUP(F1269,[1]!china_towns_second__2[[Column1]:[Y]],2,FALSE)</f>
        <v>116.93788170000001</v>
      </c>
      <c r="L1269" t="s">
        <v>6099</v>
      </c>
      <c r="M1269" t="str">
        <f>VLOOKUP(H1269,CHOOSE({1,2},Table17[Native],Table17[Name]),2,0)</f>
        <v>Zōuchéng Shì</v>
      </c>
      <c r="N1269" s="15" t="str">
        <f>VLOOKUP(I1269,CHOOSE({1,2},Table17[Native],Table17[Name]),2,0)</f>
        <v>Jìníng Shì</v>
      </c>
      <c r="O1269" s="15" t="str">
        <f t="shared" si="38"/>
        <v>Tangcun Zhen (Jìníng Shì)</v>
      </c>
      <c r="P1269" s="15" t="str">
        <f t="shared" si="39"/>
        <v>Tangcun Zhen (Jìníng Shì)</v>
      </c>
    </row>
    <row r="1270" spans="1:16" hidden="1" x14ac:dyDescent="0.25">
      <c r="A1270" t="s">
        <v>3241</v>
      </c>
      <c r="B1270" t="str">
        <f>IF(COUNTIF(A:A,A1270)&gt;1,_xlfn.CONCAT(A1270," (",N1270,")"),A1270)</f>
        <v>Tángézhuāng Zhèn</v>
      </c>
      <c r="C1270" t="str">
        <f>IF(COUNTIF(B:B,B1270)&gt;1,_xlfn.CONCAT(A1270," (",M1270,")"),B1270)</f>
        <v>Tángézhuāng Zhèn</v>
      </c>
      <c r="D1270" t="s">
        <v>3242</v>
      </c>
      <c r="E1270" t="s">
        <v>13</v>
      </c>
      <c r="F1270" t="str">
        <f>_xlfn.CONCAT(D1270,", ",H1270,", ",I1270,", ","山东省")</f>
        <v>谭格庄镇, 莱阳市, 烟台市, 山东省</v>
      </c>
      <c r="G1270">
        <v>45807</v>
      </c>
      <c r="H1270" t="s">
        <v>3775</v>
      </c>
      <c r="I1270" t="s">
        <v>3771</v>
      </c>
      <c r="J1270">
        <f>VLOOKUP(F1270,[1]!china_towns_second__2[[Column1]:[Y]],3,FALSE)</f>
        <v>37.105103991363499</v>
      </c>
      <c r="K1270">
        <f>VLOOKUP(F1270,[1]!china_towns_second__2[[Column1]:[Y]],2,FALSE)</f>
        <v>120.6126304</v>
      </c>
      <c r="L1270" t="s">
        <v>6100</v>
      </c>
      <c r="M1270" t="str">
        <f>VLOOKUP(H1270,CHOOSE({1,2},Table17[Native],Table17[Name]),2,0)</f>
        <v>Láiyáng Shì</v>
      </c>
      <c r="N1270" s="15" t="str">
        <f>VLOOKUP(I1270,CHOOSE({1,2},Table17[Native],Table17[Name]),2,0)</f>
        <v>Yāntái Shì</v>
      </c>
      <c r="O1270" s="15" t="str">
        <f t="shared" si="38"/>
        <v>Tangezhuang Zhen (Yāntái Shì)</v>
      </c>
      <c r="P1270" s="15" t="str">
        <f t="shared" si="39"/>
        <v>Tangezhuang Zhen (Yāntái Shì)</v>
      </c>
    </row>
    <row r="1271" spans="1:16" hidden="1" x14ac:dyDescent="0.25">
      <c r="A1271" t="s">
        <v>3583</v>
      </c>
      <c r="B1271" t="str">
        <f>IF(COUNTIF(A:A,A1271)&gt;1,_xlfn.CONCAT(A1271," (",N1271,")"),A1271)</f>
        <v>Tángfāng Zhèn</v>
      </c>
      <c r="C1271" t="str">
        <f>IF(COUNTIF(B:B,B1271)&gt;1,_xlfn.CONCAT(A1271," (",M1271,")"),B1271)</f>
        <v>Tángfāng Zhèn</v>
      </c>
      <c r="D1271" t="s">
        <v>3584</v>
      </c>
      <c r="E1271" t="s">
        <v>13</v>
      </c>
      <c r="F1271" t="str">
        <f>_xlfn.CONCAT(D1271,", ",H1271,", ",I1271,", ","山东省")</f>
        <v>唐坊镇, 高青县, 淄博市, 山东省</v>
      </c>
      <c r="G1271">
        <v>29444</v>
      </c>
      <c r="H1271" t="s">
        <v>3793</v>
      </c>
      <c r="I1271" t="s">
        <v>3791</v>
      </c>
      <c r="J1271">
        <f>VLOOKUP(F1271,[1]!china_towns_second__2[[Column1]:[Y]],3,FALSE)</f>
        <v>37.178978339019302</v>
      </c>
      <c r="K1271">
        <f>VLOOKUP(F1271,[1]!china_towns_second__2[[Column1]:[Y]],2,FALSE)</f>
        <v>117.98112209999999</v>
      </c>
      <c r="L1271" t="s">
        <v>6101</v>
      </c>
      <c r="M1271" t="str">
        <f>VLOOKUP(H1271,CHOOSE({1,2},Table17[Native],Table17[Name]),2,0)</f>
        <v>Gāoqīng Xiàn</v>
      </c>
      <c r="N1271" s="15" t="str">
        <f>VLOOKUP(I1271,CHOOSE({1,2},Table17[Native],Table17[Name]),2,0)</f>
        <v>Zībó Shì</v>
      </c>
      <c r="O1271" s="15" t="str">
        <f t="shared" si="38"/>
        <v>Tangfang Zhen (Zībó Shì)</v>
      </c>
      <c r="P1271" s="15" t="str">
        <f t="shared" si="39"/>
        <v>Tangfang Zhen (Zībó Shì)</v>
      </c>
    </row>
    <row r="1272" spans="1:16" hidden="1" x14ac:dyDescent="0.25">
      <c r="A1272" t="s">
        <v>2014</v>
      </c>
      <c r="B1272" t="str">
        <f>IF(COUNTIF(A:A,A1272)&gt;1,_xlfn.CONCAT(A1272," (",N1272,")"),A1272)</f>
        <v>Tānghé Zhèn</v>
      </c>
      <c r="C1272" t="str">
        <f>IF(COUNTIF(B:B,B1272)&gt;1,_xlfn.CONCAT(A1272," (",M1272,")"),B1272)</f>
        <v>Tānghé Zhèn</v>
      </c>
      <c r="D1272" t="s">
        <v>2015</v>
      </c>
      <c r="E1272" t="s">
        <v>13</v>
      </c>
      <c r="F1272" t="str">
        <f>_xlfn.CONCAT(D1272,", ",H1272,", ",I1272,", ","山东省")</f>
        <v>汤河镇, 河东区, 临沂市, 山东省</v>
      </c>
      <c r="G1272">
        <v>50180</v>
      </c>
      <c r="H1272" t="s">
        <v>3712</v>
      </c>
      <c r="I1272" t="s">
        <v>3710</v>
      </c>
      <c r="J1272">
        <f>VLOOKUP(F1272,[1]!china_towns_second__2[[Column1]:[Y]],3,FALSE)</f>
        <v>35.087888771554802</v>
      </c>
      <c r="K1272">
        <f>VLOOKUP(F1272,[1]!china_towns_second__2[[Column1]:[Y]],2,FALSE)</f>
        <v>118.560692</v>
      </c>
      <c r="L1272" t="s">
        <v>6102</v>
      </c>
      <c r="M1272" t="str">
        <f>VLOOKUP(H1272,CHOOSE({1,2},Table17[Native],Table17[Name]),2,0)</f>
        <v>Hédōng Qū</v>
      </c>
      <c r="N1272" s="15" t="str">
        <f>VLOOKUP(I1272,CHOOSE({1,2},Table17[Native],Table17[Name]),2,0)</f>
        <v>Línyí Shì</v>
      </c>
      <c r="O1272" s="15" t="str">
        <f t="shared" si="38"/>
        <v>Tanghe Zhen (Línyí Shì)</v>
      </c>
      <c r="P1272" s="15" t="str">
        <f t="shared" si="39"/>
        <v>Tanghe Zhen (Línyí Shì)</v>
      </c>
    </row>
    <row r="1273" spans="1:16" hidden="1" x14ac:dyDescent="0.25">
      <c r="A1273" t="s">
        <v>3243</v>
      </c>
      <c r="B1273" t="str">
        <f>IF(COUNTIF(A:A,A1273)&gt;1,_xlfn.CONCAT(A1273," (",N1273,")"),A1273)</f>
        <v>Tángjiābó Zhèn</v>
      </c>
      <c r="C1273" t="str">
        <f>IF(COUNTIF(B:B,B1273)&gt;1,_xlfn.CONCAT(A1273," (",M1273,")"),B1273)</f>
        <v>Tángjiābó Zhèn</v>
      </c>
      <c r="D1273" t="s">
        <v>3244</v>
      </c>
      <c r="E1273" t="s">
        <v>13</v>
      </c>
      <c r="F1273" t="str">
        <f>_xlfn.CONCAT(D1273,", ",H1273,", ",I1273,", ","山东省")</f>
        <v>唐家泊镇, 栖霞市, 烟台市, 山东省</v>
      </c>
      <c r="G1273">
        <v>25001</v>
      </c>
      <c r="H1273" t="s">
        <v>3780</v>
      </c>
      <c r="I1273" t="s">
        <v>3771</v>
      </c>
      <c r="J1273">
        <f>VLOOKUP(F1273,[1]!china_towns_second__2[[Column1]:[Y]],3,FALSE)</f>
        <v>37.215838736625997</v>
      </c>
      <c r="K1273">
        <f>VLOOKUP(F1273,[1]!china_towns_second__2[[Column1]:[Y]],2,FALSE)</f>
        <v>121.0115632</v>
      </c>
      <c r="L1273" t="s">
        <v>6103</v>
      </c>
      <c r="M1273" t="str">
        <f>VLOOKUP(H1273,CHOOSE({1,2},Table17[Native],Table17[Name]),2,0)</f>
        <v>Qīxiá Shì</v>
      </c>
      <c r="N1273" s="15" t="str">
        <f>VLOOKUP(I1273,CHOOSE({1,2},Table17[Native],Table17[Name]),2,0)</f>
        <v>Yāntái Shì</v>
      </c>
      <c r="O1273" s="15" t="str">
        <f t="shared" si="38"/>
        <v>Tangjiabo Zhen (Yāntái Shì)</v>
      </c>
      <c r="P1273" s="15" t="str">
        <f t="shared" si="39"/>
        <v>Tangjiabo Zhen (Yāntái Shì)</v>
      </c>
    </row>
    <row r="1274" spans="1:16" hidden="1" x14ac:dyDescent="0.25">
      <c r="A1274" t="s">
        <v>1426</v>
      </c>
      <c r="B1274" t="str">
        <f>IF(COUNTIF(A:A,A1274)&gt;1,_xlfn.CONCAT(A1274," (",N1274,")"),A1274)</f>
        <v>Tángkŏu Jiēdào</v>
      </c>
      <c r="C1274" t="str">
        <f>IF(COUNTIF(B:B,B1274)&gt;1,_xlfn.CONCAT(A1274," (",M1274,")"),B1274)</f>
        <v>Tángkŏu Jiēdào</v>
      </c>
      <c r="D1274" t="s">
        <v>1427</v>
      </c>
      <c r="E1274" t="s">
        <v>7</v>
      </c>
      <c r="F1274" t="str">
        <f>_xlfn.CONCAT(D1274,", ",H1274,", ",I1274,", ","山东省")</f>
        <v>唐口街道, 任城区, 济宁市, 山东省</v>
      </c>
      <c r="G1274">
        <v>83191</v>
      </c>
      <c r="H1274" t="s">
        <v>3692</v>
      </c>
      <c r="I1274" t="s">
        <v>3687</v>
      </c>
      <c r="J1274">
        <f>VLOOKUP(F1274,[1]!china_towns_second__2[[Column1]:[Y]],3,FALSE)</f>
        <v>35.307770356895404</v>
      </c>
      <c r="K1274">
        <f>VLOOKUP(F1274,[1]!china_towns_second__2[[Column1]:[Y]],2,FALSE)</f>
        <v>116.5038132</v>
      </c>
      <c r="L1274" t="s">
        <v>6104</v>
      </c>
      <c r="M1274" t="str">
        <f>VLOOKUP(H1274,CHOOSE({1,2},Table17[Native],Table17[Name]),2,0)</f>
        <v>Rènchéng Qū</v>
      </c>
      <c r="N1274" s="15" t="str">
        <f>VLOOKUP(I1274,CHOOSE({1,2},Table17[Native],Table17[Name]),2,0)</f>
        <v>Jìníng Shì</v>
      </c>
      <c r="O1274" s="15" t="str">
        <f t="shared" si="38"/>
        <v>Tangkou Jiedao (Jìníng Shì)</v>
      </c>
      <c r="P1274" s="15" t="str">
        <f t="shared" si="39"/>
        <v>Tangkou Jiedao (Jìníng Shì)</v>
      </c>
    </row>
    <row r="1275" spans="1:16" hidden="1" x14ac:dyDescent="0.25">
      <c r="A1275" t="s">
        <v>1428</v>
      </c>
      <c r="B1275" t="str">
        <f>IF(COUNTIF(A:A,A1275)&gt;1,_xlfn.CONCAT(A1275," (",N1275,")"),A1275)</f>
        <v>Tángmă Zhèn</v>
      </c>
      <c r="C1275" t="str">
        <f>IF(COUNTIF(B:B,B1275)&gt;1,_xlfn.CONCAT(A1275," (",M1275,")"),B1275)</f>
        <v>Tángmă Zhèn</v>
      </c>
      <c r="D1275" t="s">
        <v>1429</v>
      </c>
      <c r="E1275" t="s">
        <v>13</v>
      </c>
      <c r="F1275" t="str">
        <f>_xlfn.CONCAT(D1275,", ",H1275,", ",I1275,", ","山东省")</f>
        <v>唐马镇, 鱼台县, 济宁市, 山东省</v>
      </c>
      <c r="G1275">
        <v>30004</v>
      </c>
      <c r="H1275" t="s">
        <v>3697</v>
      </c>
      <c r="I1275" t="s">
        <v>3687</v>
      </c>
      <c r="J1275">
        <f>VLOOKUP(F1275,[1]!china_towns_second__2[[Column1]:[Y]],3,FALSE)</f>
        <v>34.957616306153803</v>
      </c>
      <c r="K1275">
        <f>VLOOKUP(F1275,[1]!china_towns_second__2[[Column1]:[Y]],2,FALSE)</f>
        <v>116.6543958</v>
      </c>
      <c r="L1275" t="s">
        <v>6105</v>
      </c>
      <c r="M1275" t="str">
        <f>VLOOKUP(H1275,CHOOSE({1,2},Table17[Native],Table17[Name]),2,0)</f>
        <v>Yútái Xiàn</v>
      </c>
      <c r="N1275" s="15" t="str">
        <f>VLOOKUP(I1275,CHOOSE({1,2},Table17[Native],Table17[Name]),2,0)</f>
        <v>Jìníng Shì</v>
      </c>
      <c r="O1275" s="15" t="str">
        <f t="shared" si="38"/>
        <v>Tangma Zhen (Jìníng Shì)</v>
      </c>
      <c r="P1275" s="15" t="str">
        <f t="shared" si="39"/>
        <v>Tangma Zhen (Jìníng Shì)</v>
      </c>
    </row>
    <row r="1276" spans="1:16" hidden="1" x14ac:dyDescent="0.25">
      <c r="A1276" t="s">
        <v>812</v>
      </c>
      <c r="B1276" t="str">
        <f>IF(COUNTIF(A:A,A1276)&gt;1,_xlfn.CONCAT(A1276," (",N1276,")"),A1276)</f>
        <v>Tángmiào Zhèn</v>
      </c>
      <c r="C1276" t="str">
        <f>IF(COUNTIF(B:B,B1276)&gt;1,_xlfn.CONCAT(A1276," (",M1276,")"),B1276)</f>
        <v>Tángmiào Zhèn</v>
      </c>
      <c r="D1276" t="s">
        <v>813</v>
      </c>
      <c r="E1276" t="s">
        <v>13</v>
      </c>
      <c r="F1276" t="str">
        <f>_xlfn.CONCAT(D1276,", ",H1276,", ",I1276,", ","山东省")</f>
        <v>唐庙镇, 郓城县, 菏泽市, 山东省</v>
      </c>
      <c r="G1276">
        <v>46963</v>
      </c>
      <c r="H1276" t="s">
        <v>3671</v>
      </c>
      <c r="I1276" t="s">
        <v>3662</v>
      </c>
      <c r="J1276">
        <f>VLOOKUP(F1276,[1]!china_towns_second__2[[Column1]:[Y]],3,FALSE)</f>
        <v>35.422259819558398</v>
      </c>
      <c r="K1276">
        <f>VLOOKUP(F1276,[1]!china_towns_second__2[[Column1]:[Y]],2,FALSE)</f>
        <v>115.83565230000001</v>
      </c>
      <c r="L1276" t="s">
        <v>6106</v>
      </c>
      <c r="M1276" t="str">
        <f>VLOOKUP(H1276,CHOOSE({1,2},Table17[Native],Table17[Name]),2,0)</f>
        <v>Yùnchéng Xiàn</v>
      </c>
      <c r="N1276" s="15" t="str">
        <f>VLOOKUP(I1276,CHOOSE({1,2},Table17[Native],Table17[Name]),2,0)</f>
        <v>Hézé Shì</v>
      </c>
      <c r="O1276" s="15" t="str">
        <f t="shared" si="38"/>
        <v>Tangmiao Zhen (Hézé Shì)</v>
      </c>
      <c r="P1276" s="15" t="str">
        <f t="shared" si="39"/>
        <v>Tangmiao Zhen (Hézé Shì)</v>
      </c>
    </row>
    <row r="1277" spans="1:16" hidden="1" x14ac:dyDescent="0.25">
      <c r="A1277" t="s">
        <v>3585</v>
      </c>
      <c r="B1277" t="str">
        <f>IF(COUNTIF(A:A,A1277)&gt;1,_xlfn.CONCAT(A1277," (",N1277,")"),A1277)</f>
        <v>Tángshān Zhèn [incl. Xíngjiā Zhèn]</v>
      </c>
      <c r="C1277" t="str">
        <f>IF(COUNTIF(B:B,B1277)&gt;1,_xlfn.CONCAT(A1277," (",M1277,")"),B1277)</f>
        <v>Tángshān Zhèn [incl. Xíngjiā Zhèn]</v>
      </c>
      <c r="D1277" t="s">
        <v>3586</v>
      </c>
      <c r="E1277" t="s">
        <v>13</v>
      </c>
      <c r="F1277" t="str">
        <f>_xlfn.CONCAT(D1277,", ",H1277,", ",I1277,", ","山东省")</f>
        <v>唐山镇, 桓台县, 淄博市, 山东省</v>
      </c>
      <c r="G1277">
        <v>55971</v>
      </c>
      <c r="H1277" t="s">
        <v>3794</v>
      </c>
      <c r="I1277" t="s">
        <v>3791</v>
      </c>
      <c r="J1277">
        <f>VLOOKUP(F1277,[1]!china_towns_second__2[[Column1]:[Y]],3,FALSE)</f>
        <v>36.978608145826001</v>
      </c>
      <c r="K1277">
        <f>VLOOKUP(F1277,[1]!china_towns_second__2[[Column1]:[Y]],2,FALSE)</f>
        <v>118.0480432</v>
      </c>
      <c r="L1277" t="s">
        <v>6107</v>
      </c>
      <c r="M1277" t="str">
        <f>VLOOKUP(H1277,CHOOSE({1,2},Table17[Native],Table17[Name]),2,0)</f>
        <v>Huántái Xiàn</v>
      </c>
      <c r="N1277" s="15" t="str">
        <f>VLOOKUP(I1277,CHOOSE({1,2},Table17[Native],Table17[Name]),2,0)</f>
        <v>Zībó Shì</v>
      </c>
      <c r="O1277" s="15" t="str">
        <f t="shared" si="38"/>
        <v>Tangshan Zhen [incl. Xingjia Zhen] (Zībó Shì)</v>
      </c>
      <c r="P1277" s="15" t="str">
        <f t="shared" si="39"/>
        <v>Tangshan Zhen [incl. Xingjia Zhen] (Zībó Shì)</v>
      </c>
    </row>
    <row r="1278" spans="1:16" hidden="1" x14ac:dyDescent="0.25">
      <c r="A1278" t="s">
        <v>814</v>
      </c>
      <c r="B1278" t="str">
        <f>IF(COUNTIF(A:A,A1278)&gt;1,_xlfn.CONCAT(A1278," (",N1278,")"),A1278)</f>
        <v>Tángtă Jiēdào</v>
      </c>
      <c r="C1278" t="str">
        <f>IF(COUNTIF(B:B,B1278)&gt;1,_xlfn.CONCAT(A1278," (",M1278,")"),B1278)</f>
        <v>Tángtă Jiēdào</v>
      </c>
      <c r="D1278" t="s">
        <v>815</v>
      </c>
      <c r="E1278" t="s">
        <v>7</v>
      </c>
      <c r="F1278" t="str">
        <f>_xlfn.CONCAT(D1278,", ",H1278,", ",I1278,", ","山东省")</f>
        <v>唐塔街道, 郓城县, 菏泽市, 山东省</v>
      </c>
      <c r="G1278">
        <v>53145</v>
      </c>
      <c r="H1278" t="s">
        <v>3671</v>
      </c>
      <c r="I1278" t="s">
        <v>3662</v>
      </c>
      <c r="J1278">
        <f>VLOOKUP(F1278,[1]!china_towns_second__2[[Column1]:[Y]],3,FALSE)</f>
        <v>35.625427531474003</v>
      </c>
      <c r="K1278">
        <f>VLOOKUP(F1278,[1]!china_towns_second__2[[Column1]:[Y]],2,FALSE)</f>
        <v>115.9158363</v>
      </c>
      <c r="L1278" t="s">
        <v>6108</v>
      </c>
      <c r="M1278" t="str">
        <f>VLOOKUP(H1278,CHOOSE({1,2},Table17[Native],Table17[Name]),2,0)</f>
        <v>Yùnchéng Xiàn</v>
      </c>
      <c r="N1278" s="15" t="str">
        <f>VLOOKUP(I1278,CHOOSE({1,2},Table17[Native],Table17[Name]),2,0)</f>
        <v>Hézé Shì</v>
      </c>
      <c r="O1278" s="15" t="str">
        <f t="shared" si="38"/>
        <v>Tangta Jiedao (Hézé Shì)</v>
      </c>
      <c r="P1278" s="15" t="str">
        <f t="shared" si="39"/>
        <v>Tangta Jiedao (Hézé Shì)</v>
      </c>
    </row>
    <row r="1279" spans="1:16" hidden="1" x14ac:dyDescent="0.25">
      <c r="A1279" t="s">
        <v>2016</v>
      </c>
      <c r="B1279" t="str">
        <f>IF(COUNTIF(A:A,A1279)&gt;1,_xlfn.CONCAT(A1279," (",N1279,")"),A1279)</f>
        <v>Tāngtóu Jiēdào [incl. Gĕgōu Zhèn]</v>
      </c>
      <c r="C1279" t="str">
        <f>IF(COUNTIF(B:B,B1279)&gt;1,_xlfn.CONCAT(A1279," (",M1279,")"),B1279)</f>
        <v>Tāngtóu Jiēdào [incl. Gĕgōu Zhèn]</v>
      </c>
      <c r="D1279" t="s">
        <v>2017</v>
      </c>
      <c r="E1279" t="s">
        <v>7</v>
      </c>
      <c r="F1279" t="str">
        <f>_xlfn.CONCAT(D1279,", ",H1279,", ",I1279,", ","山东省")</f>
        <v>汤头街道, 河东区, 临沂市, 山东省</v>
      </c>
      <c r="G1279">
        <v>88921</v>
      </c>
      <c r="H1279" t="s">
        <v>3712</v>
      </c>
      <c r="I1279" t="s">
        <v>3710</v>
      </c>
      <c r="J1279">
        <f>VLOOKUP(F1279,[1]!china_towns_second__2[[Column1]:[Y]],3,FALSE)</f>
        <v>35.311397361471499</v>
      </c>
      <c r="K1279">
        <f>VLOOKUP(F1279,[1]!china_towns_second__2[[Column1]:[Y]],2,FALSE)</f>
        <v>118.51578139999999</v>
      </c>
      <c r="L1279" t="s">
        <v>6109</v>
      </c>
      <c r="M1279" t="str">
        <f>VLOOKUP(H1279,CHOOSE({1,2},Table17[Native],Table17[Name]),2,0)</f>
        <v>Hédōng Qū</v>
      </c>
      <c r="N1279" s="15" t="str">
        <f>VLOOKUP(I1279,CHOOSE({1,2},Table17[Native],Table17[Name]),2,0)</f>
        <v>Línyí Shì</v>
      </c>
      <c r="O1279" s="15" t="str">
        <f t="shared" si="38"/>
        <v>Tangtou Jiedao [incl. Gegou Zhen] (Línyí Shì)</v>
      </c>
      <c r="P1279" s="15" t="str">
        <f t="shared" si="39"/>
        <v>Tangtou Jiedao [incl. Gegou Zhen] (Línyí Shì)</v>
      </c>
    </row>
    <row r="1280" spans="1:16" hidden="1" x14ac:dyDescent="0.25">
      <c r="A1280" t="s">
        <v>1130</v>
      </c>
      <c r="B1280" t="str">
        <f>IF(COUNTIF(A:A,A1280)&gt;1,_xlfn.CONCAT(A1280," (",N1280,")"),A1280)</f>
        <v>Tángwáng Jiēdào</v>
      </c>
      <c r="C1280" t="str">
        <f>IF(COUNTIF(B:B,B1280)&gt;1,_xlfn.CONCAT(A1280," (",M1280,")"),B1280)</f>
        <v>Tángwáng Jiēdào</v>
      </c>
      <c r="D1280" t="s">
        <v>1131</v>
      </c>
      <c r="E1280" t="s">
        <v>7</v>
      </c>
      <c r="F1280" t="str">
        <f>_xlfn.CONCAT(D1280,", ",H1280,", ",I1280,", ","山东省")</f>
        <v>唐王街道, 历城区, 济南市, 山东省</v>
      </c>
      <c r="G1280">
        <v>56270</v>
      </c>
      <c r="H1280" t="s">
        <v>3679</v>
      </c>
      <c r="I1280" t="s">
        <v>3673</v>
      </c>
      <c r="J1280" t="e">
        <f>VLOOKUP(F1280,[1]!china_towns_second__2[[Column1]:[Y]],3,FALSE)</f>
        <v>#N/A</v>
      </c>
      <c r="K1280" t="e">
        <f>VLOOKUP(F1280,[1]!china_towns_second__2[[Column1]:[Y]],2,FALSE)</f>
        <v>#N/A</v>
      </c>
      <c r="L1280" t="s">
        <v>6110</v>
      </c>
      <c r="M1280" t="str">
        <f>VLOOKUP(H1280,CHOOSE({1,2},Table17[Native],Table17[Name]),2,0)</f>
        <v>Lìchéng Qū</v>
      </c>
      <c r="N1280" s="15" t="str">
        <f>VLOOKUP(I1280,CHOOSE({1,2},Table17[Native],Table17[Name]),2,0)</f>
        <v>Jìnán Shì</v>
      </c>
      <c r="O1280" s="15" t="str">
        <f t="shared" si="38"/>
        <v>Tangwang Jiedao (Jìnán Shì)</v>
      </c>
      <c r="P1280" s="15" t="str">
        <f t="shared" si="39"/>
        <v>Tangwang Jiedao (Jìnán Shì)</v>
      </c>
    </row>
    <row r="1281" spans="1:16" hidden="1" x14ac:dyDescent="0.25">
      <c r="A1281" t="s">
        <v>2833</v>
      </c>
      <c r="B1281" t="str">
        <f>IF(COUNTIF(A:A,A1281)&gt;1,_xlfn.CONCAT(A1281," (",N1281,")"),A1281)</f>
        <v>Tángwú Zhèn</v>
      </c>
      <c r="C1281" t="str">
        <f>IF(COUNTIF(B:B,B1281)&gt;1,_xlfn.CONCAT(A1281," (",M1281,")"),B1281)</f>
        <v>Tángwú Zhèn</v>
      </c>
      <c r="D1281" t="s">
        <v>2834</v>
      </c>
      <c r="E1281" t="s">
        <v>13</v>
      </c>
      <c r="F1281" t="str">
        <f>_xlfn.CONCAT(D1281,", ",H1281,", ",I1281,", ","山东省")</f>
        <v>唐吾镇, 昌乐县, 潍坊市, 山东省</v>
      </c>
      <c r="G1281">
        <v>93260</v>
      </c>
      <c r="H1281" t="s">
        <v>3753</v>
      </c>
      <c r="I1281" t="s">
        <v>3751</v>
      </c>
      <c r="J1281">
        <f>VLOOKUP(F1281,[1]!china_towns_second__2[[Column1]:[Y]],3,FALSE)</f>
        <v>36.405809119292798</v>
      </c>
      <c r="K1281">
        <f>VLOOKUP(F1281,[1]!china_towns_second__2[[Column1]:[Y]],2,FALSE)</f>
        <v>118.82263519999999</v>
      </c>
      <c r="L1281" t="s">
        <v>6111</v>
      </c>
      <c r="M1281" t="str">
        <f>VLOOKUP(H1281,CHOOSE({1,2},Table17[Native],Table17[Name]),2,0)</f>
        <v>Chānglè Xiàn</v>
      </c>
      <c r="N1281" s="15" t="str">
        <f>VLOOKUP(I1281,CHOOSE({1,2},Table17[Native],Table17[Name]),2,0)</f>
        <v>Wéifāng Shì</v>
      </c>
      <c r="O1281" s="15" t="str">
        <f t="shared" si="38"/>
        <v>Tangwu Zhen (Wéifāng Shì)</v>
      </c>
      <c r="P1281" s="15" t="str">
        <f t="shared" si="39"/>
        <v>Tangwu Zhen (Wéifāng Shì)</v>
      </c>
    </row>
    <row r="1282" spans="1:16" hidden="1" x14ac:dyDescent="0.25">
      <c r="A1282" t="s">
        <v>1132</v>
      </c>
      <c r="B1282" t="str">
        <f>IF(COUNTIF(A:A,A1282)&gt;1,_xlfn.CONCAT(A1282," (",N1282,")"),A1282)</f>
        <v>Tángyĕ Jiēdào</v>
      </c>
      <c r="C1282" t="str">
        <f>IF(COUNTIF(B:B,B1282)&gt;1,_xlfn.CONCAT(A1282," (",M1282,")"),B1282)</f>
        <v>Tángyĕ Jiēdào</v>
      </c>
      <c r="D1282" t="s">
        <v>1133</v>
      </c>
      <c r="E1282" t="s">
        <v>7</v>
      </c>
      <c r="F1282" t="str">
        <f>_xlfn.CONCAT(D1282,", ",H1282,", ",I1282,", ","山东省")</f>
        <v>唐冶街道, 历城区, 济南市, 山东省</v>
      </c>
      <c r="G1282">
        <v>29089</v>
      </c>
      <c r="H1282" t="s">
        <v>3679</v>
      </c>
      <c r="I1282" t="s">
        <v>3673</v>
      </c>
      <c r="J1282">
        <f>VLOOKUP(F1282,[1]!china_towns_second__2[[Column1]:[Y]],3,FALSE)</f>
        <v>36.694206778983599</v>
      </c>
      <c r="K1282">
        <f>VLOOKUP(F1282,[1]!china_towns_second__2[[Column1]:[Y]],2,FALSE)</f>
        <v>117.2117621</v>
      </c>
      <c r="L1282" t="s">
        <v>6112</v>
      </c>
      <c r="M1282" t="str">
        <f>VLOOKUP(H1282,CHOOSE({1,2},Table17[Native],Table17[Name]),2,0)</f>
        <v>Lìchéng Qū</v>
      </c>
      <c r="N1282" s="15" t="str">
        <f>VLOOKUP(I1282,CHOOSE({1,2},Table17[Native],Table17[Name]),2,0)</f>
        <v>Jìnán Shì</v>
      </c>
      <c r="O1282" s="15" t="str">
        <f t="shared" ref="O1282:O1345" si="40">_xlfn.CONCAT(L1282," (",N1282,")")</f>
        <v>Tangye Jiedao (Jìnán Shì)</v>
      </c>
      <c r="P1282" s="15" t="str">
        <f t="shared" ref="P1282:P1345" si="41">IF(COUNTIF(O:O,O1282)&gt;1,_xlfn.CONCAT(L1282," (",M1282,")"),O1282)</f>
        <v>Tangye Jiedao (Jìnán Shì)</v>
      </c>
    </row>
    <row r="1283" spans="1:16" hidden="1" x14ac:dyDescent="0.25">
      <c r="A1283" t="s">
        <v>1702</v>
      </c>
      <c r="B1283" t="str">
        <f>IF(COUNTIF(A:A,A1283)&gt;1,_xlfn.CONCAT(A1283," (",N1283,")"),A1283)</f>
        <v>Tángyì Zhèn</v>
      </c>
      <c r="C1283" t="str">
        <f>IF(COUNTIF(B:B,B1283)&gt;1,_xlfn.CONCAT(A1283," (",M1283,")"),B1283)</f>
        <v>Tángyì Zhèn</v>
      </c>
      <c r="D1283" t="s">
        <v>1703</v>
      </c>
      <c r="E1283" t="s">
        <v>13</v>
      </c>
      <c r="F1283" t="str">
        <f>_xlfn.CONCAT(D1283,", ",H1283,", ",I1283,", ","山东省")</f>
        <v>堂邑镇, 东昌府区, 聊城市, 山东省</v>
      </c>
      <c r="G1283">
        <v>34146</v>
      </c>
      <c r="H1283" t="s">
        <v>3702</v>
      </c>
      <c r="I1283" t="s">
        <v>3700</v>
      </c>
      <c r="J1283">
        <f>VLOOKUP(F1283,[1]!china_towns_second__2[[Column1]:[Y]],3,FALSE)</f>
        <v>36.4941860326892</v>
      </c>
      <c r="K1283">
        <f>VLOOKUP(F1283,[1]!china_towns_second__2[[Column1]:[Y]],2,FALSE)</f>
        <v>115.78028810000001</v>
      </c>
      <c r="L1283" t="s">
        <v>6113</v>
      </c>
      <c r="M1283" t="str">
        <f>VLOOKUP(H1283,CHOOSE({1,2},Table17[Native],Table17[Name]),2,0)</f>
        <v>Dōngchāngfŭ Qū</v>
      </c>
      <c r="N1283" s="15" t="str">
        <f>VLOOKUP(I1283,CHOOSE({1,2},Table17[Native],Table17[Name]),2,0)</f>
        <v>Liáochéng Shì</v>
      </c>
      <c r="O1283" s="15" t="str">
        <f t="shared" si="40"/>
        <v>Tangyi Zhen (Liáochéng Shì)</v>
      </c>
      <c r="P1283" s="15" t="str">
        <f t="shared" si="41"/>
        <v>Tangyi Zhen (Liáochéng Shì)</v>
      </c>
    </row>
    <row r="1284" spans="1:16" hidden="1" x14ac:dyDescent="0.25">
      <c r="A1284" t="s">
        <v>1704</v>
      </c>
      <c r="B1284" t="str">
        <f>IF(COUNTIF(A:A,A1284)&gt;1,_xlfn.CONCAT(A1284," (",N1284,")"),A1284)</f>
        <v>Tángyuán Zhèn</v>
      </c>
      <c r="C1284" t="str">
        <f>IF(COUNTIF(B:B,B1284)&gt;1,_xlfn.CONCAT(A1284," (",M1284,")"),B1284)</f>
        <v>Tángyuán Zhèn</v>
      </c>
      <c r="D1284" t="s">
        <v>1705</v>
      </c>
      <c r="E1284" t="s">
        <v>13</v>
      </c>
      <c r="F1284" t="str">
        <f>_xlfn.CONCAT(D1284,", ",H1284,", ",I1284,", ","山东省")</f>
        <v>唐园镇, 临清市, 聊城市, 山东省</v>
      </c>
      <c r="G1284">
        <v>36431</v>
      </c>
      <c r="H1284" t="s">
        <v>3706</v>
      </c>
      <c r="I1284" t="s">
        <v>3700</v>
      </c>
      <c r="J1284">
        <f>VLOOKUP(F1284,[1]!china_towns_second__2[[Column1]:[Y]],3,FALSE)</f>
        <v>36.750638166328301</v>
      </c>
      <c r="K1284">
        <f>VLOOKUP(F1284,[1]!china_towns_second__2[[Column1]:[Y]],2,FALSE)</f>
        <v>115.57019200000001</v>
      </c>
      <c r="L1284" t="s">
        <v>6114</v>
      </c>
      <c r="M1284" t="str">
        <f>VLOOKUP(H1284,CHOOSE({1,2},Table17[Native],Table17[Name]),2,0)</f>
        <v>Línqīng Shì</v>
      </c>
      <c r="N1284" s="15" t="str">
        <f>VLOOKUP(I1284,CHOOSE({1,2},Table17[Native],Table17[Name]),2,0)</f>
        <v>Liáochéng Shì</v>
      </c>
      <c r="O1284" s="15" t="str">
        <f t="shared" si="40"/>
        <v>Tangyuan Zhen (Liáochéng Shì)</v>
      </c>
      <c r="P1284" s="15" t="str">
        <f t="shared" si="41"/>
        <v>Tangyuan Zhen (Liáochéng Shì)</v>
      </c>
    </row>
    <row r="1285" spans="1:16" hidden="1" x14ac:dyDescent="0.25">
      <c r="A1285" t="s">
        <v>3427</v>
      </c>
      <c r="B1285" t="str">
        <f>IF(COUNTIF(A:A,A1285)&gt;1,_xlfn.CONCAT(A1285," (",N1285,")"),A1285)</f>
        <v>Tánshān Jiēdào</v>
      </c>
      <c r="C1285" t="str">
        <f>IF(COUNTIF(B:B,B1285)&gt;1,_xlfn.CONCAT(A1285," (",M1285,")"),B1285)</f>
        <v>Tánshān Jiēdào</v>
      </c>
      <c r="D1285" t="s">
        <v>3428</v>
      </c>
      <c r="E1285" t="s">
        <v>7</v>
      </c>
      <c r="F1285" t="str">
        <f>_xlfn.CONCAT(D1285,", ",H1285,", ",I1285,", ","山东省")</f>
        <v>坛山街道, 峄城区, 枣庄市, 山东省</v>
      </c>
      <c r="G1285">
        <v>65521</v>
      </c>
      <c r="H1285" t="s">
        <v>3789</v>
      </c>
      <c r="I1285" t="s">
        <v>3784</v>
      </c>
      <c r="J1285">
        <f>VLOOKUP(F1285,[1]!china_towns_second__2[[Column1]:[Y]],3,FALSE)</f>
        <v>34.778994791622097</v>
      </c>
      <c r="K1285">
        <f>VLOOKUP(F1285,[1]!china_towns_second__2[[Column1]:[Y]],2,FALSE)</f>
        <v>117.5757806</v>
      </c>
      <c r="L1285" t="s">
        <v>6115</v>
      </c>
      <c r="M1285" t="str">
        <f>VLOOKUP(H1285,CHOOSE({1,2},Table17[Native],Table17[Name]),2,0)</f>
        <v>Yìchéng Qū</v>
      </c>
      <c r="N1285" s="15" t="str">
        <f>VLOOKUP(I1285,CHOOSE({1,2},Table17[Native],Table17[Name]),2,0)</f>
        <v>Zăozhuāng Shì</v>
      </c>
      <c r="O1285" s="15" t="str">
        <f t="shared" si="40"/>
        <v>Tanshan Jiedao (Zăozhuāng Shì)</v>
      </c>
      <c r="P1285" s="15" t="str">
        <f t="shared" si="41"/>
        <v>Tanshan Jiedao (Zăozhuāng Shì)</v>
      </c>
    </row>
    <row r="1286" spans="1:16" hidden="1" x14ac:dyDescent="0.25">
      <c r="A1286" t="s">
        <v>2018</v>
      </c>
      <c r="B1286" t="str">
        <f>IF(COUNTIF(A:A,A1286)&gt;1,_xlfn.CONCAT(A1286," (",N1286,")"),A1286)</f>
        <v>Tànyí Zhèn [incl. Liúzhuāng Zhèn]</v>
      </c>
      <c r="C1286" t="str">
        <f>IF(COUNTIF(B:B,B1286)&gt;1,_xlfn.CONCAT(A1286," (",M1286,")"),B1286)</f>
        <v>Tànyí Zhèn [incl. Liúzhuāng Zhèn]</v>
      </c>
      <c r="D1286" t="s">
        <v>2019</v>
      </c>
      <c r="E1286" t="s">
        <v>13</v>
      </c>
      <c r="F1286" t="str">
        <f>_xlfn.CONCAT(D1286,", ",H1286,", ",I1286,", ","山东省")</f>
        <v>探沂镇, 费县, 临沂市, 山东省</v>
      </c>
      <c r="G1286">
        <v>85663</v>
      </c>
      <c r="H1286" t="s">
        <v>3711</v>
      </c>
      <c r="I1286" t="s">
        <v>3710</v>
      </c>
      <c r="J1286">
        <f>VLOOKUP(F1286,[1]!china_towns_second__2[[Column1]:[Y]],3,FALSE)</f>
        <v>35.181729220096599</v>
      </c>
      <c r="K1286">
        <f>VLOOKUP(F1286,[1]!china_towns_second__2[[Column1]:[Y]],2,FALSE)</f>
        <v>118.07878289999999</v>
      </c>
      <c r="L1286" t="s">
        <v>6116</v>
      </c>
      <c r="M1286" t="str">
        <f>VLOOKUP(H1286,CHOOSE({1,2},Table17[Native],Table17[Name]),2,0)</f>
        <v>Fèi Xiàn</v>
      </c>
      <c r="N1286" s="15" t="str">
        <f>VLOOKUP(I1286,CHOOSE({1,2},Table17[Native],Table17[Name]),2,0)</f>
        <v>Línyí Shì</v>
      </c>
      <c r="O1286" s="15" t="str">
        <f t="shared" si="40"/>
        <v>Tanyi Zhen [incl. Liuzhuang Zhen] (Línyí Shì)</v>
      </c>
      <c r="P1286" s="15" t="str">
        <f t="shared" si="41"/>
        <v>Tanyi Zhen [incl. Liuzhuang Zhen] (Línyí Shì)</v>
      </c>
    </row>
    <row r="1287" spans="1:16" hidden="1" x14ac:dyDescent="0.25">
      <c r="A1287" t="s">
        <v>3245</v>
      </c>
      <c r="B1287" t="str">
        <f>IF(COUNTIF(A:A,A1287)&gt;1,_xlfn.CONCAT(A1287," (",N1287,")"),A1287)</f>
        <v>Táocūn Zhèn</v>
      </c>
      <c r="C1287" t="str">
        <f>IF(COUNTIF(B:B,B1287)&gt;1,_xlfn.CONCAT(A1287," (",M1287,")"),B1287)</f>
        <v>Táocūn Zhèn</v>
      </c>
      <c r="D1287" t="s">
        <v>3246</v>
      </c>
      <c r="E1287" t="s">
        <v>13</v>
      </c>
      <c r="F1287" t="str">
        <f>_xlfn.CONCAT(D1287,", ",H1287,", ",I1287,", ","山东省")</f>
        <v>桃村镇, 栖霞市, 烟台市, 山东省</v>
      </c>
      <c r="G1287">
        <v>79158</v>
      </c>
      <c r="H1287" t="s">
        <v>3780</v>
      </c>
      <c r="I1287" t="s">
        <v>3771</v>
      </c>
      <c r="J1287">
        <f>VLOOKUP(F1287,[1]!china_towns_second__2[[Column1]:[Y]],3,FALSE)</f>
        <v>37.254393072946002</v>
      </c>
      <c r="K1287">
        <f>VLOOKUP(F1287,[1]!china_towns_second__2[[Column1]:[Y]],2,FALSE)</f>
        <v>121.1490197</v>
      </c>
      <c r="L1287" t="s">
        <v>6117</v>
      </c>
      <c r="M1287" t="str">
        <f>VLOOKUP(H1287,CHOOSE({1,2},Table17[Native],Table17[Name]),2,0)</f>
        <v>Qīxiá Shì</v>
      </c>
      <c r="N1287" s="15" t="str">
        <f>VLOOKUP(I1287,CHOOSE({1,2},Table17[Native],Table17[Name]),2,0)</f>
        <v>Yāntái Shì</v>
      </c>
      <c r="O1287" s="15" t="str">
        <f t="shared" si="40"/>
        <v>Taocun Zhen (Yāntái Shì)</v>
      </c>
      <c r="P1287" s="15" t="str">
        <f t="shared" si="41"/>
        <v>Taocun Zhen (Yāntái Shì)</v>
      </c>
    </row>
    <row r="1288" spans="1:16" hidden="1" x14ac:dyDescent="0.25">
      <c r="A1288" t="s">
        <v>2835</v>
      </c>
      <c r="B1288" t="str">
        <f>IF(COUNTIF(A:A,A1288)&gt;1,_xlfn.CONCAT(A1288," (",N1288,")"),A1288)</f>
        <v>Táolín Zhèn</v>
      </c>
      <c r="C1288" t="str">
        <f>IF(COUNTIF(B:B,B1288)&gt;1,_xlfn.CONCAT(A1288," (",M1288,")"),B1288)</f>
        <v>Táolín Zhèn</v>
      </c>
      <c r="D1288" t="s">
        <v>2836</v>
      </c>
      <c r="E1288" t="s">
        <v>13</v>
      </c>
      <c r="F1288" t="str">
        <f>_xlfn.CONCAT(D1288,", ",H1288,", ",I1288,", ","山东省")</f>
        <v>桃林镇, 诸城市, 潍坊市, 山东省</v>
      </c>
      <c r="G1288">
        <v>31795</v>
      </c>
      <c r="H1288" t="s">
        <v>3763</v>
      </c>
      <c r="I1288" t="s">
        <v>3751</v>
      </c>
      <c r="J1288">
        <f>VLOOKUP(F1288,[1]!china_towns_second__2[[Column1]:[Y]],3,FALSE)</f>
        <v>35.7816235002919</v>
      </c>
      <c r="K1288">
        <f>VLOOKUP(F1288,[1]!china_towns_second__2[[Column1]:[Y]],2,FALSE)</f>
        <v>119.5494412</v>
      </c>
      <c r="L1288" t="s">
        <v>6118</v>
      </c>
      <c r="M1288" t="str">
        <f>VLOOKUP(H1288,CHOOSE({1,2},Table17[Native],Table17[Name]),2,0)</f>
        <v>Zhūchéng Shì</v>
      </c>
      <c r="N1288" s="15" t="str">
        <f>VLOOKUP(I1288,CHOOSE({1,2},Table17[Native],Table17[Name]),2,0)</f>
        <v>Wéifāng Shì</v>
      </c>
      <c r="O1288" s="15" t="str">
        <f t="shared" si="40"/>
        <v>Taolin Zhen (Wéifāng Shì)</v>
      </c>
      <c r="P1288" s="15" t="str">
        <f t="shared" si="41"/>
        <v>Taolin Zhen (Wéifāng Shì)</v>
      </c>
    </row>
    <row r="1289" spans="1:16" hidden="1" x14ac:dyDescent="0.25">
      <c r="A1289" t="s">
        <v>2474</v>
      </c>
      <c r="B1289" t="str">
        <f>IF(COUNTIF(A:A,A1289)&gt;1,_xlfn.CONCAT(A1289," (",N1289,")"),A1289)</f>
        <v>Tāoluò Zhèn</v>
      </c>
      <c r="C1289" t="str">
        <f>IF(COUNTIF(B:B,B1289)&gt;1,_xlfn.CONCAT(A1289," (",M1289,")"),B1289)</f>
        <v>Tāoluò Zhèn</v>
      </c>
      <c r="D1289" t="s">
        <v>2475</v>
      </c>
      <c r="E1289" t="s">
        <v>13</v>
      </c>
      <c r="F1289" t="str">
        <f>_xlfn.CONCAT(D1289,", ",H1289,", ",I1289,", ","山东省")</f>
        <v>涛雒镇, 东港区, 日照市, 山东省</v>
      </c>
      <c r="G1289">
        <v>61852</v>
      </c>
      <c r="H1289" t="s">
        <v>3737</v>
      </c>
      <c r="I1289" t="s">
        <v>3736</v>
      </c>
      <c r="J1289">
        <f>VLOOKUP(F1289,[1]!china_towns_second__2[[Column1]:[Y]],3,FALSE)</f>
        <v>35.265286833922303</v>
      </c>
      <c r="K1289">
        <f>VLOOKUP(F1289,[1]!china_towns_second__2[[Column1]:[Y]],2,FALSE)</f>
        <v>119.37129349999999</v>
      </c>
      <c r="L1289" t="s">
        <v>6119</v>
      </c>
      <c r="M1289" t="str">
        <f>VLOOKUP(H1289,CHOOSE({1,2},Table17[Native],Table17[Name]),2,0)</f>
        <v>Dōnggăng Qū</v>
      </c>
      <c r="N1289" s="15" t="str">
        <f>VLOOKUP(I1289,CHOOSE({1,2},Table17[Native],Table17[Name]),2,0)</f>
        <v>Rìzhào Shì</v>
      </c>
      <c r="O1289" s="15" t="str">
        <f t="shared" si="40"/>
        <v>Taoluo Zhen (Rìzhào Shì)</v>
      </c>
      <c r="P1289" s="15" t="str">
        <f t="shared" si="41"/>
        <v>Taoluo Zhen (Rìzhào Shì)</v>
      </c>
    </row>
    <row r="1290" spans="1:16" hidden="1" x14ac:dyDescent="0.25">
      <c r="A1290" t="s">
        <v>816</v>
      </c>
      <c r="B1290" t="str">
        <f>IF(COUNTIF(A:A,A1290)&gt;1,_xlfn.CONCAT(A1290," (",N1290,")"),A1290)</f>
        <v>Táomiào Zhèn</v>
      </c>
      <c r="C1290" t="str">
        <f>IF(COUNTIF(B:B,B1290)&gt;1,_xlfn.CONCAT(A1290," (",M1290,")"),B1290)</f>
        <v>Táomiào Zhèn</v>
      </c>
      <c r="D1290" t="s">
        <v>817</v>
      </c>
      <c r="E1290" t="s">
        <v>13</v>
      </c>
      <c r="F1290" t="str">
        <f>_xlfn.CONCAT(D1290,", ",H1290,", ",I1290,", ","山东省")</f>
        <v>陶庙镇, 巨野县, 菏泽市, 山东省</v>
      </c>
      <c r="G1290">
        <v>35539</v>
      </c>
      <c r="H1290" t="s">
        <v>3668</v>
      </c>
      <c r="I1290" t="s">
        <v>3662</v>
      </c>
      <c r="J1290">
        <f>VLOOKUP(F1290,[1]!china_towns_second__2[[Column1]:[Y]],3,FALSE)</f>
        <v>35.186642413174901</v>
      </c>
      <c r="K1290">
        <f>VLOOKUP(F1290,[1]!china_towns_second__2[[Column1]:[Y]],2,FALSE)</f>
        <v>116.18025830000001</v>
      </c>
      <c r="L1290" t="s">
        <v>6120</v>
      </c>
      <c r="M1290" t="str">
        <f>VLOOKUP(H1290,CHOOSE({1,2},Table17[Native],Table17[Name]),2,0)</f>
        <v>Jùyĕ Xiàn</v>
      </c>
      <c r="N1290" s="15" t="str">
        <f>VLOOKUP(I1290,CHOOSE({1,2},Table17[Native],Table17[Name]),2,0)</f>
        <v>Hézé Shì</v>
      </c>
      <c r="O1290" s="15" t="str">
        <f t="shared" si="40"/>
        <v>Taomiao Zhen (Hézé Shì)</v>
      </c>
      <c r="P1290" s="15" t="str">
        <f t="shared" si="41"/>
        <v>Taomiao Zhen (Hézé Shì)</v>
      </c>
    </row>
    <row r="1291" spans="1:16" hidden="1" x14ac:dyDescent="0.25">
      <c r="A1291" t="s">
        <v>2020</v>
      </c>
      <c r="B1291" t="str">
        <f>IF(COUNTIF(A:A,A1291)&gt;1,_xlfn.CONCAT(A1291," (",N1291,")"),A1291)</f>
        <v>Táoxū Zhèn</v>
      </c>
      <c r="C1291" t="str">
        <f>IF(COUNTIF(B:B,B1291)&gt;1,_xlfn.CONCAT(A1291," (",M1291,")"),B1291)</f>
        <v>Táoxū Zhèn</v>
      </c>
      <c r="D1291" t="s">
        <v>2021</v>
      </c>
      <c r="E1291" t="s">
        <v>13</v>
      </c>
      <c r="F1291" t="str">
        <f>_xlfn.CONCAT(D1291,", ",H1291,", ",I1291,", ","山东省")</f>
        <v>桃墟镇, 蒙阴县, 临沂市, 山东省</v>
      </c>
      <c r="G1291">
        <v>38446</v>
      </c>
      <c r="H1291" t="s">
        <v>3718</v>
      </c>
      <c r="I1291" t="s">
        <v>3710</v>
      </c>
      <c r="J1291">
        <f>VLOOKUP(F1291,[1]!china_towns_second__2[[Column1]:[Y]],3,FALSE)</f>
        <v>35.597326519500598</v>
      </c>
      <c r="K1291">
        <f>VLOOKUP(F1291,[1]!china_towns_second__2[[Column1]:[Y]],2,FALSE)</f>
        <v>117.9741416</v>
      </c>
      <c r="L1291" t="s">
        <v>6121</v>
      </c>
      <c r="M1291" t="str">
        <f>VLOOKUP(H1291,CHOOSE({1,2},Table17[Native],Table17[Name]),2,0)</f>
        <v>Mĕngyīn Xiàn</v>
      </c>
      <c r="N1291" s="15" t="str">
        <f>VLOOKUP(I1291,CHOOSE({1,2},Table17[Native],Table17[Name]),2,0)</f>
        <v>Línyí Shì</v>
      </c>
      <c r="O1291" s="15" t="str">
        <f t="shared" si="40"/>
        <v>Taoxu Zhen (Línyí Shì)</v>
      </c>
      <c r="P1291" s="15" t="str">
        <f t="shared" si="41"/>
        <v>Taoxu Zhen (Línyí Shì)</v>
      </c>
    </row>
    <row r="1292" spans="1:16" hidden="1" x14ac:dyDescent="0.25">
      <c r="A1292" t="s">
        <v>379</v>
      </c>
      <c r="B1292" t="str">
        <f>IF(COUNTIF(A:A,A1292)&gt;1,_xlfn.CONCAT(A1292," (",N1292,")"),A1292)</f>
        <v>Táoyuán Jiēdào (Dézhōu Shì)</v>
      </c>
      <c r="C1292" t="str">
        <f>IF(COUNTIF(B:B,B1292)&gt;1,_xlfn.CONCAT(A1292," (",M1292,")"),B1292)</f>
        <v>Táoyuán Jiēdào (Dézhōu Shì)</v>
      </c>
      <c r="D1292" t="s">
        <v>380</v>
      </c>
      <c r="E1292" t="s">
        <v>7</v>
      </c>
      <c r="F1292" t="str">
        <f>_xlfn.CONCAT(D1292,", ",H1292,", ",I1292,", ","山东省")</f>
        <v>桃园街道, 平原县, 德州市, 山东省</v>
      </c>
      <c r="G1292">
        <v>27872</v>
      </c>
      <c r="H1292" t="s">
        <v>3648</v>
      </c>
      <c r="I1292" t="s">
        <v>3642</v>
      </c>
      <c r="J1292">
        <f>VLOOKUP(F1292,[1]!china_towns_second__2[[Column1]:[Y]],3,FALSE)</f>
        <v>37.112523541257197</v>
      </c>
      <c r="K1292">
        <f>VLOOKUP(F1292,[1]!china_towns_second__2[[Column1]:[Y]],2,FALSE)</f>
        <v>116.4132436</v>
      </c>
      <c r="L1292" t="s">
        <v>6122</v>
      </c>
      <c r="M1292" t="str">
        <f>VLOOKUP(H1292,CHOOSE({1,2},Table17[Native],Table17[Name]),2,0)</f>
        <v>Píngyuán Xiàn</v>
      </c>
      <c r="N1292" s="15" t="str">
        <f>VLOOKUP(I1292,CHOOSE({1,2},Table17[Native],Table17[Name]),2,0)</f>
        <v>Dézhōu Shì</v>
      </c>
      <c r="O1292" s="15" t="str">
        <f t="shared" si="40"/>
        <v>Taoyuan Jiedao (Dezhou Shi) (Dézhōu Shì)</v>
      </c>
      <c r="P1292" s="15" t="str">
        <f t="shared" si="41"/>
        <v>Taoyuan Jiedao (Dezhou Shi) (Dézhōu Shì)</v>
      </c>
    </row>
    <row r="1293" spans="1:16" hidden="1" x14ac:dyDescent="0.25">
      <c r="A1293" t="s">
        <v>379</v>
      </c>
      <c r="B1293" t="str">
        <f>IF(COUNTIF(A:A,A1293)&gt;1,_xlfn.CONCAT(A1293," (",N1293,")"),A1293)</f>
        <v>Táoyuán Jiēdào (Wēihăi Shì)</v>
      </c>
      <c r="C1293" t="str">
        <f>IF(COUNTIF(B:B,B1293)&gt;1,_xlfn.CONCAT(A1293," (",M1293,")"),B1293)</f>
        <v>Táoyuán Jiēdào (Wēihăi Shì)</v>
      </c>
      <c r="D1293" t="s">
        <v>380</v>
      </c>
      <c r="E1293" t="s">
        <v>7</v>
      </c>
      <c r="F1293" t="str">
        <f>_xlfn.CONCAT(D1293,", ",H1293,", ",I1293,", ","山东省")</f>
        <v>桃园街道, 荣成市, 威海市, 山东省</v>
      </c>
      <c r="G1293">
        <v>13134</v>
      </c>
      <c r="H1293" t="s">
        <v>3767</v>
      </c>
      <c r="I1293" t="s">
        <v>3765</v>
      </c>
      <c r="J1293">
        <f>VLOOKUP(F1293,[1]!china_towns_second__2[[Column1]:[Y]],3,FALSE)</f>
        <v>36.931947482735097</v>
      </c>
      <c r="K1293">
        <f>VLOOKUP(F1293,[1]!china_towns_second__2[[Column1]:[Y]],2,FALSE)</f>
        <v>122.4552372</v>
      </c>
      <c r="L1293" t="s">
        <v>6123</v>
      </c>
      <c r="M1293" t="str">
        <f>VLOOKUP(H1293,CHOOSE({1,2},Table17[Native],Table17[Name]),2,0)</f>
        <v>Róngchéng Shì</v>
      </c>
      <c r="N1293" s="15" t="str">
        <f>VLOOKUP(I1293,CHOOSE({1,2},Table17[Native],Table17[Name]),2,0)</f>
        <v>Wēihăi Shì</v>
      </c>
      <c r="O1293" s="15" t="str">
        <f t="shared" si="40"/>
        <v>Taoyuan Jiedao (Weihai Shi) (Wēihăi Shì)</v>
      </c>
      <c r="P1293" s="15" t="str">
        <f t="shared" si="41"/>
        <v>Taoyuan Jiedao (Weihai Shi) (Wēihăi Shì)</v>
      </c>
    </row>
    <row r="1294" spans="1:16" hidden="1" x14ac:dyDescent="0.25">
      <c r="A1294" t="s">
        <v>2619</v>
      </c>
      <c r="B1294" t="str">
        <f>IF(COUNTIF(A:A,A1294)&gt;1,_xlfn.CONCAT(A1294," (",N1294,")"),A1294)</f>
        <v>Táoyuán Zhèn</v>
      </c>
      <c r="C1294" t="str">
        <f>IF(COUNTIF(B:B,B1294)&gt;1,_xlfn.CONCAT(A1294," (",M1294,")"),B1294)</f>
        <v>Táoyuán Zhèn</v>
      </c>
      <c r="D1294" t="s">
        <v>2620</v>
      </c>
      <c r="E1294" t="s">
        <v>13</v>
      </c>
      <c r="F1294" t="str">
        <f>_xlfn.CONCAT(D1294,", ",H1294,", ",I1294,", ","山东省")</f>
        <v>桃园镇, 肥城市, 泰安市, 山东省</v>
      </c>
      <c r="G1294">
        <v>50638</v>
      </c>
      <c r="H1294" t="s">
        <v>3746</v>
      </c>
      <c r="I1294" t="s">
        <v>3743</v>
      </c>
      <c r="J1294">
        <f>VLOOKUP(F1294,[1]!china_towns_second__2[[Column1]:[Y]],3,FALSE)</f>
        <v>36.131205309561601</v>
      </c>
      <c r="K1294">
        <f>VLOOKUP(F1294,[1]!china_towns_second__2[[Column1]:[Y]],2,FALSE)</f>
        <v>116.6460744</v>
      </c>
      <c r="L1294" t="s">
        <v>6124</v>
      </c>
      <c r="M1294" t="str">
        <f>VLOOKUP(H1294,CHOOSE({1,2},Table17[Native],Table17[Name]),2,0)</f>
        <v>Féichéng Shì</v>
      </c>
      <c r="N1294" s="15" t="str">
        <f>VLOOKUP(I1294,CHOOSE({1,2},Table17[Native],Table17[Name]),2,0)</f>
        <v>Tài'ān Shì</v>
      </c>
      <c r="O1294" s="15" t="str">
        <f t="shared" si="40"/>
        <v>Taoyuan Zhen (Tài'ān Shì)</v>
      </c>
      <c r="P1294" s="15" t="str">
        <f t="shared" si="41"/>
        <v>Taoyuan Zhen (Tài'ān Shì)</v>
      </c>
    </row>
    <row r="1295" spans="1:16" hidden="1" x14ac:dyDescent="0.25">
      <c r="A1295" t="s">
        <v>818</v>
      </c>
      <c r="B1295" t="str">
        <f>IF(COUNTIF(A:A,A1295)&gt;1,_xlfn.CONCAT(A1295," (",N1295,")"),A1295)</f>
        <v>Táoyuánjí Zhèn</v>
      </c>
      <c r="C1295" t="str">
        <f>IF(COUNTIF(B:B,B1295)&gt;1,_xlfn.CONCAT(A1295," (",M1295,")"),B1295)</f>
        <v>Táoyuánjí Zhèn</v>
      </c>
      <c r="D1295" t="s">
        <v>819</v>
      </c>
      <c r="E1295" t="s">
        <v>13</v>
      </c>
      <c r="F1295" t="str">
        <f>_xlfn.CONCAT(D1295,", ",H1295,", ",I1295,", ","山东省")</f>
        <v>桃源集镇, 曹县, 菏泽市, 山东省</v>
      </c>
      <c r="G1295">
        <v>68842</v>
      </c>
      <c r="H1295" t="s">
        <v>3663</v>
      </c>
      <c r="I1295" t="s">
        <v>3662</v>
      </c>
      <c r="J1295">
        <f>VLOOKUP(F1295,[1]!china_towns_second__2[[Column1]:[Y]],3,FALSE)</f>
        <v>34.981285179055398</v>
      </c>
      <c r="K1295">
        <f>VLOOKUP(F1295,[1]!china_towns_second__2[[Column1]:[Y]],2,FALSE)</f>
        <v>115.2412374</v>
      </c>
      <c r="L1295" t="s">
        <v>6125</v>
      </c>
      <c r="M1295" t="str">
        <f>VLOOKUP(H1295,CHOOSE({1,2},Table17[Native],Table17[Name]),2,0)</f>
        <v>Cáo Xiàn</v>
      </c>
      <c r="N1295" s="15" t="str">
        <f>VLOOKUP(I1295,CHOOSE({1,2},Table17[Native],Table17[Name]),2,0)</f>
        <v>Hézé Shì</v>
      </c>
      <c r="O1295" s="15" t="str">
        <f t="shared" si="40"/>
        <v>Taoyuanji Zhen (Hézé Shì)</v>
      </c>
      <c r="P1295" s="15" t="str">
        <f t="shared" si="41"/>
        <v>Taoyuanji Zhen (Hézé Shì)</v>
      </c>
    </row>
    <row r="1296" spans="1:16" hidden="1" x14ac:dyDescent="0.25">
      <c r="A1296" t="s">
        <v>3429</v>
      </c>
      <c r="B1296" t="str">
        <f>IF(COUNTIF(A:A,A1296)&gt;1,_xlfn.CONCAT(A1296," (",N1296,")"),A1296)</f>
        <v>Táozhuāng Zhèn</v>
      </c>
      <c r="C1296" t="str">
        <f>IF(COUNTIF(B:B,B1296)&gt;1,_xlfn.CONCAT(A1296," (",M1296,")"),B1296)</f>
        <v>Táozhuāng Zhèn</v>
      </c>
      <c r="D1296" t="s">
        <v>3430</v>
      </c>
      <c r="E1296" t="s">
        <v>13</v>
      </c>
      <c r="F1296" t="str">
        <f>_xlfn.CONCAT(D1296,", ",H1296,", ",I1296,", ","山东省")</f>
        <v>陶庄镇, 薛城区, 枣庄市, 山东省</v>
      </c>
      <c r="G1296">
        <v>68253</v>
      </c>
      <c r="H1296" t="s">
        <v>3788</v>
      </c>
      <c r="I1296" t="s">
        <v>3784</v>
      </c>
      <c r="J1296">
        <f>VLOOKUP(F1296,[1]!china_towns_second__2[[Column1]:[Y]],3,FALSE)</f>
        <v>34.860102057403601</v>
      </c>
      <c r="K1296">
        <f>VLOOKUP(F1296,[1]!china_towns_second__2[[Column1]:[Y]],2,FALSE)</f>
        <v>117.31068879999999</v>
      </c>
      <c r="L1296" t="s">
        <v>6126</v>
      </c>
      <c r="M1296" t="str">
        <f>VLOOKUP(H1296,CHOOSE({1,2},Table17[Native],Table17[Name]),2,0)</f>
        <v>Xuēchéng Qū</v>
      </c>
      <c r="N1296" s="15" t="str">
        <f>VLOOKUP(I1296,CHOOSE({1,2},Table17[Native],Table17[Name]),2,0)</f>
        <v>Zăozhuāng Shì</v>
      </c>
      <c r="O1296" s="15" t="str">
        <f t="shared" si="40"/>
        <v>Taozhuang Zhen (Zăozhuāng Shì)</v>
      </c>
      <c r="P1296" s="15" t="str">
        <f t="shared" si="41"/>
        <v>Taozhuang Zhen (Zăozhuāng Shì)</v>
      </c>
    </row>
    <row r="1297" spans="1:16" hidden="1" x14ac:dyDescent="0.25">
      <c r="A1297" t="s">
        <v>2980</v>
      </c>
      <c r="B1297" t="str">
        <f>IF(COUNTIF(A:A,A1297)&gt;1,_xlfn.CONCAT(A1297," (",N1297,")"),A1297)</f>
        <v>Téngjiā Zhèn</v>
      </c>
      <c r="C1297" t="str">
        <f>IF(COUNTIF(B:B,B1297)&gt;1,_xlfn.CONCAT(A1297," (",M1297,")"),B1297)</f>
        <v>Téngjiā Zhèn</v>
      </c>
      <c r="D1297" t="s">
        <v>2981</v>
      </c>
      <c r="E1297" t="s">
        <v>13</v>
      </c>
      <c r="F1297" t="str">
        <f>_xlfn.CONCAT(D1297,", ",H1297,", ",I1297,", ","山东省")</f>
        <v>滕家镇, 荣成市, 威海市, 山东省</v>
      </c>
      <c r="G1297">
        <v>27116</v>
      </c>
      <c r="H1297" t="s">
        <v>3767</v>
      </c>
      <c r="I1297" t="s">
        <v>3765</v>
      </c>
      <c r="J1297">
        <f>VLOOKUP(F1297,[1]!china_towns_second__2[[Column1]:[Y]],3,FALSE)</f>
        <v>37.061484310474299</v>
      </c>
      <c r="K1297">
        <f>VLOOKUP(F1297,[1]!china_towns_second__2[[Column1]:[Y]],2,FALSE)</f>
        <v>122.3476945</v>
      </c>
      <c r="L1297" t="s">
        <v>6127</v>
      </c>
      <c r="M1297" t="str">
        <f>VLOOKUP(H1297,CHOOSE({1,2},Table17[Native],Table17[Name]),2,0)</f>
        <v>Róngchéng Shì</v>
      </c>
      <c r="N1297" s="15" t="str">
        <f>VLOOKUP(I1297,CHOOSE({1,2},Table17[Native],Table17[Name]),2,0)</f>
        <v>Wēihăi Shì</v>
      </c>
      <c r="O1297" s="15" t="str">
        <f t="shared" si="40"/>
        <v>Tengjia Zhen (Wēihăi Shì)</v>
      </c>
      <c r="P1297" s="15" t="str">
        <f t="shared" si="41"/>
        <v>Tengjia Zhen (Wēihăi Shì)</v>
      </c>
    </row>
    <row r="1298" spans="1:16" hidden="1" x14ac:dyDescent="0.25">
      <c r="A1298" t="s">
        <v>2621</v>
      </c>
      <c r="B1298" t="str">
        <f>IF(COUNTIF(A:A,A1298)&gt;1,_xlfn.CONCAT(A1298," (",N1298,")"),A1298)</f>
        <v>Tiānbăo Zhèn</v>
      </c>
      <c r="C1298" t="str">
        <f>IF(COUNTIF(B:B,B1298)&gt;1,_xlfn.CONCAT(A1298," (",M1298,")"),B1298)</f>
        <v>Tiānbăo Zhèn</v>
      </c>
      <c r="D1298" t="s">
        <v>2622</v>
      </c>
      <c r="E1298" t="s">
        <v>13</v>
      </c>
      <c r="F1298" t="str">
        <f>_xlfn.CONCAT(D1298,", ",H1298,", ",I1298,", ","山东省")</f>
        <v>天宝镇, 新泰市, 泰安市, 山东省</v>
      </c>
      <c r="G1298">
        <v>71030</v>
      </c>
      <c r="H1298" t="s">
        <v>3749</v>
      </c>
      <c r="I1298" t="s">
        <v>3743</v>
      </c>
      <c r="J1298">
        <f>VLOOKUP(F1298,[1]!china_towns_second__2[[Column1]:[Y]],3,FALSE)</f>
        <v>35.979327676551598</v>
      </c>
      <c r="K1298">
        <f>VLOOKUP(F1298,[1]!china_towns_second__2[[Column1]:[Y]],2,FALSE)</f>
        <v>117.3846532</v>
      </c>
      <c r="L1298" t="s">
        <v>6128</v>
      </c>
      <c r="M1298" t="str">
        <f>VLOOKUP(H1298,CHOOSE({1,2},Table17[Native],Table17[Name]),2,0)</f>
        <v>Xīntài Shì</v>
      </c>
      <c r="N1298" s="15" t="str">
        <f>VLOOKUP(I1298,CHOOSE({1,2},Table17[Native],Table17[Name]),2,0)</f>
        <v>Tài'ān Shì</v>
      </c>
      <c r="O1298" s="15" t="str">
        <f t="shared" si="40"/>
        <v>Tianbao Zhen (Tài'ān Shì)</v>
      </c>
      <c r="P1298" s="15" t="str">
        <f t="shared" si="41"/>
        <v>Tianbao Zhen (Tài'ān Shì)</v>
      </c>
    </row>
    <row r="1299" spans="1:16" hidden="1" x14ac:dyDescent="0.25">
      <c r="A1299" t="s">
        <v>2982</v>
      </c>
      <c r="B1299" t="str">
        <f>IF(COUNTIF(A:A,A1299)&gt;1,_xlfn.CONCAT(A1299," (",N1299,")"),A1299)</f>
        <v>Tiānfúlù Jiēdào</v>
      </c>
      <c r="C1299" t="str">
        <f>IF(COUNTIF(B:B,B1299)&gt;1,_xlfn.CONCAT(A1299," (",M1299,")"),B1299)</f>
        <v>Tiānfúlù Jiēdào</v>
      </c>
      <c r="D1299" t="s">
        <v>2983</v>
      </c>
      <c r="E1299" t="s">
        <v>7</v>
      </c>
      <c r="F1299" t="str">
        <f>_xlfn.CONCAT(D1299,", ",H1299,", ",I1299,", ","山东省")</f>
        <v>天福路街道, 文登区, 威海市, 山东省</v>
      </c>
      <c r="G1299">
        <v>62408</v>
      </c>
      <c r="H1299" t="s">
        <v>3769</v>
      </c>
      <c r="I1299" t="s">
        <v>3765</v>
      </c>
      <c r="J1299">
        <f>VLOOKUP(F1299,[1]!china_towns_second__2[[Column1]:[Y]],3,FALSE)</f>
        <v>37.183298316413399</v>
      </c>
      <c r="K1299">
        <f>VLOOKUP(F1299,[1]!china_towns_second__2[[Column1]:[Y]],2,FALSE)</f>
        <v>122.0886355</v>
      </c>
      <c r="L1299" t="s">
        <v>6129</v>
      </c>
      <c r="M1299" t="str">
        <f>VLOOKUP(H1299,CHOOSE({1,2},Table17[Native],Table17[Name]),2,0)</f>
        <v>Wéndēng Qū</v>
      </c>
      <c r="N1299" s="15" t="str">
        <f>VLOOKUP(I1299,CHOOSE({1,2},Table17[Native],Table17[Name]),2,0)</f>
        <v>Wēihăi Shì</v>
      </c>
      <c r="O1299" s="15" t="str">
        <f t="shared" si="40"/>
        <v>Tianfulu Jiedao (Wēihăi Shì)</v>
      </c>
      <c r="P1299" s="15" t="str">
        <f t="shared" si="41"/>
        <v>Tianfulu Jiedao (Wēihăi Shì)</v>
      </c>
    </row>
    <row r="1300" spans="1:16" hidden="1" x14ac:dyDescent="0.25">
      <c r="A1300" t="s">
        <v>2984</v>
      </c>
      <c r="B1300" t="str">
        <f>IF(COUNTIF(A:A,A1300)&gt;1,_xlfn.CONCAT(A1300," (",N1300,")"),A1300)</f>
        <v>Tiánhé Jiēdào</v>
      </c>
      <c r="C1300" t="str">
        <f>IF(COUNTIF(B:B,B1300)&gt;1,_xlfn.CONCAT(A1300," (",M1300,")"),B1300)</f>
        <v>Tiánhé Jiēdào</v>
      </c>
      <c r="D1300" t="s">
        <v>2985</v>
      </c>
      <c r="E1300" t="s">
        <v>7</v>
      </c>
      <c r="F1300" t="str">
        <f>_xlfn.CONCAT(D1300,", ",H1300,", ",I1300,", ","山东省")</f>
        <v>田和街道, 环翠区, 威海市, 山东省</v>
      </c>
      <c r="G1300">
        <v>92597</v>
      </c>
      <c r="H1300" t="s">
        <v>3766</v>
      </c>
      <c r="I1300" t="s">
        <v>3765</v>
      </c>
      <c r="J1300">
        <f>VLOOKUP(F1300,[1]!china_towns_second__2[[Column1]:[Y]],3,FALSE)</f>
        <v>37.4943059832042</v>
      </c>
      <c r="K1300">
        <f>VLOOKUP(F1300,[1]!china_towns_second__2[[Column1]:[Y]],2,FALSE)</f>
        <v>122.07934880000001</v>
      </c>
      <c r="L1300" t="s">
        <v>6130</v>
      </c>
      <c r="M1300" t="str">
        <f>VLOOKUP(H1300,CHOOSE({1,2},Table17[Native],Table17[Name]),2,0)</f>
        <v>Huáncuì Qū</v>
      </c>
      <c r="N1300" s="15" t="str">
        <f>VLOOKUP(I1300,CHOOSE({1,2},Table17[Native],Table17[Name]),2,0)</f>
        <v>Wēihăi Shì</v>
      </c>
      <c r="O1300" s="15" t="str">
        <f t="shared" si="40"/>
        <v>Tianhe Jiedao (Wēihăi Shì)</v>
      </c>
      <c r="P1300" s="15" t="str">
        <f t="shared" si="41"/>
        <v>Tianhe Jiedao (Wēihăi Shì)</v>
      </c>
    </row>
    <row r="1301" spans="1:16" hidden="1" x14ac:dyDescent="0.25">
      <c r="A1301" t="s">
        <v>2306</v>
      </c>
      <c r="B1301" t="str">
        <f>IF(COUNTIF(A:A,A1301)&gt;1,_xlfn.CONCAT(A1301," (",N1301,")"),A1301)</f>
        <v>Tiánhéng Zhèn [incl. Wángcūn Zhèn, Fēngchéng Zhèn]</v>
      </c>
      <c r="C1301" t="str">
        <f>IF(COUNTIF(B:B,B1301)&gt;1,_xlfn.CONCAT(A1301," (",M1301,")"),B1301)</f>
        <v>Tiánhéng Zhèn [incl. Wángcūn Zhèn, Fēngchéng Zhèn]</v>
      </c>
      <c r="D1301" t="s">
        <v>2307</v>
      </c>
      <c r="E1301" t="s">
        <v>13</v>
      </c>
      <c r="F1301" t="str">
        <f>_xlfn.CONCAT(D1301,", ",H1301,", ",I1301,", ","山东省")</f>
        <v>田横镇, 即墨区, 青岛市, 山东省</v>
      </c>
      <c r="G1301">
        <v>124079</v>
      </c>
      <c r="H1301" t="s">
        <v>3728</v>
      </c>
      <c r="I1301" t="s">
        <v>3724</v>
      </c>
      <c r="J1301">
        <f>VLOOKUP(F1301,[1]!china_towns_second__2[[Column1]:[Y]],3,FALSE)</f>
        <v>36.504832372707497</v>
      </c>
      <c r="K1301">
        <f>VLOOKUP(F1301,[1]!china_towns_second__2[[Column1]:[Y]],2,FALSE)</f>
        <v>120.8655356</v>
      </c>
      <c r="L1301" t="s">
        <v>6131</v>
      </c>
      <c r="M1301" t="str">
        <f>VLOOKUP(H1301,CHOOSE({1,2},Table17[Native],Table17[Name]),2,0)</f>
        <v>Jímò Qū</v>
      </c>
      <c r="N1301" s="15" t="str">
        <f>VLOOKUP(I1301,CHOOSE({1,2},Table17[Native],Table17[Name]),2,0)</f>
        <v>Qīngdăo Shì</v>
      </c>
      <c r="O1301" s="15" t="str">
        <f t="shared" si="40"/>
        <v>Tianheng Zhen [incl. Wangcun Zhen, Fengcheng Zhen] (Qīngdăo Shì)</v>
      </c>
      <c r="P1301" s="15" t="str">
        <f t="shared" si="41"/>
        <v>Tianheng Zhen [incl. Wangcun Zhen, Fengcheng Zhen] (Qīngdăo Shì)</v>
      </c>
    </row>
    <row r="1302" spans="1:16" hidden="1" x14ac:dyDescent="0.25">
      <c r="A1302" t="s">
        <v>1430</v>
      </c>
      <c r="B1302" t="str">
        <f>IF(COUNTIF(A:A,A1302)&gt;1,_xlfn.CONCAT(A1302," (",N1302,")"),A1302)</f>
        <v>Tiánhuáng Zhèn</v>
      </c>
      <c r="C1302" t="str">
        <f>IF(COUNTIF(B:B,B1302)&gt;1,_xlfn.CONCAT(A1302," (",M1302,")"),B1302)</f>
        <v>Tiánhuáng Zhèn</v>
      </c>
      <c r="D1302" t="s">
        <v>1431</v>
      </c>
      <c r="E1302" t="s">
        <v>13</v>
      </c>
      <c r="F1302" t="str">
        <f>_xlfn.CONCAT(D1302,", ",H1302,", ",I1302,", ","山东省")</f>
        <v>田黄镇, 邹城市, 济宁市, 山东省</v>
      </c>
      <c r="G1302">
        <v>35677</v>
      </c>
      <c r="H1302" t="s">
        <v>3698</v>
      </c>
      <c r="I1302" t="s">
        <v>3687</v>
      </c>
      <c r="J1302">
        <f>VLOOKUP(F1302,[1]!china_towns_second__2[[Column1]:[Y]],3,FALSE)</f>
        <v>35.437808270433401</v>
      </c>
      <c r="K1302">
        <f>VLOOKUP(F1302,[1]!china_towns_second__2[[Column1]:[Y]],2,FALSE)</f>
        <v>117.273532</v>
      </c>
      <c r="L1302" t="s">
        <v>6132</v>
      </c>
      <c r="M1302" t="str">
        <f>VLOOKUP(H1302,CHOOSE({1,2},Table17[Native],Table17[Name]),2,0)</f>
        <v>Zōuchéng Shì</v>
      </c>
      <c r="N1302" s="15" t="str">
        <f>VLOOKUP(I1302,CHOOSE({1,2},Table17[Native],Table17[Name]),2,0)</f>
        <v>Jìníng Shì</v>
      </c>
      <c r="O1302" s="15" t="str">
        <f t="shared" si="40"/>
        <v>Tianhuang Zhen (Jìníng Shì)</v>
      </c>
      <c r="P1302" s="15" t="str">
        <f t="shared" si="41"/>
        <v>Tianhuang Zhen (Jìníng Shì)</v>
      </c>
    </row>
    <row r="1303" spans="1:16" hidden="1" x14ac:dyDescent="0.25">
      <c r="A1303" t="s">
        <v>2837</v>
      </c>
      <c r="B1303" t="str">
        <f>IF(COUNTIF(A:A,A1303)&gt;1,_xlfn.CONCAT(A1303," (",N1303,")"),A1303)</f>
        <v>Tiánliŭ Zhèn</v>
      </c>
      <c r="C1303" t="str">
        <f>IF(COUNTIF(B:B,B1303)&gt;1,_xlfn.CONCAT(A1303," (",M1303,")"),B1303)</f>
        <v>Tiánliŭ Zhèn</v>
      </c>
      <c r="D1303" t="s">
        <v>2838</v>
      </c>
      <c r="E1303" t="s">
        <v>13</v>
      </c>
      <c r="F1303" t="str">
        <f>_xlfn.CONCAT(D1303,", ",H1303,", ",I1303,", ","山东省")</f>
        <v>田柳镇, 寿光市, 潍坊市, 山东省</v>
      </c>
      <c r="G1303">
        <v>67165</v>
      </c>
      <c r="H1303" t="s">
        <v>3761</v>
      </c>
      <c r="I1303" t="s">
        <v>3751</v>
      </c>
      <c r="J1303">
        <f>VLOOKUP(F1303,[1]!china_towns_second__2[[Column1]:[Y]],3,FALSE)</f>
        <v>37.007770559902198</v>
      </c>
      <c r="K1303">
        <f>VLOOKUP(F1303,[1]!china_towns_second__2[[Column1]:[Y]],2,FALSE)</f>
        <v>118.7765842</v>
      </c>
      <c r="L1303" t="s">
        <v>6133</v>
      </c>
      <c r="M1303" t="str">
        <f>VLOOKUP(H1303,CHOOSE({1,2},Table17[Native],Table17[Name]),2,0)</f>
        <v>Shòuguāng Shì</v>
      </c>
      <c r="N1303" s="15" t="str">
        <f>VLOOKUP(I1303,CHOOSE({1,2},Table17[Native],Table17[Name]),2,0)</f>
        <v>Wéifāng Shì</v>
      </c>
      <c r="O1303" s="15" t="str">
        <f t="shared" si="40"/>
        <v>Tianliu Zhen (Wéifāng Shì)</v>
      </c>
      <c r="P1303" s="15" t="str">
        <f t="shared" si="41"/>
        <v>Tianliu Zhen (Wéifāng Shì)</v>
      </c>
    </row>
    <row r="1304" spans="1:16" hidden="1" x14ac:dyDescent="0.25">
      <c r="A1304" t="s">
        <v>2623</v>
      </c>
      <c r="B1304" t="str">
        <f>IF(COUNTIF(A:A,A1304)&gt;1,_xlfn.CONCAT(A1304," (",N1304,")"),A1304)</f>
        <v>Tiānpíng Jiēdào</v>
      </c>
      <c r="C1304" t="str">
        <f>IF(COUNTIF(B:B,B1304)&gt;1,_xlfn.CONCAT(A1304," (",M1304,")"),B1304)</f>
        <v>Tiānpíng Jiēdào</v>
      </c>
      <c r="D1304" t="s">
        <v>2624</v>
      </c>
      <c r="E1304" t="s">
        <v>7</v>
      </c>
      <c r="F1304" t="str">
        <f>_xlfn.CONCAT(D1304,", ",H1304,", ",I1304,", ","山东省")</f>
        <v>天平街道, 岱岳区, 泰安市, 山东省</v>
      </c>
      <c r="G1304">
        <v>35559</v>
      </c>
      <c r="H1304" t="s">
        <v>3744</v>
      </c>
      <c r="I1304" t="s">
        <v>3743</v>
      </c>
      <c r="J1304">
        <f>VLOOKUP(F1304,[1]!china_towns_second__2[[Column1]:[Y]],3,FALSE)</f>
        <v>36.177377615513798</v>
      </c>
      <c r="K1304">
        <f>VLOOKUP(F1304,[1]!china_towns_second__2[[Column1]:[Y]],2,FALSE)</f>
        <v>116.9938555</v>
      </c>
      <c r="L1304" t="s">
        <v>6134</v>
      </c>
      <c r="M1304" t="str">
        <f>VLOOKUP(H1304,CHOOSE({1,2},Table17[Native],Table17[Name]),2,0)</f>
        <v>Dàiyuè Qū</v>
      </c>
      <c r="N1304" s="15" t="str">
        <f>VLOOKUP(I1304,CHOOSE({1,2},Table17[Native],Table17[Name]),2,0)</f>
        <v>Tài'ān Shì</v>
      </c>
      <c r="O1304" s="15" t="str">
        <f t="shared" si="40"/>
        <v>Tianping Jiedao (Tài'ān Shì)</v>
      </c>
      <c r="P1304" s="15" t="str">
        <f t="shared" si="41"/>
        <v>Tianping Jiedao (Tài'ān Shì)</v>
      </c>
    </row>
    <row r="1305" spans="1:16" hidden="1" x14ac:dyDescent="0.25">
      <c r="A1305" t="s">
        <v>1134</v>
      </c>
      <c r="B1305" t="str">
        <f>IF(COUNTIF(A:A,A1305)&gt;1,_xlfn.CONCAT(A1305," (",N1305,")"),A1305)</f>
        <v>Tiānqiáo Dōngjiē Jiēdào</v>
      </c>
      <c r="C1305" t="str">
        <f>IF(COUNTIF(B:B,B1305)&gt;1,_xlfn.CONCAT(A1305," (",M1305,")"),B1305)</f>
        <v>Tiānqiáo Dōngjiē Jiēdào</v>
      </c>
      <c r="D1305" t="s">
        <v>1135</v>
      </c>
      <c r="E1305" t="s">
        <v>7</v>
      </c>
      <c r="F1305" t="str">
        <f>_xlfn.CONCAT(D1305,", ",H1305,", ",I1305,", ","山东省")</f>
        <v>天桥东街街道, 天桥区, 济南市, 山东省</v>
      </c>
      <c r="G1305">
        <v>10376</v>
      </c>
      <c r="H1305" t="s">
        <v>3684</v>
      </c>
      <c r="I1305" t="s">
        <v>3673</v>
      </c>
      <c r="J1305">
        <f>VLOOKUP(F1305,[1]!china_towns_second__2[[Column1]:[Y]],3,FALSE)</f>
        <v>36.677703291519798</v>
      </c>
      <c r="K1305">
        <f>VLOOKUP(F1305,[1]!china_towns_second__2[[Column1]:[Y]],2,FALSE)</f>
        <v>116.99361330000001</v>
      </c>
      <c r="L1305" t="s">
        <v>6135</v>
      </c>
      <c r="M1305" t="str">
        <f>VLOOKUP(H1305,CHOOSE({1,2},Table17[Native],Table17[Name]),2,0)</f>
        <v>Tiānqiáo Qū</v>
      </c>
      <c r="N1305" s="15" t="str">
        <f>VLOOKUP(I1305,CHOOSE({1,2},Table17[Native],Table17[Name]),2,0)</f>
        <v>Jìnán Shì</v>
      </c>
      <c r="O1305" s="15" t="str">
        <f t="shared" si="40"/>
        <v>Tianqiao Dongjie Jiedao (Jìnán Shì)</v>
      </c>
      <c r="P1305" s="15" t="str">
        <f t="shared" si="41"/>
        <v>Tianqiao Dongjie Jiedao (Jìnán Shì)</v>
      </c>
    </row>
    <row r="1306" spans="1:16" hidden="1" x14ac:dyDescent="0.25">
      <c r="A1306" t="s">
        <v>820</v>
      </c>
      <c r="B1306" t="str">
        <f>IF(COUNTIF(A:A,A1306)&gt;1,_xlfn.CONCAT(A1306," (",N1306,")"),A1306)</f>
        <v>Tiánqiáo Zhèn</v>
      </c>
      <c r="C1306" t="str">
        <f>IF(COUNTIF(B:B,B1306)&gt;1,_xlfn.CONCAT(A1306," (",M1306,")"),B1306)</f>
        <v>Tiánqiáo Zhèn</v>
      </c>
      <c r="D1306" t="s">
        <v>821</v>
      </c>
      <c r="E1306" t="s">
        <v>13</v>
      </c>
      <c r="F1306" t="str">
        <f>_xlfn.CONCAT(D1306,", ",H1306,", ",I1306,", ","山东省")</f>
        <v>田桥镇, 巨野县, 菏泽市, 山东省</v>
      </c>
      <c r="G1306">
        <v>36651</v>
      </c>
      <c r="H1306" t="s">
        <v>3668</v>
      </c>
      <c r="I1306" t="s">
        <v>3662</v>
      </c>
      <c r="J1306">
        <f>VLOOKUP(F1306,[1]!china_towns_second__2[[Column1]:[Y]],3,FALSE)</f>
        <v>35.340151035141297</v>
      </c>
      <c r="K1306">
        <f>VLOOKUP(F1306,[1]!china_towns_second__2[[Column1]:[Y]],2,FALSE)</f>
        <v>115.9684626</v>
      </c>
      <c r="L1306" t="s">
        <v>6136</v>
      </c>
      <c r="M1306" t="str">
        <f>VLOOKUP(H1306,CHOOSE({1,2},Table17[Native],Table17[Name]),2,0)</f>
        <v>Jùyĕ Xiàn</v>
      </c>
      <c r="N1306" s="15" t="str">
        <f>VLOOKUP(I1306,CHOOSE({1,2},Table17[Native],Table17[Name]),2,0)</f>
        <v>Hézé Shì</v>
      </c>
      <c r="O1306" s="15" t="str">
        <f t="shared" si="40"/>
        <v>Tianqiao Zhen (Hézé Shì)</v>
      </c>
      <c r="P1306" s="15" t="str">
        <f t="shared" si="41"/>
        <v>Tianqiao Zhen (Hézé Shì)</v>
      </c>
    </row>
    <row r="1307" spans="1:16" hidden="1" x14ac:dyDescent="0.25">
      <c r="A1307" t="s">
        <v>381</v>
      </c>
      <c r="B1307" t="str">
        <f>IF(COUNTIF(A:A,A1307)&gt;1,_xlfn.CONCAT(A1307," (",N1307,")"),A1307)</f>
        <v>Tiānqú Jiēdào</v>
      </c>
      <c r="C1307" t="str">
        <f>IF(COUNTIF(B:B,B1307)&gt;1,_xlfn.CONCAT(A1307," (",M1307,")"),B1307)</f>
        <v>Tiānqú Jiēdào</v>
      </c>
      <c r="D1307" t="s">
        <v>382</v>
      </c>
      <c r="E1307" t="s">
        <v>7</v>
      </c>
      <c r="F1307" t="str">
        <f>_xlfn.CONCAT(D1307,", ",H1307,", ",I1307,", ","山东省")</f>
        <v>天衢街道, 德城区, 德州市, 山东省</v>
      </c>
      <c r="G1307">
        <v>53577</v>
      </c>
      <c r="H1307" t="s">
        <v>3643</v>
      </c>
      <c r="I1307" t="s">
        <v>3642</v>
      </c>
      <c r="J1307">
        <f>VLOOKUP(F1307,[1]!china_towns_second__2[[Column1]:[Y]],3,FALSE)</f>
        <v>37.509363946274398</v>
      </c>
      <c r="K1307">
        <f>VLOOKUP(F1307,[1]!china_towns_second__2[[Column1]:[Y]],2,FALSE)</f>
        <v>116.33941950000001</v>
      </c>
      <c r="L1307" t="s">
        <v>6137</v>
      </c>
      <c r="M1307" t="str">
        <f>VLOOKUP(H1307,CHOOSE({1,2},Table17[Native],Table17[Name]),2,0)</f>
        <v>Déchéng Qū</v>
      </c>
      <c r="N1307" s="15" t="str">
        <f>VLOOKUP(I1307,CHOOSE({1,2},Table17[Native],Table17[Name]),2,0)</f>
        <v>Dézhōu Shì</v>
      </c>
      <c r="O1307" s="15" t="str">
        <f t="shared" si="40"/>
        <v>Tianqu Jiedao (Dézhōu Shì)</v>
      </c>
      <c r="P1307" s="15" t="str">
        <f t="shared" si="41"/>
        <v>Tianqu Jiedao (Dézhōu Shì)</v>
      </c>
    </row>
    <row r="1308" spans="1:16" hidden="1" x14ac:dyDescent="0.25">
      <c r="A1308" t="s">
        <v>3587</v>
      </c>
      <c r="B1308" t="str">
        <f>IF(COUNTIF(A:A,A1308)&gt;1,_xlfn.CONCAT(A1308," (",N1308,")"),A1308)</f>
        <v>Tiánzhèn Jiēdào</v>
      </c>
      <c r="C1308" t="str">
        <f>IF(COUNTIF(B:B,B1308)&gt;1,_xlfn.CONCAT(A1308," (",M1308,")"),B1308)</f>
        <v>Tiánzhèn Jiēdào</v>
      </c>
      <c r="D1308" t="s">
        <v>3588</v>
      </c>
      <c r="E1308" t="s">
        <v>7</v>
      </c>
      <c r="F1308" t="str">
        <f>_xlfn.CONCAT(D1308,", ",H1308,", ",I1308,", ","山东省")</f>
        <v>田镇街道, 高青县, 淄博市, 山东省</v>
      </c>
      <c r="G1308">
        <v>40749</v>
      </c>
      <c r="H1308" t="s">
        <v>3793</v>
      </c>
      <c r="I1308" t="s">
        <v>3791</v>
      </c>
      <c r="J1308">
        <f>VLOOKUP(F1308,[1]!china_towns_second__2[[Column1]:[Y]],3,FALSE)</f>
        <v>37.157959999495397</v>
      </c>
      <c r="K1308">
        <f>VLOOKUP(F1308,[1]!china_towns_second__2[[Column1]:[Y]],2,FALSE)</f>
        <v>117.8175358</v>
      </c>
      <c r="L1308" t="s">
        <v>6138</v>
      </c>
      <c r="M1308" t="str">
        <f>VLOOKUP(H1308,CHOOSE({1,2},Table17[Native],Table17[Name]),2,0)</f>
        <v>Gāoqīng Xiàn</v>
      </c>
      <c r="N1308" s="15" t="str">
        <f>VLOOKUP(I1308,CHOOSE({1,2},Table17[Native],Table17[Name]),2,0)</f>
        <v>Zībó Shì</v>
      </c>
      <c r="O1308" s="15" t="str">
        <f t="shared" si="40"/>
        <v>Tianzhen Jiedao (Zībó Shì)</v>
      </c>
      <c r="P1308" s="15" t="str">
        <f t="shared" si="41"/>
        <v>Tianzhen Jiedao (Zībó Shì)</v>
      </c>
    </row>
    <row r="1309" spans="1:16" hidden="1" x14ac:dyDescent="0.25">
      <c r="A1309" t="s">
        <v>822</v>
      </c>
      <c r="B1309" t="str">
        <f>IF(COUNTIF(A:A,A1309)&gt;1,_xlfn.CONCAT(A1309," (",N1309,")"),A1309)</f>
        <v>Tiānzhōng Jiēdào</v>
      </c>
      <c r="C1309" t="str">
        <f>IF(COUNTIF(B:B,B1309)&gt;1,_xlfn.CONCAT(A1309," (",M1309,")"),B1309)</f>
        <v>Tiānzhōng Jiēdào</v>
      </c>
      <c r="D1309" t="s">
        <v>823</v>
      </c>
      <c r="E1309" t="s">
        <v>7</v>
      </c>
      <c r="F1309" t="str">
        <f>_xlfn.CONCAT(D1309,", ",H1309,", ",I1309,", ","山东省")</f>
        <v>天中街道, 定陶区, 菏泽市, 山东省</v>
      </c>
      <c r="G1309">
        <v>56495</v>
      </c>
      <c r="H1309" t="s">
        <v>3665</v>
      </c>
      <c r="I1309" t="s">
        <v>3662</v>
      </c>
      <c r="J1309">
        <f>VLOOKUP(F1309,[1]!china_towns_second__2[[Column1]:[Y]],3,FALSE)</f>
        <v>35.060623656625403</v>
      </c>
      <c r="K1309">
        <f>VLOOKUP(F1309,[1]!china_towns_second__2[[Column1]:[Y]],2,FALSE)</f>
        <v>115.6007357</v>
      </c>
      <c r="L1309" t="s">
        <v>6139</v>
      </c>
      <c r="M1309" t="str">
        <f>VLOOKUP(H1309,CHOOSE({1,2},Table17[Native],Table17[Name]),2,0)</f>
        <v>Dìngtáo Qū</v>
      </c>
      <c r="N1309" s="15" t="str">
        <f>VLOOKUP(I1309,CHOOSE({1,2},Table17[Native],Table17[Name]),2,0)</f>
        <v>Hézé Shì</v>
      </c>
      <c r="O1309" s="15" t="str">
        <f t="shared" si="40"/>
        <v>Tianzhong Jiedao (Hézé Shì)</v>
      </c>
      <c r="P1309" s="15" t="str">
        <f t="shared" si="41"/>
        <v>Tianzhong Jiedao (Hézé Shì)</v>
      </c>
    </row>
    <row r="1310" spans="1:16" hidden="1" x14ac:dyDescent="0.25">
      <c r="A1310" t="s">
        <v>383</v>
      </c>
      <c r="B1310" t="str">
        <f>IF(COUNTIF(A:A,A1310)&gt;1,_xlfn.CONCAT(A1310," (",N1310,")"),A1310)</f>
        <v>Tiánzhuāng Xiāng</v>
      </c>
      <c r="C1310" t="str">
        <f>IF(COUNTIF(B:B,B1310)&gt;1,_xlfn.CONCAT(A1310," (",M1310,")"),B1310)</f>
        <v>Tiánzhuāng Xiāng</v>
      </c>
      <c r="D1310" t="s">
        <v>384</v>
      </c>
      <c r="E1310" t="s">
        <v>61</v>
      </c>
      <c r="F1310" t="str">
        <f>_xlfn.CONCAT(D1310,", ",H1310,", ",I1310,", ","山东省")</f>
        <v>田庄乡, 夏津县, 德州市, 山东省</v>
      </c>
      <c r="G1310">
        <v>17069</v>
      </c>
      <c r="H1310" t="s">
        <v>3652</v>
      </c>
      <c r="I1310" t="s">
        <v>3642</v>
      </c>
      <c r="J1310" t="e">
        <f>VLOOKUP(F1310,[1]!china_towns_second__2[[Column1]:[Y]],3,FALSE)</f>
        <v>#N/A</v>
      </c>
      <c r="K1310" t="e">
        <f>VLOOKUP(F1310,[1]!china_towns_second__2[[Column1]:[Y]],2,FALSE)</f>
        <v>#N/A</v>
      </c>
      <c r="L1310" t="s">
        <v>6140</v>
      </c>
      <c r="M1310" t="str">
        <f>VLOOKUP(H1310,CHOOSE({1,2},Table17[Native],Table17[Name]),2,0)</f>
        <v>Xiàjīn Xiàn</v>
      </c>
      <c r="N1310" s="15" t="str">
        <f>VLOOKUP(I1310,CHOOSE({1,2},Table17[Native],Table17[Name]),2,0)</f>
        <v>Dézhōu Shì</v>
      </c>
      <c r="O1310" s="15" t="str">
        <f t="shared" si="40"/>
        <v>Tianzhuang Xiang (Dézhōu Shì)</v>
      </c>
      <c r="P1310" s="15" t="str">
        <f t="shared" si="41"/>
        <v>Tianzhuang Xiang (Dézhōu Shì)</v>
      </c>
    </row>
    <row r="1311" spans="1:16" hidden="1" x14ac:dyDescent="0.25">
      <c r="A1311" t="s">
        <v>824</v>
      </c>
      <c r="B1311" t="str">
        <f>IF(COUNTIF(A:A,A1311)&gt;1,_xlfn.CONCAT(A1311," (",N1311,")"),A1311)</f>
        <v>Tiánzhuāng Zhèn (Hézé Shì)</v>
      </c>
      <c r="C1311" t="str">
        <f>IF(COUNTIF(B:B,B1311)&gt;1,_xlfn.CONCAT(A1311," (",M1311,")"),B1311)</f>
        <v>Tiánzhuāng Zhèn (Hézé Shì)</v>
      </c>
      <c r="D1311" t="s">
        <v>825</v>
      </c>
      <c r="E1311" t="s">
        <v>13</v>
      </c>
      <c r="F1311" t="str">
        <f>_xlfn.CONCAT(D1311,", ",H1311,", ",I1311,", ","山东省")</f>
        <v>田庄镇, 巨野县, 菏泽市, 山东省</v>
      </c>
      <c r="G1311">
        <v>47030</v>
      </c>
      <c r="H1311" t="s">
        <v>3668</v>
      </c>
      <c r="I1311" t="s">
        <v>3662</v>
      </c>
      <c r="J1311">
        <f>VLOOKUP(F1311,[1]!china_towns_second__2[[Column1]:[Y]],3,FALSE)</f>
        <v>35.449181643755601</v>
      </c>
      <c r="K1311">
        <f>VLOOKUP(F1311,[1]!china_towns_second__2[[Column1]:[Y]],2,FALSE)</f>
        <v>116.1076678</v>
      </c>
      <c r="L1311" t="s">
        <v>6141</v>
      </c>
      <c r="M1311" t="str">
        <f>VLOOKUP(H1311,CHOOSE({1,2},Table17[Native],Table17[Name]),2,0)</f>
        <v>Jùyĕ Xiàn</v>
      </c>
      <c r="N1311" s="15" t="str">
        <f>VLOOKUP(I1311,CHOOSE({1,2},Table17[Native],Table17[Name]),2,0)</f>
        <v>Hézé Shì</v>
      </c>
      <c r="O1311" s="15" t="str">
        <f t="shared" si="40"/>
        <v>Tianzhuang Zhen (Heze Shi) (Hézé Shì)</v>
      </c>
      <c r="P1311" s="15" t="str">
        <f t="shared" si="41"/>
        <v>Tianzhuang Zhen (Heze Shi) (Hézé Shì)</v>
      </c>
    </row>
    <row r="1312" spans="1:16" hidden="1" x14ac:dyDescent="0.25">
      <c r="A1312" t="s">
        <v>824</v>
      </c>
      <c r="B1312" t="str">
        <f>IF(COUNTIF(A:A,A1312)&gt;1,_xlfn.CONCAT(A1312," (",N1312,")"),A1312)</f>
        <v>Tiánzhuāng Zhèn (Zībó Shì)</v>
      </c>
      <c r="C1312" t="str">
        <f>IF(COUNTIF(B:B,B1312)&gt;1,_xlfn.CONCAT(A1312," (",M1312,")"),B1312)</f>
        <v>Tiánzhuāng Zhèn (Zībó Shì)</v>
      </c>
      <c r="D1312" t="s">
        <v>825</v>
      </c>
      <c r="E1312" t="s">
        <v>13</v>
      </c>
      <c r="F1312" t="str">
        <f>_xlfn.CONCAT(D1312,", ",H1312,", ",I1312,", ","山东省")</f>
        <v>田庄镇, 桓台县, 淄博市, 山东省</v>
      </c>
      <c r="G1312">
        <v>45130</v>
      </c>
      <c r="H1312" t="s">
        <v>3794</v>
      </c>
      <c r="I1312" t="s">
        <v>3791</v>
      </c>
      <c r="J1312">
        <f>VLOOKUP(F1312,[1]!china_towns_second__2[[Column1]:[Y]],3,FALSE)</f>
        <v>37.006411642714703</v>
      </c>
      <c r="K1312">
        <f>VLOOKUP(F1312,[1]!china_towns_second__2[[Column1]:[Y]],2,FALSE)</f>
        <v>117.9939359</v>
      </c>
      <c r="L1312" t="s">
        <v>6142</v>
      </c>
      <c r="M1312" t="str">
        <f>VLOOKUP(H1312,CHOOSE({1,2},Table17[Native],Table17[Name]),2,0)</f>
        <v>Huántái Xiàn</v>
      </c>
      <c r="N1312" s="15" t="str">
        <f>VLOOKUP(I1312,CHOOSE({1,2},Table17[Native],Table17[Name]),2,0)</f>
        <v>Zībó Shì</v>
      </c>
      <c r="O1312" s="15" t="str">
        <f t="shared" si="40"/>
        <v>Tianzhuang Zhen (Zibo Shi) (Zībó Shì)</v>
      </c>
      <c r="P1312" s="15" t="str">
        <f t="shared" si="41"/>
        <v>Tianzhuang Zhen (Zibo Shi) (Zībó Shì)</v>
      </c>
    </row>
    <row r="1313" spans="1:16" hidden="1" x14ac:dyDescent="0.25">
      <c r="A1313" t="s">
        <v>2308</v>
      </c>
      <c r="B1313" t="str">
        <f>IF(COUNTIF(A:A,A1313)&gt;1,_xlfn.CONCAT(A1313," (",N1313,")"),A1313)</f>
        <v>Tiánzhuāng Zhèn [incl. Zhāngshè Zhèn]</v>
      </c>
      <c r="C1313" t="str">
        <f>IF(COUNTIF(B:B,B1313)&gt;1,_xlfn.CONCAT(A1313," (",M1313,")"),B1313)</f>
        <v>Tiánzhuāng Zhèn [incl. Zhāngshè Zhèn]</v>
      </c>
      <c r="D1313" t="s">
        <v>825</v>
      </c>
      <c r="E1313" t="s">
        <v>13</v>
      </c>
      <c r="F1313" t="str">
        <f>_xlfn.CONCAT(D1313,", ",H1313,", ",I1313,", ","山东省")</f>
        <v>田庄镇, 平度市, 青岛市, 山东省</v>
      </c>
      <c r="G1313">
        <v>64957</v>
      </c>
      <c r="H1313" t="s">
        <v>3732</v>
      </c>
      <c r="I1313" t="s">
        <v>3724</v>
      </c>
      <c r="J1313">
        <f>VLOOKUP(F1313,[1]!china_towns_second__2[[Column1]:[Y]],3,FALSE)</f>
        <v>36.838940690040097</v>
      </c>
      <c r="K1313">
        <f>VLOOKUP(F1313,[1]!china_towns_second__2[[Column1]:[Y]],2,FALSE)</f>
        <v>119.70979850000001</v>
      </c>
      <c r="L1313" t="s">
        <v>6143</v>
      </c>
      <c r="M1313" t="str">
        <f>VLOOKUP(H1313,CHOOSE({1,2},Table17[Native],Table17[Name]),2,0)</f>
        <v>Píngdù Shì</v>
      </c>
      <c r="N1313" s="15" t="str">
        <f>VLOOKUP(I1313,CHOOSE({1,2},Table17[Native],Table17[Name]),2,0)</f>
        <v>Qīngdăo Shì</v>
      </c>
      <c r="O1313" s="15" t="str">
        <f t="shared" si="40"/>
        <v>Tianzhuang Zhen [incl. Zhangshe Zhen] (Qīngdăo Shì)</v>
      </c>
      <c r="P1313" s="15" t="str">
        <f t="shared" si="41"/>
        <v>Tianzhuang Zhen [incl. Zhangshe Zhen] (Qīngdăo Shì)</v>
      </c>
    </row>
    <row r="1314" spans="1:16" hidden="1" x14ac:dyDescent="0.25">
      <c r="A1314" t="s">
        <v>2309</v>
      </c>
      <c r="B1314" t="str">
        <f>IF(COUNTIF(A:A,A1314)&gt;1,_xlfn.CONCAT(A1314," (",N1314,")"),A1314)</f>
        <v>Tiĕshān Jiēdào</v>
      </c>
      <c r="C1314" t="str">
        <f>IF(COUNTIF(B:B,B1314)&gt;1,_xlfn.CONCAT(A1314," (",M1314,")"),B1314)</f>
        <v>Tiĕshān Jiēdào</v>
      </c>
      <c r="D1314" t="s">
        <v>2310</v>
      </c>
      <c r="E1314" t="s">
        <v>7</v>
      </c>
      <c r="F1314" t="str">
        <f>_xlfn.CONCAT(D1314,", ",H1314,", ",I1314,", ","山东省")</f>
        <v>铁山街道, 黄岛区, 青岛市, 山东省</v>
      </c>
      <c r="G1314">
        <v>22384</v>
      </c>
      <c r="H1314" t="s">
        <v>3726</v>
      </c>
      <c r="I1314" t="s">
        <v>3724</v>
      </c>
      <c r="J1314">
        <f>VLOOKUP(F1314,[1]!china_towns_second__2[[Column1]:[Y]],3,FALSE)</f>
        <v>35.934226267417998</v>
      </c>
      <c r="K1314">
        <f>VLOOKUP(F1314,[1]!china_towns_second__2[[Column1]:[Y]],2,FALSE)</f>
        <v>119.9008475</v>
      </c>
      <c r="L1314" t="s">
        <v>6144</v>
      </c>
      <c r="M1314" t="str">
        <f>VLOOKUP(H1314,CHOOSE({1,2},Table17[Native],Table17[Name]),2,0)</f>
        <v>Huángdăo Qū</v>
      </c>
      <c r="N1314" s="15" t="str">
        <f>VLOOKUP(I1314,CHOOSE({1,2},Table17[Native],Table17[Name]),2,0)</f>
        <v>Qīngdăo Shì</v>
      </c>
      <c r="O1314" s="15" t="str">
        <f t="shared" si="40"/>
        <v>Tieshan Jiedao (Qīngdăo Shì)</v>
      </c>
      <c r="P1314" s="15" t="str">
        <f t="shared" si="41"/>
        <v>Tieshan Jiedao (Qīngdăo Shì)</v>
      </c>
    </row>
    <row r="1315" spans="1:16" hidden="1" x14ac:dyDescent="0.25">
      <c r="A1315" t="s">
        <v>385</v>
      </c>
      <c r="B1315" t="str">
        <f>IF(COUNTIF(A:A,A1315)&gt;1,_xlfn.CONCAT(A1315," (",N1315,")"),A1315)</f>
        <v>Tiĕyíng Zhèn</v>
      </c>
      <c r="C1315" t="str">
        <f>IF(COUNTIF(B:B,B1315)&gt;1,_xlfn.CONCAT(A1315," (",M1315,")"),B1315)</f>
        <v>Tiĕyíng Zhèn</v>
      </c>
      <c r="D1315" t="s">
        <v>386</v>
      </c>
      <c r="E1315" t="s">
        <v>13</v>
      </c>
      <c r="F1315" t="str">
        <f>_xlfn.CONCAT(D1315,", ",H1315,", ",I1315,", ","山东省")</f>
        <v>铁营镇, 乐陵市, 德州市, 山东省</v>
      </c>
      <c r="G1315">
        <v>25431</v>
      </c>
      <c r="H1315" t="s">
        <v>3644</v>
      </c>
      <c r="I1315" t="s">
        <v>3642</v>
      </c>
      <c r="J1315">
        <f>VLOOKUP(F1315,[1]!china_towns_second__2[[Column1]:[Y]],3,FALSE)</f>
        <v>37.677857117861798</v>
      </c>
      <c r="K1315">
        <f>VLOOKUP(F1315,[1]!china_towns_second__2[[Column1]:[Y]],2,FALSE)</f>
        <v>117.2813373</v>
      </c>
      <c r="L1315" t="s">
        <v>6145</v>
      </c>
      <c r="M1315" t="str">
        <f>VLOOKUP(H1315,CHOOSE({1,2},Table17[Native],Table17[Name]),2,0)</f>
        <v>Lèlíng Shì</v>
      </c>
      <c r="N1315" s="15" t="str">
        <f>VLOOKUP(I1315,CHOOSE({1,2},Table17[Native],Table17[Name]),2,0)</f>
        <v>Dézhōu Shì</v>
      </c>
      <c r="O1315" s="15" t="str">
        <f t="shared" si="40"/>
        <v>Tieying Zhen (Dézhōu Shì)</v>
      </c>
      <c r="P1315" s="15" t="str">
        <f t="shared" si="41"/>
        <v>Tieying Zhen (Dézhōu Shì)</v>
      </c>
    </row>
    <row r="1316" spans="1:16" hidden="1" x14ac:dyDescent="0.25">
      <c r="A1316" t="s">
        <v>2625</v>
      </c>
      <c r="B1316" t="str">
        <f>IF(COUNTIF(A:A,A1316)&gt;1,_xlfn.CONCAT(A1316," (",N1316,")"),A1316)</f>
        <v>Tīmén Zhèn</v>
      </c>
      <c r="C1316" t="str">
        <f>IF(COUNTIF(B:B,B1316)&gt;1,_xlfn.CONCAT(A1316," (",M1316,")"),B1316)</f>
        <v>Tīmén Zhèn</v>
      </c>
      <c r="D1316" t="s">
        <v>2626</v>
      </c>
      <c r="E1316" t="s">
        <v>13</v>
      </c>
      <c r="F1316" t="str">
        <f>_xlfn.CONCAT(D1316,", ",H1316,", ",I1316,", ","山东省")</f>
        <v>梯门镇, 东平县, 泰安市, 山东省</v>
      </c>
      <c r="G1316">
        <v>38178</v>
      </c>
      <c r="H1316" t="s">
        <v>3745</v>
      </c>
      <c r="I1316" t="s">
        <v>3743</v>
      </c>
      <c r="J1316">
        <f>VLOOKUP(F1316,[1]!china_towns_second__2[[Column1]:[Y]],3,FALSE)</f>
        <v>36.033515243603098</v>
      </c>
      <c r="K1316">
        <f>VLOOKUP(F1316,[1]!china_towns_second__2[[Column1]:[Y]],2,FALSE)</f>
        <v>116.36895</v>
      </c>
      <c r="L1316" t="s">
        <v>6146</v>
      </c>
      <c r="M1316" t="str">
        <f>VLOOKUP(H1316,CHOOSE({1,2},Table17[Native],Table17[Name]),2,0)</f>
        <v>Dōngpíng Xiàn</v>
      </c>
      <c r="N1316" s="15" t="str">
        <f>VLOOKUP(I1316,CHOOSE({1,2},Table17[Native],Table17[Name]),2,0)</f>
        <v>Tài'ān Shì</v>
      </c>
      <c r="O1316" s="15" t="str">
        <f t="shared" si="40"/>
        <v>Timen Zhen (Tài'ān Shì)</v>
      </c>
      <c r="P1316" s="15" t="str">
        <f t="shared" si="41"/>
        <v>Timen Zhen (Tài'ān Shì)</v>
      </c>
    </row>
    <row r="1317" spans="1:16" hidden="1" x14ac:dyDescent="0.25">
      <c r="A1317" t="s">
        <v>3247</v>
      </c>
      <c r="B1317" t="str">
        <f>IF(COUNTIF(A:A,A1317)&gt;1,_xlfn.CONCAT(A1317," (",N1317,")"),A1317)</f>
        <v>Tíngkŏu Zhèn</v>
      </c>
      <c r="C1317" t="str">
        <f>IF(COUNTIF(B:B,B1317)&gt;1,_xlfn.CONCAT(A1317," (",M1317,")"),B1317)</f>
        <v>Tíngkŏu Zhèn</v>
      </c>
      <c r="D1317" t="s">
        <v>3248</v>
      </c>
      <c r="E1317" t="s">
        <v>13</v>
      </c>
      <c r="F1317" t="str">
        <f>_xlfn.CONCAT(D1317,", ",H1317,", ",I1317,", ","山东省")</f>
        <v>亭口镇, 栖霞市, 烟台市, 山东省</v>
      </c>
      <c r="G1317">
        <v>30400</v>
      </c>
      <c r="H1317" t="s">
        <v>3780</v>
      </c>
      <c r="I1317" t="s">
        <v>3771</v>
      </c>
      <c r="J1317">
        <f>VLOOKUP(F1317,[1]!china_towns_second__2[[Column1]:[Y]],3,FALSE)</f>
        <v>37.355686754782603</v>
      </c>
      <c r="K1317">
        <f>VLOOKUP(F1317,[1]!china_towns_second__2[[Column1]:[Y]],2,FALSE)</f>
        <v>120.996354</v>
      </c>
      <c r="L1317" t="s">
        <v>6147</v>
      </c>
      <c r="M1317" t="str">
        <f>VLOOKUP(H1317,CHOOSE({1,2},Table17[Native],Table17[Name]),2,0)</f>
        <v>Qīxiá Shì</v>
      </c>
      <c r="N1317" s="15" t="str">
        <f>VLOOKUP(I1317,CHOOSE({1,2},Table17[Native],Table17[Name]),2,0)</f>
        <v>Yāntái Shì</v>
      </c>
      <c r="O1317" s="15" t="str">
        <f t="shared" si="40"/>
        <v>Tingkou Zhen (Yāntái Shì)</v>
      </c>
      <c r="P1317" s="15" t="str">
        <f t="shared" si="41"/>
        <v>Tingkou Zhen (Yāntái Shì)</v>
      </c>
    </row>
    <row r="1318" spans="1:16" hidden="1" x14ac:dyDescent="0.25">
      <c r="A1318" t="s">
        <v>555</v>
      </c>
      <c r="B1318" t="str">
        <f>IF(COUNTIF(A:A,A1318)&gt;1,_xlfn.CONCAT(A1318," (",N1318,")"),A1318)</f>
        <v>Tīngluó Zhèn</v>
      </c>
      <c r="C1318" t="str">
        <f>IF(COUNTIF(B:B,B1318)&gt;1,_xlfn.CONCAT(A1318," (",M1318,")"),B1318)</f>
        <v>Tīngluó Zhèn</v>
      </c>
      <c r="D1318" t="s">
        <v>556</v>
      </c>
      <c r="E1318" t="s">
        <v>13</v>
      </c>
      <c r="F1318" t="str">
        <f>_xlfn.CONCAT(D1318,", ",H1318,", ",I1318,", ","山东省")</f>
        <v>汀罗镇, 利津县, 东营市, 山东省</v>
      </c>
      <c r="G1318">
        <v>28911</v>
      </c>
      <c r="H1318" t="s">
        <v>3660</v>
      </c>
      <c r="I1318" t="s">
        <v>3655</v>
      </c>
      <c r="J1318">
        <f>VLOOKUP(F1318,[1]!china_towns_second__2[[Column1]:[Y]],3,FALSE)</f>
        <v>37.770374180080701</v>
      </c>
      <c r="K1318">
        <f>VLOOKUP(F1318,[1]!china_towns_second__2[[Column1]:[Y]],2,FALSE)</f>
        <v>118.5294129</v>
      </c>
      <c r="L1318" t="s">
        <v>6148</v>
      </c>
      <c r="M1318" t="str">
        <f>VLOOKUP(H1318,CHOOSE({1,2},Table17[Native],Table17[Name]),2,0)</f>
        <v>Lìjīn Xiàn</v>
      </c>
      <c r="N1318" s="15" t="str">
        <f>VLOOKUP(I1318,CHOOSE({1,2},Table17[Native],Table17[Name]),2,0)</f>
        <v>Dōngyíng Shì</v>
      </c>
      <c r="O1318" s="15" t="str">
        <f t="shared" si="40"/>
        <v>Tingluo Zhen (Dōngyíng Shì)</v>
      </c>
      <c r="P1318" s="15" t="str">
        <f t="shared" si="41"/>
        <v>Tingluo Zhen (Dōngyíng Shì)</v>
      </c>
    </row>
    <row r="1319" spans="1:16" hidden="1" x14ac:dyDescent="0.25">
      <c r="A1319" t="s">
        <v>3589</v>
      </c>
      <c r="B1319" t="str">
        <f>IF(COUNTIF(A:A,A1319)&gt;1,_xlfn.CONCAT(A1319," (",N1319,")"),A1319)</f>
        <v>Tĭyùchăng Jiēdào</v>
      </c>
      <c r="C1319" t="str">
        <f>IF(COUNTIF(B:B,B1319)&gt;1,_xlfn.CONCAT(A1319," (",M1319,")"),B1319)</f>
        <v>Tĭyùchăng Jiēdào</v>
      </c>
      <c r="D1319" t="s">
        <v>3590</v>
      </c>
      <c r="E1319" t="s">
        <v>7</v>
      </c>
      <c r="F1319" t="str">
        <f>_xlfn.CONCAT(D1319,", ",H1319,", ",I1319,", ","山东省")</f>
        <v>体育场街道, 张店区, 淄博市, 山东省</v>
      </c>
      <c r="G1319">
        <v>67580</v>
      </c>
      <c r="H1319" t="s">
        <v>3797</v>
      </c>
      <c r="I1319" t="s">
        <v>3791</v>
      </c>
      <c r="J1319">
        <f>VLOOKUP(F1319,[1]!china_towns_second__2[[Column1]:[Y]],3,FALSE)</f>
        <v>36.810379819271901</v>
      </c>
      <c r="K1319">
        <f>VLOOKUP(F1319,[1]!china_towns_second__2[[Column1]:[Y]],2,FALSE)</f>
        <v>118.06965719999999</v>
      </c>
      <c r="L1319" t="s">
        <v>6149</v>
      </c>
      <c r="M1319" t="str">
        <f>VLOOKUP(H1319,CHOOSE({1,2},Table17[Native],Table17[Name]),2,0)</f>
        <v>Zhāngdiàn Qū</v>
      </c>
      <c r="N1319" s="15" t="str">
        <f>VLOOKUP(I1319,CHOOSE({1,2},Table17[Native],Table17[Name]),2,0)</f>
        <v>Zībó Shì</v>
      </c>
      <c r="O1319" s="15" t="str">
        <f t="shared" si="40"/>
        <v>Tiyuchang Jiedao (Zībó Shì)</v>
      </c>
      <c r="P1319" s="15" t="str">
        <f t="shared" si="41"/>
        <v>Tiyuchang Jiedao (Zībó Shì)</v>
      </c>
    </row>
    <row r="1320" spans="1:16" hidden="1" x14ac:dyDescent="0.25">
      <c r="A1320" t="s">
        <v>1706</v>
      </c>
      <c r="B1320" t="str">
        <f>IF(COUNTIF(A:A,A1320)&gt;1,_xlfn.CONCAT(A1320," (",N1320,")"),A1320)</f>
        <v>Tóngchéng Jiēdào</v>
      </c>
      <c r="C1320" t="str">
        <f>IF(COUNTIF(B:B,B1320)&gt;1,_xlfn.CONCAT(A1320," (",M1320,")"),B1320)</f>
        <v>Tóngchéng Jiēdào</v>
      </c>
      <c r="D1320" t="s">
        <v>1707</v>
      </c>
      <c r="E1320" t="s">
        <v>7</v>
      </c>
      <c r="F1320" t="str">
        <f>_xlfn.CONCAT(D1320,", ",H1320,", ",I1320,", ","山东省")</f>
        <v>铜城街道, 东阿县, 聊城市, 山东省</v>
      </c>
      <c r="G1320">
        <v>79541</v>
      </c>
      <c r="H1320" t="s">
        <v>3703</v>
      </c>
      <c r="I1320" t="s">
        <v>3700</v>
      </c>
      <c r="J1320">
        <f>VLOOKUP(F1320,[1]!china_towns_second__2[[Column1]:[Y]],3,FALSE)</f>
        <v>36.290065838162</v>
      </c>
      <c r="K1320">
        <f>VLOOKUP(F1320,[1]!china_towns_second__2[[Column1]:[Y]],2,FALSE)</f>
        <v>116.2490226</v>
      </c>
      <c r="L1320" t="s">
        <v>6150</v>
      </c>
      <c r="M1320" t="str">
        <f>VLOOKUP(H1320,CHOOSE({1,2},Table17[Native],Table17[Name]),2,0)</f>
        <v>Dōng'ē Xiàn</v>
      </c>
      <c r="N1320" s="15" t="str">
        <f>VLOOKUP(I1320,CHOOSE({1,2},Table17[Native],Table17[Name]),2,0)</f>
        <v>Liáochéng Shì</v>
      </c>
      <c r="O1320" s="15" t="str">
        <f t="shared" si="40"/>
        <v>Tongcheng Jiedao (Liáochéng Shì)</v>
      </c>
      <c r="P1320" s="15" t="str">
        <f t="shared" si="41"/>
        <v>Tongcheng Jiedao (Liáochéng Shì)</v>
      </c>
    </row>
    <row r="1321" spans="1:16" hidden="1" x14ac:dyDescent="0.25">
      <c r="A1321" t="s">
        <v>2311</v>
      </c>
      <c r="B1321" t="str">
        <f>IF(COUNTIF(A:A,A1321)&gt;1,_xlfn.CONCAT(A1321," (",N1321,")"),A1321)</f>
        <v>Tónghé Jiēdào [incl. Báibù Zhèn]</v>
      </c>
      <c r="C1321" t="str">
        <f>IF(COUNTIF(B:B,B1321)&gt;1,_xlfn.CONCAT(A1321," (",M1321,")"),B1321)</f>
        <v>Tónghé Jiēdào [incl. Báibù Zhèn]</v>
      </c>
      <c r="D1321" t="s">
        <v>2312</v>
      </c>
      <c r="E1321" t="s">
        <v>7</v>
      </c>
      <c r="F1321" t="str">
        <f>_xlfn.CONCAT(D1321,", ",H1321,", ",I1321,", ","山东省")</f>
        <v>同和街道, 平度市, 青岛市, 山东省</v>
      </c>
      <c r="G1321">
        <v>95680</v>
      </c>
      <c r="H1321" t="s">
        <v>3732</v>
      </c>
      <c r="I1321" t="s">
        <v>3724</v>
      </c>
      <c r="J1321">
        <f>VLOOKUP(F1321,[1]!china_towns_second__2[[Column1]:[Y]],3,FALSE)</f>
        <v>36.7375340875615</v>
      </c>
      <c r="K1321">
        <f>VLOOKUP(F1321,[1]!china_towns_second__2[[Column1]:[Y]],2,FALSE)</f>
        <v>119.8373177</v>
      </c>
      <c r="L1321" t="s">
        <v>6151</v>
      </c>
      <c r="M1321" t="str">
        <f>VLOOKUP(H1321,CHOOSE({1,2},Table17[Native],Table17[Name]),2,0)</f>
        <v>Píngdù Shì</v>
      </c>
      <c r="N1321" s="15" t="str">
        <f>VLOOKUP(I1321,CHOOSE({1,2},Table17[Native],Table17[Name]),2,0)</f>
        <v>Qīngdăo Shì</v>
      </c>
      <c r="O1321" s="15" t="str">
        <f t="shared" si="40"/>
        <v>Tonghe Jiedao [incl. Baibu Zhen] (Qīngdăo Shì)</v>
      </c>
      <c r="P1321" s="15" t="str">
        <f t="shared" si="41"/>
        <v>Tonghe Jiedao [incl. Baibu Zhen] (Qīngdăo Shì)</v>
      </c>
    </row>
    <row r="1322" spans="1:16" hidden="1" x14ac:dyDescent="0.25">
      <c r="A1322" t="s">
        <v>2313</v>
      </c>
      <c r="B1322" t="str">
        <f>IF(COUNTIF(A:A,A1322)&gt;1,_xlfn.CONCAT(A1322," (",N1322,")"),A1322)</f>
        <v>Tōngjì Jiēdào</v>
      </c>
      <c r="C1322" t="str">
        <f>IF(COUNTIF(B:B,B1322)&gt;1,_xlfn.CONCAT(A1322," (",M1322,")"),B1322)</f>
        <v>Tōngjì Jiēdào</v>
      </c>
      <c r="D1322" t="s">
        <v>2314</v>
      </c>
      <c r="E1322" t="s">
        <v>7</v>
      </c>
      <c r="F1322" t="str">
        <f>_xlfn.CONCAT(D1322,", ",H1322,", ",I1322,", ","山东省")</f>
        <v>通济街道, 即墨区, 青岛市, 山东省</v>
      </c>
      <c r="G1322">
        <v>237236</v>
      </c>
      <c r="H1322" t="s">
        <v>3728</v>
      </c>
      <c r="I1322" t="s">
        <v>3724</v>
      </c>
      <c r="J1322">
        <f>VLOOKUP(F1322,[1]!china_towns_second__2[[Column1]:[Y]],3,FALSE)</f>
        <v>36.381604204444201</v>
      </c>
      <c r="K1322">
        <f>VLOOKUP(F1322,[1]!china_towns_second__2[[Column1]:[Y]],2,FALSE)</f>
        <v>120.3911585</v>
      </c>
      <c r="L1322" t="s">
        <v>6152</v>
      </c>
      <c r="M1322" t="str">
        <f>VLOOKUP(H1322,CHOOSE({1,2},Table17[Native],Table17[Name]),2,0)</f>
        <v>Jímò Qū</v>
      </c>
      <c r="N1322" s="15" t="str">
        <f>VLOOKUP(I1322,CHOOSE({1,2},Table17[Native],Table17[Name]),2,0)</f>
        <v>Qīngdăo Shì</v>
      </c>
      <c r="O1322" s="15" t="str">
        <f t="shared" si="40"/>
        <v>Tongji Jiedao (Qīngdăo Shì)</v>
      </c>
      <c r="P1322" s="15" t="str">
        <f t="shared" si="41"/>
        <v>Tongji Jiedao (Qīngdăo Shì)</v>
      </c>
    </row>
    <row r="1323" spans="1:16" hidden="1" x14ac:dyDescent="0.25">
      <c r="A1323" t="s">
        <v>2022</v>
      </c>
      <c r="B1323" t="str">
        <f>IF(COUNTIF(A:A,A1323)&gt;1,_xlfn.CONCAT(A1323," (",N1323,")"),A1323)</f>
        <v>Tóngjĭng Zhèn</v>
      </c>
      <c r="C1323" t="str">
        <f>IF(COUNTIF(B:B,B1323)&gt;1,_xlfn.CONCAT(A1323," (",M1323,")"),B1323)</f>
        <v>Tóngjĭng Zhèn</v>
      </c>
      <c r="D1323" t="s">
        <v>2023</v>
      </c>
      <c r="E1323" t="s">
        <v>13</v>
      </c>
      <c r="F1323" t="str">
        <f>_xlfn.CONCAT(D1323,", ",H1323,", ",I1323,", ","山东省")</f>
        <v>铜井镇, 沂南县, 临沂市, 山东省</v>
      </c>
      <c r="G1323">
        <v>51089</v>
      </c>
      <c r="H1323" t="s">
        <v>3721</v>
      </c>
      <c r="I1323" t="s">
        <v>3710</v>
      </c>
      <c r="J1323">
        <f>VLOOKUP(F1323,[1]!china_towns_second__2[[Column1]:[Y]],3,FALSE)</f>
        <v>35.637185405923397</v>
      </c>
      <c r="K1323">
        <f>VLOOKUP(F1323,[1]!china_towns_second__2[[Column1]:[Y]],2,FALSE)</f>
        <v>118.4492829</v>
      </c>
      <c r="L1323" t="s">
        <v>6153</v>
      </c>
      <c r="M1323" t="str">
        <f>VLOOKUP(H1323,CHOOSE({1,2},Table17[Native],Table17[Name]),2,0)</f>
        <v>Yínán Xiàn</v>
      </c>
      <c r="N1323" s="15" t="str">
        <f>VLOOKUP(I1323,CHOOSE({1,2},Table17[Native],Table17[Name]),2,0)</f>
        <v>Línyí Shì</v>
      </c>
      <c r="O1323" s="15" t="str">
        <f t="shared" si="40"/>
        <v>Tongjing Zhen (Línyí Shì)</v>
      </c>
      <c r="P1323" s="15" t="str">
        <f t="shared" si="41"/>
        <v>Tongjing Zhen (Línyí Shì)</v>
      </c>
    </row>
    <row r="1324" spans="1:16" hidden="1" x14ac:dyDescent="0.25">
      <c r="A1324" t="s">
        <v>3249</v>
      </c>
      <c r="B1324" t="str">
        <f>IF(COUNTIF(A:A,A1324)&gt;1,_xlfn.CONCAT(A1324," (",N1324,")"),A1324)</f>
        <v>Tōngshēn Jiēdào</v>
      </c>
      <c r="C1324" t="str">
        <f>IF(COUNTIF(B:B,B1324)&gt;1,_xlfn.CONCAT(A1324," (",M1324,")"),B1324)</f>
        <v>Tōngshēn Jiēdào</v>
      </c>
      <c r="D1324" t="s">
        <v>3250</v>
      </c>
      <c r="E1324" t="s">
        <v>7</v>
      </c>
      <c r="F1324" t="str">
        <f>_xlfn.CONCAT(D1324,", ",H1324,", ",I1324,", ","山东省")</f>
        <v>通伸街道, 芝罘区, 烟台市, 山东省</v>
      </c>
      <c r="G1324">
        <v>32576</v>
      </c>
      <c r="H1324" t="s">
        <v>3782</v>
      </c>
      <c r="I1324" t="s">
        <v>3771</v>
      </c>
      <c r="J1324">
        <f>VLOOKUP(F1324,[1]!china_towns_second__2[[Column1]:[Y]],3,FALSE)</f>
        <v>37.549338999363897</v>
      </c>
      <c r="K1324">
        <f>VLOOKUP(F1324,[1]!china_towns_second__2[[Column1]:[Y]],2,FALSE)</f>
        <v>121.36317080000001</v>
      </c>
      <c r="L1324" t="s">
        <v>6154</v>
      </c>
      <c r="M1324" t="str">
        <f>VLOOKUP(H1324,CHOOSE({1,2},Table17[Native],Table17[Name]),2,0)</f>
        <v>Zhīfú Qū</v>
      </c>
      <c r="N1324" s="15" t="str">
        <f>VLOOKUP(I1324,CHOOSE({1,2},Table17[Native],Table17[Name]),2,0)</f>
        <v>Yāntái Shì</v>
      </c>
      <c r="O1324" s="15" t="str">
        <f t="shared" si="40"/>
        <v>Tongshen Jiedao (Yāntái Shì)</v>
      </c>
      <c r="P1324" s="15" t="str">
        <f t="shared" si="41"/>
        <v>Tongshen Jiedao (Yāntái Shì)</v>
      </c>
    </row>
    <row r="1325" spans="1:16" hidden="1" x14ac:dyDescent="0.25">
      <c r="A1325" t="s">
        <v>2024</v>
      </c>
      <c r="B1325" t="str">
        <f>IF(COUNTIF(A:A,A1325)&gt;1,_xlfn.CONCAT(A1325," (",N1325,")"),A1325)</f>
        <v>Tóngshí Zhèn</v>
      </c>
      <c r="C1325" t="str">
        <f>IF(COUNTIF(B:B,B1325)&gt;1,_xlfn.CONCAT(A1325," (",M1325,")"),B1325)</f>
        <v>Tóngshí Zhèn</v>
      </c>
      <c r="D1325" t="s">
        <v>2025</v>
      </c>
      <c r="E1325" t="s">
        <v>13</v>
      </c>
      <c r="F1325" t="str">
        <f>_xlfn.CONCAT(D1325,", ",H1325,", ",I1325,", ","山东省")</f>
        <v>铜石镇, 平邑县, 临沂市, 山东省</v>
      </c>
      <c r="G1325">
        <v>66958</v>
      </c>
      <c r="H1325" t="s">
        <v>3719</v>
      </c>
      <c r="I1325" t="s">
        <v>3710</v>
      </c>
      <c r="J1325">
        <f>VLOOKUP(F1325,[1]!china_towns_second__2[[Column1]:[Y]],3,FALSE)</f>
        <v>35.378140422000598</v>
      </c>
      <c r="K1325">
        <f>VLOOKUP(F1325,[1]!china_towns_second__2[[Column1]:[Y]],2,FALSE)</f>
        <v>117.7316924</v>
      </c>
      <c r="L1325" t="s">
        <v>6155</v>
      </c>
      <c r="M1325" t="str">
        <f>VLOOKUP(H1325,CHOOSE({1,2},Table17[Native],Table17[Name]),2,0)</f>
        <v>Píngyì Xiàn</v>
      </c>
      <c r="N1325" s="15" t="str">
        <f>VLOOKUP(I1325,CHOOSE({1,2},Table17[Native],Table17[Name]),2,0)</f>
        <v>Línyí Shì</v>
      </c>
      <c r="O1325" s="15" t="str">
        <f t="shared" si="40"/>
        <v>Tongshi Zhen (Línyí Shì)</v>
      </c>
      <c r="P1325" s="15" t="str">
        <f t="shared" si="41"/>
        <v>Tongshi Zhen (Línyí Shì)</v>
      </c>
    </row>
    <row r="1326" spans="1:16" hidden="1" x14ac:dyDescent="0.25">
      <c r="A1326" t="s">
        <v>1432</v>
      </c>
      <c r="B1326" t="str">
        <f>IF(COUNTIF(A:A,A1326)&gt;1,_xlfn.CONCAT(A1326," (",N1326,")"),A1326)</f>
        <v>Tuănlĭ Zhèn</v>
      </c>
      <c r="C1326" t="str">
        <f>IF(COUNTIF(B:B,B1326)&gt;1,_xlfn.CONCAT(A1326," (",M1326,")"),B1326)</f>
        <v>Tuănlĭ Zhèn</v>
      </c>
      <c r="D1326" t="s">
        <v>1433</v>
      </c>
      <c r="E1326" t="s">
        <v>13</v>
      </c>
      <c r="F1326" t="str">
        <f>_xlfn.CONCAT(D1326,", ",H1326,", ",I1326,", ","山东省")</f>
        <v>疃里镇, 嘉祥县, 济宁市, 山东省</v>
      </c>
      <c r="G1326">
        <v>90480</v>
      </c>
      <c r="H1326" t="s">
        <v>3688</v>
      </c>
      <c r="I1326" t="s">
        <v>3687</v>
      </c>
      <c r="J1326">
        <f>VLOOKUP(F1326,[1]!china_towns_second__2[[Column1]:[Y]],3,FALSE)</f>
        <v>35.429317288177501</v>
      </c>
      <c r="K1326">
        <f>VLOOKUP(F1326,[1]!china_towns_second__2[[Column1]:[Y]],2,FALSE)</f>
        <v>116.40687029999999</v>
      </c>
      <c r="L1326" t="s">
        <v>6156</v>
      </c>
      <c r="M1326" t="str">
        <f>VLOOKUP(H1326,CHOOSE({1,2},Table17[Native],Table17[Name]),2,0)</f>
        <v>Jiāxiáng Xiàn</v>
      </c>
      <c r="N1326" s="15" t="str">
        <f>VLOOKUP(I1326,CHOOSE({1,2},Table17[Native],Table17[Name]),2,0)</f>
        <v>Jìníng Shì</v>
      </c>
      <c r="O1326" s="15" t="str">
        <f t="shared" si="40"/>
        <v>Tuanli Zhen (Jìníng Shì)</v>
      </c>
      <c r="P1326" s="15" t="str">
        <f t="shared" si="41"/>
        <v>Tuanli Zhen (Jìníng Shì)</v>
      </c>
    </row>
    <row r="1327" spans="1:16" hidden="1" x14ac:dyDescent="0.25">
      <c r="A1327" t="s">
        <v>2026</v>
      </c>
      <c r="B1327" t="str">
        <f>IF(COUNTIF(A:A,A1327)&gt;1,_xlfn.CONCAT(A1327," (",N1327,")"),A1327)</f>
        <v>Tuánlín Zhèn</v>
      </c>
      <c r="C1327" t="str">
        <f>IF(COUNTIF(B:B,B1327)&gt;1,_xlfn.CONCAT(A1327," (",M1327,")"),B1327)</f>
        <v>Tuánlín Zhèn</v>
      </c>
      <c r="D1327" t="s">
        <v>2027</v>
      </c>
      <c r="E1327" t="s">
        <v>13</v>
      </c>
      <c r="F1327" t="str">
        <f>_xlfn.CONCAT(D1327,", ",H1327,", ",I1327,", ","山东省")</f>
        <v>团林镇, 莒南县, 临沂市, 山东省</v>
      </c>
      <c r="G1327">
        <v>37258</v>
      </c>
      <c r="H1327" t="s">
        <v>3713</v>
      </c>
      <c r="I1327" t="s">
        <v>3710</v>
      </c>
      <c r="J1327">
        <f>VLOOKUP(F1327,[1]!china_towns_second__2[[Column1]:[Y]],3,FALSE)</f>
        <v>35.127371899383597</v>
      </c>
      <c r="K1327">
        <f>VLOOKUP(F1327,[1]!china_towns_second__2[[Column1]:[Y]],2,FALSE)</f>
        <v>119.1252192</v>
      </c>
      <c r="L1327" t="s">
        <v>6157</v>
      </c>
      <c r="M1327" t="str">
        <f>VLOOKUP(H1327,CHOOSE({1,2},Table17[Native],Table17[Name]),2,0)</f>
        <v>Jŭnán Xiàn</v>
      </c>
      <c r="N1327" s="15" t="str">
        <f>VLOOKUP(I1327,CHOOSE({1,2},Table17[Native],Table17[Name]),2,0)</f>
        <v>Línyí Shì</v>
      </c>
      <c r="O1327" s="15" t="str">
        <f t="shared" si="40"/>
        <v>Tuanlin Zhen (Línyí Shì)</v>
      </c>
      <c r="P1327" s="15" t="str">
        <f t="shared" si="41"/>
        <v>Tuanlin Zhen (Línyí Shì)</v>
      </c>
    </row>
    <row r="1328" spans="1:16" hidden="1" x14ac:dyDescent="0.25">
      <c r="A1328" t="s">
        <v>3251</v>
      </c>
      <c r="B1328" t="str">
        <f>IF(COUNTIF(A:A,A1328)&gt;1,_xlfn.CONCAT(A1328," (",N1328,")"),A1328)</f>
        <v>Tuánwàng Zhèn</v>
      </c>
      <c r="C1328" t="str">
        <f>IF(COUNTIF(B:B,B1328)&gt;1,_xlfn.CONCAT(A1328," (",M1328,")"),B1328)</f>
        <v>Tuánwàng Zhèn</v>
      </c>
      <c r="D1328" t="s">
        <v>3252</v>
      </c>
      <c r="E1328" t="s">
        <v>13</v>
      </c>
      <c r="F1328" t="str">
        <f>_xlfn.CONCAT(D1328,", ",H1328,", ",I1328,", ","山东省")</f>
        <v>团旺镇, 莱阳市, 烟台市, 山东省</v>
      </c>
      <c r="G1328">
        <v>63150</v>
      </c>
      <c r="H1328" t="s">
        <v>3775</v>
      </c>
      <c r="I1328" t="s">
        <v>3771</v>
      </c>
      <c r="J1328">
        <f>VLOOKUP(F1328,[1]!china_towns_second__2[[Column1]:[Y]],3,FALSE)</f>
        <v>36.749549724271901</v>
      </c>
      <c r="K1328">
        <f>VLOOKUP(F1328,[1]!china_towns_second__2[[Column1]:[Y]],2,FALSE)</f>
        <v>120.63110880000001</v>
      </c>
      <c r="L1328" t="s">
        <v>6158</v>
      </c>
      <c r="M1328" t="str">
        <f>VLOOKUP(H1328,CHOOSE({1,2},Table17[Native],Table17[Name]),2,0)</f>
        <v>Láiyáng Shì</v>
      </c>
      <c r="N1328" s="15" t="str">
        <f>VLOOKUP(I1328,CHOOSE({1,2},Table17[Native],Table17[Name]),2,0)</f>
        <v>Yāntái Shì</v>
      </c>
      <c r="O1328" s="15" t="str">
        <f t="shared" si="40"/>
        <v>Tuanwang Zhen (Yāntái Shì)</v>
      </c>
      <c r="P1328" s="15" t="str">
        <f t="shared" si="41"/>
        <v>Tuanwang Zhen (Yāntái Shì)</v>
      </c>
    </row>
    <row r="1329" spans="1:16" hidden="1" x14ac:dyDescent="0.25">
      <c r="A1329" t="s">
        <v>3253</v>
      </c>
      <c r="B1329" t="str">
        <f>IF(COUNTIF(A:A,A1329)&gt;1,_xlfn.CONCAT(A1329," (",N1329,")"),A1329)</f>
        <v>Tuójī Zhèn</v>
      </c>
      <c r="C1329" t="str">
        <f>IF(COUNTIF(B:B,B1329)&gt;1,_xlfn.CONCAT(A1329," (",M1329,")"),B1329)</f>
        <v>Tuójī Zhèn</v>
      </c>
      <c r="D1329" t="s">
        <v>3254</v>
      </c>
      <c r="E1329" t="s">
        <v>13</v>
      </c>
      <c r="F1329" t="str">
        <f>_xlfn.CONCAT(D1329,", ",H1329,", ",I1329,", ","山东省")</f>
        <v>砣矶镇, 蓬莱区, 烟台市, 山东省</v>
      </c>
      <c r="G1329">
        <v>6758</v>
      </c>
      <c r="H1329" t="s">
        <v>3779</v>
      </c>
      <c r="I1329" t="s">
        <v>3771</v>
      </c>
      <c r="J1329">
        <f>VLOOKUP(F1329,[1]!china_towns_second__2[[Column1]:[Y]],3,FALSE)</f>
        <v>38.164323000000003</v>
      </c>
      <c r="K1329">
        <f>VLOOKUP(F1329,[1]!china_towns_second__2[[Column1]:[Y]],2,FALSE)</f>
        <v>120.7527065</v>
      </c>
      <c r="L1329" t="s">
        <v>6159</v>
      </c>
      <c r="M1329" t="str">
        <f>VLOOKUP(H1329,CHOOSE({1,2},Table17[Native],Table17[Name]),2,0)</f>
        <v>Pénglái Qū</v>
      </c>
      <c r="N1329" s="15" t="str">
        <f>VLOOKUP(I1329,CHOOSE({1,2},Table17[Native],Table17[Name]),2,0)</f>
        <v>Yāntái Shì</v>
      </c>
      <c r="O1329" s="15" t="str">
        <f t="shared" si="40"/>
        <v>Tuoji Zhen (Yāntái Shì)</v>
      </c>
      <c r="P1329" s="15" t="str">
        <f t="shared" si="41"/>
        <v>Tuoji Zhen (Yāntái Shì)</v>
      </c>
    </row>
    <row r="1330" spans="1:16" hidden="1" x14ac:dyDescent="0.25">
      <c r="A1330" t="s">
        <v>3255</v>
      </c>
      <c r="B1330" t="str">
        <f>IF(COUNTIF(A:A,A1330)&gt;1,_xlfn.CONCAT(A1330," (",N1330,")"),A1330)</f>
        <v>Tŭshān Zhèn</v>
      </c>
      <c r="C1330" t="str">
        <f>IF(COUNTIF(B:B,B1330)&gt;1,_xlfn.CONCAT(A1330," (",M1330,")"),B1330)</f>
        <v>Tŭshān Zhèn</v>
      </c>
      <c r="D1330" t="s">
        <v>3256</v>
      </c>
      <c r="E1330" t="s">
        <v>13</v>
      </c>
      <c r="F1330" t="str">
        <f>_xlfn.CONCAT(D1330,", ",H1330,", ",I1330,", ","山东省")</f>
        <v>土山镇, 莱州市, 烟台市, 山东省</v>
      </c>
      <c r="G1330">
        <v>55454</v>
      </c>
      <c r="H1330" t="s">
        <v>3776</v>
      </c>
      <c r="I1330" t="s">
        <v>3771</v>
      </c>
      <c r="J1330">
        <f>VLOOKUP(F1330,[1]!china_towns_second__2[[Column1]:[Y]],3,FALSE)</f>
        <v>37.066134803881297</v>
      </c>
      <c r="K1330">
        <f>VLOOKUP(F1330,[1]!china_towns_second__2[[Column1]:[Y]],2,FALSE)</f>
        <v>119.6583413</v>
      </c>
      <c r="L1330" t="s">
        <v>6160</v>
      </c>
      <c r="M1330" t="str">
        <f>VLOOKUP(H1330,CHOOSE({1,2},Table17[Native],Table17[Name]),2,0)</f>
        <v>Láizhōu Shì</v>
      </c>
      <c r="N1330" s="15" t="str">
        <f>VLOOKUP(I1330,CHOOSE({1,2},Table17[Native],Table17[Name]),2,0)</f>
        <v>Yāntái Shì</v>
      </c>
      <c r="O1330" s="15" t="str">
        <f t="shared" si="40"/>
        <v>Tushan Zhen (Yāntái Shì)</v>
      </c>
      <c r="P1330" s="15" t="str">
        <f t="shared" si="41"/>
        <v>Tushan Zhen (Yāntái Shì)</v>
      </c>
    </row>
    <row r="1331" spans="1:16" hidden="1" x14ac:dyDescent="0.25">
      <c r="A1331" t="s">
        <v>3257</v>
      </c>
      <c r="B1331" t="str">
        <f>IF(COUNTIF(A:A,A1331)&gt;1,_xlfn.CONCAT(A1331," (",N1331,")"),A1331)</f>
        <v>Wàixiàng Xínggōngyè Jiāgōngqū</v>
      </c>
      <c r="C1331" t="str">
        <f>IF(COUNTIF(B:B,B1331)&gt;1,_xlfn.CONCAT(A1331," (",M1331,")"),B1331)</f>
        <v>Wàixiàng Xínggōngyè Jiāgōngqū</v>
      </c>
      <c r="D1331" t="s">
        <v>3258</v>
      </c>
      <c r="E1331" t="s">
        <v>495</v>
      </c>
      <c r="F1331" t="str">
        <f>_xlfn.CONCAT(D1331,", ",H1331,", ",I1331,", ","山东省")</f>
        <v>外向型工业加工区, 海阳市, 烟台市, 山东省</v>
      </c>
      <c r="G1331">
        <v>18177</v>
      </c>
      <c r="H1331" t="s">
        <v>3773</v>
      </c>
      <c r="I1331" t="s">
        <v>3771</v>
      </c>
      <c r="J1331">
        <f>VLOOKUP(F1331,[1]!china_towns_second__2[[Column1]:[Y]],3,FALSE)</f>
        <v>36.746675219153197</v>
      </c>
      <c r="K1331">
        <f>VLOOKUP(F1331,[1]!china_towns_second__2[[Column1]:[Y]],2,FALSE)</f>
        <v>121.1919185</v>
      </c>
      <c r="L1331" t="s">
        <v>6161</v>
      </c>
      <c r="M1331" t="str">
        <f>VLOOKUP(H1331,CHOOSE({1,2},Table17[Native],Table17[Name]),2,0)</f>
        <v>Hăiyáng Shì</v>
      </c>
      <c r="N1331" s="15" t="str">
        <f>VLOOKUP(I1331,CHOOSE({1,2},Table17[Native],Table17[Name]),2,0)</f>
        <v>Yāntái Shì</v>
      </c>
      <c r="O1331" s="15" t="str">
        <f t="shared" si="40"/>
        <v>Waixiang Xinggongye Jiagongqu (Yāntái Shì)</v>
      </c>
      <c r="P1331" s="15" t="str">
        <f t="shared" si="41"/>
        <v>Waixiang Xinggongye Jiagongqu (Yāntái Shì)</v>
      </c>
    </row>
    <row r="1332" spans="1:16" hidden="1" x14ac:dyDescent="0.25">
      <c r="A1332" t="s">
        <v>1136</v>
      </c>
      <c r="B1332" t="str">
        <f>IF(COUNTIF(A:A,A1332)&gt;1,_xlfn.CONCAT(A1332," (",N1332,")"),A1332)</f>
        <v>Wàndé Jiēdào</v>
      </c>
      <c r="C1332" t="str">
        <f>IF(COUNTIF(B:B,B1332)&gt;1,_xlfn.CONCAT(A1332," (",M1332,")"),B1332)</f>
        <v>Wàndé Jiēdào</v>
      </c>
      <c r="D1332" t="s">
        <v>1137</v>
      </c>
      <c r="E1332" t="s">
        <v>7</v>
      </c>
      <c r="F1332" t="str">
        <f>_xlfn.CONCAT(D1332,", ",H1332,", ",I1332,", ","山东省")</f>
        <v>万德街道, 长清区, 济南市, 山东省</v>
      </c>
      <c r="G1332">
        <v>67894</v>
      </c>
      <c r="H1332" t="s">
        <v>3674</v>
      </c>
      <c r="I1332" t="s">
        <v>3673</v>
      </c>
      <c r="J1332" t="e">
        <f>VLOOKUP(F1332,[1]!china_towns_second__2[[Column1]:[Y]],3,FALSE)</f>
        <v>#N/A</v>
      </c>
      <c r="K1332" t="e">
        <f>VLOOKUP(F1332,[1]!china_towns_second__2[[Column1]:[Y]],2,FALSE)</f>
        <v>#N/A</v>
      </c>
      <c r="L1332" t="s">
        <v>6162</v>
      </c>
      <c r="M1332" t="str">
        <f>VLOOKUP(H1332,CHOOSE({1,2},Table17[Native],Table17[Name]),2,0)</f>
        <v>Chángqīng Qū</v>
      </c>
      <c r="N1332" s="15" t="str">
        <f>VLOOKUP(I1332,CHOOSE({1,2},Table17[Native],Table17[Name]),2,0)</f>
        <v>Jìnán Shì</v>
      </c>
      <c r="O1332" s="15" t="str">
        <f t="shared" si="40"/>
        <v>Wande Jiedao (Jìnán Shì)</v>
      </c>
      <c r="P1332" s="15" t="str">
        <f t="shared" si="41"/>
        <v>Wande Jiedao (Jìnán Shì)</v>
      </c>
    </row>
    <row r="1333" spans="1:16" hidden="1" x14ac:dyDescent="0.25">
      <c r="A1333" t="s">
        <v>3259</v>
      </c>
      <c r="B1333" t="str">
        <f>IF(COUNTIF(A:A,A1333)&gt;1,_xlfn.CONCAT(A1333," (",N1333,")"),A1333)</f>
        <v>Wàndì Zhèn</v>
      </c>
      <c r="C1333" t="str">
        <f>IF(COUNTIF(B:B,B1333)&gt;1,_xlfn.CONCAT(A1333," (",M1333,")"),B1333)</f>
        <v>Wàndì Zhèn</v>
      </c>
      <c r="D1333" t="s">
        <v>3260</v>
      </c>
      <c r="E1333" t="s">
        <v>13</v>
      </c>
      <c r="F1333" t="str">
        <f>_xlfn.CONCAT(D1333,", ",H1333,", ",I1333,", ","山东省")</f>
        <v>万第镇, 莱阳市, 烟台市, 山东省</v>
      </c>
      <c r="G1333">
        <v>58732</v>
      </c>
      <c r="H1333" t="s">
        <v>3775</v>
      </c>
      <c r="I1333" t="s">
        <v>3771</v>
      </c>
      <c r="J1333">
        <f>VLOOKUP(F1333,[1]!china_towns_second__2[[Column1]:[Y]],3,FALSE)</f>
        <v>36.903514075518402</v>
      </c>
      <c r="K1333">
        <f>VLOOKUP(F1333,[1]!china_towns_second__2[[Column1]:[Y]],2,FALSE)</f>
        <v>120.886022</v>
      </c>
      <c r="L1333" t="s">
        <v>6163</v>
      </c>
      <c r="M1333" t="str">
        <f>VLOOKUP(H1333,CHOOSE({1,2},Table17[Native],Table17[Name]),2,0)</f>
        <v>Láiyáng Shì</v>
      </c>
      <c r="N1333" s="15" t="str">
        <f>VLOOKUP(I1333,CHOOSE({1,2},Table17[Native],Table17[Name]),2,0)</f>
        <v>Yāntái Shì</v>
      </c>
      <c r="O1333" s="15" t="str">
        <f t="shared" si="40"/>
        <v>Wandi Zhen (Yāntái Shì)</v>
      </c>
      <c r="P1333" s="15" t="str">
        <f t="shared" si="41"/>
        <v>Wandi Zhen (Yāntái Shì)</v>
      </c>
    </row>
    <row r="1334" spans="1:16" hidden="1" x14ac:dyDescent="0.25">
      <c r="A1334" t="s">
        <v>826</v>
      </c>
      <c r="B1334" t="str">
        <f>IF(COUNTIF(A:A,A1334)&gt;1,_xlfn.CONCAT(A1334," (",N1334,")"),A1334)</f>
        <v>Wànfēng Zhèn</v>
      </c>
      <c r="C1334" t="str">
        <f>IF(COUNTIF(B:B,B1334)&gt;1,_xlfn.CONCAT(A1334," (",M1334,")"),B1334)</f>
        <v>Wànfēng Zhèn</v>
      </c>
      <c r="D1334" t="s">
        <v>827</v>
      </c>
      <c r="E1334" t="s">
        <v>13</v>
      </c>
      <c r="F1334" t="str">
        <f>_xlfn.CONCAT(D1334,", ",H1334,", ",I1334,", ","山东省")</f>
        <v>万丰镇, 巨野县, 菏泽市, 山东省</v>
      </c>
      <c r="G1334">
        <v>59034</v>
      </c>
      <c r="H1334" t="s">
        <v>3668</v>
      </c>
      <c r="I1334" t="s">
        <v>3662</v>
      </c>
      <c r="J1334">
        <f>VLOOKUP(F1334,[1]!china_towns_second__2[[Column1]:[Y]],3,FALSE)</f>
        <v>35.154356809292501</v>
      </c>
      <c r="K1334">
        <f>VLOOKUP(F1334,[1]!china_towns_second__2[[Column1]:[Y]],2,FALSE)</f>
        <v>115.9443799</v>
      </c>
      <c r="L1334" t="s">
        <v>6164</v>
      </c>
      <c r="M1334" t="str">
        <f>VLOOKUP(H1334,CHOOSE({1,2},Table17[Native],Table17[Name]),2,0)</f>
        <v>Jùyĕ Xiàn</v>
      </c>
      <c r="N1334" s="15" t="str">
        <f>VLOOKUP(I1334,CHOOSE({1,2},Table17[Native],Table17[Name]),2,0)</f>
        <v>Hézé Shì</v>
      </c>
      <c r="O1334" s="15" t="str">
        <f t="shared" si="40"/>
        <v>Wanfeng Zhen (Hézé Shì)</v>
      </c>
      <c r="P1334" s="15" t="str">
        <f t="shared" si="41"/>
        <v>Wanfeng Zhen (Hézé Shì)</v>
      </c>
    </row>
    <row r="1335" spans="1:16" hidden="1" x14ac:dyDescent="0.25">
      <c r="A1335" t="s">
        <v>828</v>
      </c>
      <c r="B1335" t="str">
        <f>IF(COUNTIF(A:A,A1335)&gt;1,_xlfn.CONCAT(A1335," (",N1335,")"),A1335)</f>
        <v>Wànfú Jiēdào</v>
      </c>
      <c r="C1335" t="str">
        <f>IF(COUNTIF(B:B,B1335)&gt;1,_xlfn.CONCAT(A1335," (",M1335,")"),B1335)</f>
        <v>Wànfú Jiēdào</v>
      </c>
      <c r="D1335" t="s">
        <v>829</v>
      </c>
      <c r="E1335" t="s">
        <v>7</v>
      </c>
      <c r="F1335" t="str">
        <f>_xlfn.CONCAT(D1335,", ",H1335,", ",I1335,", ","山东省")</f>
        <v>万福街道, 牡丹区, 菏泽市, 山东省</v>
      </c>
      <c r="G1335">
        <v>44537</v>
      </c>
      <c r="H1335" t="s">
        <v>3669</v>
      </c>
      <c r="I1335" t="s">
        <v>3662</v>
      </c>
      <c r="J1335">
        <f>VLOOKUP(F1335,[1]!china_towns_second__2[[Column1]:[Y]],3,FALSE)</f>
        <v>35.271031695486201</v>
      </c>
      <c r="K1335">
        <f>VLOOKUP(F1335,[1]!china_towns_second__2[[Column1]:[Y]],2,FALSE)</f>
        <v>115.38263360000001</v>
      </c>
      <c r="L1335" t="s">
        <v>6165</v>
      </c>
      <c r="M1335" t="str">
        <f>VLOOKUP(H1335,CHOOSE({1,2},Table17[Native],Table17[Name]),2,0)</f>
        <v>Mŭdān Qū</v>
      </c>
      <c r="N1335" s="15" t="str">
        <f>VLOOKUP(I1335,CHOOSE({1,2},Table17[Native],Table17[Name]),2,0)</f>
        <v>Hézé Shì</v>
      </c>
      <c r="O1335" s="15" t="str">
        <f t="shared" si="40"/>
        <v>Wanfu Jiedao (Hézé Shì)</v>
      </c>
      <c r="P1335" s="15" t="str">
        <f t="shared" si="41"/>
        <v>Wanfu Jiedao (Hézé Shì)</v>
      </c>
    </row>
    <row r="1336" spans="1:16" hidden="1" x14ac:dyDescent="0.25">
      <c r="A1336" t="s">
        <v>2315</v>
      </c>
      <c r="B1336" t="str">
        <f>IF(COUNTIF(A:A,A1336)&gt;1,_xlfn.CONCAT(A1336," (",N1336,")"),A1336)</f>
        <v>Wàngchéng Jiēdào</v>
      </c>
      <c r="C1336" t="str">
        <f>IF(COUNTIF(B:B,B1336)&gt;1,_xlfn.CONCAT(A1336," (",M1336,")"),B1336)</f>
        <v>Wàngchéng Jiēdào</v>
      </c>
      <c r="D1336" t="s">
        <v>2316</v>
      </c>
      <c r="E1336" t="s">
        <v>7</v>
      </c>
      <c r="F1336" t="str">
        <f>_xlfn.CONCAT(D1336,", ",H1336,", ",I1336,", ","山东省")</f>
        <v>望城街道, 莱西市, 青岛市, 山东省</v>
      </c>
      <c r="G1336">
        <v>44012</v>
      </c>
      <c r="H1336" t="s">
        <v>3729</v>
      </c>
      <c r="I1336" t="s">
        <v>3724</v>
      </c>
      <c r="J1336">
        <f>VLOOKUP(F1336,[1]!china_towns_second__2[[Column1]:[Y]],3,FALSE)</f>
        <v>36.843735027070402</v>
      </c>
      <c r="K1336">
        <f>VLOOKUP(F1336,[1]!china_towns_second__2[[Column1]:[Y]],2,FALSE)</f>
        <v>120.54094720000001</v>
      </c>
      <c r="L1336" t="s">
        <v>6166</v>
      </c>
      <c r="M1336" t="str">
        <f>VLOOKUP(H1336,CHOOSE({1,2},Table17[Native],Table17[Name]),2,0)</f>
        <v>Láixī Shì</v>
      </c>
      <c r="N1336" s="15" t="str">
        <f>VLOOKUP(I1336,CHOOSE({1,2},Table17[Native],Table17[Name]),2,0)</f>
        <v>Qīngdăo Shì</v>
      </c>
      <c r="O1336" s="15" t="str">
        <f t="shared" si="40"/>
        <v>Wangcheng Jiedao (Qīngdăo Shì)</v>
      </c>
      <c r="P1336" s="15" t="str">
        <f t="shared" si="41"/>
        <v>Wangcheng Jiedao (Qīngdăo Shì)</v>
      </c>
    </row>
    <row r="1337" spans="1:16" hidden="1" x14ac:dyDescent="0.25">
      <c r="A1337" t="s">
        <v>3591</v>
      </c>
      <c r="B1337" t="str">
        <f>IF(COUNTIF(A:A,A1337)&gt;1,_xlfn.CONCAT(A1337," (",N1337,")"),A1337)</f>
        <v>Wángcūn Zhèn</v>
      </c>
      <c r="C1337" t="str">
        <f>IF(COUNTIF(B:B,B1337)&gt;1,_xlfn.CONCAT(A1337," (",M1337,")"),B1337)</f>
        <v>Wángcūn Zhèn</v>
      </c>
      <c r="D1337" t="s">
        <v>3592</v>
      </c>
      <c r="E1337" t="s">
        <v>13</v>
      </c>
      <c r="F1337" t="str">
        <f>_xlfn.CONCAT(D1337,", ",H1337,", ",I1337,", ","山东省")</f>
        <v>王村镇, 周村区, 淄博市, 山东省</v>
      </c>
      <c r="G1337">
        <v>43025</v>
      </c>
      <c r="H1337" t="s">
        <v>3798</v>
      </c>
      <c r="I1337" t="s">
        <v>3791</v>
      </c>
      <c r="J1337">
        <f>VLOOKUP(F1337,[1]!china_towns_second__2[[Column1]:[Y]],3,FALSE)</f>
        <v>36.690683667671998</v>
      </c>
      <c r="K1337">
        <f>VLOOKUP(F1337,[1]!china_towns_second__2[[Column1]:[Y]],2,FALSE)</f>
        <v>117.77040119999999</v>
      </c>
      <c r="L1337" t="s">
        <v>6167</v>
      </c>
      <c r="M1337" t="str">
        <f>VLOOKUP(H1337,CHOOSE({1,2},Table17[Native],Table17[Name]),2,0)</f>
        <v>Zhōucūn Qū</v>
      </c>
      <c r="N1337" s="15" t="str">
        <f>VLOOKUP(I1337,CHOOSE({1,2},Table17[Native],Table17[Name]),2,0)</f>
        <v>Zībó Shì</v>
      </c>
      <c r="O1337" s="15" t="str">
        <f t="shared" si="40"/>
        <v>Wangcun Zhen (Zībó Shì)</v>
      </c>
      <c r="P1337" s="15" t="str">
        <f t="shared" si="41"/>
        <v>Wangcun Zhen (Zībó Shì)</v>
      </c>
    </row>
    <row r="1338" spans="1:16" hidden="1" x14ac:dyDescent="0.25">
      <c r="A1338" t="s">
        <v>387</v>
      </c>
      <c r="B1338" t="str">
        <f>IF(COUNTIF(A:A,A1338)&gt;1,_xlfn.CONCAT(A1338," (",N1338,")"),A1338)</f>
        <v>Wángdăguà Zhèn</v>
      </c>
      <c r="C1338" t="str">
        <f>IF(COUNTIF(B:B,B1338)&gt;1,_xlfn.CONCAT(A1338," (",M1338,")"),B1338)</f>
        <v>Wángdăguà Zhèn</v>
      </c>
      <c r="D1338" t="s">
        <v>388</v>
      </c>
      <c r="E1338" t="s">
        <v>13</v>
      </c>
      <c r="F1338" t="str">
        <f>_xlfn.CONCAT(D1338,", ",H1338,", ",I1338,", ","山东省")</f>
        <v>王打卦镇, 平原县, 德州市, 山东省</v>
      </c>
      <c r="G1338">
        <v>22430</v>
      </c>
      <c r="H1338" t="s">
        <v>3648</v>
      </c>
      <c r="I1338" t="s">
        <v>3642</v>
      </c>
      <c r="J1338">
        <f>VLOOKUP(F1338,[1]!china_towns_second__2[[Column1]:[Y]],3,FALSE)</f>
        <v>37.149400643875801</v>
      </c>
      <c r="K1338">
        <f>VLOOKUP(F1338,[1]!china_towns_second__2[[Column1]:[Y]],2,FALSE)</f>
        <v>116.32569410000001</v>
      </c>
      <c r="L1338" t="s">
        <v>6168</v>
      </c>
      <c r="M1338" t="str">
        <f>VLOOKUP(H1338,CHOOSE({1,2},Table17[Native],Table17[Name]),2,0)</f>
        <v>Píngyuán Xiàn</v>
      </c>
      <c r="N1338" s="15" t="str">
        <f>VLOOKUP(I1338,CHOOSE({1,2},Table17[Native],Table17[Name]),2,0)</f>
        <v>Dézhōu Shì</v>
      </c>
      <c r="O1338" s="15" t="str">
        <f t="shared" si="40"/>
        <v>Wangdagua Zhen (Dézhōu Shì)</v>
      </c>
      <c r="P1338" s="15" t="str">
        <f t="shared" si="41"/>
        <v>Wangdagua Zhen (Dézhōu Shì)</v>
      </c>
    </row>
    <row r="1339" spans="1:16" hidden="1" x14ac:dyDescent="0.25">
      <c r="A1339" t="s">
        <v>2839</v>
      </c>
      <c r="B1339" t="str">
        <f>IF(COUNTIF(A:A,A1339)&gt;1,_xlfn.CONCAT(A1339," (",N1339,")"),A1339)</f>
        <v>Wángfén Zhèn</v>
      </c>
      <c r="C1339" t="str">
        <f>IF(COUNTIF(B:B,B1339)&gt;1,_xlfn.CONCAT(A1339," (",M1339,")"),B1339)</f>
        <v>Wángfén Zhèn</v>
      </c>
      <c r="D1339" t="s">
        <v>2840</v>
      </c>
      <c r="E1339" t="s">
        <v>13</v>
      </c>
      <c r="F1339" t="str">
        <f>_xlfn.CONCAT(D1339,", ",H1339,", ",I1339,", ","山东省")</f>
        <v>王坟镇, 青州市, 潍坊市, 山东省</v>
      </c>
      <c r="G1339">
        <v>48052</v>
      </c>
      <c r="H1339" t="s">
        <v>3760</v>
      </c>
      <c r="I1339" t="s">
        <v>3751</v>
      </c>
      <c r="J1339">
        <f>VLOOKUP(F1339,[1]!china_towns_second__2[[Column1]:[Y]],3,FALSE)</f>
        <v>36.541190565233599</v>
      </c>
      <c r="K1339">
        <f>VLOOKUP(F1339,[1]!china_towns_second__2[[Column1]:[Y]],2,FALSE)</f>
        <v>118.36259750000001</v>
      </c>
      <c r="L1339" t="s">
        <v>6169</v>
      </c>
      <c r="M1339" t="str">
        <f>VLOOKUP(H1339,CHOOSE({1,2},Table17[Native],Table17[Name]),2,0)</f>
        <v>Qīngzhōu Shì</v>
      </c>
      <c r="N1339" s="15" t="str">
        <f>VLOOKUP(I1339,CHOOSE({1,2},Table17[Native],Table17[Name]),2,0)</f>
        <v>Wéifāng Shì</v>
      </c>
      <c r="O1339" s="15" t="str">
        <f t="shared" si="40"/>
        <v>Wangfen Zhen (Wéifāng Shì)</v>
      </c>
      <c r="P1339" s="15" t="str">
        <f t="shared" si="41"/>
        <v>Wangfen Zhen (Wéifāng Shì)</v>
      </c>
    </row>
    <row r="1340" spans="1:16" hidden="1" x14ac:dyDescent="0.25">
      <c r="A1340" t="s">
        <v>1708</v>
      </c>
      <c r="B1340" t="str">
        <f>IF(COUNTIF(A:A,A1340)&gt;1,_xlfn.CONCAT(A1340," (",N1340,")"),A1340)</f>
        <v>Wángfèng Zhèn</v>
      </c>
      <c r="C1340" t="str">
        <f>IF(COUNTIF(B:B,B1340)&gt;1,_xlfn.CONCAT(A1340," (",M1340,")"),B1340)</f>
        <v>Wángfèng Zhèn</v>
      </c>
      <c r="D1340" t="s">
        <v>1709</v>
      </c>
      <c r="E1340" t="s">
        <v>13</v>
      </c>
      <c r="F1340" t="str">
        <f>_xlfn.CONCAT(D1340,", ",H1340,", ",I1340,", ","山东省")</f>
        <v>王奉镇, 莘县, 聊城市, 山东省</v>
      </c>
      <c r="G1340">
        <v>43614</v>
      </c>
      <c r="H1340" t="s">
        <v>3707</v>
      </c>
      <c r="I1340" t="s">
        <v>3700</v>
      </c>
      <c r="J1340">
        <f>VLOOKUP(F1340,[1]!china_towns_second__2[[Column1]:[Y]],3,FALSE)</f>
        <v>36.341356358111902</v>
      </c>
      <c r="K1340">
        <f>VLOOKUP(F1340,[1]!china_towns_second__2[[Column1]:[Y]],2,FALSE)</f>
        <v>115.4084483</v>
      </c>
      <c r="L1340" t="s">
        <v>6170</v>
      </c>
      <c r="M1340" t="str">
        <f>VLOOKUP(H1340,CHOOSE({1,2},Table17[Native],Table17[Name]),2,0)</f>
        <v>Shēn Xiàn</v>
      </c>
      <c r="N1340" s="15" t="str">
        <f>VLOOKUP(I1340,CHOOSE({1,2},Table17[Native],Table17[Name]),2,0)</f>
        <v>Liáochéng Shì</v>
      </c>
      <c r="O1340" s="15" t="str">
        <f t="shared" si="40"/>
        <v>Wangfeng Zhen (Liáochéng Shì)</v>
      </c>
      <c r="P1340" s="15" t="str">
        <f t="shared" si="41"/>
        <v>Wangfeng Zhen (Liáochéng Shì)</v>
      </c>
    </row>
    <row r="1341" spans="1:16" hidden="1" x14ac:dyDescent="0.25">
      <c r="A1341" t="s">
        <v>389</v>
      </c>
      <c r="B1341" t="str">
        <f>IF(COUNTIF(A:A,A1341)&gt;1,_xlfn.CONCAT(A1341," (",N1341,")"),A1341)</f>
        <v>Wángfènglóu Zhèn</v>
      </c>
      <c r="C1341" t="str">
        <f>IF(COUNTIF(B:B,B1341)&gt;1,_xlfn.CONCAT(A1341," (",M1341,")"),B1341)</f>
        <v>Wángfènglóu Zhèn</v>
      </c>
      <c r="D1341" t="s">
        <v>390</v>
      </c>
      <c r="E1341" t="s">
        <v>13</v>
      </c>
      <c r="F1341" t="str">
        <f>_xlfn.CONCAT(D1341,", ",H1341,", ",I1341,", ","山东省")</f>
        <v>王凤楼镇, 平原县, 德州市, 山东省</v>
      </c>
      <c r="G1341">
        <v>51959</v>
      </c>
      <c r="H1341" t="s">
        <v>3648</v>
      </c>
      <c r="I1341" t="s">
        <v>3642</v>
      </c>
      <c r="J1341">
        <f>VLOOKUP(F1341,[1]!china_towns_second__2[[Column1]:[Y]],3,FALSE)</f>
        <v>37.202011394957204</v>
      </c>
      <c r="K1341">
        <f>VLOOKUP(F1341,[1]!china_towns_second__2[[Column1]:[Y]],2,FALSE)</f>
        <v>116.60498870000001</v>
      </c>
      <c r="L1341" t="s">
        <v>6171</v>
      </c>
      <c r="M1341" t="str">
        <f>VLOOKUP(H1341,CHOOSE({1,2},Table17[Native],Table17[Name]),2,0)</f>
        <v>Píngyuán Xiàn</v>
      </c>
      <c r="N1341" s="15" t="str">
        <f>VLOOKUP(I1341,CHOOSE({1,2},Table17[Native],Table17[Name]),2,0)</f>
        <v>Dézhōu Shì</v>
      </c>
      <c r="O1341" s="15" t="str">
        <f t="shared" si="40"/>
        <v>Wangfenglou Zhen (Dézhōu Shì)</v>
      </c>
      <c r="P1341" s="15" t="str">
        <f t="shared" si="41"/>
        <v>Wangfenglou Zhen (Dézhōu Shì)</v>
      </c>
    </row>
    <row r="1342" spans="1:16" hidden="1" x14ac:dyDescent="0.25">
      <c r="A1342" t="s">
        <v>2841</v>
      </c>
      <c r="B1342" t="str">
        <f>IF(COUNTIF(A:A,A1342)&gt;1,_xlfn.CONCAT(A1342," (",N1342,")"),A1342)</f>
        <v>Wángfŭ Jiēdào</v>
      </c>
      <c r="C1342" t="str">
        <f>IF(COUNTIF(B:B,B1342)&gt;1,_xlfn.CONCAT(A1342," (",M1342,")"),B1342)</f>
        <v>Wángfŭ Jiēdào</v>
      </c>
      <c r="D1342" t="s">
        <v>2842</v>
      </c>
      <c r="E1342" t="s">
        <v>7</v>
      </c>
      <c r="F1342" t="str">
        <f>_xlfn.CONCAT(D1342,", ",H1342,", ",I1342,", ","山东省")</f>
        <v>王府街道, 青州市, 潍坊市, 山东省</v>
      </c>
      <c r="G1342">
        <v>133240</v>
      </c>
      <c r="H1342" t="s">
        <v>3760</v>
      </c>
      <c r="I1342" t="s">
        <v>3751</v>
      </c>
      <c r="J1342">
        <f>VLOOKUP(F1342,[1]!china_towns_second__2[[Column1]:[Y]],3,FALSE)</f>
        <v>36.650268592899899</v>
      </c>
      <c r="K1342">
        <f>VLOOKUP(F1342,[1]!china_towns_second__2[[Column1]:[Y]],2,FALSE)</f>
        <v>118.377911</v>
      </c>
      <c r="L1342" t="s">
        <v>6172</v>
      </c>
      <c r="M1342" t="str">
        <f>VLOOKUP(H1342,CHOOSE({1,2},Table17[Native],Table17[Name]),2,0)</f>
        <v>Qīngzhōu Shì</v>
      </c>
      <c r="N1342" s="15" t="str">
        <f>VLOOKUP(I1342,CHOOSE({1,2},Table17[Native],Table17[Name]),2,0)</f>
        <v>Wéifāng Shì</v>
      </c>
      <c r="O1342" s="15" t="str">
        <f t="shared" si="40"/>
        <v>Wangfu Jiedao (Wéifāng Shì)</v>
      </c>
      <c r="P1342" s="15" t="str">
        <f t="shared" si="41"/>
        <v>Wangfu Jiedao (Wéifāng Shì)</v>
      </c>
    </row>
    <row r="1343" spans="1:16" hidden="1" x14ac:dyDescent="0.25">
      <c r="A1343" t="s">
        <v>391</v>
      </c>
      <c r="B1343" t="str">
        <f>IF(COUNTIF(A:A,A1343)&gt;1,_xlfn.CONCAT(A1343," (",N1343,")"),A1343)</f>
        <v>Wánggăopū Zhèn</v>
      </c>
      <c r="C1343" t="str">
        <f>IF(COUNTIF(B:B,B1343)&gt;1,_xlfn.CONCAT(A1343," (",M1343,")"),B1343)</f>
        <v>Wánggăopū Zhèn</v>
      </c>
      <c r="D1343" t="s">
        <v>392</v>
      </c>
      <c r="E1343" t="s">
        <v>13</v>
      </c>
      <c r="F1343" t="str">
        <f>_xlfn.CONCAT(D1343,", ",H1343,", ",I1343,", ","山东省")</f>
        <v>王杲铺镇, 平原县, 德州市, 山东省</v>
      </c>
      <c r="G1343">
        <v>28533</v>
      </c>
      <c r="H1343" t="s">
        <v>3648</v>
      </c>
      <c r="I1343" t="s">
        <v>3642</v>
      </c>
      <c r="J1343">
        <f>VLOOKUP(F1343,[1]!china_towns_second__2[[Column1]:[Y]],3,FALSE)</f>
        <v>37.235183463460501</v>
      </c>
      <c r="K1343">
        <f>VLOOKUP(F1343,[1]!china_towns_second__2[[Column1]:[Y]],2,FALSE)</f>
        <v>116.30393840000001</v>
      </c>
      <c r="L1343" t="s">
        <v>6173</v>
      </c>
      <c r="M1343" t="str">
        <f>VLOOKUP(H1343,CHOOSE({1,2},Table17[Native],Table17[Name]),2,0)</f>
        <v>Píngyuán Xiàn</v>
      </c>
      <c r="N1343" s="15" t="str">
        <f>VLOOKUP(I1343,CHOOSE({1,2},Table17[Native],Table17[Name]),2,0)</f>
        <v>Dézhōu Shì</v>
      </c>
      <c r="O1343" s="15" t="str">
        <f t="shared" si="40"/>
        <v>Wanggaopu Zhen (Dézhōu Shì)</v>
      </c>
      <c r="P1343" s="15" t="str">
        <f t="shared" si="41"/>
        <v>Wanggaopu Zhen (Dézhōu Shì)</v>
      </c>
    </row>
    <row r="1344" spans="1:16" hidden="1" x14ac:dyDescent="0.25">
      <c r="A1344" t="s">
        <v>2317</v>
      </c>
      <c r="B1344" t="str">
        <f>IF(COUNTIF(A:A,A1344)&gt;1,_xlfn.CONCAT(A1344," (",N1344,")"),A1344)</f>
        <v>Wánggēzhuāng Jiēdào</v>
      </c>
      <c r="C1344" t="str">
        <f>IF(COUNTIF(B:B,B1344)&gt;1,_xlfn.CONCAT(A1344," (",M1344,")"),B1344)</f>
        <v>Wánggēzhuāng Jiēdào</v>
      </c>
      <c r="D1344" t="s">
        <v>2318</v>
      </c>
      <c r="E1344" t="s">
        <v>7</v>
      </c>
      <c r="F1344" t="str">
        <f>_xlfn.CONCAT(D1344,", ",H1344,", ",I1344,", ","山东省")</f>
        <v>王哥庄街道, 崂山区, 青岛市, 山东省</v>
      </c>
      <c r="G1344">
        <v>44258</v>
      </c>
      <c r="H1344" t="s">
        <v>3730</v>
      </c>
      <c r="I1344" t="s">
        <v>3724</v>
      </c>
      <c r="J1344">
        <f>VLOOKUP(F1344,[1]!china_towns_second__2[[Column1]:[Y]],3,FALSE)</f>
        <v>36.236225584162497</v>
      </c>
      <c r="K1344">
        <f>VLOOKUP(F1344,[1]!china_towns_second__2[[Column1]:[Y]],2,FALSE)</f>
        <v>120.6455649</v>
      </c>
      <c r="L1344" t="s">
        <v>6174</v>
      </c>
      <c r="M1344" t="str">
        <f>VLOOKUP(H1344,CHOOSE({1,2},Table17[Native],Table17[Name]),2,0)</f>
        <v>Láoshān Qū</v>
      </c>
      <c r="N1344" s="15" t="str">
        <f>VLOOKUP(I1344,CHOOSE({1,2},Table17[Native],Table17[Name]),2,0)</f>
        <v>Qīngdăo Shì</v>
      </c>
      <c r="O1344" s="15" t="str">
        <f t="shared" si="40"/>
        <v>Wanggezhuang Jiedao (Qīngdăo Shì)</v>
      </c>
      <c r="P1344" s="15" t="str">
        <f t="shared" si="41"/>
        <v>Wanggezhuang Jiedao (Qīngdăo Shì)</v>
      </c>
    </row>
    <row r="1345" spans="1:16" hidden="1" x14ac:dyDescent="0.25">
      <c r="A1345" t="s">
        <v>3261</v>
      </c>
      <c r="B1345" t="str">
        <f>IF(COUNTIF(A:A,A1345)&gt;1,_xlfn.CONCAT(A1345," (",N1345,")"),A1345)</f>
        <v>Wánggézhuāng Zhèn</v>
      </c>
      <c r="C1345" t="str">
        <f>IF(COUNTIF(B:B,B1345)&gt;1,_xlfn.CONCAT(A1345," (",M1345,")"),B1345)</f>
        <v>Wánggézhuāng Zhèn</v>
      </c>
      <c r="D1345" t="s">
        <v>3262</v>
      </c>
      <c r="E1345" t="s">
        <v>13</v>
      </c>
      <c r="F1345" t="str">
        <f>_xlfn.CONCAT(D1345,", ",H1345,", ",I1345,", ","山东省")</f>
        <v>王格庄镇, 牟平区, 烟台市, 山东省</v>
      </c>
      <c r="G1345">
        <v>18666</v>
      </c>
      <c r="H1345" t="s">
        <v>3778</v>
      </c>
      <c r="I1345" t="s">
        <v>3771</v>
      </c>
      <c r="J1345">
        <f>VLOOKUP(F1345,[1]!china_towns_second__2[[Column1]:[Y]],3,FALSE)</f>
        <v>37.166650522833102</v>
      </c>
      <c r="K1345">
        <f>VLOOKUP(F1345,[1]!china_towns_second__2[[Column1]:[Y]],2,FALSE)</f>
        <v>121.3867916</v>
      </c>
      <c r="L1345" t="s">
        <v>6175</v>
      </c>
      <c r="M1345" t="str">
        <f>VLOOKUP(H1345,CHOOSE({1,2},Table17[Native],Table17[Name]),2,0)</f>
        <v>Mùpíng Qū</v>
      </c>
      <c r="N1345" s="15" t="str">
        <f>VLOOKUP(I1345,CHOOSE({1,2},Table17[Native],Table17[Name]),2,0)</f>
        <v>Yāntái Shì</v>
      </c>
      <c r="O1345" s="15" t="str">
        <f t="shared" si="40"/>
        <v>Wanggezhuang Zhen (Yāntái Shì)</v>
      </c>
      <c r="P1345" s="15" t="str">
        <f t="shared" si="41"/>
        <v>Wanggezhuang Zhen (Yāntái Shì)</v>
      </c>
    </row>
    <row r="1346" spans="1:16" hidden="1" x14ac:dyDescent="0.25">
      <c r="A1346" t="s">
        <v>2028</v>
      </c>
      <c r="B1346" t="str">
        <f>IF(COUNTIF(A:A,A1346)&gt;1,_xlfn.CONCAT(A1346," (",N1346,")"),A1346)</f>
        <v>Wānggōu Zhèn</v>
      </c>
      <c r="C1346" t="str">
        <f>IF(COUNTIF(B:B,B1346)&gt;1,_xlfn.CONCAT(A1346," (",M1346,")"),B1346)</f>
        <v>Wānggōu Zhèn</v>
      </c>
      <c r="D1346" t="s">
        <v>2029</v>
      </c>
      <c r="E1346" t="s">
        <v>13</v>
      </c>
      <c r="F1346" t="str">
        <f>_xlfn.CONCAT(D1346,", ",H1346,", ",I1346,", ","山东省")</f>
        <v>汪沟镇, 兰山区, 临沂市, 山东省</v>
      </c>
      <c r="G1346">
        <v>63554</v>
      </c>
      <c r="H1346" t="s">
        <v>3715</v>
      </c>
      <c r="I1346" t="s">
        <v>3710</v>
      </c>
      <c r="J1346">
        <f>VLOOKUP(F1346,[1]!china_towns_second__2[[Column1]:[Y]],3,FALSE)</f>
        <v>35.307762776339999</v>
      </c>
      <c r="K1346">
        <f>VLOOKUP(F1346,[1]!china_towns_second__2[[Column1]:[Y]],2,FALSE)</f>
        <v>118.2569343</v>
      </c>
      <c r="L1346" t="s">
        <v>6176</v>
      </c>
      <c r="M1346" t="str">
        <f>VLOOKUP(H1346,CHOOSE({1,2},Table17[Native],Table17[Name]),2,0)</f>
        <v>Lánshān Qū</v>
      </c>
      <c r="N1346" s="15" t="str">
        <f>VLOOKUP(I1346,CHOOSE({1,2},Table17[Native],Table17[Name]),2,0)</f>
        <v>Línyí Shì</v>
      </c>
      <c r="O1346" s="15" t="str">
        <f t="shared" ref="O1346:O1409" si="42">_xlfn.CONCAT(L1346," (",N1346,")")</f>
        <v>Wanggou Zhen (Línyí Shì)</v>
      </c>
      <c r="P1346" s="15" t="str">
        <f t="shared" ref="P1346:P1409" si="43">IF(COUNTIF(O:O,O1346)&gt;1,_xlfn.CONCAT(L1346," (",M1346,")"),O1346)</f>
        <v>Wanggou Zhen (Línyí Shì)</v>
      </c>
    </row>
    <row r="1347" spans="1:16" hidden="1" x14ac:dyDescent="0.25">
      <c r="A1347" t="s">
        <v>2627</v>
      </c>
      <c r="B1347" t="str">
        <f>IF(COUNTIF(A:A,A1347)&gt;1,_xlfn.CONCAT(A1347," (",N1347,")"),A1347)</f>
        <v>Wángguādiàn Jiēdào</v>
      </c>
      <c r="C1347" t="str">
        <f>IF(COUNTIF(B:B,B1347)&gt;1,_xlfn.CONCAT(A1347," (",M1347,")"),B1347)</f>
        <v>Wángguādiàn Jiēdào</v>
      </c>
      <c r="D1347" t="s">
        <v>2628</v>
      </c>
      <c r="E1347" t="s">
        <v>7</v>
      </c>
      <c r="F1347" t="str">
        <f>_xlfn.CONCAT(D1347,", ",H1347,", ",I1347,", ","山东省")</f>
        <v>王瓜店街道, 肥城市, 泰安市, 山东省</v>
      </c>
      <c r="G1347">
        <v>82065</v>
      </c>
      <c r="H1347" t="s">
        <v>3746</v>
      </c>
      <c r="I1347" t="s">
        <v>3743</v>
      </c>
      <c r="J1347">
        <f>VLOOKUP(F1347,[1]!china_towns_second__2[[Column1]:[Y]],3,FALSE)</f>
        <v>36.222361570697799</v>
      </c>
      <c r="K1347">
        <f>VLOOKUP(F1347,[1]!china_towns_second__2[[Column1]:[Y]],2,FALSE)</f>
        <v>116.6886142</v>
      </c>
      <c r="L1347" t="s">
        <v>6177</v>
      </c>
      <c r="M1347" t="str">
        <f>VLOOKUP(H1347,CHOOSE({1,2},Table17[Native],Table17[Name]),2,0)</f>
        <v>Féichéng Shì</v>
      </c>
      <c r="N1347" s="15" t="str">
        <f>VLOOKUP(I1347,CHOOSE({1,2},Table17[Native],Table17[Name]),2,0)</f>
        <v>Tài'ān Shì</v>
      </c>
      <c r="O1347" s="15" t="str">
        <f t="shared" si="42"/>
        <v>Wangguadian Jiedao (Tài'ān Shì)</v>
      </c>
      <c r="P1347" s="15" t="str">
        <f t="shared" si="43"/>
        <v>Wangguadian Jiedao (Tài'ān Shì)</v>
      </c>
    </row>
    <row r="1348" spans="1:16" hidden="1" x14ac:dyDescent="0.25">
      <c r="A1348" t="s">
        <v>1138</v>
      </c>
      <c r="B1348" t="str">
        <f>IF(COUNTIF(A:A,A1348)&gt;1,_xlfn.CONCAT(A1348," (",N1348,")"),A1348)</f>
        <v>Wángguānzhuāng Jiēdào</v>
      </c>
      <c r="C1348" t="str">
        <f>IF(COUNTIF(B:B,B1348)&gt;1,_xlfn.CONCAT(A1348," (",M1348,")"),B1348)</f>
        <v>Wángguānzhuāng Jiēdào</v>
      </c>
      <c r="D1348" t="s">
        <v>1139</v>
      </c>
      <c r="E1348" t="s">
        <v>7</v>
      </c>
      <c r="F1348" t="str">
        <f>_xlfn.CONCAT(D1348,", ",H1348,", ",I1348,", ","山东省")</f>
        <v>王官庄街道, 市中区, 济南市, 山东省</v>
      </c>
      <c r="G1348">
        <v>41558</v>
      </c>
      <c r="H1348" t="s">
        <v>3683</v>
      </c>
      <c r="I1348" t="s">
        <v>3673</v>
      </c>
      <c r="J1348">
        <f>VLOOKUP(F1348,[1]!china_towns_second__2[[Column1]:[Y]],3,FALSE)</f>
        <v>36.629744673553603</v>
      </c>
      <c r="K1348">
        <f>VLOOKUP(F1348,[1]!china_towns_second__2[[Column1]:[Y]],2,FALSE)</f>
        <v>116.9576993</v>
      </c>
      <c r="L1348" t="s">
        <v>6178</v>
      </c>
      <c r="M1348" t="str">
        <f>VLOOKUP(H1348,CHOOSE({1,2},Table17[Native],Table17[Name]),2,0)</f>
        <v>Shìzhōng Qū</v>
      </c>
      <c r="N1348" s="15" t="str">
        <f>VLOOKUP(I1348,CHOOSE({1,2},Table17[Native],Table17[Name]),2,0)</f>
        <v>Jìnán Shì</v>
      </c>
      <c r="O1348" s="15" t="str">
        <f t="shared" si="42"/>
        <v>Wangguanzhuang Jiedao (Jìnán Shì)</v>
      </c>
      <c r="P1348" s="15" t="str">
        <f t="shared" si="43"/>
        <v>Wangguanzhuang Jiedao (Jìnán Shì)</v>
      </c>
    </row>
    <row r="1349" spans="1:16" hidden="1" x14ac:dyDescent="0.25">
      <c r="A1349" t="s">
        <v>830</v>
      </c>
      <c r="B1349" t="str">
        <f>IF(COUNTIF(A:A,A1349)&gt;1,_xlfn.CONCAT(A1349," (",N1349,")"),A1349)</f>
        <v>Wánghàotún Zhèn</v>
      </c>
      <c r="C1349" t="str">
        <f>IF(COUNTIF(B:B,B1349)&gt;1,_xlfn.CONCAT(A1349," (",M1349,")"),B1349)</f>
        <v>Wánghàotún Zhèn</v>
      </c>
      <c r="D1349" t="s">
        <v>831</v>
      </c>
      <c r="E1349" t="s">
        <v>13</v>
      </c>
      <c r="F1349" t="str">
        <f>_xlfn.CONCAT(D1349,", ",H1349,", ",I1349,", ","山东省")</f>
        <v>王浩屯镇, 牡丹区, 菏泽市, 山东省</v>
      </c>
      <c r="G1349">
        <v>48230</v>
      </c>
      <c r="H1349" t="s">
        <v>3669</v>
      </c>
      <c r="I1349" t="s">
        <v>3662</v>
      </c>
      <c r="J1349">
        <f>VLOOKUP(F1349,[1]!china_towns_second__2[[Column1]:[Y]],3,FALSE)</f>
        <v>35.121960090260501</v>
      </c>
      <c r="K1349">
        <f>VLOOKUP(F1349,[1]!china_towns_second__2[[Column1]:[Y]],2,FALSE)</f>
        <v>115.30889259999999</v>
      </c>
      <c r="L1349" t="s">
        <v>6179</v>
      </c>
      <c r="M1349" t="str">
        <f>VLOOKUP(H1349,CHOOSE({1,2},Table17[Native],Table17[Name]),2,0)</f>
        <v>Mŭdān Qū</v>
      </c>
      <c r="N1349" s="15" t="str">
        <f>VLOOKUP(I1349,CHOOSE({1,2},Table17[Native],Table17[Name]),2,0)</f>
        <v>Hézé Shì</v>
      </c>
      <c r="O1349" s="15" t="str">
        <f t="shared" si="42"/>
        <v>Wanghaotun Zhen (Hézé Shì)</v>
      </c>
      <c r="P1349" s="15" t="str">
        <f t="shared" si="43"/>
        <v>Wanghaotun Zhen (Hézé Shì)</v>
      </c>
    </row>
    <row r="1350" spans="1:16" hidden="1" x14ac:dyDescent="0.25">
      <c r="A1350" t="s">
        <v>2476</v>
      </c>
      <c r="B1350" t="str">
        <f>IF(COUNTIF(A:A,A1350)&gt;1,_xlfn.CONCAT(A1350," (",N1350,")"),A1350)</f>
        <v>Wānghú Zhèn</v>
      </c>
      <c r="C1350" t="str">
        <f>IF(COUNTIF(B:B,B1350)&gt;1,_xlfn.CONCAT(A1350," (",M1350,")"),B1350)</f>
        <v>Wānghú Zhèn</v>
      </c>
      <c r="D1350" t="s">
        <v>2477</v>
      </c>
      <c r="E1350" t="s">
        <v>13</v>
      </c>
      <c r="F1350" t="str">
        <f>_xlfn.CONCAT(D1350,", ",H1350,", ",I1350,", ","山东省")</f>
        <v>汪湖镇, 五莲县, 日照市, 山东省</v>
      </c>
      <c r="G1350">
        <v>20561</v>
      </c>
      <c r="H1350" t="s">
        <v>3741</v>
      </c>
      <c r="I1350" t="s">
        <v>3736</v>
      </c>
      <c r="J1350">
        <f>VLOOKUP(F1350,[1]!china_towns_second__2[[Column1]:[Y]],3,FALSE)</f>
        <v>35.9286232647828</v>
      </c>
      <c r="K1350">
        <f>VLOOKUP(F1350,[1]!china_towns_second__2[[Column1]:[Y]],2,FALSE)</f>
        <v>119.1158298</v>
      </c>
      <c r="L1350" t="s">
        <v>6180</v>
      </c>
      <c r="M1350" t="str">
        <f>VLOOKUP(H1350,CHOOSE({1,2},Table17[Native],Table17[Name]),2,0)</f>
        <v>Wŭlián Xiàn</v>
      </c>
      <c r="N1350" s="15" t="str">
        <f>VLOOKUP(I1350,CHOOSE({1,2},Table17[Native],Table17[Name]),2,0)</f>
        <v>Rìzhào Shì</v>
      </c>
      <c r="O1350" s="15" t="str">
        <f t="shared" si="42"/>
        <v>Wanghu Zhen (Rìzhào Shì)</v>
      </c>
      <c r="P1350" s="15" t="str">
        <f t="shared" si="43"/>
        <v>Wanghu Zhen (Rìzhào Shì)</v>
      </c>
    </row>
    <row r="1351" spans="1:16" hidden="1" x14ac:dyDescent="0.25">
      <c r="A1351" t="s">
        <v>2843</v>
      </c>
      <c r="B1351" t="str">
        <f>IF(COUNTIF(A:A,A1351)&gt;1,_xlfn.CONCAT(A1351," (",N1351,")"),A1351)</f>
        <v>Wángjiāzhuāng Jiēdào [Zhàogē Zhèn]</v>
      </c>
      <c r="C1351" t="str">
        <f>IF(COUNTIF(B:B,B1351)&gt;1,_xlfn.CONCAT(A1351," (",M1351,")"),B1351)</f>
        <v>Wángjiāzhuāng Jiēdào [Zhàogē Zhèn]</v>
      </c>
      <c r="D1351" t="s">
        <v>2844</v>
      </c>
      <c r="E1351" t="s">
        <v>7</v>
      </c>
      <c r="F1351" t="str">
        <f>_xlfn.CONCAT(D1351,", ",H1351,", ",I1351,", ","山东省")</f>
        <v>王家庄街道, 坊子区, 潍坊市, 山东省</v>
      </c>
      <c r="G1351">
        <v>67664</v>
      </c>
      <c r="H1351" t="s">
        <v>3755</v>
      </c>
      <c r="I1351" t="s">
        <v>3751</v>
      </c>
      <c r="J1351" t="e">
        <f>VLOOKUP(F1351,[1]!china_towns_second__2[[Column1]:[Y]],3,FALSE)</f>
        <v>#N/A</v>
      </c>
      <c r="K1351" t="e">
        <f>VLOOKUP(F1351,[1]!china_towns_second__2[[Column1]:[Y]],2,FALSE)</f>
        <v>#N/A</v>
      </c>
      <c r="L1351" t="s">
        <v>6181</v>
      </c>
      <c r="M1351" t="str">
        <f>VLOOKUP(H1351,CHOOSE({1,2},Table17[Native],Table17[Name]),2,0)</f>
        <v>Fāngzi Qū</v>
      </c>
      <c r="N1351" s="15" t="str">
        <f>VLOOKUP(I1351,CHOOSE({1,2},Table17[Native],Table17[Name]),2,0)</f>
        <v>Wéifāng Shì</v>
      </c>
      <c r="O1351" s="15" t="str">
        <f t="shared" si="42"/>
        <v>Wangjiazhuang Jiedao [Zhaoge Zhen] (Wéifāng Shì)</v>
      </c>
      <c r="P1351" s="15" t="str">
        <f t="shared" si="43"/>
        <v>Wangjiazhuang Jiedao [Zhaoge Zhen] (Wéifāng Shì)</v>
      </c>
    </row>
    <row r="1352" spans="1:16" hidden="1" x14ac:dyDescent="0.25">
      <c r="A1352" t="s">
        <v>2986</v>
      </c>
      <c r="B1352" t="str">
        <f>IF(COUNTIF(A:A,A1352)&gt;1,_xlfn.CONCAT(A1352," (",N1352,")"),A1352)</f>
        <v>Wánglián Jiēdào</v>
      </c>
      <c r="C1352" t="str">
        <f>IF(COUNTIF(B:B,B1352)&gt;1,_xlfn.CONCAT(A1352," (",M1352,")"),B1352)</f>
        <v>Wánglián Jiēdào</v>
      </c>
      <c r="D1352" t="s">
        <v>2987</v>
      </c>
      <c r="E1352" t="s">
        <v>7</v>
      </c>
      <c r="F1352" t="str">
        <f>_xlfn.CONCAT(D1352,", ",H1352,", ",I1352,", ","山东省")</f>
        <v>王连街道, 荣成市, 威海市, 山东省</v>
      </c>
      <c r="G1352">
        <v>16530</v>
      </c>
      <c r="H1352" t="s">
        <v>3767</v>
      </c>
      <c r="I1352" t="s">
        <v>3765</v>
      </c>
      <c r="J1352">
        <f>VLOOKUP(F1352,[1]!china_towns_second__2[[Column1]:[Y]],3,FALSE)</f>
        <v>36.985666542204001</v>
      </c>
      <c r="K1352">
        <f>VLOOKUP(F1352,[1]!china_towns_second__2[[Column1]:[Y]],2,FALSE)</f>
        <v>122.3685869</v>
      </c>
      <c r="L1352" t="s">
        <v>6182</v>
      </c>
      <c r="M1352" t="str">
        <f>VLOOKUP(H1352,CHOOSE({1,2},Table17[Native],Table17[Name]),2,0)</f>
        <v>Róngchéng Shì</v>
      </c>
      <c r="N1352" s="15" t="str">
        <f>VLOOKUP(I1352,CHOOSE({1,2},Table17[Native],Table17[Name]),2,0)</f>
        <v>Wēihăi Shì</v>
      </c>
      <c r="O1352" s="15" t="str">
        <f t="shared" si="42"/>
        <v>Wanglian Jiedao (Wēihăi Shì)</v>
      </c>
      <c r="P1352" s="15" t="str">
        <f t="shared" si="43"/>
        <v>Wanglian Jiedao (Wēihăi Shì)</v>
      </c>
    </row>
    <row r="1353" spans="1:16" hidden="1" x14ac:dyDescent="0.25">
      <c r="A1353" t="s">
        <v>2845</v>
      </c>
      <c r="B1353" t="str">
        <f>IF(COUNTIF(A:A,A1353)&gt;1,_xlfn.CONCAT(A1353," (",N1353,")"),A1353)</f>
        <v>Wàngliú Jiēdào</v>
      </c>
      <c r="C1353" t="str">
        <f>IF(COUNTIF(B:B,B1353)&gt;1,_xlfn.CONCAT(A1353," (",M1353,")"),B1353)</f>
        <v>Wàngliú Jiēdào</v>
      </c>
      <c r="D1353" t="s">
        <v>2846</v>
      </c>
      <c r="E1353" t="s">
        <v>7</v>
      </c>
      <c r="F1353" t="str">
        <f>_xlfn.CONCAT(D1353,", ",H1353,", ",I1353,", ","山东省")</f>
        <v>望留街道, 潍城区, 潍坊市, 山东省</v>
      </c>
      <c r="G1353">
        <v>94437</v>
      </c>
      <c r="H1353" t="s">
        <v>3762</v>
      </c>
      <c r="I1353" t="s">
        <v>3751</v>
      </c>
      <c r="J1353">
        <f>VLOOKUP(F1353,[1]!china_towns_second__2[[Column1]:[Y]],3,FALSE)</f>
        <v>36.641240322163704</v>
      </c>
      <c r="K1353">
        <f>VLOOKUP(F1353,[1]!china_towns_second__2[[Column1]:[Y]],2,FALSE)</f>
        <v>119.0234497</v>
      </c>
      <c r="L1353" t="s">
        <v>6183</v>
      </c>
      <c r="M1353" t="str">
        <f>VLOOKUP(H1353,CHOOSE({1,2},Table17[Native],Table17[Name]),2,0)</f>
        <v>Wéichéng Qū</v>
      </c>
      <c r="N1353" s="15" t="str">
        <f>VLOOKUP(I1353,CHOOSE({1,2},Table17[Native],Table17[Name]),2,0)</f>
        <v>Wéifāng Shì</v>
      </c>
      <c r="O1353" s="15" t="str">
        <f t="shared" si="42"/>
        <v>Wangliu Jiedao (Wéifāng Shì)</v>
      </c>
      <c r="P1353" s="15" t="str">
        <f t="shared" si="43"/>
        <v>Wangliu Jiedao (Wéifāng Shì)</v>
      </c>
    </row>
    <row r="1354" spans="1:16" hidden="1" x14ac:dyDescent="0.25">
      <c r="A1354" t="s">
        <v>1434</v>
      </c>
      <c r="B1354" t="str">
        <f>IF(COUNTIF(A:A,A1354)&gt;1,_xlfn.CONCAT(A1354," (",N1354,")"),A1354)</f>
        <v>Wánglŭ Zhèn</v>
      </c>
      <c r="C1354" t="str">
        <f>IF(COUNTIF(B:B,B1354)&gt;1,_xlfn.CONCAT(A1354," (",M1354,")"),B1354)</f>
        <v>Wánglŭ Zhèn</v>
      </c>
      <c r="D1354" t="s">
        <v>1435</v>
      </c>
      <c r="E1354" t="s">
        <v>13</v>
      </c>
      <c r="F1354" t="str">
        <f>_xlfn.CONCAT(D1354,", ",H1354,", ",I1354,", ","山东省")</f>
        <v>王鲁镇, 鱼台县, 济宁市, 山东省</v>
      </c>
      <c r="G1354">
        <v>40210</v>
      </c>
      <c r="H1354" t="s">
        <v>3697</v>
      </c>
      <c r="I1354" t="s">
        <v>3687</v>
      </c>
      <c r="J1354">
        <f>VLOOKUP(F1354,[1]!china_towns_second__2[[Column1]:[Y]],3,FALSE)</f>
        <v>35.024366076243602</v>
      </c>
      <c r="K1354">
        <f>VLOOKUP(F1354,[1]!china_towns_second__2[[Column1]:[Y]],2,FALSE)</f>
        <v>116.61520950000001</v>
      </c>
      <c r="L1354" t="s">
        <v>6184</v>
      </c>
      <c r="M1354" t="str">
        <f>VLOOKUP(H1354,CHOOSE({1,2},Table17[Native],Table17[Name]),2,0)</f>
        <v>Yútái Xiàn</v>
      </c>
      <c r="N1354" s="15" t="str">
        <f>VLOOKUP(I1354,CHOOSE({1,2},Table17[Native],Table17[Name]),2,0)</f>
        <v>Jìníng Shì</v>
      </c>
      <c r="O1354" s="15" t="str">
        <f t="shared" si="42"/>
        <v>Wanglu Zhen (Jìníng Shì)</v>
      </c>
      <c r="P1354" s="15" t="str">
        <f t="shared" si="43"/>
        <v>Wanglu Zhen (Jìníng Shì)</v>
      </c>
    </row>
    <row r="1355" spans="1:16" hidden="1" x14ac:dyDescent="0.25">
      <c r="A1355" t="s">
        <v>393</v>
      </c>
      <c r="B1355" t="str">
        <f>IF(COUNTIF(A:A,A1355)&gt;1,_xlfn.CONCAT(A1355," (",N1355,")"),A1355)</f>
        <v>Wángmiào Zhèn (Dézhōu Shì)</v>
      </c>
      <c r="C1355" t="str">
        <f>IF(COUNTIF(B:B,B1355)&gt;1,_xlfn.CONCAT(A1355," (",M1355,")"),B1355)</f>
        <v>Wángmiào Zhèn (Dézhōu Shì)</v>
      </c>
      <c r="D1355" t="s">
        <v>394</v>
      </c>
      <c r="E1355" t="s">
        <v>13</v>
      </c>
      <c r="F1355" t="str">
        <f>_xlfn.CONCAT(D1355,", ",H1355,", ",I1355,", ","山东省")</f>
        <v>王庙镇, 平原县, 德州市, 山东省</v>
      </c>
      <c r="G1355">
        <v>33340</v>
      </c>
      <c r="H1355" t="s">
        <v>3648</v>
      </c>
      <c r="I1355" t="s">
        <v>3642</v>
      </c>
      <c r="J1355">
        <f>VLOOKUP(F1355,[1]!china_towns_second__2[[Column1]:[Y]],3,FALSE)</f>
        <v>37.032201471081798</v>
      </c>
      <c r="K1355">
        <f>VLOOKUP(F1355,[1]!china_towns_second__2[[Column1]:[Y]],2,FALSE)</f>
        <v>116.4109613</v>
      </c>
      <c r="L1355" t="s">
        <v>6185</v>
      </c>
      <c r="M1355" t="str">
        <f>VLOOKUP(H1355,CHOOSE({1,2},Table17[Native],Table17[Name]),2,0)</f>
        <v>Píngyuán Xiàn</v>
      </c>
      <c r="N1355" s="15" t="str">
        <f>VLOOKUP(I1355,CHOOSE({1,2},Table17[Native],Table17[Name]),2,0)</f>
        <v>Dézhōu Shì</v>
      </c>
      <c r="O1355" s="15" t="str">
        <f t="shared" si="42"/>
        <v>Wangmiao Zhen (Dezhou Shi) (Dézhōu Shì)</v>
      </c>
      <c r="P1355" s="15" t="str">
        <f t="shared" si="43"/>
        <v>Wangmiao Zhen (Dezhou Shi) (Dézhōu Shì)</v>
      </c>
    </row>
    <row r="1356" spans="1:16" hidden="1" x14ac:dyDescent="0.25">
      <c r="A1356" t="s">
        <v>393</v>
      </c>
      <c r="B1356" t="str">
        <f>IF(COUNTIF(A:A,A1356)&gt;1,_xlfn.CONCAT(A1356," (",N1356,")"),A1356)</f>
        <v>Wángmiào Zhèn (Jìníng Shì)</v>
      </c>
      <c r="C1356" t="str">
        <f>IF(COUNTIF(B:B,B1356)&gt;1,_xlfn.CONCAT(A1356," (",M1356,")"),B1356)</f>
        <v>Wángmiào Zhèn (Jìníng Shì)</v>
      </c>
      <c r="D1356" t="s">
        <v>394</v>
      </c>
      <c r="E1356" t="s">
        <v>13</v>
      </c>
      <c r="F1356" t="str">
        <f>_xlfn.CONCAT(D1356,", ",H1356,", ",I1356,", ","山东省")</f>
        <v>王庙镇, 鱼台县, 济宁市, 山东省</v>
      </c>
      <c r="G1356">
        <v>54954</v>
      </c>
      <c r="H1356" t="s">
        <v>3697</v>
      </c>
      <c r="I1356" t="s">
        <v>3687</v>
      </c>
      <c r="J1356">
        <f>VLOOKUP(F1356,[1]!china_towns_second__2[[Column1]:[Y]],3,FALSE)</f>
        <v>34.960866117341901</v>
      </c>
      <c r="K1356">
        <f>VLOOKUP(F1356,[1]!china_towns_second__2[[Column1]:[Y]],2,FALSE)</f>
        <v>116.55205410000001</v>
      </c>
      <c r="L1356" t="s">
        <v>6186</v>
      </c>
      <c r="M1356" t="str">
        <f>VLOOKUP(H1356,CHOOSE({1,2},Table17[Native],Table17[Name]),2,0)</f>
        <v>Yútái Xiàn</v>
      </c>
      <c r="N1356" s="15" t="str">
        <f>VLOOKUP(I1356,CHOOSE({1,2},Table17[Native],Table17[Name]),2,0)</f>
        <v>Jìníng Shì</v>
      </c>
      <c r="O1356" s="15" t="str">
        <f t="shared" si="42"/>
        <v>Wangmiao Zhen (Jining Shi) (Jìníng Shì)</v>
      </c>
      <c r="P1356" s="15" t="str">
        <f t="shared" si="43"/>
        <v>Wangmiao Zhen (Jining Shi) (Jìníng Shì)</v>
      </c>
    </row>
    <row r="1357" spans="1:16" hidden="1" x14ac:dyDescent="0.25">
      <c r="A1357" t="s">
        <v>1436</v>
      </c>
      <c r="B1357" t="str">
        <f>IF(COUNTIF(A:A,A1357)&gt;1,_xlfn.CONCAT(A1357," (",N1357,")"),A1357)</f>
        <v>Wángpī Jiēdào</v>
      </c>
      <c r="C1357" t="str">
        <f>IF(COUNTIF(B:B,B1357)&gt;1,_xlfn.CONCAT(A1357," (",M1357,")"),B1357)</f>
        <v>Wángpī Jiēdào</v>
      </c>
      <c r="D1357" t="s">
        <v>1437</v>
      </c>
      <c r="E1357" t="s">
        <v>7</v>
      </c>
      <c r="F1357" t="str">
        <f>_xlfn.CONCAT(D1357,", ",H1357,", ",I1357,", ","山东省")</f>
        <v>王丕街道, 金乡县, 济宁市, 山东省</v>
      </c>
      <c r="G1357">
        <v>20503</v>
      </c>
      <c r="H1357" t="s">
        <v>3689</v>
      </c>
      <c r="I1357" t="s">
        <v>3687</v>
      </c>
      <c r="J1357" t="e">
        <f>VLOOKUP(F1357,[1]!china_towns_second__2[[Column1]:[Y]],3,FALSE)</f>
        <v>#N/A</v>
      </c>
      <c r="K1357" t="e">
        <f>VLOOKUP(F1357,[1]!china_towns_second__2[[Column1]:[Y]],2,FALSE)</f>
        <v>#N/A</v>
      </c>
      <c r="L1357" t="s">
        <v>6187</v>
      </c>
      <c r="M1357" t="str">
        <f>VLOOKUP(H1357,CHOOSE({1,2},Table17[Native],Table17[Name]),2,0)</f>
        <v>Jīnxiāng Xiàn</v>
      </c>
      <c r="N1357" s="15" t="str">
        <f>VLOOKUP(I1357,CHOOSE({1,2},Table17[Native],Table17[Name]),2,0)</f>
        <v>Jìníng Shì</v>
      </c>
      <c r="O1357" s="15" t="str">
        <f t="shared" si="42"/>
        <v>Wangpi Jiedao (Jìníng Shì)</v>
      </c>
      <c r="P1357" s="15" t="str">
        <f t="shared" si="43"/>
        <v>Wangpi Jiedao (Jìníng Shì)</v>
      </c>
    </row>
    <row r="1358" spans="1:16" hidden="1" x14ac:dyDescent="0.25">
      <c r="A1358" t="s">
        <v>1140</v>
      </c>
      <c r="B1358" t="str">
        <f>IF(COUNTIF(A:A,A1358)&gt;1,_xlfn.CONCAT(A1358," (",N1358,")"),A1358)</f>
        <v>Wángshèrén Jiēdào</v>
      </c>
      <c r="C1358" t="str">
        <f>IF(COUNTIF(B:B,B1358)&gt;1,_xlfn.CONCAT(A1358," (",M1358,")"),B1358)</f>
        <v>Wángshèrén Jiēdào</v>
      </c>
      <c r="D1358" t="s">
        <v>1141</v>
      </c>
      <c r="E1358" t="s">
        <v>7</v>
      </c>
      <c r="F1358" t="str">
        <f>_xlfn.CONCAT(D1358,", ",H1358,", ",I1358,", ","山东省")</f>
        <v>王舍人街道, 历城区, 济南市, 山东省</v>
      </c>
      <c r="G1358">
        <v>66556</v>
      </c>
      <c r="H1358" t="s">
        <v>3679</v>
      </c>
      <c r="I1358" t="s">
        <v>3673</v>
      </c>
      <c r="J1358">
        <f>VLOOKUP(F1358,[1]!china_towns_second__2[[Column1]:[Y]],3,FALSE)</f>
        <v>36.733945231978701</v>
      </c>
      <c r="K1358">
        <f>VLOOKUP(F1358,[1]!china_towns_second__2[[Column1]:[Y]],2,FALSE)</f>
        <v>117.12633700000001</v>
      </c>
      <c r="L1358" t="s">
        <v>6188</v>
      </c>
      <c r="M1358" t="str">
        <f>VLOOKUP(H1358,CHOOSE({1,2},Table17[Native],Table17[Name]),2,0)</f>
        <v>Lìchéng Qū</v>
      </c>
      <c r="N1358" s="15" t="str">
        <f>VLOOKUP(I1358,CHOOSE({1,2},Table17[Native],Table17[Name]),2,0)</f>
        <v>Jìnán Shì</v>
      </c>
      <c r="O1358" s="15" t="str">
        <f t="shared" si="42"/>
        <v>Wangsheren Jiedao (Jìnán Shì)</v>
      </c>
      <c r="P1358" s="15" t="str">
        <f t="shared" si="43"/>
        <v>Wangsheren Jiedao (Jìnán Shì)</v>
      </c>
    </row>
    <row r="1359" spans="1:16" hidden="1" x14ac:dyDescent="0.25">
      <c r="A1359" t="s">
        <v>2319</v>
      </c>
      <c r="B1359" t="str">
        <f>IF(COUNTIF(A:A,A1359)&gt;1,_xlfn.CONCAT(A1359," (",N1359,")"),A1359)</f>
        <v>Wángtái Jiēdào</v>
      </c>
      <c r="C1359" t="str">
        <f>IF(COUNTIF(B:B,B1359)&gt;1,_xlfn.CONCAT(A1359," (",M1359,")"),B1359)</f>
        <v>Wángtái Jiēdào</v>
      </c>
      <c r="D1359" t="s">
        <v>2320</v>
      </c>
      <c r="E1359" t="s">
        <v>7</v>
      </c>
      <c r="F1359" t="str">
        <f>_xlfn.CONCAT(D1359,", ",H1359,", ",I1359,", ","山东省")</f>
        <v>王台街道, 黄岛区, 青岛市, 山东省</v>
      </c>
      <c r="G1359">
        <v>67171</v>
      </c>
      <c r="H1359" t="s">
        <v>3726</v>
      </c>
      <c r="I1359" t="s">
        <v>3724</v>
      </c>
      <c r="J1359" t="e">
        <f>VLOOKUP(F1359,[1]!china_towns_second__2[[Column1]:[Y]],3,FALSE)</f>
        <v>#N/A</v>
      </c>
      <c r="K1359" t="e">
        <f>VLOOKUP(F1359,[1]!china_towns_second__2[[Column1]:[Y]],2,FALSE)</f>
        <v>#N/A</v>
      </c>
      <c r="L1359" t="s">
        <v>6189</v>
      </c>
      <c r="M1359" t="str">
        <f>VLOOKUP(H1359,CHOOSE({1,2},Table17[Native],Table17[Name]),2,0)</f>
        <v>Huángdăo Qū</v>
      </c>
      <c r="N1359" s="15" t="str">
        <f>VLOOKUP(I1359,CHOOSE({1,2},Table17[Native],Table17[Name]),2,0)</f>
        <v>Qīngdăo Shì</v>
      </c>
      <c r="O1359" s="15" t="str">
        <f t="shared" si="42"/>
        <v>Wangtai Jiedao (Qīngdăo Shì)</v>
      </c>
      <c r="P1359" s="15" t="str">
        <f t="shared" si="43"/>
        <v>Wangtai Jiedao (Qīngdăo Shì)</v>
      </c>
    </row>
    <row r="1360" spans="1:16" hidden="1" x14ac:dyDescent="0.25">
      <c r="A1360" t="s">
        <v>2988</v>
      </c>
      <c r="B1360" t="str">
        <f>IF(COUNTIF(A:A,A1360)&gt;1,_xlfn.CONCAT(A1360," (",N1360,")"),A1360)</f>
        <v>Wāngtuăn Zhèn</v>
      </c>
      <c r="C1360" t="str">
        <f>IF(COUNTIF(B:B,B1360)&gt;1,_xlfn.CONCAT(A1360," (",M1360,")"),B1360)</f>
        <v>Wāngtuăn Zhèn</v>
      </c>
      <c r="D1360" t="s">
        <v>2989</v>
      </c>
      <c r="E1360" t="s">
        <v>13</v>
      </c>
      <c r="F1360" t="str">
        <f>_xlfn.CONCAT(D1360,", ",H1360,", ",I1360,", ","山东省")</f>
        <v>汪疃镇, 环翠区, 威海市, 山东省</v>
      </c>
      <c r="G1360">
        <v>24061</v>
      </c>
      <c r="H1360" t="s">
        <v>3766</v>
      </c>
      <c r="I1360" t="s">
        <v>3765</v>
      </c>
      <c r="J1360">
        <f>VLOOKUP(F1360,[1]!china_towns_second__2[[Column1]:[Y]],3,FALSE)</f>
        <v>37.327603834860597</v>
      </c>
      <c r="K1360">
        <f>VLOOKUP(F1360,[1]!china_towns_second__2[[Column1]:[Y]],2,FALSE)</f>
        <v>121.97722039999999</v>
      </c>
      <c r="L1360" t="s">
        <v>6190</v>
      </c>
      <c r="M1360" t="str">
        <f>VLOOKUP(H1360,CHOOSE({1,2},Table17[Native],Table17[Name]),2,0)</f>
        <v>Huáncuì Qū</v>
      </c>
      <c r="N1360" s="15" t="str">
        <f>VLOOKUP(I1360,CHOOSE({1,2},Table17[Native],Table17[Name]),2,0)</f>
        <v>Wēihăi Shì</v>
      </c>
      <c r="O1360" s="15" t="str">
        <f t="shared" si="42"/>
        <v>Wangtuan Zhen (Wēihăi Shì)</v>
      </c>
      <c r="P1360" s="15" t="str">
        <f t="shared" si="43"/>
        <v>Wangtuan Zhen (Wēihăi Shì)</v>
      </c>
    </row>
    <row r="1361" spans="1:16" hidden="1" x14ac:dyDescent="0.25">
      <c r="A1361" t="s">
        <v>1438</v>
      </c>
      <c r="B1361" t="str">
        <f>IF(COUNTIF(A:A,A1361)&gt;1,_xlfn.CONCAT(A1361," (",N1361,")"),A1361)</f>
        <v>Wángyīn Jiēdào</v>
      </c>
      <c r="C1361" t="str">
        <f>IF(COUNTIF(B:B,B1361)&gt;1,_xlfn.CONCAT(A1361," (",M1361,")"),B1361)</f>
        <v>Wángyīn Jiēdào</v>
      </c>
      <c r="D1361" t="s">
        <v>1439</v>
      </c>
      <c r="E1361" t="s">
        <v>7</v>
      </c>
      <c r="F1361" t="str">
        <f>_xlfn.CONCAT(D1361,", ",H1361,", ",I1361,", ","山东省")</f>
        <v>王因街道, 兖州区, 济宁市, 山东省</v>
      </c>
      <c r="G1361">
        <v>60020</v>
      </c>
      <c r="H1361" t="s">
        <v>3696</v>
      </c>
      <c r="I1361" t="s">
        <v>3687</v>
      </c>
      <c r="J1361">
        <f>VLOOKUP(F1361,[1]!china_towns_second__2[[Column1]:[Y]],3,FALSE)</f>
        <v>35.440977736790302</v>
      </c>
      <c r="K1361">
        <f>VLOOKUP(F1361,[1]!china_towns_second__2[[Column1]:[Y]],2,FALSE)</f>
        <v>116.7687809</v>
      </c>
      <c r="L1361" t="s">
        <v>6191</v>
      </c>
      <c r="M1361" t="str">
        <f>VLOOKUP(H1361,CHOOSE({1,2},Table17[Native],Table17[Name]),2,0)</f>
        <v>Yănzhōu Qū</v>
      </c>
      <c r="N1361" s="15" t="str">
        <f>VLOOKUP(I1361,CHOOSE({1,2},Table17[Native],Table17[Name]),2,0)</f>
        <v>Jìníng Shì</v>
      </c>
      <c r="O1361" s="15" t="str">
        <f t="shared" si="42"/>
        <v>Wangyin Jiedao (Jìníng Shì)</v>
      </c>
      <c r="P1361" s="15" t="str">
        <f t="shared" si="43"/>
        <v>Wangyin Jiedao (Jìníng Shì)</v>
      </c>
    </row>
    <row r="1362" spans="1:16" hidden="1" x14ac:dyDescent="0.25">
      <c r="A1362" t="s">
        <v>1440</v>
      </c>
      <c r="B1362" t="str">
        <f>IF(COUNTIF(A:A,A1362)&gt;1,_xlfn.CONCAT(A1362," (",N1362,")"),A1362)</f>
        <v>Wángzhuāng Zhèn (Jìníng Shì)</v>
      </c>
      <c r="C1362" t="str">
        <f>IF(COUNTIF(B:B,B1362)&gt;1,_xlfn.CONCAT(A1362," (",M1362,")"),B1362)</f>
        <v>Wángzhuāng Zhèn (Jìníng Shì)</v>
      </c>
      <c r="D1362" t="s">
        <v>1441</v>
      </c>
      <c r="E1362" t="s">
        <v>13</v>
      </c>
      <c r="F1362" t="str">
        <f>_xlfn.CONCAT(D1362,", ",H1362,", ",I1362,", ","山东省")</f>
        <v>王庄镇, 曲阜市, 济宁市, 山东省</v>
      </c>
      <c r="G1362">
        <v>44668</v>
      </c>
      <c r="H1362" t="s">
        <v>3691</v>
      </c>
      <c r="I1362" t="s">
        <v>3687</v>
      </c>
      <c r="J1362">
        <f>VLOOKUP(F1362,[1]!china_towns_second__2[[Column1]:[Y]],3,FALSE)</f>
        <v>35.6634151619227</v>
      </c>
      <c r="K1362">
        <f>VLOOKUP(F1362,[1]!china_towns_second__2[[Column1]:[Y]],2,FALSE)</f>
        <v>117.03348560000001</v>
      </c>
      <c r="L1362" t="s">
        <v>6192</v>
      </c>
      <c r="M1362" t="str">
        <f>VLOOKUP(H1362,CHOOSE({1,2},Table17[Native],Table17[Name]),2,0)</f>
        <v>Qŭfù Shì</v>
      </c>
      <c r="N1362" s="15" t="str">
        <f>VLOOKUP(I1362,CHOOSE({1,2},Table17[Native],Table17[Name]),2,0)</f>
        <v>Jìníng Shì</v>
      </c>
      <c r="O1362" s="15" t="str">
        <f t="shared" si="42"/>
        <v>Wangzhuang Zhen (Jining Shi) (Jìníng Shì)</v>
      </c>
      <c r="P1362" s="15" t="str">
        <f t="shared" si="43"/>
        <v>Wangzhuang Zhen (Jining Shi) (Jìníng Shì)</v>
      </c>
    </row>
    <row r="1363" spans="1:16" hidden="1" x14ac:dyDescent="0.25">
      <c r="A1363" t="s">
        <v>1440</v>
      </c>
      <c r="B1363" t="str">
        <f>IF(COUNTIF(A:A,A1363)&gt;1,_xlfn.CONCAT(A1363," (",N1363,")"),A1363)</f>
        <v>Wángzhuāng Zhèn (Tài'ān Shì)</v>
      </c>
      <c r="C1363" t="str">
        <f>IF(COUNTIF(B:B,B1363)&gt;1,_xlfn.CONCAT(A1363," (",M1363,")"),B1363)</f>
        <v>Wángzhuāng Zhèn (Tài'ān Shì)</v>
      </c>
      <c r="D1363" t="s">
        <v>1441</v>
      </c>
      <c r="E1363" t="s">
        <v>13</v>
      </c>
      <c r="F1363" t="str">
        <f>_xlfn.CONCAT(D1363,", ",H1363,", ",I1363,", ","山东省")</f>
        <v>王庄镇, 肥城市, 泰安市, 山东省</v>
      </c>
      <c r="G1363">
        <v>52339</v>
      </c>
      <c r="H1363" t="s">
        <v>3746</v>
      </c>
      <c r="I1363" t="s">
        <v>3743</v>
      </c>
      <c r="J1363">
        <f>VLOOKUP(F1363,[1]!china_towns_second__2[[Column1]:[Y]],3,FALSE)</f>
        <v>36.070761374023597</v>
      </c>
      <c r="K1363">
        <f>VLOOKUP(F1363,[1]!china_towns_second__2[[Column1]:[Y]],2,FALSE)</f>
        <v>116.607647</v>
      </c>
      <c r="L1363" t="s">
        <v>6193</v>
      </c>
      <c r="M1363" t="str">
        <f>VLOOKUP(H1363,CHOOSE({1,2},Table17[Native],Table17[Name]),2,0)</f>
        <v>Féichéng Shì</v>
      </c>
      <c r="N1363" s="15" t="str">
        <f>VLOOKUP(I1363,CHOOSE({1,2},Table17[Native],Table17[Name]),2,0)</f>
        <v>Tài'ān Shì</v>
      </c>
      <c r="O1363" s="15" t="str">
        <f t="shared" si="42"/>
        <v>Wangzhuang Zhen (Tai'an Shi) (Tài'ān Shì)</v>
      </c>
      <c r="P1363" s="15" t="str">
        <f t="shared" si="43"/>
        <v>Wangzhuang Zhen (Tai'an Shi) (Tài'ān Shì)</v>
      </c>
    </row>
    <row r="1364" spans="1:16" hidden="1" x14ac:dyDescent="0.25">
      <c r="A1364" t="s">
        <v>1710</v>
      </c>
      <c r="B1364" t="str">
        <f>IF(COUNTIF(A:A,A1364)&gt;1,_xlfn.CONCAT(A1364," (",N1364,")"),A1364)</f>
        <v>Wángzhuāngjí Zhèn</v>
      </c>
      <c r="C1364" t="str">
        <f>IF(COUNTIF(B:B,B1364)&gt;1,_xlfn.CONCAT(A1364," (",M1364,")"),B1364)</f>
        <v>Wángzhuāngjí Zhèn</v>
      </c>
      <c r="D1364" t="s">
        <v>1711</v>
      </c>
      <c r="E1364" t="s">
        <v>13</v>
      </c>
      <c r="F1364" t="str">
        <f>_xlfn.CONCAT(D1364,", ",H1364,", ",I1364,", ","山东省")</f>
        <v>王庄集镇, 莘县, 聊城市, 山东省</v>
      </c>
      <c r="G1364">
        <v>33221</v>
      </c>
      <c r="H1364" t="s">
        <v>3707</v>
      </c>
      <c r="I1364" t="s">
        <v>3700</v>
      </c>
      <c r="J1364">
        <f>VLOOKUP(F1364,[1]!china_towns_second__2[[Column1]:[Y]],3,FALSE)</f>
        <v>35.994283129359403</v>
      </c>
      <c r="K1364">
        <f>VLOOKUP(F1364,[1]!china_towns_second__2[[Column1]:[Y]],2,FALSE)</f>
        <v>115.4711727</v>
      </c>
      <c r="L1364" t="s">
        <v>6194</v>
      </c>
      <c r="M1364" t="str">
        <f>VLOOKUP(H1364,CHOOSE({1,2},Table17[Native],Table17[Name]),2,0)</f>
        <v>Shēn Xiàn</v>
      </c>
      <c r="N1364" s="15" t="str">
        <f>VLOOKUP(I1364,CHOOSE({1,2},Table17[Native],Table17[Name]),2,0)</f>
        <v>Liáochéng Shì</v>
      </c>
      <c r="O1364" s="15" t="str">
        <f t="shared" si="42"/>
        <v>Wangzhuangji Zhen (Liáochéng Shì)</v>
      </c>
      <c r="P1364" s="15" t="str">
        <f t="shared" si="43"/>
        <v>Wangzhuangji Zhen (Liáochéng Shì)</v>
      </c>
    </row>
    <row r="1365" spans="1:16" hidden="1" x14ac:dyDescent="0.25">
      <c r="A1365" t="s">
        <v>1712</v>
      </c>
      <c r="B1365" t="str">
        <f>IF(COUNTIF(A:A,A1365)&gt;1,_xlfn.CONCAT(A1365," (",N1365,")"),A1365)</f>
        <v>Wànshàn Xiāng</v>
      </c>
      <c r="C1365" t="str">
        <f>IF(COUNTIF(B:B,B1365)&gt;1,_xlfn.CONCAT(A1365," (",M1365,")"),B1365)</f>
        <v>Wànshàn Xiāng</v>
      </c>
      <c r="D1365" t="s">
        <v>1713</v>
      </c>
      <c r="E1365" t="s">
        <v>61</v>
      </c>
      <c r="F1365" t="str">
        <f>_xlfn.CONCAT(D1365,", ",H1365,", ",I1365,", ","山东省")</f>
        <v>万善乡, 冠县, 聊城市, 山东省</v>
      </c>
      <c r="G1365">
        <v>28851</v>
      </c>
      <c r="H1365" t="s">
        <v>3705</v>
      </c>
      <c r="I1365" t="s">
        <v>3700</v>
      </c>
      <c r="J1365" t="e">
        <f>VLOOKUP(F1365,[1]!china_towns_second__2[[Column1]:[Y]],3,FALSE)</f>
        <v>#N/A</v>
      </c>
      <c r="K1365" t="e">
        <f>VLOOKUP(F1365,[1]!china_towns_second__2[[Column1]:[Y]],2,FALSE)</f>
        <v>#N/A</v>
      </c>
      <c r="L1365" t="s">
        <v>6195</v>
      </c>
      <c r="M1365" t="str">
        <f>VLOOKUP(H1365,CHOOSE({1,2},Table17[Native],Table17[Name]),2,0)</f>
        <v>Guān Xiàn</v>
      </c>
      <c r="N1365" s="15" t="str">
        <f>VLOOKUP(I1365,CHOOSE({1,2},Table17[Native],Table17[Name]),2,0)</f>
        <v>Liáochéng Shì</v>
      </c>
      <c r="O1365" s="15" t="str">
        <f t="shared" si="42"/>
        <v>Wanshan Xiang (Liáochéng Shì)</v>
      </c>
      <c r="P1365" s="15" t="str">
        <f t="shared" si="43"/>
        <v>Wanshan Xiang (Liáochéng Shì)</v>
      </c>
    </row>
    <row r="1366" spans="1:16" hidden="1" x14ac:dyDescent="0.25">
      <c r="A1366" t="s">
        <v>1442</v>
      </c>
      <c r="B1366" t="str">
        <f>IF(COUNTIF(A:A,A1366)&gt;1,_xlfn.CONCAT(A1366," (",N1366,")"),A1366)</f>
        <v>Wànzhāng Jiēdào</v>
      </c>
      <c r="C1366" t="str">
        <f>IF(COUNTIF(B:B,B1366)&gt;1,_xlfn.CONCAT(A1366," (",M1366,")"),B1366)</f>
        <v>Wànzhāng Jiēdào</v>
      </c>
      <c r="D1366" t="s">
        <v>1443</v>
      </c>
      <c r="E1366" t="s">
        <v>7</v>
      </c>
      <c r="F1366" t="str">
        <f>_xlfn.CONCAT(D1366,", ",H1366,", ",I1366,", ","山东省")</f>
        <v>万张街道, 嘉祥县, 济宁市, 山东省</v>
      </c>
      <c r="G1366">
        <v>40003</v>
      </c>
      <c r="H1366" t="s">
        <v>3688</v>
      </c>
      <c r="I1366" t="s">
        <v>3687</v>
      </c>
      <c r="J1366" t="e">
        <f>VLOOKUP(F1366,[1]!china_towns_second__2[[Column1]:[Y]],3,FALSE)</f>
        <v>#N/A</v>
      </c>
      <c r="K1366" t="e">
        <f>VLOOKUP(F1366,[1]!china_towns_second__2[[Column1]:[Y]],2,FALSE)</f>
        <v>#N/A</v>
      </c>
      <c r="L1366" t="s">
        <v>6196</v>
      </c>
      <c r="M1366" t="str">
        <f>VLOOKUP(H1366,CHOOSE({1,2},Table17[Native],Table17[Name]),2,0)</f>
        <v>Jiāxiáng Xiàn</v>
      </c>
      <c r="N1366" s="15" t="str">
        <f>VLOOKUP(I1366,CHOOSE({1,2},Table17[Native],Table17[Name]),2,0)</f>
        <v>Jìníng Shì</v>
      </c>
      <c r="O1366" s="15" t="str">
        <f t="shared" si="42"/>
        <v>Wanzhang Jiedao (Jìníng Shì)</v>
      </c>
      <c r="P1366" s="15" t="str">
        <f t="shared" si="43"/>
        <v>Wanzhang Jiedao (Jìníng Shì)</v>
      </c>
    </row>
    <row r="1367" spans="1:16" hidden="1" x14ac:dyDescent="0.25">
      <c r="A1367" t="s">
        <v>1142</v>
      </c>
      <c r="B1367" t="str">
        <f>IF(COUNTIF(A:A,A1367)&gt;1,_xlfn.CONCAT(A1367," (",N1367,")"),A1367)</f>
        <v>Wĕibĕilù Jiēdào</v>
      </c>
      <c r="C1367" t="str">
        <f>IF(COUNTIF(B:B,B1367)&gt;1,_xlfn.CONCAT(A1367," (",M1367,")"),B1367)</f>
        <v>Wĕibĕilù Jiēdào</v>
      </c>
      <c r="D1367" t="s">
        <v>1143</v>
      </c>
      <c r="E1367" t="s">
        <v>7</v>
      </c>
      <c r="F1367" t="str">
        <f>_xlfn.CONCAT(D1367,", ",H1367,", ",I1367,", ","山东省")</f>
        <v>纬北路街道, 天桥区, 济南市, 山东省</v>
      </c>
      <c r="G1367">
        <v>29494</v>
      </c>
      <c r="H1367" t="s">
        <v>3684</v>
      </c>
      <c r="I1367" t="s">
        <v>3673</v>
      </c>
      <c r="J1367">
        <f>VLOOKUP(F1367,[1]!china_towns_second__2[[Column1]:[Y]],3,FALSE)</f>
        <v>36.673379605592402</v>
      </c>
      <c r="K1367">
        <f>VLOOKUP(F1367,[1]!china_towns_second__2[[Column1]:[Y]],2,FALSE)</f>
        <v>116.9930119</v>
      </c>
      <c r="L1367" t="s">
        <v>6197</v>
      </c>
      <c r="M1367" t="str">
        <f>VLOOKUP(H1367,CHOOSE({1,2},Table17[Native],Table17[Name]),2,0)</f>
        <v>Tiānqiáo Qū</v>
      </c>
      <c r="N1367" s="15" t="str">
        <f>VLOOKUP(I1367,CHOOSE({1,2},Table17[Native],Table17[Name]),2,0)</f>
        <v>Jìnán Shì</v>
      </c>
      <c r="O1367" s="15" t="str">
        <f t="shared" si="42"/>
        <v>Weibeilu Jiedao (Jìnán Shì)</v>
      </c>
      <c r="P1367" s="15" t="str">
        <f t="shared" si="43"/>
        <v>Weibeilu Jiedao (Jìnán Shì)</v>
      </c>
    </row>
    <row r="1368" spans="1:16" hidden="1" x14ac:dyDescent="0.25">
      <c r="A1368" t="s">
        <v>161</v>
      </c>
      <c r="B1368" t="str">
        <f>IF(COUNTIF(A:A,A1368)&gt;1,_xlfn.CONCAT(A1368," (",N1368,")"),A1368)</f>
        <v>Wèijí Zhèn</v>
      </c>
      <c r="C1368" t="str">
        <f>IF(COUNTIF(B:B,B1368)&gt;1,_xlfn.CONCAT(A1368," (",M1368,")"),B1368)</f>
        <v>Wèijí Zhèn</v>
      </c>
      <c r="D1368" t="s">
        <v>162</v>
      </c>
      <c r="E1368" t="s">
        <v>13</v>
      </c>
      <c r="F1368" t="str">
        <f>_xlfn.CONCAT(D1368,", ",H1368,", ",I1368,", ","山东省")</f>
        <v>魏集镇, 惠民县, 滨州市, 山东省</v>
      </c>
      <c r="G1368">
        <v>29930</v>
      </c>
      <c r="H1368" t="s">
        <v>3635</v>
      </c>
      <c r="I1368" t="s">
        <v>3630</v>
      </c>
      <c r="J1368">
        <f>VLOOKUP(F1368,[1]!china_towns_second__2[[Column1]:[Y]],3,FALSE)</f>
        <v>37.284320723784703</v>
      </c>
      <c r="K1368">
        <f>VLOOKUP(F1368,[1]!china_towns_second__2[[Column1]:[Y]],2,FALSE)</f>
        <v>117.76685000000001</v>
      </c>
      <c r="L1368" t="s">
        <v>6198</v>
      </c>
      <c r="M1368" t="str">
        <f>VLOOKUP(H1368,CHOOSE({1,2},Table17[Native],Table17[Name]),2,0)</f>
        <v>Huìmín Xiàn</v>
      </c>
      <c r="N1368" s="15" t="str">
        <f>VLOOKUP(I1368,CHOOSE({1,2},Table17[Native],Table17[Name]),2,0)</f>
        <v>Bīnzhōu Shì</v>
      </c>
      <c r="O1368" s="15" t="str">
        <f t="shared" si="42"/>
        <v>Weiji Zhen (Bīnzhōu Shì)</v>
      </c>
      <c r="P1368" s="15" t="str">
        <f t="shared" si="43"/>
        <v>Weiji Zhen (Bīnzhōu Shì)</v>
      </c>
    </row>
    <row r="1369" spans="1:16" hidden="1" x14ac:dyDescent="0.25">
      <c r="A1369" t="s">
        <v>1144</v>
      </c>
      <c r="B1369" t="str">
        <f>IF(COUNTIF(A:A,A1369)&gt;1,_xlfn.CONCAT(A1369," (",N1369,")"),A1369)</f>
        <v>Wèijiāzhuāng Jiēdào</v>
      </c>
      <c r="C1369" t="str">
        <f>IF(COUNTIF(B:B,B1369)&gt;1,_xlfn.CONCAT(A1369," (",M1369,")"),B1369)</f>
        <v>Wèijiāzhuāng Jiēdào</v>
      </c>
      <c r="D1369" t="s">
        <v>1145</v>
      </c>
      <c r="E1369" t="s">
        <v>7</v>
      </c>
      <c r="F1369" t="str">
        <f>_xlfn.CONCAT(D1369,", ",H1369,", ",I1369,", ","山东省")</f>
        <v>魏家庄街道, 市中区, 济南市, 山东省</v>
      </c>
      <c r="G1369">
        <v>22002</v>
      </c>
      <c r="H1369" t="s">
        <v>3683</v>
      </c>
      <c r="I1369" t="s">
        <v>3673</v>
      </c>
      <c r="J1369">
        <f>VLOOKUP(F1369,[1]!china_towns_second__2[[Column1]:[Y]],3,FALSE)</f>
        <v>36.663387204385799</v>
      </c>
      <c r="K1369">
        <f>VLOOKUP(F1369,[1]!china_towns_second__2[[Column1]:[Y]],2,FALSE)</f>
        <v>116.99718729999999</v>
      </c>
      <c r="L1369" t="s">
        <v>6199</v>
      </c>
      <c r="M1369" t="str">
        <f>VLOOKUP(H1369,CHOOSE({1,2},Table17[Native],Table17[Name]),2,0)</f>
        <v>Shìzhōng Qū</v>
      </c>
      <c r="N1369" s="15" t="str">
        <f>VLOOKUP(I1369,CHOOSE({1,2},Table17[Native],Table17[Name]),2,0)</f>
        <v>Jìnán Shì</v>
      </c>
      <c r="O1369" s="15" t="str">
        <f t="shared" si="42"/>
        <v>Weijiazhuang Jiedao (Jìnán Shì)</v>
      </c>
      <c r="P1369" s="15" t="str">
        <f t="shared" si="43"/>
        <v>Weijiazhuang Jiedao (Jìnán Shì)</v>
      </c>
    </row>
    <row r="1370" spans="1:16" hidden="1" x14ac:dyDescent="0.25">
      <c r="A1370" t="s">
        <v>163</v>
      </c>
      <c r="B1370" t="str">
        <f>IF(COUNTIF(A:A,A1370)&gt;1,_xlfn.CONCAT(A1370," (",N1370,")"),A1370)</f>
        <v>Wèiqiáo Zhèn</v>
      </c>
      <c r="C1370" t="str">
        <f>IF(COUNTIF(B:B,B1370)&gt;1,_xlfn.CONCAT(A1370," (",M1370,")"),B1370)</f>
        <v>Wèiqiáo Zhèn</v>
      </c>
      <c r="D1370" t="s">
        <v>164</v>
      </c>
      <c r="E1370" t="s">
        <v>13</v>
      </c>
      <c r="F1370" t="str">
        <f>_xlfn.CONCAT(D1370,", ",H1370,", ",I1370,", ","山东省")</f>
        <v>魏桥镇, 邹平市, 滨州市, 山东省</v>
      </c>
      <c r="G1370">
        <v>90305</v>
      </c>
      <c r="H1370" t="s">
        <v>3640</v>
      </c>
      <c r="I1370" t="s">
        <v>3630</v>
      </c>
      <c r="J1370">
        <f>VLOOKUP(F1370,[1]!china_towns_second__2[[Column1]:[Y]],3,FALSE)</f>
        <v>37.001691501307498</v>
      </c>
      <c r="K1370">
        <f>VLOOKUP(F1370,[1]!china_towns_second__2[[Column1]:[Y]],2,FALSE)</f>
        <v>117.51616370000001</v>
      </c>
      <c r="L1370" t="s">
        <v>6200</v>
      </c>
      <c r="M1370" t="str">
        <f>VLOOKUP(H1370,CHOOSE({1,2},Table17[Native],Table17[Name]),2,0)</f>
        <v>Zōupíng Shì</v>
      </c>
      <c r="N1370" s="15" t="str">
        <f>VLOOKUP(I1370,CHOOSE({1,2},Table17[Native],Table17[Name]),2,0)</f>
        <v>Bīnzhōu Shì</v>
      </c>
      <c r="O1370" s="15" t="str">
        <f t="shared" si="42"/>
        <v>Weiqiao Zhen (Bīnzhōu Shì)</v>
      </c>
      <c r="P1370" s="15" t="str">
        <f t="shared" si="43"/>
        <v>Weiqiao Zhen (Bīnzhōu Shì)</v>
      </c>
    </row>
    <row r="1371" spans="1:16" hidden="1" x14ac:dyDescent="0.25">
      <c r="A1371" t="s">
        <v>1444</v>
      </c>
      <c r="B1371" t="str">
        <f>IF(COUNTIF(A:A,A1371)&gt;1,_xlfn.CONCAT(A1371," (",N1371,")"),A1371)</f>
        <v>Wēishāndăo Zhèn</v>
      </c>
      <c r="C1371" t="str">
        <f>IF(COUNTIF(B:B,B1371)&gt;1,_xlfn.CONCAT(A1371," (",M1371,")"),B1371)</f>
        <v>Wēishāndăo Zhèn</v>
      </c>
      <c r="D1371" t="s">
        <v>1445</v>
      </c>
      <c r="E1371" t="s">
        <v>13</v>
      </c>
      <c r="F1371" t="str">
        <f>_xlfn.CONCAT(D1371,", ",H1371,", ",I1371,", ","山东省")</f>
        <v>微山岛镇, 微山县, 济宁市, 山东省</v>
      </c>
      <c r="G1371">
        <v>12026</v>
      </c>
      <c r="H1371" t="s">
        <v>3694</v>
      </c>
      <c r="I1371" t="s">
        <v>3687</v>
      </c>
      <c r="J1371">
        <f>VLOOKUP(F1371,[1]!china_towns_second__2[[Column1]:[Y]],3,FALSE)</f>
        <v>34.654419168559997</v>
      </c>
      <c r="K1371">
        <f>VLOOKUP(F1371,[1]!china_towns_second__2[[Column1]:[Y]],2,FALSE)</f>
        <v>117.2370111</v>
      </c>
      <c r="L1371" t="s">
        <v>6201</v>
      </c>
      <c r="M1371" t="str">
        <f>VLOOKUP(H1371,CHOOSE({1,2},Table17[Native],Table17[Name]),2,0)</f>
        <v>Wēishān Xiàn</v>
      </c>
      <c r="N1371" s="15" t="str">
        <f>VLOOKUP(I1371,CHOOSE({1,2},Table17[Native],Table17[Name]),2,0)</f>
        <v>Jìníng Shì</v>
      </c>
      <c r="O1371" s="15" t="str">
        <f t="shared" si="42"/>
        <v>Weishandao Zhen (Jìníng Shì)</v>
      </c>
      <c r="P1371" s="15" t="str">
        <f t="shared" si="43"/>
        <v>Weishandao Zhen (Jìníng Shì)</v>
      </c>
    </row>
    <row r="1372" spans="1:16" hidden="1" x14ac:dyDescent="0.25">
      <c r="A1372" t="s">
        <v>832</v>
      </c>
      <c r="B1372" t="str">
        <f>IF(COUNTIF(A:A,A1372)&gt;1,_xlfn.CONCAT(A1372," (",N1372,")"),A1372)</f>
        <v>Wèiwān Zhèn (Hézé Shì)</v>
      </c>
      <c r="C1372" t="str">
        <f>IF(COUNTIF(B:B,B1372)&gt;1,_xlfn.CONCAT(A1372," (",M1372,")"),B1372)</f>
        <v>Wèiwān Zhèn (Hézé Shì)</v>
      </c>
      <c r="D1372" t="s">
        <v>833</v>
      </c>
      <c r="E1372" t="s">
        <v>13</v>
      </c>
      <c r="F1372" t="str">
        <f>_xlfn.CONCAT(D1372,", ",H1372,", ",I1372,", ","山东省")</f>
        <v>魏湾镇, 曹县, 菏泽市, 山东省</v>
      </c>
      <c r="G1372">
        <v>59661</v>
      </c>
      <c r="H1372" t="s">
        <v>3663</v>
      </c>
      <c r="I1372" t="s">
        <v>3662</v>
      </c>
      <c r="J1372">
        <f>VLOOKUP(F1372,[1]!china_towns_second__2[[Column1]:[Y]],3,FALSE)</f>
        <v>34.874745678159201</v>
      </c>
      <c r="K1372">
        <f>VLOOKUP(F1372,[1]!china_towns_second__2[[Column1]:[Y]],2,FALSE)</f>
        <v>115.37703329999999</v>
      </c>
      <c r="L1372" t="s">
        <v>6202</v>
      </c>
      <c r="M1372" t="str">
        <f>VLOOKUP(H1372,CHOOSE({1,2},Table17[Native],Table17[Name]),2,0)</f>
        <v>Cáo Xiàn</v>
      </c>
      <c r="N1372" s="15" t="str">
        <f>VLOOKUP(I1372,CHOOSE({1,2},Table17[Native],Table17[Name]),2,0)</f>
        <v>Hézé Shì</v>
      </c>
      <c r="O1372" s="15" t="str">
        <f t="shared" si="42"/>
        <v>Weiwan Zhen (Heze Shi) (Hézé Shì)</v>
      </c>
      <c r="P1372" s="15" t="str">
        <f t="shared" si="43"/>
        <v>Weiwan Zhen (Heze Shi) (Hézé Shì)</v>
      </c>
    </row>
    <row r="1373" spans="1:16" hidden="1" x14ac:dyDescent="0.25">
      <c r="A1373" t="s">
        <v>832</v>
      </c>
      <c r="B1373" t="str">
        <f>IF(COUNTIF(A:A,A1373)&gt;1,_xlfn.CONCAT(A1373," (",N1373,")"),A1373)</f>
        <v>Wèiwān Zhèn (Liáochéng Shì)</v>
      </c>
      <c r="C1373" t="str">
        <f>IF(COUNTIF(B:B,B1373)&gt;1,_xlfn.CONCAT(A1373," (",M1373,")"),B1373)</f>
        <v>Wèiwān Zhèn (Liáochéng Shì)</v>
      </c>
      <c r="D1373" t="s">
        <v>833</v>
      </c>
      <c r="E1373" t="s">
        <v>13</v>
      </c>
      <c r="F1373" t="str">
        <f>_xlfn.CONCAT(D1373,", ",H1373,", ",I1373,", ","山东省")</f>
        <v>魏湾镇, 临清市, 聊城市, 山东省</v>
      </c>
      <c r="G1373">
        <v>22765</v>
      </c>
      <c r="H1373" t="s">
        <v>3706</v>
      </c>
      <c r="I1373" t="s">
        <v>3700</v>
      </c>
      <c r="J1373">
        <f>VLOOKUP(F1373,[1]!china_towns_second__2[[Column1]:[Y]],3,FALSE)</f>
        <v>36.702422704377298</v>
      </c>
      <c r="K1373">
        <f>VLOOKUP(F1373,[1]!china_towns_second__2[[Column1]:[Y]],2,FALSE)</f>
        <v>115.8938747</v>
      </c>
      <c r="L1373" t="s">
        <v>6203</v>
      </c>
      <c r="M1373" t="str">
        <f>VLOOKUP(H1373,CHOOSE({1,2},Table17[Native],Table17[Name]),2,0)</f>
        <v>Línqīng Shì</v>
      </c>
      <c r="N1373" s="15" t="str">
        <f>VLOOKUP(I1373,CHOOSE({1,2},Table17[Native],Table17[Name]),2,0)</f>
        <v>Liáochéng Shì</v>
      </c>
      <c r="O1373" s="15" t="str">
        <f t="shared" si="42"/>
        <v>Weiwan Zhen (Liaocheng Shi) (Liáochéng Shì)</v>
      </c>
      <c r="P1373" s="15" t="str">
        <f t="shared" si="43"/>
        <v>Weiwan Zhen (Liaocheng Shi) (Liáochéng Shì)</v>
      </c>
    </row>
    <row r="1374" spans="1:16" hidden="1" x14ac:dyDescent="0.25">
      <c r="A1374" t="s">
        <v>2847</v>
      </c>
      <c r="B1374" t="str">
        <f>IF(COUNTIF(A:A,A1374)&gt;1,_xlfn.CONCAT(A1374," (",N1374,")"),A1374)</f>
        <v>Wéizhōulù Jiēdào</v>
      </c>
      <c r="C1374" t="str">
        <f>IF(COUNTIF(B:B,B1374)&gt;1,_xlfn.CONCAT(A1374," (",M1374,")"),B1374)</f>
        <v>Wéizhōulù Jiēdào</v>
      </c>
      <c r="D1374" t="s">
        <v>2848</v>
      </c>
      <c r="E1374" t="s">
        <v>7</v>
      </c>
      <c r="F1374" t="str">
        <f>_xlfn.CONCAT(D1374,", ",H1374,", ",I1374,", ","山东省")</f>
        <v>潍州路街道, 奎文区, 潍坊市, 山东省</v>
      </c>
      <c r="G1374">
        <v>68910</v>
      </c>
      <c r="H1374" t="s">
        <v>3758</v>
      </c>
      <c r="I1374" t="s">
        <v>3751</v>
      </c>
      <c r="J1374">
        <f>VLOOKUP(F1374,[1]!china_towns_second__2[[Column1]:[Y]],3,FALSE)</f>
        <v>36.686208186087299</v>
      </c>
      <c r="K1374">
        <f>VLOOKUP(F1374,[1]!china_towns_second__2[[Column1]:[Y]],2,FALSE)</f>
        <v>119.1114319</v>
      </c>
      <c r="L1374" t="s">
        <v>6204</v>
      </c>
      <c r="M1374" t="str">
        <f>VLOOKUP(H1374,CHOOSE({1,2},Table17[Native],Table17[Name]),2,0)</f>
        <v>Kuíwén Qū</v>
      </c>
      <c r="N1374" s="15" t="str">
        <f>VLOOKUP(I1374,CHOOSE({1,2},Table17[Native],Table17[Name]),2,0)</f>
        <v>Wéifāng Shì</v>
      </c>
      <c r="O1374" s="15" t="str">
        <f t="shared" si="42"/>
        <v>Weizhoulu Jiedao (Wéifāng Shì)</v>
      </c>
      <c r="P1374" s="15" t="str">
        <f t="shared" si="43"/>
        <v>Weizhoulu Jiedao (Wéifāng Shì)</v>
      </c>
    </row>
    <row r="1375" spans="1:16" hidden="1" x14ac:dyDescent="0.25">
      <c r="A1375" t="s">
        <v>1714</v>
      </c>
      <c r="B1375" t="str">
        <f>IF(COUNTIF(A:A,A1375)&gt;1,_xlfn.CONCAT(A1375," (",N1375,")"),A1375)</f>
        <v>Wèizhuāng Zhèn</v>
      </c>
      <c r="C1375" t="str">
        <f>IF(COUNTIF(B:B,B1375)&gt;1,_xlfn.CONCAT(A1375," (",M1375,")"),B1375)</f>
        <v>Wèizhuāng Zhèn</v>
      </c>
      <c r="D1375" t="s">
        <v>1715</v>
      </c>
      <c r="E1375" t="s">
        <v>13</v>
      </c>
      <c r="F1375" t="str">
        <f>_xlfn.CONCAT(D1375,", ",H1375,", ",I1375,", ","山东省")</f>
        <v>魏庄镇, 莘县, 聊城市, 山东省</v>
      </c>
      <c r="G1375">
        <v>38485</v>
      </c>
      <c r="H1375" t="s">
        <v>3707</v>
      </c>
      <c r="I1375" t="s">
        <v>3700</v>
      </c>
      <c r="J1375">
        <f>VLOOKUP(F1375,[1]!china_towns_second__2[[Column1]:[Y]],3,FALSE)</f>
        <v>36.3631261172265</v>
      </c>
      <c r="K1375">
        <f>VLOOKUP(F1375,[1]!china_towns_second__2[[Column1]:[Y]],2,FALSE)</f>
        <v>115.5761353</v>
      </c>
      <c r="L1375" t="s">
        <v>6205</v>
      </c>
      <c r="M1375" t="str">
        <f>VLOOKUP(H1375,CHOOSE({1,2},Table17[Native],Table17[Name]),2,0)</f>
        <v>Shēn Xiàn</v>
      </c>
      <c r="N1375" s="15" t="str">
        <f>VLOOKUP(I1375,CHOOSE({1,2},Table17[Native],Table17[Name]),2,0)</f>
        <v>Liáochéng Shì</v>
      </c>
      <c r="O1375" s="15" t="str">
        <f t="shared" si="42"/>
        <v>Weizhuang Zhen (Liáochéng Shì)</v>
      </c>
      <c r="P1375" s="15" t="str">
        <f t="shared" si="43"/>
        <v>Weizhuang Zhen (Liáochéng Shì)</v>
      </c>
    </row>
    <row r="1376" spans="1:16" hidden="1" x14ac:dyDescent="0.25">
      <c r="A1376" t="s">
        <v>2849</v>
      </c>
      <c r="B1376" t="str">
        <f>IF(COUNTIF(A:A,A1376)&gt;1,_xlfn.CONCAT(A1376," (",N1376,")"),A1376)</f>
        <v>Wéizi Jiēdào</v>
      </c>
      <c r="C1376" t="str">
        <f>IF(COUNTIF(B:B,B1376)&gt;1,_xlfn.CONCAT(A1376," (",M1376,")"),B1376)</f>
        <v>Wéizi Jiēdào</v>
      </c>
      <c r="D1376" t="s">
        <v>2850</v>
      </c>
      <c r="E1376" t="s">
        <v>7</v>
      </c>
      <c r="F1376" t="str">
        <f>_xlfn.CONCAT(D1376,", ",H1376,", ",I1376,", ","山东省")</f>
        <v>围子街道, 昌邑市, 潍坊市, 山东省</v>
      </c>
      <c r="G1376">
        <v>98572</v>
      </c>
      <c r="H1376" t="s">
        <v>3754</v>
      </c>
      <c r="I1376" t="s">
        <v>3751</v>
      </c>
      <c r="J1376">
        <f>VLOOKUP(F1376,[1]!china_towns_second__2[[Column1]:[Y]],3,FALSE)</f>
        <v>36.821590690467602</v>
      </c>
      <c r="K1376">
        <f>VLOOKUP(F1376,[1]!china_towns_second__2[[Column1]:[Y]],2,FALSE)</f>
        <v>119.4924243</v>
      </c>
      <c r="L1376" t="s">
        <v>6206</v>
      </c>
      <c r="M1376" t="str">
        <f>VLOOKUP(H1376,CHOOSE({1,2},Table17[Native],Table17[Name]),2,0)</f>
        <v>Chāngyì Shì</v>
      </c>
      <c r="N1376" s="15" t="str">
        <f>VLOOKUP(I1376,CHOOSE({1,2},Table17[Native],Table17[Name]),2,0)</f>
        <v>Wéifāng Shì</v>
      </c>
      <c r="O1376" s="15" t="str">
        <f t="shared" si="42"/>
        <v>Weizi Jiedao (Wéifāng Shì)</v>
      </c>
      <c r="P1376" s="15" t="str">
        <f t="shared" si="43"/>
        <v>Weizi Jiedao (Wéifāng Shì)</v>
      </c>
    </row>
    <row r="1377" spans="1:16" hidden="1" x14ac:dyDescent="0.25">
      <c r="A1377" t="s">
        <v>1146</v>
      </c>
      <c r="B1377" t="str">
        <f>IF(COUNTIF(A:A,A1377)&gt;1,_xlfn.CONCAT(A1377," (",N1377,")"),A1377)</f>
        <v>Wénchāng Jiēdào</v>
      </c>
      <c r="C1377" t="str">
        <f>IF(COUNTIF(B:B,B1377)&gt;1,_xlfn.CONCAT(A1377," (",M1377,")"),B1377)</f>
        <v>Wénchāng Jiēdào</v>
      </c>
      <c r="D1377" t="s">
        <v>1147</v>
      </c>
      <c r="E1377" t="s">
        <v>7</v>
      </c>
      <c r="F1377" t="str">
        <f>_xlfn.CONCAT(D1377,", ",H1377,", ",I1377,", ","山东省")</f>
        <v>文昌街道, 长清区, 济南市, 山东省</v>
      </c>
      <c r="G1377">
        <v>121327</v>
      </c>
      <c r="H1377" t="s">
        <v>3674</v>
      </c>
      <c r="I1377" t="s">
        <v>3673</v>
      </c>
      <c r="J1377">
        <f>VLOOKUP(F1377,[1]!china_towns_second__2[[Column1]:[Y]],3,FALSE)</f>
        <v>36.542829361952002</v>
      </c>
      <c r="K1377">
        <f>VLOOKUP(F1377,[1]!china_towns_second__2[[Column1]:[Y]],2,FALSE)</f>
        <v>116.7181107</v>
      </c>
      <c r="L1377" t="s">
        <v>6207</v>
      </c>
      <c r="M1377" t="str">
        <f>VLOOKUP(H1377,CHOOSE({1,2},Table17[Native],Table17[Name]),2,0)</f>
        <v>Chángqīng Qū</v>
      </c>
      <c r="N1377" s="15" t="str">
        <f>VLOOKUP(I1377,CHOOSE({1,2},Table17[Native],Table17[Name]),2,0)</f>
        <v>Jìnán Shì</v>
      </c>
      <c r="O1377" s="15" t="str">
        <f t="shared" si="42"/>
        <v>Wenchang Jiedao (Jìnán Shì)</v>
      </c>
      <c r="P1377" s="15" t="str">
        <f t="shared" si="43"/>
        <v>Wenchang Jiedao (Jìnán Shì)</v>
      </c>
    </row>
    <row r="1378" spans="1:16" hidden="1" x14ac:dyDescent="0.25">
      <c r="A1378" t="s">
        <v>3263</v>
      </c>
      <c r="B1378" t="str">
        <f>IF(COUNTIF(A:A,A1378)&gt;1,_xlfn.CONCAT(A1378," (",N1378,")"),A1378)</f>
        <v>Wénchānglù Jiēdào</v>
      </c>
      <c r="C1378" t="str">
        <f>IF(COUNTIF(B:B,B1378)&gt;1,_xlfn.CONCAT(A1378," (",M1378,")"),B1378)</f>
        <v>Wénchānglù Jiēdào</v>
      </c>
      <c r="D1378" t="s">
        <v>3264</v>
      </c>
      <c r="E1378" t="s">
        <v>7</v>
      </c>
      <c r="F1378" t="str">
        <f>_xlfn.CONCAT(D1378,", ",H1378,", ",I1378,", ","山东省")</f>
        <v>文昌路街道, 莱州市, 烟台市, 山东省</v>
      </c>
      <c r="G1378">
        <v>95827</v>
      </c>
      <c r="H1378" t="s">
        <v>3776</v>
      </c>
      <c r="I1378" t="s">
        <v>3771</v>
      </c>
      <c r="J1378">
        <f>VLOOKUP(F1378,[1]!china_towns_second__2[[Column1]:[Y]],3,FALSE)</f>
        <v>37.162521467951997</v>
      </c>
      <c r="K1378">
        <f>VLOOKUP(F1378,[1]!china_towns_second__2[[Column1]:[Y]],2,FALSE)</f>
        <v>119.98705080000001</v>
      </c>
      <c r="L1378" t="s">
        <v>6208</v>
      </c>
      <c r="M1378" t="str">
        <f>VLOOKUP(H1378,CHOOSE({1,2},Table17[Native],Table17[Name]),2,0)</f>
        <v>Láizhōu Shì</v>
      </c>
      <c r="N1378" s="15" t="str">
        <f>VLOOKUP(I1378,CHOOSE({1,2},Table17[Native],Table17[Name]),2,0)</f>
        <v>Yāntái Shì</v>
      </c>
      <c r="O1378" s="15" t="str">
        <f t="shared" si="42"/>
        <v>Wenchanglu Jiedao (Yāntái Shì)</v>
      </c>
      <c r="P1378" s="15" t="str">
        <f t="shared" si="43"/>
        <v>Wenchanglu Jiedao (Yāntái Shì)</v>
      </c>
    </row>
    <row r="1379" spans="1:16" hidden="1" x14ac:dyDescent="0.25">
      <c r="A1379" t="s">
        <v>1716</v>
      </c>
      <c r="B1379" t="str">
        <f>IF(COUNTIF(A:A,A1379)&gt;1,_xlfn.CONCAT(A1379," (",N1379,")"),A1379)</f>
        <v>Wēnchén Jiēdào</v>
      </c>
      <c r="C1379" t="str">
        <f>IF(COUNTIF(B:B,B1379)&gt;1,_xlfn.CONCAT(A1379," (",M1379,")"),B1379)</f>
        <v>Wēnchén Jiēdào</v>
      </c>
      <c r="D1379" t="s">
        <v>1717</v>
      </c>
      <c r="E1379" t="s">
        <v>7</v>
      </c>
      <c r="F1379" t="str">
        <f>_xlfn.CONCAT(D1379,", ",H1379,", ",I1379,", ","山东省")</f>
        <v>温陈街道, 茌平区, 聊城市, 山东省</v>
      </c>
      <c r="G1379">
        <v>40294</v>
      </c>
      <c r="H1379" t="s">
        <v>3701</v>
      </c>
      <c r="I1379" t="s">
        <v>3700</v>
      </c>
      <c r="J1379">
        <f>VLOOKUP(F1379,[1]!china_towns_second__2[[Column1]:[Y]],3,FALSE)</f>
        <v>36.561754449157704</v>
      </c>
      <c r="K1379">
        <f>VLOOKUP(F1379,[1]!china_towns_second__2[[Column1]:[Y]],2,FALSE)</f>
        <v>116.14860760000001</v>
      </c>
      <c r="L1379" t="s">
        <v>6209</v>
      </c>
      <c r="M1379" t="str">
        <f>VLOOKUP(H1379,CHOOSE({1,2},Table17[Native],Table17[Name]),2,0)</f>
        <v>Chípíng Qū</v>
      </c>
      <c r="N1379" s="15" t="str">
        <f>VLOOKUP(I1379,CHOOSE({1,2},Table17[Native],Table17[Name]),2,0)</f>
        <v>Liáochéng Shì</v>
      </c>
      <c r="O1379" s="15" t="str">
        <f t="shared" si="42"/>
        <v>Wenchen Jiedao (Liáochéng Shì)</v>
      </c>
      <c r="P1379" s="15" t="str">
        <f t="shared" si="43"/>
        <v>Wenchen Jiedao (Liáochéng Shì)</v>
      </c>
    </row>
    <row r="1380" spans="1:16" hidden="1" x14ac:dyDescent="0.25">
      <c r="A1380" t="s">
        <v>2990</v>
      </c>
      <c r="B1380" t="str">
        <f>IF(COUNTIF(A:A,A1380)&gt;1,_xlfn.CONCAT(A1380," (",N1380,")"),A1380)</f>
        <v>Wéndēng Jīngjì Kāifāqū</v>
      </c>
      <c r="C1380" t="str">
        <f>IF(COUNTIF(B:B,B1380)&gt;1,_xlfn.CONCAT(A1380," (",M1380,")"),B1380)</f>
        <v>Wéndēng Jīngjì Kāifāqū</v>
      </c>
      <c r="D1380" t="s">
        <v>2991</v>
      </c>
      <c r="E1380" t="s">
        <v>495</v>
      </c>
      <c r="F1380" t="str">
        <f>_xlfn.CONCAT(D1380,", ",H1380,", ",I1380,", ","山东省")</f>
        <v>文登经济开发区, 文登区, 威海市, 山东省</v>
      </c>
      <c r="G1380">
        <v>31274</v>
      </c>
      <c r="H1380" t="s">
        <v>3769</v>
      </c>
      <c r="I1380" t="s">
        <v>3765</v>
      </c>
      <c r="J1380" t="e">
        <f>VLOOKUP(F1380,[1]!china_towns_second__2[[Column1]:[Y]],3,FALSE)</f>
        <v>#N/A</v>
      </c>
      <c r="K1380" t="e">
        <f>VLOOKUP(F1380,[1]!china_towns_second__2[[Column1]:[Y]],2,FALSE)</f>
        <v>#N/A</v>
      </c>
      <c r="L1380" t="s">
        <v>6210</v>
      </c>
      <c r="M1380" t="str">
        <f>VLOOKUP(H1380,CHOOSE({1,2},Table17[Native],Table17[Name]),2,0)</f>
        <v>Wéndēng Qū</v>
      </c>
      <c r="N1380" s="15" t="str">
        <f>VLOOKUP(I1380,CHOOSE({1,2},Table17[Native],Table17[Name]),2,0)</f>
        <v>Wēihăi Shì</v>
      </c>
      <c r="O1380" s="15" t="str">
        <f t="shared" si="42"/>
        <v>Wendeng Jingji Kaifaqu (Wēihăi Shì)</v>
      </c>
      <c r="P1380" s="15" t="str">
        <f t="shared" si="43"/>
        <v>Wendeng Jingji Kaifaqu (Wēihăi Shì)</v>
      </c>
    </row>
    <row r="1381" spans="1:16" hidden="1" x14ac:dyDescent="0.25">
      <c r="A1381" t="s">
        <v>2992</v>
      </c>
      <c r="B1381" t="str">
        <f>IF(COUNTIF(A:A,A1381)&gt;1,_xlfn.CONCAT(A1381," (",N1381,")"),A1381)</f>
        <v>Wéndēngyíng Zhèn</v>
      </c>
      <c r="C1381" t="str">
        <f>IF(COUNTIF(B:B,B1381)&gt;1,_xlfn.CONCAT(A1381," (",M1381,")"),B1381)</f>
        <v>Wéndēngyíng Zhèn</v>
      </c>
      <c r="D1381" t="s">
        <v>2993</v>
      </c>
      <c r="E1381" t="s">
        <v>13</v>
      </c>
      <c r="F1381" t="str">
        <f>_xlfn.CONCAT(D1381,", ",H1381,", ",I1381,", ","山东省")</f>
        <v>文登营镇, 文登区, 威海市, 山东省</v>
      </c>
      <c r="G1381">
        <v>32280</v>
      </c>
      <c r="H1381" t="s">
        <v>3769</v>
      </c>
      <c r="I1381" t="s">
        <v>3765</v>
      </c>
      <c r="J1381">
        <f>VLOOKUP(F1381,[1]!china_towns_second__2[[Column1]:[Y]],3,FALSE)</f>
        <v>37.236102929577498</v>
      </c>
      <c r="K1381">
        <f>VLOOKUP(F1381,[1]!china_towns_second__2[[Column1]:[Y]],2,FALSE)</f>
        <v>122.18439429999999</v>
      </c>
      <c r="L1381" t="s">
        <v>6211</v>
      </c>
      <c r="M1381" t="str">
        <f>VLOOKUP(H1381,CHOOSE({1,2},Table17[Native],Table17[Name]),2,0)</f>
        <v>Wéndēng Qū</v>
      </c>
      <c r="N1381" s="15" t="str">
        <f>VLOOKUP(I1381,CHOOSE({1,2},Table17[Native],Table17[Name]),2,0)</f>
        <v>Wēihăi Shì</v>
      </c>
      <c r="O1381" s="15" t="str">
        <f t="shared" si="42"/>
        <v>Wendengying Zhen (Wēihăi Shì)</v>
      </c>
      <c r="P1381" s="15" t="str">
        <f t="shared" si="43"/>
        <v>Wendengying Zhen (Wēihăi Shì)</v>
      </c>
    </row>
    <row r="1382" spans="1:16" hidden="1" x14ac:dyDescent="0.25">
      <c r="A1382" t="s">
        <v>165</v>
      </c>
      <c r="B1382" t="str">
        <f>IF(COUNTIF(A:A,A1382)&gt;1,_xlfn.CONCAT(A1382," (",N1382,")"),A1382)</f>
        <v>Wēndiàn Zhèn</v>
      </c>
      <c r="C1382" t="str">
        <f>IF(COUNTIF(B:B,B1382)&gt;1,_xlfn.CONCAT(A1382," (",M1382,")"),B1382)</f>
        <v>Wēndiàn Zhèn</v>
      </c>
      <c r="D1382" t="s">
        <v>166</v>
      </c>
      <c r="E1382" t="s">
        <v>13</v>
      </c>
      <c r="F1382" t="str">
        <f>_xlfn.CONCAT(D1382,", ",H1382,", ",I1382,", ","山东省")</f>
        <v>温店镇, 阳信县, 滨州市, 山东省</v>
      </c>
      <c r="G1382">
        <v>39211</v>
      </c>
      <c r="H1382" t="s">
        <v>3637</v>
      </c>
      <c r="I1382" t="s">
        <v>3630</v>
      </c>
      <c r="J1382">
        <f>VLOOKUP(F1382,[1]!china_towns_second__2[[Column1]:[Y]],3,FALSE)</f>
        <v>37.618940465432097</v>
      </c>
      <c r="K1382">
        <f>VLOOKUP(F1382,[1]!china_towns_second__2[[Column1]:[Y]],2,FALSE)</f>
        <v>117.34866580000001</v>
      </c>
      <c r="L1382" t="s">
        <v>6212</v>
      </c>
      <c r="M1382" t="str">
        <f>VLOOKUP(H1382,CHOOSE({1,2},Table17[Native],Table17[Name]),2,0)</f>
        <v>Yángxìn Xiàn</v>
      </c>
      <c r="N1382" s="15" t="str">
        <f>VLOOKUP(I1382,CHOOSE({1,2},Table17[Native],Table17[Name]),2,0)</f>
        <v>Bīnzhōu Shì</v>
      </c>
      <c r="O1382" s="15" t="str">
        <f t="shared" si="42"/>
        <v>Wendian Zhen (Bīnzhōu Shì)</v>
      </c>
      <c r="P1382" s="15" t="str">
        <f t="shared" si="43"/>
        <v>Wendian Zhen (Bīnzhōu Shì)</v>
      </c>
    </row>
    <row r="1383" spans="1:16" hidden="1" x14ac:dyDescent="0.25">
      <c r="A1383" t="s">
        <v>1148</v>
      </c>
      <c r="B1383" t="str">
        <f>IF(COUNTIF(A:A,A1383)&gt;1,_xlfn.CONCAT(A1383," (",N1383,")"),A1383)</f>
        <v>Wéndōng Jiēdào</v>
      </c>
      <c r="C1383" t="str">
        <f>IF(COUNTIF(B:B,B1383)&gt;1,_xlfn.CONCAT(A1383," (",M1383,")"),B1383)</f>
        <v>Wéndōng Jiēdào</v>
      </c>
      <c r="D1383" t="s">
        <v>1149</v>
      </c>
      <c r="E1383" t="s">
        <v>7</v>
      </c>
      <c r="F1383" t="str">
        <f>_xlfn.CONCAT(D1383,", ",H1383,", ",I1383,", ","山东省")</f>
        <v>文东街道, 历下区, 济南市, 山东省</v>
      </c>
      <c r="G1383">
        <v>95770</v>
      </c>
      <c r="H1383" t="s">
        <v>3680</v>
      </c>
      <c r="I1383" t="s">
        <v>3673</v>
      </c>
      <c r="J1383">
        <f>VLOOKUP(F1383,[1]!china_towns_second__2[[Column1]:[Y]],3,FALSE)</f>
        <v>36.645445468615797</v>
      </c>
      <c r="K1383">
        <f>VLOOKUP(F1383,[1]!china_towns_second__2[[Column1]:[Y]],2,FALSE)</f>
        <v>117.04440459999999</v>
      </c>
      <c r="L1383" t="s">
        <v>6213</v>
      </c>
      <c r="M1383" t="str">
        <f>VLOOKUP(H1383,CHOOSE({1,2},Table17[Native],Table17[Name]),2,0)</f>
        <v>Lìxià Qū</v>
      </c>
      <c r="N1383" s="15" t="str">
        <f>VLOOKUP(I1383,CHOOSE({1,2},Table17[Native],Table17[Name]),2,0)</f>
        <v>Jìnán Shì</v>
      </c>
      <c r="O1383" s="15" t="str">
        <f t="shared" si="42"/>
        <v>Wendong Jiedao (Jìnán Shì)</v>
      </c>
      <c r="P1383" s="15" t="str">
        <f t="shared" si="43"/>
        <v>Wendong Jiedao (Jìnán Shì)</v>
      </c>
    </row>
    <row r="1384" spans="1:16" hidden="1" x14ac:dyDescent="0.25">
      <c r="A1384" t="s">
        <v>3265</v>
      </c>
      <c r="B1384" t="str">
        <f>IF(COUNTIF(A:A,A1384)&gt;1,_xlfn.CONCAT(A1384," (",N1384,")"),A1384)</f>
        <v>Wénfēnglù Jiēdào</v>
      </c>
      <c r="C1384" t="str">
        <f>IF(COUNTIF(B:B,B1384)&gt;1,_xlfn.CONCAT(A1384," (",M1384,")"),B1384)</f>
        <v>Wénfēnglù Jiēdào</v>
      </c>
      <c r="D1384" t="s">
        <v>3266</v>
      </c>
      <c r="E1384" t="s">
        <v>7</v>
      </c>
      <c r="F1384" t="str">
        <f>_xlfn.CONCAT(D1384,", ",H1384,", ",I1384,", ","山东省")</f>
        <v>文峰路街道, 莱州市, 烟台市, 山东省</v>
      </c>
      <c r="G1384">
        <v>22754</v>
      </c>
      <c r="H1384" t="s">
        <v>3776</v>
      </c>
      <c r="I1384" t="s">
        <v>3771</v>
      </c>
      <c r="J1384">
        <f>VLOOKUP(F1384,[1]!china_towns_second__2[[Column1]:[Y]],3,FALSE)</f>
        <v>37.133709918398502</v>
      </c>
      <c r="K1384">
        <f>VLOOKUP(F1384,[1]!china_towns_second__2[[Column1]:[Y]],2,FALSE)</f>
        <v>119.938774</v>
      </c>
      <c r="L1384" t="s">
        <v>6214</v>
      </c>
      <c r="M1384" t="str">
        <f>VLOOKUP(H1384,CHOOSE({1,2},Table17[Native],Table17[Name]),2,0)</f>
        <v>Láizhōu Shì</v>
      </c>
      <c r="N1384" s="15" t="str">
        <f>VLOOKUP(I1384,CHOOSE({1,2},Table17[Native],Table17[Name]),2,0)</f>
        <v>Yāntái Shì</v>
      </c>
      <c r="O1384" s="15" t="str">
        <f t="shared" si="42"/>
        <v>Wenfenglu Jiedao (Yāntái Shì)</v>
      </c>
      <c r="P1384" s="15" t="str">
        <f t="shared" si="43"/>
        <v>Wenfenglu Jiedao (Yāntái Shì)</v>
      </c>
    </row>
    <row r="1385" spans="1:16" hidden="1" x14ac:dyDescent="0.25">
      <c r="A1385" t="s">
        <v>3267</v>
      </c>
      <c r="B1385" t="str">
        <f>IF(COUNTIF(A:A,A1385)&gt;1,_xlfn.CONCAT(A1385," (",N1385,")"),A1385)</f>
        <v>Wénhuà Jiēdào</v>
      </c>
      <c r="C1385" t="str">
        <f>IF(COUNTIF(B:B,B1385)&gt;1,_xlfn.CONCAT(A1385," (",M1385,")"),B1385)</f>
        <v>Wénhuà Jiēdào</v>
      </c>
      <c r="D1385" t="s">
        <v>3268</v>
      </c>
      <c r="E1385" t="s">
        <v>7</v>
      </c>
      <c r="F1385" t="str">
        <f>_xlfn.CONCAT(D1385,", ",H1385,", ",I1385,", ","山东省")</f>
        <v>文化街道, 牟平区, 烟台市, 山东省</v>
      </c>
      <c r="G1385">
        <v>73094</v>
      </c>
      <c r="H1385" t="s">
        <v>3778</v>
      </c>
      <c r="I1385" t="s">
        <v>3771</v>
      </c>
      <c r="J1385">
        <f>VLOOKUP(F1385,[1]!china_towns_second__2[[Column1]:[Y]],3,FALSE)</f>
        <v>37.351592779546898</v>
      </c>
      <c r="K1385">
        <f>VLOOKUP(F1385,[1]!china_towns_second__2[[Column1]:[Y]],2,FALSE)</f>
        <v>121.5998716</v>
      </c>
      <c r="L1385" t="s">
        <v>6215</v>
      </c>
      <c r="M1385" t="str">
        <f>VLOOKUP(H1385,CHOOSE({1,2},Table17[Native],Table17[Name]),2,0)</f>
        <v>Mùpíng Qū</v>
      </c>
      <c r="N1385" s="15" t="str">
        <f>VLOOKUP(I1385,CHOOSE({1,2},Table17[Native],Table17[Name]),2,0)</f>
        <v>Yāntái Shì</v>
      </c>
      <c r="O1385" s="15" t="str">
        <f t="shared" si="42"/>
        <v>Wenhua Jiedao (Yāntái Shì)</v>
      </c>
      <c r="P1385" s="15" t="str">
        <f t="shared" si="43"/>
        <v>Wenhua Jiedao (Yāntái Shì)</v>
      </c>
    </row>
    <row r="1386" spans="1:16" hidden="1" x14ac:dyDescent="0.25">
      <c r="A1386" t="s">
        <v>3431</v>
      </c>
      <c r="B1386" t="str">
        <f>IF(COUNTIF(A:A,A1386)&gt;1,_xlfn.CONCAT(A1386," (",N1386,")"),A1386)</f>
        <v>Wénhuàlù Jiēdào</v>
      </c>
      <c r="C1386" t="str">
        <f>IF(COUNTIF(B:B,B1386)&gt;1,_xlfn.CONCAT(A1386," (",M1386,")"),B1386)</f>
        <v>Wénhuàlù Jiēdào</v>
      </c>
      <c r="D1386" t="s">
        <v>3432</v>
      </c>
      <c r="E1386" t="s">
        <v>7</v>
      </c>
      <c r="F1386" t="str">
        <f>_xlfn.CONCAT(D1386,", ",H1386,", ",I1386,", ","山东省")</f>
        <v>文化路街道, 市中区, 济南市, 山东省</v>
      </c>
      <c r="G1386">
        <v>81371</v>
      </c>
      <c r="H1386" t="s">
        <v>3683</v>
      </c>
      <c r="I1386" t="s">
        <v>3673</v>
      </c>
      <c r="J1386" t="e">
        <f>VLOOKUP(F1386,[1]!china_towns_second__2[[Column1]:[Y]],3,FALSE)</f>
        <v>#N/A</v>
      </c>
      <c r="K1386" t="e">
        <f>VLOOKUP(F1386,[1]!china_towns_second__2[[Column1]:[Y]],2,FALSE)</f>
        <v>#N/A</v>
      </c>
      <c r="L1386" t="s">
        <v>6216</v>
      </c>
      <c r="M1386" t="str">
        <f>VLOOKUP(H1386,CHOOSE({1,2},Table17[Native],Table17[Name]),2,0)</f>
        <v>Shìzhōng Qū</v>
      </c>
      <c r="N1386" s="15" t="str">
        <f>VLOOKUP(I1386,CHOOSE({1,2},Table17[Native],Table17[Name]),2,0)</f>
        <v>Jìnán Shì</v>
      </c>
      <c r="O1386" s="15" t="str">
        <f t="shared" si="42"/>
        <v>Wenhualu Jiedao (Jìnán Shì)</v>
      </c>
      <c r="P1386" s="15" t="str">
        <f t="shared" si="43"/>
        <v>Wenhualu Jiedao (Jìnán Shì)</v>
      </c>
    </row>
    <row r="1387" spans="1:16" hidden="1" x14ac:dyDescent="0.25">
      <c r="A1387" t="s">
        <v>557</v>
      </c>
      <c r="B1387" t="str">
        <f>IF(COUNTIF(A:A,A1387)&gt;1,_xlfn.CONCAT(A1387," (",N1387,")"),A1387)</f>
        <v>Wénhuì Jiēdào</v>
      </c>
      <c r="C1387" t="str">
        <f>IF(COUNTIF(B:B,B1387)&gt;1,_xlfn.CONCAT(A1387," (",M1387,")"),B1387)</f>
        <v>Wénhuì Jiēdào</v>
      </c>
      <c r="D1387" t="s">
        <v>558</v>
      </c>
      <c r="E1387" t="s">
        <v>7</v>
      </c>
      <c r="F1387" t="str">
        <f>_xlfn.CONCAT(D1387,", ",H1387,", ",I1387,", ","山东省")</f>
        <v>文汇街道, 东营区, 东营市, 山东省</v>
      </c>
      <c r="G1387">
        <v>123764</v>
      </c>
      <c r="H1387" t="s">
        <v>3656</v>
      </c>
      <c r="I1387" t="s">
        <v>3655</v>
      </c>
      <c r="J1387">
        <f>VLOOKUP(F1387,[1]!china_towns_second__2[[Column1]:[Y]],3,FALSE)</f>
        <v>37.483291948620803</v>
      </c>
      <c r="K1387">
        <f>VLOOKUP(F1387,[1]!china_towns_second__2[[Column1]:[Y]],2,FALSE)</f>
        <v>118.5251267</v>
      </c>
      <c r="L1387" t="s">
        <v>6217</v>
      </c>
      <c r="M1387" t="str">
        <f>VLOOKUP(H1387,CHOOSE({1,2},Table17[Native],Table17[Name]),2,0)</f>
        <v>Dōngyíng Qū</v>
      </c>
      <c r="N1387" s="15" t="str">
        <f>VLOOKUP(I1387,CHOOSE({1,2},Table17[Native],Table17[Name]),2,0)</f>
        <v>Dōngyíng Shì</v>
      </c>
      <c r="O1387" s="15" t="str">
        <f t="shared" si="42"/>
        <v>Wenhui Jiedao (Dōngyíng Shì)</v>
      </c>
      <c r="P1387" s="15" t="str">
        <f t="shared" si="43"/>
        <v>Wenhui Jiedao (Dōngyíng Shì)</v>
      </c>
    </row>
    <row r="1388" spans="1:16" hidden="1" x14ac:dyDescent="0.25">
      <c r="A1388" t="s">
        <v>2851</v>
      </c>
      <c r="B1388" t="str">
        <f>IF(COUNTIF(A:A,A1388)&gt;1,_xlfn.CONCAT(A1388," (",N1388,")"),A1388)</f>
        <v>Wénjiā Jiēdào</v>
      </c>
      <c r="C1388" t="str">
        <f>IF(COUNTIF(B:B,B1388)&gt;1,_xlfn.CONCAT(A1388," (",M1388,")"),B1388)</f>
        <v>Wénjiā Jiēdào</v>
      </c>
      <c r="D1388" t="s">
        <v>2852</v>
      </c>
      <c r="E1388" t="s">
        <v>7</v>
      </c>
      <c r="F1388" t="str">
        <f>_xlfn.CONCAT(D1388,", ",H1388,", ",I1388,", ","山东省")</f>
        <v>文家街道, 寿光市, 潍坊市, 山东省</v>
      </c>
      <c r="G1388">
        <v>58312</v>
      </c>
      <c r="H1388" t="s">
        <v>3761</v>
      </c>
      <c r="I1388" t="s">
        <v>3751</v>
      </c>
      <c r="J1388">
        <f>VLOOKUP(F1388,[1]!china_towns_second__2[[Column1]:[Y]],3,FALSE)</f>
        <v>36.894789928973601</v>
      </c>
      <c r="K1388">
        <f>VLOOKUP(F1388,[1]!china_towns_second__2[[Column1]:[Y]],2,FALSE)</f>
        <v>118.6753088</v>
      </c>
      <c r="L1388" t="s">
        <v>6218</v>
      </c>
      <c r="M1388" t="str">
        <f>VLOOKUP(H1388,CHOOSE({1,2},Table17[Native],Table17[Name]),2,0)</f>
        <v>Shòuguāng Shì</v>
      </c>
      <c r="N1388" s="15" t="str">
        <f>VLOOKUP(I1388,CHOOSE({1,2},Table17[Native],Table17[Name]),2,0)</f>
        <v>Wéifāng Shì</v>
      </c>
      <c r="O1388" s="15" t="str">
        <f t="shared" si="42"/>
        <v>Wenjia Jiedao (Wéifāng Shì)</v>
      </c>
      <c r="P1388" s="15" t="str">
        <f t="shared" si="43"/>
        <v>Wenjia Jiedao (Wéifāng Shì)</v>
      </c>
    </row>
    <row r="1389" spans="1:16" hidden="1" x14ac:dyDescent="0.25">
      <c r="A1389" t="s">
        <v>2629</v>
      </c>
      <c r="B1389" t="str">
        <f>IF(COUNTIF(A:A,A1389)&gt;1,_xlfn.CONCAT(A1389," (",N1389,")"),A1389)</f>
        <v>Wénmiào Jiēdào</v>
      </c>
      <c r="C1389" t="str">
        <f>IF(COUNTIF(B:B,B1389)&gt;1,_xlfn.CONCAT(A1389," (",M1389,")"),B1389)</f>
        <v>Wénmiào Jiēdào</v>
      </c>
      <c r="D1389" t="s">
        <v>2630</v>
      </c>
      <c r="E1389" t="s">
        <v>7</v>
      </c>
      <c r="F1389" t="str">
        <f>_xlfn.CONCAT(D1389,", ",H1389,", ",I1389,", ","山东省")</f>
        <v>文庙街道, 宁阳县, 泰安市, 山东省</v>
      </c>
      <c r="G1389">
        <v>90172</v>
      </c>
      <c r="H1389" t="s">
        <v>3747</v>
      </c>
      <c r="I1389" t="s">
        <v>3743</v>
      </c>
      <c r="J1389">
        <f>VLOOKUP(F1389,[1]!china_towns_second__2[[Column1]:[Y]],3,FALSE)</f>
        <v>35.765764496189398</v>
      </c>
      <c r="K1389">
        <f>VLOOKUP(F1389,[1]!china_towns_second__2[[Column1]:[Y]],2,FALSE)</f>
        <v>116.8168702</v>
      </c>
      <c r="L1389" t="s">
        <v>6219</v>
      </c>
      <c r="M1389" t="str">
        <f>VLOOKUP(H1389,CHOOSE({1,2},Table17[Native],Table17[Name]),2,0)</f>
        <v>Níngyáng Xiàn</v>
      </c>
      <c r="N1389" s="15" t="str">
        <f>VLOOKUP(I1389,CHOOSE({1,2},Table17[Native],Table17[Name]),2,0)</f>
        <v>Tài'ān Shì</v>
      </c>
      <c r="O1389" s="15" t="str">
        <f t="shared" si="42"/>
        <v>Wenmiao Jiedao (Tài'ān Shì)</v>
      </c>
      <c r="P1389" s="15" t="str">
        <f t="shared" si="43"/>
        <v>Wenmiao Jiedao (Tài'ān Shì)</v>
      </c>
    </row>
    <row r="1390" spans="1:16" hidden="1" x14ac:dyDescent="0.25">
      <c r="A1390" t="s">
        <v>2631</v>
      </c>
      <c r="B1390" t="str">
        <f>IF(COUNTIF(A:A,A1390)&gt;1,_xlfn.CONCAT(A1390," (",N1390,")"),A1390)</f>
        <v>Wènnán Zhèn</v>
      </c>
      <c r="C1390" t="str">
        <f>IF(COUNTIF(B:B,B1390)&gt;1,_xlfn.CONCAT(A1390," (",M1390,")"),B1390)</f>
        <v>Wènnán Zhèn</v>
      </c>
      <c r="D1390" t="s">
        <v>2632</v>
      </c>
      <c r="E1390" t="s">
        <v>13</v>
      </c>
      <c r="F1390" t="str">
        <f>_xlfn.CONCAT(D1390,", ",H1390,", ",I1390,", ","山东省")</f>
        <v>汶南镇, 新泰市, 泰安市, 山东省</v>
      </c>
      <c r="G1390">
        <v>110530</v>
      </c>
      <c r="H1390" t="s">
        <v>3749</v>
      </c>
      <c r="I1390" t="s">
        <v>3743</v>
      </c>
      <c r="J1390">
        <f>VLOOKUP(F1390,[1]!china_towns_second__2[[Column1]:[Y]],3,FALSE)</f>
        <v>35.801405154008101</v>
      </c>
      <c r="K1390">
        <f>VLOOKUP(F1390,[1]!china_towns_second__2[[Column1]:[Y]],2,FALSE)</f>
        <v>117.7811442</v>
      </c>
      <c r="L1390" t="s">
        <v>6220</v>
      </c>
      <c r="M1390" t="str">
        <f>VLOOKUP(H1390,CHOOSE({1,2},Table17[Native],Table17[Name]),2,0)</f>
        <v>Xīntài Shì</v>
      </c>
      <c r="N1390" s="15" t="str">
        <f>VLOOKUP(I1390,CHOOSE({1,2},Table17[Native],Table17[Name]),2,0)</f>
        <v>Tài'ān Shì</v>
      </c>
      <c r="O1390" s="15" t="str">
        <f t="shared" si="42"/>
        <v>Wennan Zhen (Tài'ān Shì)</v>
      </c>
      <c r="P1390" s="15" t="str">
        <f t="shared" si="43"/>
        <v>Wennan Zhen (Tài'ān Shì)</v>
      </c>
    </row>
    <row r="1391" spans="1:16" hidden="1" x14ac:dyDescent="0.25">
      <c r="A1391" t="s">
        <v>2321</v>
      </c>
      <c r="B1391" t="str">
        <f>IF(COUNTIF(A:A,A1391)&gt;1,_xlfn.CONCAT(A1391," (",N1391,")"),A1391)</f>
        <v>Wēnquán Jiēdào (Qīngdăo Shì)</v>
      </c>
      <c r="C1391" t="str">
        <f>IF(COUNTIF(B:B,B1391)&gt;1,_xlfn.CONCAT(A1391," (",M1391,")"),B1391)</f>
        <v>Wēnquán Jiēdào (Qīngdăo Shì)</v>
      </c>
      <c r="D1391" t="s">
        <v>2322</v>
      </c>
      <c r="E1391" t="s">
        <v>7</v>
      </c>
      <c r="F1391" t="str">
        <f>_xlfn.CONCAT(D1391,", ",H1391,", ",I1391,", ","山东省")</f>
        <v>温泉街道, 即墨区, 青岛市, 山东省</v>
      </c>
      <c r="G1391">
        <v>45655</v>
      </c>
      <c r="H1391" t="s">
        <v>3728</v>
      </c>
      <c r="I1391" t="s">
        <v>3724</v>
      </c>
      <c r="J1391">
        <f>VLOOKUP(F1391,[1]!china_towns_second__2[[Column1]:[Y]],3,FALSE)</f>
        <v>36.457852904345103</v>
      </c>
      <c r="K1391">
        <f>VLOOKUP(F1391,[1]!china_towns_second__2[[Column1]:[Y]],2,FALSE)</f>
        <v>120.6860338</v>
      </c>
      <c r="L1391" t="s">
        <v>6221</v>
      </c>
      <c r="M1391" t="str">
        <f>VLOOKUP(H1391,CHOOSE({1,2},Table17[Native],Table17[Name]),2,0)</f>
        <v>Jímò Qū</v>
      </c>
      <c r="N1391" s="15" t="str">
        <f>VLOOKUP(I1391,CHOOSE({1,2},Table17[Native],Table17[Name]),2,0)</f>
        <v>Qīngdăo Shì</v>
      </c>
      <c r="O1391" s="15" t="str">
        <f t="shared" si="42"/>
        <v>Wenquan Jiedao (Qingdao Shi) (Qīngdăo Shì)</v>
      </c>
      <c r="P1391" s="15" t="str">
        <f t="shared" si="43"/>
        <v>Wenquan Jiedao (Qingdao Shi) (Qīngdăo Shì)</v>
      </c>
    </row>
    <row r="1392" spans="1:16" hidden="1" x14ac:dyDescent="0.25">
      <c r="A1392" t="s">
        <v>2321</v>
      </c>
      <c r="B1392" t="str">
        <f>IF(COUNTIF(A:A,A1392)&gt;1,_xlfn.CONCAT(A1392," (",N1392,")"),A1392)</f>
        <v>Wēnquán Jiēdào (Yāntái Shì)</v>
      </c>
      <c r="C1392" t="str">
        <f>IF(COUNTIF(B:B,B1392)&gt;1,_xlfn.CONCAT(A1392," (",M1392,")"),B1392)</f>
        <v>Wēnquán Jiēdào (Yāntái Shì)</v>
      </c>
      <c r="D1392" t="s">
        <v>2322</v>
      </c>
      <c r="E1392" t="s">
        <v>7</v>
      </c>
      <c r="F1392" t="str">
        <f>_xlfn.CONCAT(D1392,", ",H1392,", ",I1392,", ","山东省")</f>
        <v>温泉街道, 招远市, 烟台市, 山东省</v>
      </c>
      <c r="G1392">
        <v>50778</v>
      </c>
      <c r="H1392" t="s">
        <v>3781</v>
      </c>
      <c r="I1392" t="s">
        <v>3771</v>
      </c>
      <c r="J1392">
        <f>VLOOKUP(F1392,[1]!china_towns_second__2[[Column1]:[Y]],3,FALSE)</f>
        <v>37.386793775944099</v>
      </c>
      <c r="K1392">
        <f>VLOOKUP(F1392,[1]!china_towns_second__2[[Column1]:[Y]],2,FALSE)</f>
        <v>120.42348990000001</v>
      </c>
      <c r="L1392" t="s">
        <v>6222</v>
      </c>
      <c r="M1392" t="str">
        <f>VLOOKUP(H1392,CHOOSE({1,2},Table17[Native],Table17[Name]),2,0)</f>
        <v>Zhāoyuăn Shì</v>
      </c>
      <c r="N1392" s="15" t="str">
        <f>VLOOKUP(I1392,CHOOSE({1,2},Table17[Native],Table17[Name]),2,0)</f>
        <v>Yāntái Shì</v>
      </c>
      <c r="O1392" s="15" t="str">
        <f t="shared" si="42"/>
        <v>Wenquan Jiedao (Yantai Shi) (Yāntái Shì)</v>
      </c>
      <c r="P1392" s="15" t="str">
        <f t="shared" si="43"/>
        <v>Wenquan Jiedao (Yantai Shi) (Yāntái Shì)</v>
      </c>
    </row>
    <row r="1393" spans="1:16" hidden="1" x14ac:dyDescent="0.25">
      <c r="A1393" t="s">
        <v>2994</v>
      </c>
      <c r="B1393" t="str">
        <f>IF(COUNTIF(A:A,A1393)&gt;1,_xlfn.CONCAT(A1393," (",N1393,")"),A1393)</f>
        <v>Wēnquán Zhèn</v>
      </c>
      <c r="C1393" t="str">
        <f>IF(COUNTIF(B:B,B1393)&gt;1,_xlfn.CONCAT(A1393," (",M1393,")"),B1393)</f>
        <v>Wēnquán Zhèn</v>
      </c>
      <c r="D1393" t="s">
        <v>2995</v>
      </c>
      <c r="E1393" t="s">
        <v>13</v>
      </c>
      <c r="F1393" t="str">
        <f>_xlfn.CONCAT(D1393,", ",H1393,", ",I1393,", ","山东省")</f>
        <v>温泉镇, 环翠区, 威海市, 山东省</v>
      </c>
      <c r="G1393">
        <v>33486</v>
      </c>
      <c r="H1393" t="s">
        <v>3766</v>
      </c>
      <c r="I1393" t="s">
        <v>3765</v>
      </c>
      <c r="J1393">
        <f>VLOOKUP(F1393,[1]!china_towns_second__2[[Column1]:[Y]],3,FALSE)</f>
        <v>37.3619580255871</v>
      </c>
      <c r="K1393">
        <f>VLOOKUP(F1393,[1]!china_towns_second__2[[Column1]:[Y]],2,FALSE)</f>
        <v>122.187781</v>
      </c>
      <c r="L1393" t="s">
        <v>6223</v>
      </c>
      <c r="M1393" t="str">
        <f>VLOOKUP(H1393,CHOOSE({1,2},Table17[Native],Table17[Name]),2,0)</f>
        <v>Huáncuì Qū</v>
      </c>
      <c r="N1393" s="15" t="str">
        <f>VLOOKUP(I1393,CHOOSE({1,2},Table17[Native],Table17[Name]),2,0)</f>
        <v>Wēihăi Shì</v>
      </c>
      <c r="O1393" s="15" t="str">
        <f t="shared" si="42"/>
        <v>Wenquan Zhen (Wēihăi Shì)</v>
      </c>
      <c r="P1393" s="15" t="str">
        <f t="shared" si="43"/>
        <v>Wenquan Zhen (Wēihăi Shì)</v>
      </c>
    </row>
    <row r="1394" spans="1:16" hidden="1" x14ac:dyDescent="0.25">
      <c r="A1394" t="s">
        <v>1446</v>
      </c>
      <c r="B1394" t="str">
        <f>IF(COUNTIF(A:A,A1394)&gt;1,_xlfn.CONCAT(A1394," (",N1394,")"),A1394)</f>
        <v>Wènshàng Jiēdào</v>
      </c>
      <c r="C1394" t="str">
        <f>IF(COUNTIF(B:B,B1394)&gt;1,_xlfn.CONCAT(A1394," (",M1394,")"),B1394)</f>
        <v>Wènshàng Jiēdào</v>
      </c>
      <c r="D1394" t="s">
        <v>1447</v>
      </c>
      <c r="E1394" t="s">
        <v>7</v>
      </c>
      <c r="F1394" t="str">
        <f>_xlfn.CONCAT(D1394,", ",H1394,", ",I1394,", ","山东省")</f>
        <v>汶上街道, 汶上县, 济宁市, 山东省</v>
      </c>
      <c r="G1394">
        <v>49352</v>
      </c>
      <c r="H1394" t="s">
        <v>3695</v>
      </c>
      <c r="I1394" t="s">
        <v>3687</v>
      </c>
      <c r="J1394">
        <f>VLOOKUP(F1394,[1]!china_towns_second__2[[Column1]:[Y]],3,FALSE)</f>
        <v>35.749109138336699</v>
      </c>
      <c r="K1394">
        <f>VLOOKUP(F1394,[1]!china_towns_second__2[[Column1]:[Y]],2,FALSE)</f>
        <v>116.50545339999999</v>
      </c>
      <c r="L1394" t="s">
        <v>6224</v>
      </c>
      <c r="M1394" t="str">
        <f>VLOOKUP(H1394,CHOOSE({1,2},Table17[Native],Table17[Name]),2,0)</f>
        <v>Wènshàng Xiàn</v>
      </c>
      <c r="N1394" s="15" t="str">
        <f>VLOOKUP(I1394,CHOOSE({1,2},Table17[Native],Table17[Name]),2,0)</f>
        <v>Jìníng Shì</v>
      </c>
      <c r="O1394" s="15" t="str">
        <f t="shared" si="42"/>
        <v>Wenshang Jiedao (Jìníng Shì)</v>
      </c>
      <c r="P1394" s="15" t="str">
        <f t="shared" si="43"/>
        <v>Wenshang Jiedao (Jìníng Shì)</v>
      </c>
    </row>
    <row r="1395" spans="1:16" hidden="1" x14ac:dyDescent="0.25">
      <c r="A1395" t="s">
        <v>3593</v>
      </c>
      <c r="B1395" t="str">
        <f>IF(COUNTIF(A:A,A1395)&gt;1,_xlfn.CONCAT(A1395," (",N1395,")"),A1395)</f>
        <v>Wénsháo Jiēdào</v>
      </c>
      <c r="C1395" t="str">
        <f>IF(COUNTIF(B:B,B1395)&gt;1,_xlfn.CONCAT(A1395," (",M1395,")"),B1395)</f>
        <v>Wénsháo Jiēdào</v>
      </c>
      <c r="D1395" t="s">
        <v>3594</v>
      </c>
      <c r="E1395" t="s">
        <v>7</v>
      </c>
      <c r="F1395" t="str">
        <f>_xlfn.CONCAT(D1395,", ",H1395,", ",I1395,", ","山东省")</f>
        <v>闻韶街道, 临淄区, 淄博市, 山东省</v>
      </c>
      <c r="G1395">
        <v>80387</v>
      </c>
      <c r="H1395" t="s">
        <v>3795</v>
      </c>
      <c r="I1395" t="s">
        <v>3791</v>
      </c>
      <c r="J1395">
        <f>VLOOKUP(F1395,[1]!china_towns_second__2[[Column1]:[Y]],3,FALSE)</f>
        <v>36.8147417276911</v>
      </c>
      <c r="K1395">
        <f>VLOOKUP(F1395,[1]!china_towns_second__2[[Column1]:[Y]],2,FALSE)</f>
        <v>118.31067590000001</v>
      </c>
      <c r="L1395" t="s">
        <v>6225</v>
      </c>
      <c r="M1395" t="str">
        <f>VLOOKUP(H1395,CHOOSE({1,2},Table17[Native],Table17[Name]),2,0)</f>
        <v>Línzī Qū</v>
      </c>
      <c r="N1395" s="15" t="str">
        <f>VLOOKUP(I1395,CHOOSE({1,2},Table17[Native],Table17[Name]),2,0)</f>
        <v>Zībó Shì</v>
      </c>
      <c r="O1395" s="15" t="str">
        <f t="shared" si="42"/>
        <v>Wenshao Jiedao (Zībó Shì)</v>
      </c>
      <c r="P1395" s="15" t="str">
        <f t="shared" si="43"/>
        <v>Wenshao Jiedao (Zībó Shì)</v>
      </c>
    </row>
    <row r="1396" spans="1:16" hidden="1" x14ac:dyDescent="0.25">
      <c r="A1396" t="s">
        <v>2030</v>
      </c>
      <c r="B1396" t="str">
        <f>IF(COUNTIF(A:A,A1396)&gt;1,_xlfn.CONCAT(A1396," (",N1396,")"),A1396)</f>
        <v>Wēnshuĭ Zhèn</v>
      </c>
      <c r="C1396" t="str">
        <f>IF(COUNTIF(B:B,B1396)&gt;1,_xlfn.CONCAT(A1396," (",M1396,")"),B1396)</f>
        <v>Wēnshuĭ Zhèn</v>
      </c>
      <c r="D1396" t="s">
        <v>2031</v>
      </c>
      <c r="E1396" t="s">
        <v>13</v>
      </c>
      <c r="F1396" t="str">
        <f>_xlfn.CONCAT(D1396,", ",H1396,", ",I1396,", ","山东省")</f>
        <v>温水镇, 平邑县, 临沂市, 山东省</v>
      </c>
      <c r="G1396">
        <v>29738</v>
      </c>
      <c r="H1396" t="s">
        <v>3719</v>
      </c>
      <c r="I1396" t="s">
        <v>3710</v>
      </c>
      <c r="J1396">
        <f>VLOOKUP(F1396,[1]!china_towns_second__2[[Column1]:[Y]],3,FALSE)</f>
        <v>35.480118998980203</v>
      </c>
      <c r="K1396">
        <f>VLOOKUP(F1396,[1]!china_towns_second__2[[Column1]:[Y]],2,FALSE)</f>
        <v>117.7433752</v>
      </c>
      <c r="L1396" t="s">
        <v>6226</v>
      </c>
      <c r="M1396" t="str">
        <f>VLOOKUP(H1396,CHOOSE({1,2},Table17[Native],Table17[Name]),2,0)</f>
        <v>Píngyì Xiàn</v>
      </c>
      <c r="N1396" s="15" t="str">
        <f>VLOOKUP(I1396,CHOOSE({1,2},Table17[Native],Table17[Name]),2,0)</f>
        <v>Línyí Shì</v>
      </c>
      <c r="O1396" s="15" t="str">
        <f t="shared" si="42"/>
        <v>Wenshui Zhen (Línyí Shì)</v>
      </c>
      <c r="P1396" s="15" t="str">
        <f t="shared" si="43"/>
        <v>Wenshui Zhen (Línyí Shì)</v>
      </c>
    </row>
    <row r="1397" spans="1:16" hidden="1" x14ac:dyDescent="0.25">
      <c r="A1397" t="s">
        <v>834</v>
      </c>
      <c r="B1397" t="str">
        <f>IF(COUNTIF(A:A,A1397)&gt;1,_xlfn.CONCAT(A1397," (",N1397,")"),A1397)</f>
        <v>Wéntíng Jiēdào</v>
      </c>
      <c r="C1397" t="str">
        <f>IF(COUNTIF(B:B,B1397)&gt;1,_xlfn.CONCAT(A1397," (",M1397,")"),B1397)</f>
        <v>Wéntíng Jiēdào</v>
      </c>
      <c r="D1397" t="s">
        <v>835</v>
      </c>
      <c r="E1397" t="s">
        <v>7</v>
      </c>
      <c r="F1397" t="str">
        <f>_xlfn.CONCAT(D1397,", ",H1397,", ",I1397,", ","山东省")</f>
        <v>文亭街道, 成武县, 菏泽市, 山东省</v>
      </c>
      <c r="G1397">
        <v>45436</v>
      </c>
      <c r="H1397" t="s">
        <v>3664</v>
      </c>
      <c r="I1397" t="s">
        <v>3662</v>
      </c>
      <c r="J1397">
        <f>VLOOKUP(F1397,[1]!china_towns_second__2[[Column1]:[Y]],3,FALSE)</f>
        <v>34.959304894649399</v>
      </c>
      <c r="K1397">
        <f>VLOOKUP(F1397,[1]!china_towns_second__2[[Column1]:[Y]],2,FALSE)</f>
        <v>115.8707783</v>
      </c>
      <c r="L1397" t="s">
        <v>6227</v>
      </c>
      <c r="M1397" t="str">
        <f>VLOOKUP(H1397,CHOOSE({1,2},Table17[Native],Table17[Name]),2,0)</f>
        <v>Chéngwŭ Xiàn</v>
      </c>
      <c r="N1397" s="15" t="str">
        <f>VLOOKUP(I1397,CHOOSE({1,2},Table17[Native],Table17[Name]),2,0)</f>
        <v>Hézé Shì</v>
      </c>
      <c r="O1397" s="15" t="str">
        <f t="shared" si="42"/>
        <v>Wenting Jiedao (Hézé Shì)</v>
      </c>
      <c r="P1397" s="15" t="str">
        <f t="shared" si="43"/>
        <v>Wenting Jiedao (Hézé Shì)</v>
      </c>
    </row>
    <row r="1398" spans="1:16" hidden="1" x14ac:dyDescent="0.25">
      <c r="A1398" t="s">
        <v>2032</v>
      </c>
      <c r="B1398" t="str">
        <f>IF(COUNTIF(A:A,A1398)&gt;1,_xlfn.CONCAT(A1398," (",N1398,")"),A1398)</f>
        <v>Wéntuăn Zhèn</v>
      </c>
      <c r="C1398" t="str">
        <f>IF(COUNTIF(B:B,B1398)&gt;1,_xlfn.CONCAT(A1398," (",M1398,")"),B1398)</f>
        <v>Wéntuăn Zhèn</v>
      </c>
      <c r="D1398" t="s">
        <v>2033</v>
      </c>
      <c r="E1398" t="s">
        <v>13</v>
      </c>
      <c r="F1398" t="str">
        <f>_xlfn.CONCAT(D1398,", ",H1398,", ",I1398,", ","山东省")</f>
        <v>文疃镇, 莒南县, 临沂市, 山东省</v>
      </c>
      <c r="G1398">
        <v>35991</v>
      </c>
      <c r="H1398" t="s">
        <v>3713</v>
      </c>
      <c r="I1398" t="s">
        <v>3710</v>
      </c>
      <c r="J1398">
        <f>VLOOKUP(F1398,[1]!china_towns_second__2[[Column1]:[Y]],3,FALSE)</f>
        <v>35.325253170956401</v>
      </c>
      <c r="K1398">
        <f>VLOOKUP(F1398,[1]!china_towns_second__2[[Column1]:[Y]],2,FALSE)</f>
        <v>119.031081</v>
      </c>
      <c r="L1398" t="s">
        <v>6228</v>
      </c>
      <c r="M1398" t="str">
        <f>VLOOKUP(H1398,CHOOSE({1,2},Table17[Native],Table17[Name]),2,0)</f>
        <v>Jŭnán Xiàn</v>
      </c>
      <c r="N1398" s="15" t="str">
        <f>VLOOKUP(I1398,CHOOSE({1,2},Table17[Native],Table17[Name]),2,0)</f>
        <v>Línyí Shì</v>
      </c>
      <c r="O1398" s="15" t="str">
        <f t="shared" si="42"/>
        <v>Wentuan Zhen (Línyí Shì)</v>
      </c>
      <c r="P1398" s="15" t="str">
        <f t="shared" si="43"/>
        <v>Wentuan Zhen (Línyí Shì)</v>
      </c>
    </row>
    <row r="1399" spans="1:16" hidden="1" x14ac:dyDescent="0.25">
      <c r="A1399" t="s">
        <v>2633</v>
      </c>
      <c r="B1399" t="str">
        <f>IF(COUNTIF(A:A,A1399)&gt;1,_xlfn.CONCAT(A1399," (",N1399,")"),A1399)</f>
        <v>Wènyáng Zhèn</v>
      </c>
      <c r="C1399" t="str">
        <f>IF(COUNTIF(B:B,B1399)&gt;1,_xlfn.CONCAT(A1399," (",M1399,")"),B1399)</f>
        <v>Wènyáng Zhèn</v>
      </c>
      <c r="D1399" t="s">
        <v>2634</v>
      </c>
      <c r="E1399" t="s">
        <v>13</v>
      </c>
      <c r="F1399" t="str">
        <f>_xlfn.CONCAT(D1399,", ",H1399,", ",I1399,", ","山东省")</f>
        <v>汶阳镇, 肥城市, 泰安市, 山东省</v>
      </c>
      <c r="G1399">
        <v>73411</v>
      </c>
      <c r="H1399" t="s">
        <v>3746</v>
      </c>
      <c r="I1399" t="s">
        <v>3743</v>
      </c>
      <c r="J1399">
        <f>VLOOKUP(F1399,[1]!china_towns_second__2[[Column1]:[Y]],3,FALSE)</f>
        <v>35.943883156496398</v>
      </c>
      <c r="K1399">
        <f>VLOOKUP(F1399,[1]!china_towns_second__2[[Column1]:[Y]],2,FALSE)</f>
        <v>116.8694174</v>
      </c>
      <c r="L1399" t="s">
        <v>6229</v>
      </c>
      <c r="M1399" t="str">
        <f>VLOOKUP(H1399,CHOOSE({1,2},Table17[Native],Table17[Name]),2,0)</f>
        <v>Féichéng Shì</v>
      </c>
      <c r="N1399" s="15" t="str">
        <f>VLOOKUP(I1399,CHOOSE({1,2},Table17[Native],Table17[Name]),2,0)</f>
        <v>Tài'ān Shì</v>
      </c>
      <c r="O1399" s="15" t="str">
        <f t="shared" si="42"/>
        <v>Wenyang Zhen (Tài'ān Shì)</v>
      </c>
      <c r="P1399" s="15" t="str">
        <f t="shared" si="43"/>
        <v>Wenyang Zhen (Tài'ān Shì)</v>
      </c>
    </row>
    <row r="1400" spans="1:16" hidden="1" x14ac:dyDescent="0.25">
      <c r="A1400" t="s">
        <v>1150</v>
      </c>
      <c r="B1400" t="str">
        <f>IF(COUNTIF(A:A,A1400)&gt;1,_xlfn.CONCAT(A1400," (",N1400,")"),A1400)</f>
        <v>Wènyuán Jiēdào [Huángzhuāng Zhèn]</v>
      </c>
      <c r="C1400" t="str">
        <f>IF(COUNTIF(B:B,B1400)&gt;1,_xlfn.CONCAT(A1400," (",M1400,")"),B1400)</f>
        <v>Wènyuán Jiēdào [Huángzhuāng Zhèn]</v>
      </c>
      <c r="D1400" t="s">
        <v>1151</v>
      </c>
      <c r="E1400" t="s">
        <v>7</v>
      </c>
      <c r="F1400" t="str">
        <f>_xlfn.CONCAT(D1400,", ",H1400,", ",I1400,", ","山东省")</f>
        <v>汶源街道, 钢城区, 济南市, 山东省</v>
      </c>
      <c r="G1400">
        <v>66346</v>
      </c>
      <c r="H1400" t="s">
        <v>3675</v>
      </c>
      <c r="I1400" t="s">
        <v>3673</v>
      </c>
      <c r="J1400" t="e">
        <f>VLOOKUP(F1400,[1]!china_towns_second__2[[Column1]:[Y]],3,FALSE)</f>
        <v>#N/A</v>
      </c>
      <c r="K1400" t="e">
        <f>VLOOKUP(F1400,[1]!china_towns_second__2[[Column1]:[Y]],2,FALSE)</f>
        <v>#N/A</v>
      </c>
      <c r="L1400" t="s">
        <v>6230</v>
      </c>
      <c r="M1400" t="str">
        <f>VLOOKUP(H1400,CHOOSE({1,2},Table17[Native],Table17[Name]),2,0)</f>
        <v>Gāngchéng Qū</v>
      </c>
      <c r="N1400" s="15" t="str">
        <f>VLOOKUP(I1400,CHOOSE({1,2},Table17[Native],Table17[Name]),2,0)</f>
        <v>Jìnán Shì</v>
      </c>
      <c r="O1400" s="15" t="str">
        <f t="shared" si="42"/>
        <v>Wenyuan Jiedao [Huangzhuang Zhen] (Jìnán Shì)</v>
      </c>
      <c r="P1400" s="15" t="str">
        <f t="shared" si="43"/>
        <v>Wenyuan Jiedao [Huangzhuang Zhen] (Jìnán Shì)</v>
      </c>
    </row>
    <row r="1401" spans="1:16" hidden="1" x14ac:dyDescent="0.25">
      <c r="A1401" t="s">
        <v>1152</v>
      </c>
      <c r="B1401" t="str">
        <f>IF(COUNTIF(A:A,A1401)&gt;1,_xlfn.CONCAT(A1401," (",N1401,")"),A1401)</f>
        <v>Wénzŭ Jiēdào</v>
      </c>
      <c r="C1401" t="str">
        <f>IF(COUNTIF(B:B,B1401)&gt;1,_xlfn.CONCAT(A1401," (",M1401,")"),B1401)</f>
        <v>Wénzŭ Jiēdào</v>
      </c>
      <c r="D1401" t="s">
        <v>1153</v>
      </c>
      <c r="E1401" t="s">
        <v>7</v>
      </c>
      <c r="F1401" t="str">
        <f>_xlfn.CONCAT(D1401,", ",H1401,", ",I1401,", ","山东省")</f>
        <v>文祖街道, 章丘区, 济南市, 山东省</v>
      </c>
      <c r="G1401">
        <v>41758</v>
      </c>
      <c r="H1401" t="s">
        <v>3685</v>
      </c>
      <c r="I1401" t="s">
        <v>3673</v>
      </c>
      <c r="J1401" t="e">
        <f>VLOOKUP(F1401,[1]!china_towns_second__2[[Column1]:[Y]],3,FALSE)</f>
        <v>#N/A</v>
      </c>
      <c r="K1401" t="e">
        <f>VLOOKUP(F1401,[1]!china_towns_second__2[[Column1]:[Y]],2,FALSE)</f>
        <v>#N/A</v>
      </c>
      <c r="L1401" t="s">
        <v>6231</v>
      </c>
      <c r="M1401" t="str">
        <f>VLOOKUP(H1401,CHOOSE({1,2},Table17[Native],Table17[Name]),2,0)</f>
        <v>Zhāngqiū Qū</v>
      </c>
      <c r="N1401" s="15" t="str">
        <f>VLOOKUP(I1401,CHOOSE({1,2},Table17[Native],Table17[Name]),2,0)</f>
        <v>Jìnán Shì</v>
      </c>
      <c r="O1401" s="15" t="str">
        <f t="shared" si="42"/>
        <v>Wenzu Jiedao (Jìnán Shì)</v>
      </c>
      <c r="P1401" s="15" t="str">
        <f t="shared" si="43"/>
        <v>Wenzu Jiedao (Jìnán Shì)</v>
      </c>
    </row>
    <row r="1402" spans="1:16" hidden="1" x14ac:dyDescent="0.25">
      <c r="A1402" t="s">
        <v>1448</v>
      </c>
      <c r="B1402" t="str">
        <f>IF(COUNTIF(A:A,A1402)&gt;1,_xlfn.CONCAT(A1402," (",N1402,")"),A1402)</f>
        <v>Wòlóngshān Jiēdào</v>
      </c>
      <c r="C1402" t="str">
        <f>IF(COUNTIF(B:B,B1402)&gt;1,_xlfn.CONCAT(A1402," (",M1402,")"),B1402)</f>
        <v>Wòlóngshān Jiēdào</v>
      </c>
      <c r="D1402" t="s">
        <v>1449</v>
      </c>
      <c r="E1402" t="s">
        <v>7</v>
      </c>
      <c r="F1402" t="str">
        <f>_xlfn.CONCAT(D1402,", ",H1402,", ",I1402,", ","山东省")</f>
        <v>卧龙山街道, 嘉祥县, 济宁市, 山东省</v>
      </c>
      <c r="G1402">
        <v>65568</v>
      </c>
      <c r="H1402" t="s">
        <v>3688</v>
      </c>
      <c r="I1402" t="s">
        <v>3687</v>
      </c>
      <c r="J1402" t="e">
        <f>VLOOKUP(F1402,[1]!china_towns_second__2[[Column1]:[Y]],3,FALSE)</f>
        <v>#N/A</v>
      </c>
      <c r="K1402" t="e">
        <f>VLOOKUP(F1402,[1]!china_towns_second__2[[Column1]:[Y]],2,FALSE)</f>
        <v>#N/A</v>
      </c>
      <c r="L1402" t="s">
        <v>6232</v>
      </c>
      <c r="M1402" t="str">
        <f>VLOOKUP(H1402,CHOOSE({1,2},Table17[Native],Table17[Name]),2,0)</f>
        <v>Jiāxiáng Xiàn</v>
      </c>
      <c r="N1402" s="15" t="str">
        <f>VLOOKUP(I1402,CHOOSE({1,2},Table17[Native],Table17[Name]),2,0)</f>
        <v>Jìníng Shì</v>
      </c>
      <c r="O1402" s="15" t="str">
        <f t="shared" si="42"/>
        <v>Wolongshan Jiedao (Jìníng Shì)</v>
      </c>
      <c r="P1402" s="15" t="str">
        <f t="shared" si="43"/>
        <v>Wolongshan Jiedao (Jìníng Shì)</v>
      </c>
    </row>
    <row r="1403" spans="1:16" hidden="1" x14ac:dyDescent="0.25">
      <c r="A1403" t="s">
        <v>836</v>
      </c>
      <c r="B1403" t="str">
        <f>IF(COUNTIF(A:A,A1403)&gt;1,_xlfn.CONCAT(A1403," (",N1403,")"),A1403)</f>
        <v>Wŭ'ān Zhèn</v>
      </c>
      <c r="C1403" t="str">
        <f>IF(COUNTIF(B:B,B1403)&gt;1,_xlfn.CONCAT(A1403," (",M1403,")"),B1403)</f>
        <v>Wŭ'ān Zhèn</v>
      </c>
      <c r="D1403" t="s">
        <v>837</v>
      </c>
      <c r="E1403" t="s">
        <v>13</v>
      </c>
      <c r="F1403" t="str">
        <f>_xlfn.CONCAT(D1403,", ",H1403,", ",I1403,", ","山东省")</f>
        <v>武安镇, 郓城县, 菏泽市, 山东省</v>
      </c>
      <c r="G1403">
        <v>63645</v>
      </c>
      <c r="H1403" t="s">
        <v>3671</v>
      </c>
      <c r="I1403" t="s">
        <v>3662</v>
      </c>
      <c r="J1403">
        <f>VLOOKUP(F1403,[1]!china_towns_second__2[[Column1]:[Y]],3,FALSE)</f>
        <v>35.499154433294201</v>
      </c>
      <c r="K1403">
        <f>VLOOKUP(F1403,[1]!china_towns_second__2[[Column1]:[Y]],2,FALSE)</f>
        <v>115.8168431</v>
      </c>
      <c r="L1403" t="s">
        <v>6233</v>
      </c>
      <c r="M1403" t="str">
        <f>VLOOKUP(H1403,CHOOSE({1,2},Table17[Native],Table17[Name]),2,0)</f>
        <v>Yùnchéng Xiàn</v>
      </c>
      <c r="N1403" s="15" t="str">
        <f>VLOOKUP(I1403,CHOOSE({1,2},Table17[Native],Table17[Name]),2,0)</f>
        <v>Hézé Shì</v>
      </c>
      <c r="O1403" s="15" t="str">
        <f t="shared" si="42"/>
        <v>Wu'an Zhen (Hézé Shì)</v>
      </c>
      <c r="P1403" s="15" t="str">
        <f t="shared" si="43"/>
        <v>Wu'an Zhen (Hézé Shì)</v>
      </c>
    </row>
    <row r="1404" spans="1:16" hidden="1" x14ac:dyDescent="0.25">
      <c r="A1404" t="s">
        <v>395</v>
      </c>
      <c r="B1404" t="str">
        <f>IF(COUNTIF(A:A,A1404)&gt;1,_xlfn.CONCAT(A1404," (",N1404,")"),A1404)</f>
        <v>Wŭchéng Zhèn</v>
      </c>
      <c r="C1404" t="str">
        <f>IF(COUNTIF(B:B,B1404)&gt;1,_xlfn.CONCAT(A1404," (",M1404,")"),B1404)</f>
        <v>Wŭchéng Zhèn</v>
      </c>
      <c r="D1404" t="s">
        <v>396</v>
      </c>
      <c r="E1404" t="s">
        <v>13</v>
      </c>
      <c r="F1404" t="str">
        <f>_xlfn.CONCAT(D1404,", ",H1404,", ",I1404,", ","山东省")</f>
        <v>武城镇, 武城县, 德州市, 山东省</v>
      </c>
      <c r="G1404">
        <v>57122</v>
      </c>
      <c r="H1404" t="s">
        <v>3651</v>
      </c>
      <c r="I1404" t="s">
        <v>3642</v>
      </c>
      <c r="J1404">
        <f>VLOOKUP(F1404,[1]!china_towns_second__2[[Column1]:[Y]],3,FALSE)</f>
        <v>37.208895854553198</v>
      </c>
      <c r="K1404">
        <f>VLOOKUP(F1404,[1]!china_towns_second__2[[Column1]:[Y]],2,FALSE)</f>
        <v>116.1434098</v>
      </c>
      <c r="L1404" t="s">
        <v>6234</v>
      </c>
      <c r="M1404" t="str">
        <f>VLOOKUP(H1404,CHOOSE({1,2},Table17[Native],Table17[Name]),2,0)</f>
        <v>Wŭchéng Xiàn</v>
      </c>
      <c r="N1404" s="15" t="str">
        <f>VLOOKUP(I1404,CHOOSE({1,2},Table17[Native],Table17[Name]),2,0)</f>
        <v>Dézhōu Shì</v>
      </c>
      <c r="O1404" s="15" t="str">
        <f t="shared" si="42"/>
        <v>Wucheng Zhen (Dézhōu Shì)</v>
      </c>
      <c r="P1404" s="15" t="str">
        <f t="shared" si="43"/>
        <v>Wucheng Zhen (Dézhōu Shì)</v>
      </c>
    </row>
    <row r="1405" spans="1:16" hidden="1" x14ac:dyDescent="0.25">
      <c r="A1405" t="s">
        <v>1450</v>
      </c>
      <c r="B1405" t="str">
        <f>IF(COUNTIF(A:A,A1405)&gt;1,_xlfn.CONCAT(A1405," (",N1405,")"),A1405)</f>
        <v>Wúcūn Zhèn</v>
      </c>
      <c r="C1405" t="str">
        <f>IF(COUNTIF(B:B,B1405)&gt;1,_xlfn.CONCAT(A1405," (",M1405,")"),B1405)</f>
        <v>Wúcūn Zhèn</v>
      </c>
      <c r="D1405" t="s">
        <v>1451</v>
      </c>
      <c r="E1405" t="s">
        <v>13</v>
      </c>
      <c r="F1405" t="str">
        <f>_xlfn.CONCAT(D1405,", ",H1405,", ",I1405,", ","山东省")</f>
        <v>吴村镇, 曲阜市, 济宁市, 山东省</v>
      </c>
      <c r="G1405">
        <v>33254</v>
      </c>
      <c r="H1405" t="s">
        <v>3691</v>
      </c>
      <c r="I1405" t="s">
        <v>3687</v>
      </c>
      <c r="J1405">
        <f>VLOOKUP(F1405,[1]!china_towns_second__2[[Column1]:[Y]],3,FALSE)</f>
        <v>35.7395787435199</v>
      </c>
      <c r="K1405">
        <f>VLOOKUP(F1405,[1]!china_towns_second__2[[Column1]:[Y]],2,FALSE)</f>
        <v>116.9892771</v>
      </c>
      <c r="L1405" t="s">
        <v>6235</v>
      </c>
      <c r="M1405" t="str">
        <f>VLOOKUP(H1405,CHOOSE({1,2},Table17[Native],Table17[Name]),2,0)</f>
        <v>Qŭfù Shì</v>
      </c>
      <c r="N1405" s="15" t="str">
        <f>VLOOKUP(I1405,CHOOSE({1,2},Table17[Native],Table17[Name]),2,0)</f>
        <v>Jìníng Shì</v>
      </c>
      <c r="O1405" s="15" t="str">
        <f t="shared" si="42"/>
        <v>Wucun Zhen (Jìníng Shì)</v>
      </c>
      <c r="P1405" s="15" t="str">
        <f t="shared" si="43"/>
        <v>Wucun Zhen (Jìníng Shì)</v>
      </c>
    </row>
    <row r="1406" spans="1:16" hidden="1" x14ac:dyDescent="0.25">
      <c r="A1406" t="s">
        <v>838</v>
      </c>
      <c r="B1406" t="str">
        <f>IF(COUNTIF(A:A,A1406)&gt;1,_xlfn.CONCAT(A1406," (",N1406,")"),A1406)</f>
        <v>Wúdiàn Zhèn</v>
      </c>
      <c r="C1406" t="str">
        <f>IF(COUNTIF(B:B,B1406)&gt;1,_xlfn.CONCAT(A1406," (",M1406,")"),B1406)</f>
        <v>Wúdiàn Zhèn</v>
      </c>
      <c r="D1406" t="s">
        <v>839</v>
      </c>
      <c r="E1406" t="s">
        <v>13</v>
      </c>
      <c r="F1406" t="str">
        <f>_xlfn.CONCAT(D1406,", ",H1406,", ",I1406,", ","山东省")</f>
        <v>吴店镇, 牡丹区, 菏泽市, 山东省</v>
      </c>
      <c r="G1406">
        <v>48570</v>
      </c>
      <c r="H1406" t="s">
        <v>3669</v>
      </c>
      <c r="I1406" t="s">
        <v>3662</v>
      </c>
      <c r="J1406">
        <f>VLOOKUP(F1406,[1]!china_towns_second__2[[Column1]:[Y]],3,FALSE)</f>
        <v>35.3229960327279</v>
      </c>
      <c r="K1406">
        <f>VLOOKUP(F1406,[1]!china_towns_second__2[[Column1]:[Y]],2,FALSE)</f>
        <v>115.3923951</v>
      </c>
      <c r="L1406" t="s">
        <v>6236</v>
      </c>
      <c r="M1406" t="str">
        <f>VLOOKUP(H1406,CHOOSE({1,2},Table17[Native],Table17[Name]),2,0)</f>
        <v>Mŭdān Qū</v>
      </c>
      <c r="N1406" s="15" t="str">
        <f>VLOOKUP(I1406,CHOOSE({1,2},Table17[Native],Table17[Name]),2,0)</f>
        <v>Hézé Shì</v>
      </c>
      <c r="O1406" s="15" t="str">
        <f t="shared" si="42"/>
        <v>Wudian Zhen (Hézé Shì)</v>
      </c>
      <c r="P1406" s="15" t="str">
        <f t="shared" si="43"/>
        <v>Wudian Zhen (Hézé Shì)</v>
      </c>
    </row>
    <row r="1407" spans="1:16" hidden="1" x14ac:dyDescent="0.25">
      <c r="A1407" t="s">
        <v>167</v>
      </c>
      <c r="B1407" t="str">
        <f>IF(COUNTIF(A:A,A1407)&gt;1,_xlfn.CONCAT(A1407," (",N1407,")"),A1407)</f>
        <v>Wŭdìngfŭ Jiēdào</v>
      </c>
      <c r="C1407" t="str">
        <f>IF(COUNTIF(B:B,B1407)&gt;1,_xlfn.CONCAT(A1407," (",M1407,")"),B1407)</f>
        <v>Wŭdìngfŭ Jiēdào</v>
      </c>
      <c r="D1407" t="s">
        <v>168</v>
      </c>
      <c r="E1407" t="s">
        <v>7</v>
      </c>
      <c r="F1407" t="str">
        <f>_xlfn.CONCAT(D1407,", ",H1407,", ",I1407,", ","山东省")</f>
        <v>武定府街道, 惠民县, 滨州市, 山东省</v>
      </c>
      <c r="G1407">
        <v>11768</v>
      </c>
      <c r="H1407" t="s">
        <v>3635</v>
      </c>
      <c r="I1407" t="s">
        <v>3630</v>
      </c>
      <c r="J1407">
        <f>VLOOKUP(F1407,[1]!china_towns_second__2[[Column1]:[Y]],3,FALSE)</f>
        <v>37.491912797019403</v>
      </c>
      <c r="K1407">
        <f>VLOOKUP(F1407,[1]!china_towns_second__2[[Column1]:[Y]],2,FALSE)</f>
        <v>117.5707153</v>
      </c>
      <c r="L1407" t="s">
        <v>6237</v>
      </c>
      <c r="M1407" t="str">
        <f>VLOOKUP(H1407,CHOOSE({1,2},Table17[Native],Table17[Name]),2,0)</f>
        <v>Huìmín Xiàn</v>
      </c>
      <c r="N1407" s="15" t="str">
        <f>VLOOKUP(I1407,CHOOSE({1,2},Table17[Native],Table17[Name]),2,0)</f>
        <v>Bīnzhōu Shì</v>
      </c>
      <c r="O1407" s="15" t="str">
        <f t="shared" si="42"/>
        <v>Wudingfu Jiedao (Bīnzhōu Shì)</v>
      </c>
      <c r="P1407" s="15" t="str">
        <f t="shared" si="43"/>
        <v>Wudingfu Jiedao (Bīnzhōu Shì)</v>
      </c>
    </row>
    <row r="1408" spans="1:16" hidden="1" x14ac:dyDescent="0.25">
      <c r="A1408" t="s">
        <v>1154</v>
      </c>
      <c r="B1408" t="str">
        <f>IF(COUNTIF(A:A,A1408)&gt;1,_xlfn.CONCAT(A1408," (",N1408,")"),A1408)</f>
        <v>Wŭfēngshān Jiēdào</v>
      </c>
      <c r="C1408" t="str">
        <f>IF(COUNTIF(B:B,B1408)&gt;1,_xlfn.CONCAT(A1408," (",M1408,")"),B1408)</f>
        <v>Wŭfēngshān Jiēdào</v>
      </c>
      <c r="D1408" t="s">
        <v>1155</v>
      </c>
      <c r="E1408" t="s">
        <v>7</v>
      </c>
      <c r="F1408" t="str">
        <f>_xlfn.CONCAT(D1408,", ",H1408,", ",I1408,", ","山东省")</f>
        <v>五峰山街道, 长清区, 济南市, 山东省</v>
      </c>
      <c r="G1408">
        <v>27378</v>
      </c>
      <c r="H1408" t="s">
        <v>3674</v>
      </c>
      <c r="I1408" t="s">
        <v>3673</v>
      </c>
      <c r="J1408">
        <f>VLOOKUP(F1408,[1]!china_towns_second__2[[Column1]:[Y]],3,FALSE)</f>
        <v>36.423315492750802</v>
      </c>
      <c r="K1408">
        <f>VLOOKUP(F1408,[1]!china_towns_second__2[[Column1]:[Y]],2,FALSE)</f>
        <v>116.81769009999999</v>
      </c>
      <c r="L1408" t="s">
        <v>6238</v>
      </c>
      <c r="M1408" t="str">
        <f>VLOOKUP(H1408,CHOOSE({1,2},Table17[Native],Table17[Name]),2,0)</f>
        <v>Chángqīng Qū</v>
      </c>
      <c r="N1408" s="15" t="str">
        <f>VLOOKUP(I1408,CHOOSE({1,2},Table17[Native],Table17[Name]),2,0)</f>
        <v>Jìnán Shì</v>
      </c>
      <c r="O1408" s="15" t="str">
        <f t="shared" si="42"/>
        <v>Wufengshan Jiedao (Jìnán Shì)</v>
      </c>
      <c r="P1408" s="15" t="str">
        <f t="shared" si="43"/>
        <v>Wufengshan Jiedao (Jìnán Shì)</v>
      </c>
    </row>
    <row r="1409" spans="1:16" hidden="1" x14ac:dyDescent="0.25">
      <c r="A1409" t="s">
        <v>2996</v>
      </c>
      <c r="B1409" t="str">
        <f>IF(COUNTIF(A:A,A1409)&gt;1,_xlfn.CONCAT(A1409," (",N1409,")"),A1409)</f>
        <v>Wŭjí Zhèn</v>
      </c>
      <c r="C1409" t="str">
        <f>IF(COUNTIF(B:B,B1409)&gt;1,_xlfn.CONCAT(A1409," (",M1409,")"),B1409)</f>
        <v>Wŭjí Zhèn</v>
      </c>
      <c r="D1409" t="s">
        <v>2997</v>
      </c>
      <c r="E1409" t="s">
        <v>13</v>
      </c>
      <c r="F1409" t="str">
        <f>_xlfn.CONCAT(D1409,", ",H1409,", ",I1409,", ","山东省")</f>
        <v>午极镇, 乳山市, 威海市, 山东省</v>
      </c>
      <c r="G1409">
        <v>23081</v>
      </c>
      <c r="H1409" t="s">
        <v>3768</v>
      </c>
      <c r="I1409" t="s">
        <v>3765</v>
      </c>
      <c r="J1409">
        <f>VLOOKUP(F1409,[1]!china_towns_second__2[[Column1]:[Y]],3,FALSE)</f>
        <v>37.064682748271103</v>
      </c>
      <c r="K1409">
        <f>VLOOKUP(F1409,[1]!china_towns_second__2[[Column1]:[Y]],2,FALSE)</f>
        <v>121.4910058</v>
      </c>
      <c r="L1409" t="s">
        <v>6239</v>
      </c>
      <c r="M1409" t="str">
        <f>VLOOKUP(H1409,CHOOSE({1,2},Table17[Native],Table17[Name]),2,0)</f>
        <v>Rŭshān Shì</v>
      </c>
      <c r="N1409" s="15" t="str">
        <f>VLOOKUP(I1409,CHOOSE({1,2},Table17[Native],Table17[Name]),2,0)</f>
        <v>Wēihăi Shì</v>
      </c>
      <c r="O1409" s="15" t="str">
        <f t="shared" si="42"/>
        <v>Wuji Zhen (Wēihăi Shì)</v>
      </c>
      <c r="P1409" s="15" t="str">
        <f t="shared" si="43"/>
        <v>Wuji Zhen (Wēihăi Shì)</v>
      </c>
    </row>
    <row r="1410" spans="1:16" hidden="1" x14ac:dyDescent="0.25">
      <c r="A1410" t="s">
        <v>1156</v>
      </c>
      <c r="B1410" t="str">
        <f>IF(COUNTIF(A:A,A1410)&gt;1,_xlfn.CONCAT(A1410," (",N1410,")"),A1410)</f>
        <v>Wújiābăo Jiēdào</v>
      </c>
      <c r="C1410" t="str">
        <f>IF(COUNTIF(B:B,B1410)&gt;1,_xlfn.CONCAT(A1410," (",M1410,")"),B1410)</f>
        <v>Wújiābăo Jiēdào</v>
      </c>
      <c r="D1410" t="s">
        <v>1157</v>
      </c>
      <c r="E1410" t="s">
        <v>7</v>
      </c>
      <c r="F1410" t="str">
        <f>_xlfn.CONCAT(D1410,", ",H1410,", ",I1410,", ","山东省")</f>
        <v>吴家堡街道, 槐荫区, 济南市, 山东省</v>
      </c>
      <c r="G1410">
        <v>26936</v>
      </c>
      <c r="H1410" t="s">
        <v>3676</v>
      </c>
      <c r="I1410" t="s">
        <v>3673</v>
      </c>
      <c r="J1410" t="e">
        <f>VLOOKUP(F1410,[1]!china_towns_second__2[[Column1]:[Y]],3,FALSE)</f>
        <v>#N/A</v>
      </c>
      <c r="K1410" t="e">
        <f>VLOOKUP(F1410,[1]!china_towns_second__2[[Column1]:[Y]],2,FALSE)</f>
        <v>#N/A</v>
      </c>
      <c r="L1410" t="s">
        <v>6240</v>
      </c>
      <c r="M1410" t="str">
        <f>VLOOKUP(H1410,CHOOSE({1,2},Table17[Native],Table17[Name]),2,0)</f>
        <v>Huáiyìn Qū</v>
      </c>
      <c r="N1410" s="15" t="str">
        <f>VLOOKUP(I1410,CHOOSE({1,2},Table17[Native],Table17[Name]),2,0)</f>
        <v>Jìnán Shì</v>
      </c>
      <c r="O1410" s="15" t="str">
        <f t="shared" ref="O1410:O1473" si="44">_xlfn.CONCAT(L1410," (",N1410,")")</f>
        <v>Wujiabao Jiedao (Jìnán Shì)</v>
      </c>
      <c r="P1410" s="15" t="str">
        <f t="shared" ref="P1410:P1473" si="45">IF(COUNTIF(O:O,O1410)&gt;1,_xlfn.CONCAT(L1410," (",M1410,")"),O1410)</f>
        <v>Wujiabao Jiedao (Jìnán Shì)</v>
      </c>
    </row>
    <row r="1411" spans="1:16" hidden="1" x14ac:dyDescent="0.25">
      <c r="A1411" t="s">
        <v>2853</v>
      </c>
      <c r="B1411" t="str">
        <f>IF(COUNTIF(A:A,A1411)&gt;1,_xlfn.CONCAT(A1411," (",N1411,")"),A1411)</f>
        <v>Wŭjĭng Zhèn</v>
      </c>
      <c r="C1411" t="str">
        <f>IF(COUNTIF(B:B,B1411)&gt;1,_xlfn.CONCAT(A1411," (",M1411,")"),B1411)</f>
        <v>Wŭjĭng Zhèn</v>
      </c>
      <c r="D1411" t="s">
        <v>2854</v>
      </c>
      <c r="E1411" t="s">
        <v>13</v>
      </c>
      <c r="F1411" t="str">
        <f>_xlfn.CONCAT(D1411,", ",H1411,", ",I1411,", ","山东省")</f>
        <v>五井镇, 临朐县, 潍坊市, 山东省</v>
      </c>
      <c r="G1411">
        <v>60260</v>
      </c>
      <c r="H1411" t="s">
        <v>3759</v>
      </c>
      <c r="I1411" t="s">
        <v>3751</v>
      </c>
      <c r="J1411">
        <f>VLOOKUP(F1411,[1]!china_towns_second__2[[Column1]:[Y]],3,FALSE)</f>
        <v>36.4115815666866</v>
      </c>
      <c r="K1411">
        <f>VLOOKUP(F1411,[1]!china_towns_second__2[[Column1]:[Y]],2,FALSE)</f>
        <v>118.34224210000001</v>
      </c>
      <c r="L1411" t="s">
        <v>6241</v>
      </c>
      <c r="M1411" t="str">
        <f>VLOOKUP(H1411,CHOOSE({1,2},Table17[Native],Table17[Name]),2,0)</f>
        <v>Línqú Xiàn</v>
      </c>
      <c r="N1411" s="15" t="str">
        <f>VLOOKUP(I1411,CHOOSE({1,2},Table17[Native],Table17[Name]),2,0)</f>
        <v>Wéifāng Shì</v>
      </c>
      <c r="O1411" s="15" t="str">
        <f t="shared" si="44"/>
        <v>Wujing Zhen (Wéifāng Shì)</v>
      </c>
      <c r="P1411" s="15" t="str">
        <f t="shared" si="45"/>
        <v>Wujing Zhen (Wéifāng Shì)</v>
      </c>
    </row>
    <row r="1412" spans="1:16" hidden="1" x14ac:dyDescent="0.25">
      <c r="A1412" t="s">
        <v>1158</v>
      </c>
      <c r="B1412" t="str">
        <f>IF(COUNTIF(A:A,A1412)&gt;1,_xlfn.CONCAT(A1412," (",N1412,")"),A1412)</f>
        <v>Wŭlĭgōu Jiēdào</v>
      </c>
      <c r="C1412" t="str">
        <f>IF(COUNTIF(B:B,B1412)&gt;1,_xlfn.CONCAT(A1412," (",M1412,")"),B1412)</f>
        <v>Wŭlĭgōu Jiēdào</v>
      </c>
      <c r="D1412" t="s">
        <v>1159</v>
      </c>
      <c r="E1412" t="s">
        <v>7</v>
      </c>
      <c r="F1412" t="str">
        <f>_xlfn.CONCAT(D1412,", ",H1412,", ",I1412,", ","山东省")</f>
        <v>五里沟街道, 槐荫区, 济南市, 山东省</v>
      </c>
      <c r="G1412">
        <v>23285</v>
      </c>
      <c r="H1412" t="s">
        <v>3676</v>
      </c>
      <c r="I1412" t="s">
        <v>3673</v>
      </c>
      <c r="J1412">
        <f>VLOOKUP(F1412,[1]!china_towns_second__2[[Column1]:[Y]],3,FALSE)</f>
        <v>36.661004815475899</v>
      </c>
      <c r="K1412">
        <f>VLOOKUP(F1412,[1]!china_towns_second__2[[Column1]:[Y]],2,FALSE)</f>
        <v>116.9772309</v>
      </c>
      <c r="L1412" t="s">
        <v>6242</v>
      </c>
      <c r="M1412" t="str">
        <f>VLOOKUP(H1412,CHOOSE({1,2},Table17[Native],Table17[Name]),2,0)</f>
        <v>Huáiyìn Qū</v>
      </c>
      <c r="N1412" s="15" t="str">
        <f>VLOOKUP(I1412,CHOOSE({1,2},Table17[Native],Table17[Name]),2,0)</f>
        <v>Jìnán Shì</v>
      </c>
      <c r="O1412" s="15" t="str">
        <f t="shared" si="44"/>
        <v>Wuligou Jiedao (Jìnán Shì)</v>
      </c>
      <c r="P1412" s="15" t="str">
        <f t="shared" si="45"/>
        <v>Wuligou Jiedao (Jìnán Shì)</v>
      </c>
    </row>
    <row r="1413" spans="1:16" hidden="1" x14ac:dyDescent="0.25">
      <c r="A1413" t="s">
        <v>3433</v>
      </c>
      <c r="B1413" t="str">
        <f>IF(COUNTIF(A:A,A1413)&gt;1,_xlfn.CONCAT(A1413," (",N1413,")"),A1413)</f>
        <v>Wúlín Jiēdào</v>
      </c>
      <c r="C1413" t="str">
        <f>IF(COUNTIF(B:B,B1413)&gt;1,_xlfn.CONCAT(A1413," (",M1413,")"),B1413)</f>
        <v>Wúlín Jiēdào</v>
      </c>
      <c r="D1413" t="s">
        <v>3434</v>
      </c>
      <c r="E1413" t="s">
        <v>7</v>
      </c>
      <c r="F1413" t="str">
        <f>_xlfn.CONCAT(D1413,", ",H1413,", ",I1413,", ","山东省")</f>
        <v>吴林街道, 峄城区, 枣庄市, 山东省</v>
      </c>
      <c r="G1413">
        <v>33926</v>
      </c>
      <c r="H1413" t="s">
        <v>3789</v>
      </c>
      <c r="I1413" t="s">
        <v>3784</v>
      </c>
      <c r="J1413">
        <f>VLOOKUP(F1413,[1]!china_towns_second__2[[Column1]:[Y]],3,FALSE)</f>
        <v>34.733809899510099</v>
      </c>
      <c r="K1413">
        <f>VLOOKUP(F1413,[1]!china_towns_second__2[[Column1]:[Y]],2,FALSE)</f>
        <v>117.62260089999999</v>
      </c>
      <c r="L1413" t="s">
        <v>6243</v>
      </c>
      <c r="M1413" t="str">
        <f>VLOOKUP(H1413,CHOOSE({1,2},Table17[Native],Table17[Name]),2,0)</f>
        <v>Yìchéng Qū</v>
      </c>
      <c r="N1413" s="15" t="str">
        <f>VLOOKUP(I1413,CHOOSE({1,2},Table17[Native],Table17[Name]),2,0)</f>
        <v>Zăozhuāng Shì</v>
      </c>
      <c r="O1413" s="15" t="str">
        <f t="shared" si="44"/>
        <v>Wulin Jiedao (Zăozhuāng Shì)</v>
      </c>
      <c r="P1413" s="15" t="str">
        <f t="shared" si="45"/>
        <v>Wulin Jiedao (Zăozhuāng Shì)</v>
      </c>
    </row>
    <row r="1414" spans="1:16" hidden="1" x14ac:dyDescent="0.25">
      <c r="A1414" t="s">
        <v>3269</v>
      </c>
      <c r="B1414" t="str">
        <f>IF(COUNTIF(A:A,A1414)&gt;1,_xlfn.CONCAT(A1414," (",N1414,")"),A1414)</f>
        <v>Wŭníng Jiēdào</v>
      </c>
      <c r="C1414" t="str">
        <f>IF(COUNTIF(B:B,B1414)&gt;1,_xlfn.CONCAT(A1414," (",M1414,")"),B1414)</f>
        <v>Wŭníng Jiēdào</v>
      </c>
      <c r="D1414" t="s">
        <v>3270</v>
      </c>
      <c r="E1414" t="s">
        <v>7</v>
      </c>
      <c r="F1414" t="str">
        <f>_xlfn.CONCAT(D1414,", ",H1414,", ",I1414,", ","山东省")</f>
        <v>武宁街道, 牟平区, 烟台市, 山东省</v>
      </c>
      <c r="G1414">
        <v>32227</v>
      </c>
      <c r="H1414" t="s">
        <v>3778</v>
      </c>
      <c r="I1414" t="s">
        <v>3771</v>
      </c>
      <c r="J1414">
        <f>VLOOKUP(F1414,[1]!china_towns_second__2[[Column1]:[Y]],3,FALSE)</f>
        <v>37.363454663240702</v>
      </c>
      <c r="K1414">
        <f>VLOOKUP(F1414,[1]!china_towns_second__2[[Column1]:[Y]],2,FALSE)</f>
        <v>121.53976849999999</v>
      </c>
      <c r="L1414" t="s">
        <v>6244</v>
      </c>
      <c r="M1414" t="str">
        <f>VLOOKUP(H1414,CHOOSE({1,2},Table17[Native],Table17[Name]),2,0)</f>
        <v>Mùpíng Qū</v>
      </c>
      <c r="N1414" s="15" t="str">
        <f>VLOOKUP(I1414,CHOOSE({1,2},Table17[Native],Table17[Name]),2,0)</f>
        <v>Yāntái Shì</v>
      </c>
      <c r="O1414" s="15" t="str">
        <f t="shared" si="44"/>
        <v>Wuning Jiedao (Yāntái Shì)</v>
      </c>
      <c r="P1414" s="15" t="str">
        <f t="shared" si="45"/>
        <v>Wuning Jiedao (Yāntái Shì)</v>
      </c>
    </row>
    <row r="1415" spans="1:16" hidden="1" x14ac:dyDescent="0.25">
      <c r="A1415" t="s">
        <v>2855</v>
      </c>
      <c r="B1415" t="str">
        <f>IF(COUNTIF(A:A,A1415)&gt;1,_xlfn.CONCAT(A1415," (",N1415,")"),A1415)</f>
        <v>Wúshān Zhèn</v>
      </c>
      <c r="C1415" t="str">
        <f>IF(COUNTIF(B:B,B1415)&gt;1,_xlfn.CONCAT(A1415," (",M1415,")"),B1415)</f>
        <v>Wúshān Zhèn</v>
      </c>
      <c r="D1415" t="s">
        <v>2856</v>
      </c>
      <c r="E1415" t="s">
        <v>13</v>
      </c>
      <c r="F1415" t="str">
        <f>_xlfn.CONCAT(D1415,", ",H1415,", ",I1415,", ","山东省")</f>
        <v>吾山镇, 安丘市, 潍坊市, 山东省</v>
      </c>
      <c r="G1415">
        <v>33881</v>
      </c>
      <c r="H1415" t="s">
        <v>3752</v>
      </c>
      <c r="I1415" t="s">
        <v>3751</v>
      </c>
      <c r="J1415">
        <f>VLOOKUP(F1415,[1]!china_towns_second__2[[Column1]:[Y]],3,FALSE)</f>
        <v>36.2391821798374</v>
      </c>
      <c r="K1415">
        <f>VLOOKUP(F1415,[1]!china_towns_second__2[[Column1]:[Y]],2,FALSE)</f>
        <v>118.8231961</v>
      </c>
      <c r="L1415" t="s">
        <v>6245</v>
      </c>
      <c r="M1415" t="str">
        <f>VLOOKUP(H1415,CHOOSE({1,2},Table17[Native],Table17[Name]),2,0)</f>
        <v>Ānqiū Shì</v>
      </c>
      <c r="N1415" s="15" t="str">
        <f>VLOOKUP(I1415,CHOOSE({1,2},Table17[Native],Table17[Name]),2,0)</f>
        <v>Wéifāng Shì</v>
      </c>
      <c r="O1415" s="15" t="str">
        <f t="shared" si="44"/>
        <v>Wushan Zhen (Wéifāng Shì)</v>
      </c>
      <c r="P1415" s="15" t="str">
        <f t="shared" si="45"/>
        <v>Wushan Zhen (Wéifāng Shì)</v>
      </c>
    </row>
    <row r="1416" spans="1:16" hidden="1" x14ac:dyDescent="0.25">
      <c r="A1416" t="s">
        <v>840</v>
      </c>
      <c r="B1416" t="str">
        <f>IF(COUNTIF(A:A,A1416)&gt;1,_xlfn.CONCAT(A1416," (",N1416,")"),A1416)</f>
        <v>Wŭshèngqiáo Zhèn</v>
      </c>
      <c r="C1416" t="str">
        <f>IF(COUNTIF(B:B,B1416)&gt;1,_xlfn.CONCAT(A1416," (",M1416,")"),B1416)</f>
        <v>Wŭshèngqiáo Zhèn</v>
      </c>
      <c r="D1416" t="s">
        <v>841</v>
      </c>
      <c r="E1416" t="s">
        <v>13</v>
      </c>
      <c r="F1416" t="str">
        <f>_xlfn.CONCAT(D1416,", ",H1416,", ",I1416,", ","山东省")</f>
        <v>武胜桥镇, 东明县, 菏泽市, 山东省</v>
      </c>
      <c r="G1416">
        <v>43812</v>
      </c>
      <c r="H1416" t="s">
        <v>3666</v>
      </c>
      <c r="I1416" t="s">
        <v>3662</v>
      </c>
      <c r="J1416">
        <f>VLOOKUP(F1416,[1]!china_towns_second__2[[Column1]:[Y]],3,FALSE)</f>
        <v>35.331178200300201</v>
      </c>
      <c r="K1416">
        <f>VLOOKUP(F1416,[1]!china_towns_second__2[[Column1]:[Y]],2,FALSE)</f>
        <v>115.19692879999999</v>
      </c>
      <c r="L1416" t="s">
        <v>6246</v>
      </c>
      <c r="M1416" t="str">
        <f>VLOOKUP(H1416,CHOOSE({1,2},Table17[Native],Table17[Name]),2,0)</f>
        <v>Dōngmíng Xiàn</v>
      </c>
      <c r="N1416" s="15" t="str">
        <f>VLOOKUP(I1416,CHOOSE({1,2},Table17[Native],Table17[Name]),2,0)</f>
        <v>Hézé Shì</v>
      </c>
      <c r="O1416" s="15" t="str">
        <f t="shared" si="44"/>
        <v>Wushengqiao Zhen (Hézé Shì)</v>
      </c>
      <c r="P1416" s="15" t="str">
        <f t="shared" si="45"/>
        <v>Wushengqiao Zhen (Hézé Shì)</v>
      </c>
    </row>
    <row r="1417" spans="1:16" hidden="1" x14ac:dyDescent="0.25">
      <c r="A1417" t="s">
        <v>2034</v>
      </c>
      <c r="B1417" t="str">
        <f>IF(COUNTIF(A:A,A1417)&gt;1,_xlfn.CONCAT(A1417," (",N1417,")"),A1417)</f>
        <v>Wŭtái Zhèn</v>
      </c>
      <c r="C1417" t="str">
        <f>IF(COUNTIF(B:B,B1417)&gt;1,_xlfn.CONCAT(A1417," (",M1417,")"),B1417)</f>
        <v>Wŭtái Zhèn</v>
      </c>
      <c r="D1417" t="s">
        <v>2035</v>
      </c>
      <c r="E1417" t="s">
        <v>13</v>
      </c>
      <c r="F1417" t="str">
        <f>_xlfn.CONCAT(D1417,", ",H1417,", ",I1417,", ","山东省")</f>
        <v>武台镇, 平邑县, 临沂市, 山东省</v>
      </c>
      <c r="G1417">
        <v>32621</v>
      </c>
      <c r="H1417" t="s">
        <v>3719</v>
      </c>
      <c r="I1417" t="s">
        <v>3710</v>
      </c>
      <c r="J1417">
        <f>VLOOKUP(F1417,[1]!china_towns_second__2[[Column1]:[Y]],3,FALSE)</f>
        <v>35.6619750539585</v>
      </c>
      <c r="K1417">
        <f>VLOOKUP(F1417,[1]!china_towns_second__2[[Column1]:[Y]],2,FALSE)</f>
        <v>117.7058794</v>
      </c>
      <c r="L1417" t="s">
        <v>6247</v>
      </c>
      <c r="M1417" t="str">
        <f>VLOOKUP(H1417,CHOOSE({1,2},Table17[Native],Table17[Name]),2,0)</f>
        <v>Píngyì Xiàn</v>
      </c>
      <c r="N1417" s="15" t="str">
        <f>VLOOKUP(I1417,CHOOSE({1,2},Table17[Native],Table17[Name]),2,0)</f>
        <v>Línyí Shì</v>
      </c>
      <c r="O1417" s="15" t="str">
        <f t="shared" si="44"/>
        <v>Wutai Zhen (Línyí Shì)</v>
      </c>
      <c r="P1417" s="15" t="str">
        <f t="shared" si="45"/>
        <v>Wutai Zhen (Línyí Shì)</v>
      </c>
    </row>
    <row r="1418" spans="1:16" hidden="1" x14ac:dyDescent="0.25">
      <c r="A1418" t="s">
        <v>2857</v>
      </c>
      <c r="B1418" t="str">
        <f>IF(COUNTIF(A:A,A1418)&gt;1,_xlfn.CONCAT(A1418," (",N1418,")"),A1418)</f>
        <v>Wŭtú Jiēdào</v>
      </c>
      <c r="C1418" t="str">
        <f>IF(COUNTIF(B:B,B1418)&gt;1,_xlfn.CONCAT(A1418," (",M1418,")"),B1418)</f>
        <v>Wŭtú Jiēdào</v>
      </c>
      <c r="D1418" t="s">
        <v>2858</v>
      </c>
      <c r="E1418" t="s">
        <v>7</v>
      </c>
      <c r="F1418" t="str">
        <f>_xlfn.CONCAT(D1418,", ",H1418,", ",I1418,", ","山东省")</f>
        <v>五图街道, 昌乐县, 潍坊市, 山东省</v>
      </c>
      <c r="G1418">
        <v>29291</v>
      </c>
      <c r="H1418" t="s">
        <v>3753</v>
      </c>
      <c r="I1418" t="s">
        <v>3751</v>
      </c>
      <c r="J1418">
        <f>VLOOKUP(F1418,[1]!china_towns_second__2[[Column1]:[Y]],3,FALSE)</f>
        <v>36.633987026079403</v>
      </c>
      <c r="K1418">
        <f>VLOOKUP(F1418,[1]!china_towns_second__2[[Column1]:[Y]],2,FALSE)</f>
        <v>118.9047103</v>
      </c>
      <c r="L1418" t="s">
        <v>6248</v>
      </c>
      <c r="M1418" t="str">
        <f>VLOOKUP(H1418,CHOOSE({1,2},Table17[Native],Table17[Name]),2,0)</f>
        <v>Chānglè Xiàn</v>
      </c>
      <c r="N1418" s="15" t="str">
        <f>VLOOKUP(I1418,CHOOSE({1,2},Table17[Native],Table17[Name]),2,0)</f>
        <v>Wéifāng Shì</v>
      </c>
      <c r="O1418" s="15" t="str">
        <f t="shared" si="44"/>
        <v>Wutu Jiedao (Wéifāng Shì)</v>
      </c>
      <c r="P1418" s="15" t="str">
        <f t="shared" si="45"/>
        <v>Wutu Jiedao (Wéifāng Shì)</v>
      </c>
    </row>
    <row r="1419" spans="1:16" hidden="1" x14ac:dyDescent="0.25">
      <c r="A1419" t="s">
        <v>1160</v>
      </c>
      <c r="B1419" t="str">
        <f>IF(COUNTIF(A:A,A1419)&gt;1,_xlfn.CONCAT(A1419," (",N1419,")"),A1419)</f>
        <v>Wúyĭngshān Jiēdào</v>
      </c>
      <c r="C1419" t="str">
        <f>IF(COUNTIF(B:B,B1419)&gt;1,_xlfn.CONCAT(A1419," (",M1419,")"),B1419)</f>
        <v>Wúyĭngshān Jiēdào</v>
      </c>
      <c r="D1419" t="s">
        <v>1161</v>
      </c>
      <c r="E1419" t="s">
        <v>7</v>
      </c>
      <c r="F1419" t="str">
        <f>_xlfn.CONCAT(D1419,", ",H1419,", ",I1419,", ","山东省")</f>
        <v>无影山街道, 天桥区, 济南市, 山东省</v>
      </c>
      <c r="G1419">
        <v>38006</v>
      </c>
      <c r="H1419" t="s">
        <v>3684</v>
      </c>
      <c r="I1419" t="s">
        <v>3673</v>
      </c>
      <c r="J1419">
        <f>VLOOKUP(F1419,[1]!china_towns_second__2[[Column1]:[Y]],3,FALSE)</f>
        <v>36.684084476747202</v>
      </c>
      <c r="K1419">
        <f>VLOOKUP(F1419,[1]!china_towns_second__2[[Column1]:[Y]],2,FALSE)</f>
        <v>116.97759979999999</v>
      </c>
      <c r="L1419" t="s">
        <v>6249</v>
      </c>
      <c r="M1419" t="str">
        <f>VLOOKUP(H1419,CHOOSE({1,2},Table17[Native],Table17[Name]),2,0)</f>
        <v>Tiānqiáo Qū</v>
      </c>
      <c r="N1419" s="15" t="str">
        <f>VLOOKUP(I1419,CHOOSE({1,2},Table17[Native],Table17[Name]),2,0)</f>
        <v>Jìnán Shì</v>
      </c>
      <c r="O1419" s="15" t="str">
        <f t="shared" si="44"/>
        <v>Wuyingshan Jiedao (Jìnán Shì)</v>
      </c>
      <c r="P1419" s="15" t="str">
        <f t="shared" si="45"/>
        <v>Wuyingshan Jiedao (Jìnán Shì)</v>
      </c>
    </row>
    <row r="1420" spans="1:16" hidden="1" x14ac:dyDescent="0.25">
      <c r="A1420" t="s">
        <v>2998</v>
      </c>
      <c r="B1420" t="str">
        <f>IF(COUNTIF(A:A,A1420)&gt;1,_xlfn.CONCAT(A1420," (",N1420,")"),A1420)</f>
        <v>Xiàchū Zhèn</v>
      </c>
      <c r="C1420" t="str">
        <f>IF(COUNTIF(B:B,B1420)&gt;1,_xlfn.CONCAT(A1420," (",M1420,")"),B1420)</f>
        <v>Xiàchū Zhèn</v>
      </c>
      <c r="D1420" t="s">
        <v>2999</v>
      </c>
      <c r="E1420" t="s">
        <v>13</v>
      </c>
      <c r="F1420" t="str">
        <f>_xlfn.CONCAT(D1420,", ",H1420,", ",I1420,", ","山东省")</f>
        <v>下初镇, 乳山市, 威海市, 山东省</v>
      </c>
      <c r="G1420">
        <v>26863</v>
      </c>
      <c r="H1420" t="s">
        <v>3768</v>
      </c>
      <c r="I1420" t="s">
        <v>3765</v>
      </c>
      <c r="J1420">
        <f>VLOOKUP(F1420,[1]!china_towns_second__2[[Column1]:[Y]],3,FALSE)</f>
        <v>37.058135725201097</v>
      </c>
      <c r="K1420">
        <f>VLOOKUP(F1420,[1]!china_towns_second__2[[Column1]:[Y]],2,FALSE)</f>
        <v>121.5981965</v>
      </c>
      <c r="L1420" t="s">
        <v>6250</v>
      </c>
      <c r="M1420" t="str">
        <f>VLOOKUP(H1420,CHOOSE({1,2},Table17[Native],Table17[Name]),2,0)</f>
        <v>Rŭshān Shì</v>
      </c>
      <c r="N1420" s="15" t="str">
        <f>VLOOKUP(I1420,CHOOSE({1,2},Table17[Native],Table17[Name]),2,0)</f>
        <v>Wēihăi Shì</v>
      </c>
      <c r="O1420" s="15" t="str">
        <f t="shared" si="44"/>
        <v>Xiachu Zhen (Wēihăi Shì)</v>
      </c>
      <c r="P1420" s="15" t="str">
        <f t="shared" si="45"/>
        <v>Xiachu Zhen (Wēihăi Shì)</v>
      </c>
    </row>
    <row r="1421" spans="1:16" hidden="1" x14ac:dyDescent="0.25">
      <c r="A1421" t="s">
        <v>2036</v>
      </c>
      <c r="B1421" t="str">
        <f>IF(COUNTIF(A:A,A1421)&gt;1,_xlfn.CONCAT(A1421," (",N1421,")"),A1421)</f>
        <v>Xiàcūn Xiāng</v>
      </c>
      <c r="C1421" t="str">
        <f>IF(COUNTIF(B:B,B1421)&gt;1,_xlfn.CONCAT(A1421," (",M1421,")"),B1421)</f>
        <v>Xiàcūn Xiāng</v>
      </c>
      <c r="D1421" t="s">
        <v>2037</v>
      </c>
      <c r="E1421" t="s">
        <v>61</v>
      </c>
      <c r="F1421" t="str">
        <f>_xlfn.CONCAT(D1421,", ",H1421,", ",I1421,", ","山东省")</f>
        <v>下村乡, 兰陵县, 临沂市, 山东省</v>
      </c>
      <c r="G1421">
        <v>38969</v>
      </c>
      <c r="H1421" t="s">
        <v>3714</v>
      </c>
      <c r="I1421" t="s">
        <v>3710</v>
      </c>
      <c r="J1421" t="e">
        <f>VLOOKUP(F1421,[1]!china_towns_second__2[[Column1]:[Y]],3,FALSE)</f>
        <v>#N/A</v>
      </c>
      <c r="K1421" t="e">
        <f>VLOOKUP(F1421,[1]!china_towns_second__2[[Column1]:[Y]],2,FALSE)</f>
        <v>#N/A</v>
      </c>
      <c r="L1421" t="s">
        <v>6251</v>
      </c>
      <c r="M1421" t="str">
        <f>VLOOKUP(H1421,CHOOSE({1,2},Table17[Native],Table17[Name]),2,0)</f>
        <v>Lánlíng Xiàn</v>
      </c>
      <c r="N1421" s="15" t="str">
        <f>VLOOKUP(I1421,CHOOSE({1,2},Table17[Native],Table17[Name]),2,0)</f>
        <v>Línyí Shì</v>
      </c>
      <c r="O1421" s="15" t="str">
        <f t="shared" si="44"/>
        <v>Xiacun Xiang (Línyí Shì)</v>
      </c>
      <c r="P1421" s="15" t="str">
        <f t="shared" si="45"/>
        <v>Xiacun Xiang (Línyí Shì)</v>
      </c>
    </row>
    <row r="1422" spans="1:16" hidden="1" x14ac:dyDescent="0.25">
      <c r="A1422" t="s">
        <v>3000</v>
      </c>
      <c r="B1422" t="str">
        <f>IF(COUNTIF(A:A,A1422)&gt;1,_xlfn.CONCAT(A1422," (",N1422,")"),A1422)</f>
        <v>Xiàcūn Zhèn</v>
      </c>
      <c r="C1422" t="str">
        <f>IF(COUNTIF(B:B,B1422)&gt;1,_xlfn.CONCAT(A1422," (",M1422,")"),B1422)</f>
        <v>Xiàcūn Zhèn</v>
      </c>
      <c r="D1422" t="s">
        <v>3001</v>
      </c>
      <c r="E1422" t="s">
        <v>13</v>
      </c>
      <c r="F1422" t="str">
        <f>_xlfn.CONCAT(D1422,", ",H1422,", ",I1422,", ","山东省")</f>
        <v>夏村镇, 乳山市, 威海市, 山东省</v>
      </c>
      <c r="G1422">
        <v>38792</v>
      </c>
      <c r="H1422" t="s">
        <v>3768</v>
      </c>
      <c r="I1422" t="s">
        <v>3765</v>
      </c>
      <c r="J1422">
        <f>VLOOKUP(F1422,[1]!china_towns_second__2[[Column1]:[Y]],3,FALSE)</f>
        <v>36.9497934466294</v>
      </c>
      <c r="K1422">
        <f>VLOOKUP(F1422,[1]!china_towns_second__2[[Column1]:[Y]],2,FALSE)</f>
        <v>121.5193508</v>
      </c>
      <c r="L1422" t="s">
        <v>6252</v>
      </c>
      <c r="M1422" t="str">
        <f>VLOOKUP(H1422,CHOOSE({1,2},Table17[Native],Table17[Name]),2,0)</f>
        <v>Rŭshān Shì</v>
      </c>
      <c r="N1422" s="15" t="str">
        <f>VLOOKUP(I1422,CHOOSE({1,2},Table17[Native],Table17[Name]),2,0)</f>
        <v>Wēihăi Shì</v>
      </c>
      <c r="O1422" s="15" t="str">
        <f t="shared" si="44"/>
        <v>Xiacun Zhen (Wēihăi Shì)</v>
      </c>
      <c r="P1422" s="15" t="str">
        <f t="shared" si="45"/>
        <v>Xiacun Zhen (Wēihăi Shì)</v>
      </c>
    </row>
    <row r="1423" spans="1:16" hidden="1" x14ac:dyDescent="0.25">
      <c r="A1423" t="s">
        <v>3271</v>
      </c>
      <c r="B1423" t="str">
        <f>IF(COUNTIF(A:A,A1423)&gt;1,_xlfn.CONCAT(A1423," (",N1423,")"),A1423)</f>
        <v>Xiàdiàn Zhèn</v>
      </c>
      <c r="C1423" t="str">
        <f>IF(COUNTIF(B:B,B1423)&gt;1,_xlfn.CONCAT(A1423," (",M1423,")"),B1423)</f>
        <v>Xiàdiàn Zhèn</v>
      </c>
      <c r="D1423" t="s">
        <v>3272</v>
      </c>
      <c r="E1423" t="s">
        <v>13</v>
      </c>
      <c r="F1423" t="str">
        <f>_xlfn.CONCAT(D1423,", ",H1423,", ",I1423,", ","山东省")</f>
        <v>夏甸镇, 招远市, 烟台市, 山东省</v>
      </c>
      <c r="G1423">
        <v>39182</v>
      </c>
      <c r="H1423" t="s">
        <v>3781</v>
      </c>
      <c r="I1423" t="s">
        <v>3771</v>
      </c>
      <c r="J1423">
        <f>VLOOKUP(F1423,[1]!china_towns_second__2[[Column1]:[Y]],3,FALSE)</f>
        <v>37.158464276991999</v>
      </c>
      <c r="K1423">
        <f>VLOOKUP(F1423,[1]!china_towns_second__2[[Column1]:[Y]],2,FALSE)</f>
        <v>120.3536649</v>
      </c>
      <c r="L1423" t="s">
        <v>6253</v>
      </c>
      <c r="M1423" t="str">
        <f>VLOOKUP(H1423,CHOOSE({1,2},Table17[Native],Table17[Name]),2,0)</f>
        <v>Zhāoyuăn Shì</v>
      </c>
      <c r="N1423" s="15" t="str">
        <f>VLOOKUP(I1423,CHOOSE({1,2},Table17[Native],Table17[Name]),2,0)</f>
        <v>Yāntái Shì</v>
      </c>
      <c r="O1423" s="15" t="str">
        <f t="shared" si="44"/>
        <v>Xiadian Zhen (Yāntái Shì)</v>
      </c>
      <c r="P1423" s="15" t="str">
        <f t="shared" si="45"/>
        <v>Xiadian Zhen (Yāntái Shì)</v>
      </c>
    </row>
    <row r="1424" spans="1:16" hidden="1" x14ac:dyDescent="0.25">
      <c r="A1424" t="s">
        <v>3273</v>
      </c>
      <c r="B1424" t="str">
        <f>IF(COUNTIF(A:A,A1424)&gt;1,_xlfn.CONCAT(A1424," (",N1424,")"),A1424)</f>
        <v>Xiàdīngjiā Zhèn</v>
      </c>
      <c r="C1424" t="str">
        <f>IF(COUNTIF(B:B,B1424)&gt;1,_xlfn.CONCAT(A1424," (",M1424,")"),B1424)</f>
        <v>Xiàdīngjiā Zhèn</v>
      </c>
      <c r="D1424" t="s">
        <v>3274</v>
      </c>
      <c r="E1424" t="s">
        <v>13</v>
      </c>
      <c r="F1424" t="str">
        <f>_xlfn.CONCAT(D1424,", ",H1424,", ",I1424,", ","山东省")</f>
        <v>下丁家镇, 龙口市, 烟台市, 山东省</v>
      </c>
      <c r="G1424">
        <v>15534</v>
      </c>
      <c r="H1424" t="s">
        <v>3777</v>
      </c>
      <c r="I1424" t="s">
        <v>3771</v>
      </c>
      <c r="J1424">
        <f>VLOOKUP(F1424,[1]!china_towns_second__2[[Column1]:[Y]],3,FALSE)</f>
        <v>37.513611460201098</v>
      </c>
      <c r="K1424">
        <f>VLOOKUP(F1424,[1]!china_towns_second__2[[Column1]:[Y]],2,FALSE)</f>
        <v>120.5135118</v>
      </c>
      <c r="L1424" t="s">
        <v>6254</v>
      </c>
      <c r="M1424" t="str">
        <f>VLOOKUP(H1424,CHOOSE({1,2},Table17[Native],Table17[Name]),2,0)</f>
        <v>Lóngkŏu Shì</v>
      </c>
      <c r="N1424" s="15" t="str">
        <f>VLOOKUP(I1424,CHOOSE({1,2},Table17[Native],Table17[Name]),2,0)</f>
        <v>Yāntái Shì</v>
      </c>
      <c r="O1424" s="15" t="str">
        <f t="shared" si="44"/>
        <v>Xiadingjia Zhen (Yāntái Shì)</v>
      </c>
      <c r="P1424" s="15" t="str">
        <f t="shared" si="45"/>
        <v>Xiadingjia Zhen (Yāntái Shì)</v>
      </c>
    </row>
    <row r="1425" spans="1:16" hidden="1" x14ac:dyDescent="0.25">
      <c r="A1425" t="s">
        <v>2635</v>
      </c>
      <c r="B1425" t="str">
        <f>IF(COUNTIF(A:A,A1425)&gt;1,_xlfn.CONCAT(A1425," (",N1425,")"),A1425)</f>
        <v>Xiàgăng Zhèn</v>
      </c>
      <c r="C1425" t="str">
        <f>IF(COUNTIF(B:B,B1425)&gt;1,_xlfn.CONCAT(A1425," (",M1425,")"),B1425)</f>
        <v>Xiàgăng Zhèn</v>
      </c>
      <c r="D1425" t="s">
        <v>2636</v>
      </c>
      <c r="E1425" t="s">
        <v>13</v>
      </c>
      <c r="F1425" t="str">
        <f>_xlfn.CONCAT(D1425,", ",H1425,", ",I1425,", ","山东省")</f>
        <v>下港镇, 岱岳区, 泰安市, 山东省</v>
      </c>
      <c r="G1425">
        <v>38680</v>
      </c>
      <c r="H1425" t="s">
        <v>3744</v>
      </c>
      <c r="I1425" t="s">
        <v>3743</v>
      </c>
      <c r="J1425">
        <f>VLOOKUP(F1425,[1]!china_towns_second__2[[Column1]:[Y]],3,FALSE)</f>
        <v>36.386229211381199</v>
      </c>
      <c r="K1425">
        <f>VLOOKUP(F1425,[1]!china_towns_second__2[[Column1]:[Y]],2,FALSE)</f>
        <v>117.29652</v>
      </c>
      <c r="L1425" t="s">
        <v>6255</v>
      </c>
      <c r="M1425" t="str">
        <f>VLOOKUP(H1425,CHOOSE({1,2},Table17[Native],Table17[Name]),2,0)</f>
        <v>Dàiyuè Qū</v>
      </c>
      <c r="N1425" s="15" t="str">
        <f>VLOOKUP(I1425,CHOOSE({1,2},Table17[Native],Table17[Name]),2,0)</f>
        <v>Tài'ān Shì</v>
      </c>
      <c r="O1425" s="15" t="str">
        <f t="shared" si="44"/>
        <v>Xiagang Zhen (Tài'ān Shì)</v>
      </c>
      <c r="P1425" s="15" t="str">
        <f t="shared" si="45"/>
        <v>Xiagang Zhen (Tài'ān Shì)</v>
      </c>
    </row>
    <row r="1426" spans="1:16" hidden="1" x14ac:dyDescent="0.25">
      <c r="A1426" t="s">
        <v>2323</v>
      </c>
      <c r="B1426" t="str">
        <f>IF(COUNTIF(A:A,A1426)&gt;1,_xlfn.CONCAT(A1426," (",N1426,")"),A1426)</f>
        <v>Xiàgézhuāng Zhèn</v>
      </c>
      <c r="C1426" t="str">
        <f>IF(COUNTIF(B:B,B1426)&gt;1,_xlfn.CONCAT(A1426," (",M1426,")"),B1426)</f>
        <v>Xiàgézhuāng Zhèn</v>
      </c>
      <c r="D1426" t="s">
        <v>2324</v>
      </c>
      <c r="E1426" t="s">
        <v>13</v>
      </c>
      <c r="F1426" t="str">
        <f>_xlfn.CONCAT(D1426,", ",H1426,", ",I1426,", ","山东省")</f>
        <v>夏格庄镇, 莱西市, 青岛市, 山东省</v>
      </c>
      <c r="G1426">
        <v>30706</v>
      </c>
      <c r="H1426" t="s">
        <v>3729</v>
      </c>
      <c r="I1426" t="s">
        <v>3724</v>
      </c>
      <c r="J1426">
        <f>VLOOKUP(F1426,[1]!china_towns_second__2[[Column1]:[Y]],3,FALSE)</f>
        <v>36.6652992914563</v>
      </c>
      <c r="K1426">
        <f>VLOOKUP(F1426,[1]!china_towns_second__2[[Column1]:[Y]],2,FALSE)</f>
        <v>120.4335123</v>
      </c>
      <c r="L1426" t="s">
        <v>6256</v>
      </c>
      <c r="M1426" t="str">
        <f>VLOOKUP(H1426,CHOOSE({1,2},Table17[Native],Table17[Name]),2,0)</f>
        <v>Láixī Shì</v>
      </c>
      <c r="N1426" s="15" t="str">
        <f>VLOOKUP(I1426,CHOOSE({1,2},Table17[Native],Table17[Name]),2,0)</f>
        <v>Qīngdăo Shì</v>
      </c>
      <c r="O1426" s="15" t="str">
        <f t="shared" si="44"/>
        <v>Xiagezhuang Zhen (Qīngdăo Shì)</v>
      </c>
      <c r="P1426" s="15" t="str">
        <f t="shared" si="45"/>
        <v>Xiagezhuang Zhen (Qīngdăo Shì)</v>
      </c>
    </row>
    <row r="1427" spans="1:16" hidden="1" x14ac:dyDescent="0.25">
      <c r="A1427" t="s">
        <v>169</v>
      </c>
      <c r="B1427" t="str">
        <f>IF(COUNTIF(A:A,A1427)&gt;1,_xlfn.CONCAT(A1427," (",N1427,")"),A1427)</f>
        <v>Xiàhé Xiāng</v>
      </c>
      <c r="C1427" t="str">
        <f>IF(COUNTIF(B:B,B1427)&gt;1,_xlfn.CONCAT(A1427," (",M1427,")"),B1427)</f>
        <v>Xiàhé Xiāng</v>
      </c>
      <c r="D1427" t="s">
        <v>170</v>
      </c>
      <c r="E1427" t="s">
        <v>61</v>
      </c>
      <c r="F1427" t="str">
        <f>_xlfn.CONCAT(D1427,", ",H1427,", ",I1427,", ","山东省")</f>
        <v>下河乡, 沾化区, 滨州市, 山东省</v>
      </c>
      <c r="G1427">
        <v>13238</v>
      </c>
      <c r="H1427" t="s">
        <v>3638</v>
      </c>
      <c r="I1427" t="s">
        <v>3630</v>
      </c>
      <c r="J1427" t="e">
        <f>VLOOKUP(F1427,[1]!china_towns_second__2[[Column1]:[Y]],3,FALSE)</f>
        <v>#N/A</v>
      </c>
      <c r="K1427" t="e">
        <f>VLOOKUP(F1427,[1]!china_towns_second__2[[Column1]:[Y]],2,FALSE)</f>
        <v>#N/A</v>
      </c>
      <c r="L1427" t="s">
        <v>6257</v>
      </c>
      <c r="M1427" t="str">
        <f>VLOOKUP(H1427,CHOOSE({1,2},Table17[Native],Table17[Name]),2,0)</f>
        <v>Zhānhuà Qū</v>
      </c>
      <c r="N1427" s="15" t="str">
        <f>VLOOKUP(I1427,CHOOSE({1,2},Table17[Native],Table17[Name]),2,0)</f>
        <v>Bīnzhōu Shì</v>
      </c>
      <c r="O1427" s="15" t="str">
        <f t="shared" si="44"/>
        <v>Xiahe Xiang (Bīnzhōu Shì)</v>
      </c>
      <c r="P1427" s="15" t="str">
        <f t="shared" si="45"/>
        <v>Xiahe Xiang (Bīnzhōu Shì)</v>
      </c>
    </row>
    <row r="1428" spans="1:16" hidden="1" x14ac:dyDescent="0.25">
      <c r="A1428" t="s">
        <v>3595</v>
      </c>
      <c r="B1428" t="str">
        <f>IF(COUNTIF(A:A,A1428)&gt;1,_xlfn.CONCAT(A1428," (",N1428,")"),A1428)</f>
        <v>Xiàjiāzhuāng Jiēdào</v>
      </c>
      <c r="C1428" t="str">
        <f>IF(COUNTIF(B:B,B1428)&gt;1,_xlfn.CONCAT(A1428," (",M1428,")"),B1428)</f>
        <v>Xiàjiāzhuāng Jiēdào</v>
      </c>
      <c r="D1428" t="s">
        <v>3596</v>
      </c>
      <c r="E1428" t="s">
        <v>7</v>
      </c>
      <c r="F1428" t="str">
        <f>_xlfn.CONCAT(D1428,", ",H1428,", ",I1428,", ","山东省")</f>
        <v>夏家庄街道, 博山区, 淄博市, 山东省</v>
      </c>
      <c r="G1428">
        <v>27394</v>
      </c>
      <c r="H1428" t="s">
        <v>3792</v>
      </c>
      <c r="I1428" t="s">
        <v>3791</v>
      </c>
      <c r="J1428" t="e">
        <f>VLOOKUP(F1428,[1]!china_towns_second__2[[Column1]:[Y]],3,FALSE)</f>
        <v>#N/A</v>
      </c>
      <c r="K1428" t="e">
        <f>VLOOKUP(F1428,[1]!china_towns_second__2[[Column1]:[Y]],2,FALSE)</f>
        <v>#N/A</v>
      </c>
      <c r="L1428" t="s">
        <v>6258</v>
      </c>
      <c r="M1428" t="str">
        <f>VLOOKUP(H1428,CHOOSE({1,2},Table17[Native],Table17[Name]),2,0)</f>
        <v>Bóshān Qū</v>
      </c>
      <c r="N1428" s="15" t="str">
        <f>VLOOKUP(I1428,CHOOSE({1,2},Table17[Native],Table17[Name]),2,0)</f>
        <v>Zībó Shì</v>
      </c>
      <c r="O1428" s="15" t="str">
        <f t="shared" si="44"/>
        <v>Xiajiazhuang Jiedao (Zībó Shì)</v>
      </c>
      <c r="P1428" s="15" t="str">
        <f t="shared" si="45"/>
        <v>Xiajiazhuang Jiedao (Zībó Shì)</v>
      </c>
    </row>
    <row r="1429" spans="1:16" hidden="1" x14ac:dyDescent="0.25">
      <c r="A1429" t="s">
        <v>1718</v>
      </c>
      <c r="B1429" t="str">
        <f>IF(COUNTIF(A:A,A1429)&gt;1,_xlfn.CONCAT(A1429," (",N1429,")"),A1429)</f>
        <v>Xiānfēnglù Jiēdào</v>
      </c>
      <c r="C1429" t="str">
        <f>IF(COUNTIF(B:B,B1429)&gt;1,_xlfn.CONCAT(A1429," (",M1429,")"),B1429)</f>
        <v>Xiānfēnglù Jiēdào</v>
      </c>
      <c r="D1429" t="s">
        <v>1719</v>
      </c>
      <c r="E1429" t="s">
        <v>7</v>
      </c>
      <c r="F1429" t="str">
        <f>_xlfn.CONCAT(D1429,", ",H1429,", ",I1429,", ","山东省")</f>
        <v>先锋路街道, 临清市, 聊城市, 山东省</v>
      </c>
      <c r="G1429">
        <v>57425</v>
      </c>
      <c r="H1429" t="s">
        <v>3706</v>
      </c>
      <c r="I1429" t="s">
        <v>3700</v>
      </c>
      <c r="J1429">
        <f>VLOOKUP(F1429,[1]!china_towns_second__2[[Column1]:[Y]],3,FALSE)</f>
        <v>36.882927855440997</v>
      </c>
      <c r="K1429">
        <f>VLOOKUP(F1429,[1]!china_towns_second__2[[Column1]:[Y]],2,FALSE)</f>
        <v>115.7727297</v>
      </c>
      <c r="L1429" t="s">
        <v>6259</v>
      </c>
      <c r="M1429" t="str">
        <f>VLOOKUP(H1429,CHOOSE({1,2},Table17[Native],Table17[Name]),2,0)</f>
        <v>Línqīng Shì</v>
      </c>
      <c r="N1429" s="15" t="str">
        <f>VLOOKUP(I1429,CHOOSE({1,2},Table17[Native],Table17[Name]),2,0)</f>
        <v>Liáochéng Shì</v>
      </c>
      <c r="O1429" s="15" t="str">
        <f t="shared" si="44"/>
        <v>Xianfenglu Jiedao (Liáochéng Shì)</v>
      </c>
      <c r="P1429" s="15" t="str">
        <f t="shared" si="45"/>
        <v>Xianfenglu Jiedao (Liáochéng Shì)</v>
      </c>
    </row>
    <row r="1430" spans="1:16" hidden="1" x14ac:dyDescent="0.25">
      <c r="A1430" t="s">
        <v>1452</v>
      </c>
      <c r="B1430" t="str">
        <f>IF(COUNTIF(A:A,A1430)&gt;1,_xlfn.CONCAT(A1430," (",N1430,")"),A1430)</f>
        <v>Xiāngchéng Zhèn</v>
      </c>
      <c r="C1430" t="str">
        <f>IF(COUNTIF(B:B,B1430)&gt;1,_xlfn.CONCAT(A1430," (",M1430,")"),B1430)</f>
        <v>Xiāngchéng Zhèn</v>
      </c>
      <c r="D1430" t="s">
        <v>1453</v>
      </c>
      <c r="E1430" t="s">
        <v>13</v>
      </c>
      <c r="F1430" t="str">
        <f>_xlfn.CONCAT(D1430,", ",H1430,", ",I1430,", ","山东省")</f>
        <v>香城镇, 邹城市, 济宁市, 山东省</v>
      </c>
      <c r="G1430">
        <v>69731</v>
      </c>
      <c r="H1430" t="s">
        <v>3698</v>
      </c>
      <c r="I1430" t="s">
        <v>3687</v>
      </c>
      <c r="J1430">
        <f>VLOOKUP(F1430,[1]!china_towns_second__2[[Column1]:[Y]],3,FALSE)</f>
        <v>35.307652633041897</v>
      </c>
      <c r="K1430">
        <f>VLOOKUP(F1430,[1]!china_towns_second__2[[Column1]:[Y]],2,FALSE)</f>
        <v>117.16096349999999</v>
      </c>
      <c r="L1430" t="s">
        <v>6260</v>
      </c>
      <c r="M1430" t="str">
        <f>VLOOKUP(H1430,CHOOSE({1,2},Table17[Native],Table17[Name]),2,0)</f>
        <v>Zōuchéng Shì</v>
      </c>
      <c r="N1430" s="15" t="str">
        <f>VLOOKUP(I1430,CHOOSE({1,2},Table17[Native],Table17[Name]),2,0)</f>
        <v>Jìníng Shì</v>
      </c>
      <c r="O1430" s="15" t="str">
        <f t="shared" si="44"/>
        <v>Xiangcheng Zhen (Jìníng Shì)</v>
      </c>
      <c r="P1430" s="15" t="str">
        <f t="shared" si="45"/>
        <v>Xiangcheng Zhen (Jìníng Shì)</v>
      </c>
    </row>
    <row r="1431" spans="1:16" hidden="1" x14ac:dyDescent="0.25">
      <c r="A1431" t="s">
        <v>2038</v>
      </c>
      <c r="B1431" t="str">
        <f>IF(COUNTIF(A:A,A1431)&gt;1,_xlfn.CONCAT(A1431," (",N1431,")"),A1431)</f>
        <v>Xiàngchéng Zhèn [incl. Xīngmíng Xiāng]</v>
      </c>
      <c r="C1431" t="str">
        <f>IF(COUNTIF(B:B,B1431)&gt;1,_xlfn.CONCAT(A1431," (",M1431,")"),B1431)</f>
        <v>Xiàngchéng Zhèn [incl. Xīngmíng Xiāng]</v>
      </c>
      <c r="D1431" t="s">
        <v>2039</v>
      </c>
      <c r="E1431" t="s">
        <v>13</v>
      </c>
      <c r="F1431" t="str">
        <f>_xlfn.CONCAT(D1431,", ",H1431,", ",I1431,", ","山东省")</f>
        <v>向城镇, 兰陵县, 临沂市, 山东省</v>
      </c>
      <c r="G1431">
        <v>88895</v>
      </c>
      <c r="H1431" t="s">
        <v>3714</v>
      </c>
      <c r="I1431" t="s">
        <v>3710</v>
      </c>
      <c r="J1431">
        <f>VLOOKUP(F1431,[1]!china_towns_second__2[[Column1]:[Y]],3,FALSE)</f>
        <v>34.829454892889999</v>
      </c>
      <c r="K1431">
        <f>VLOOKUP(F1431,[1]!china_towns_second__2[[Column1]:[Y]],2,FALSE)</f>
        <v>117.9434459</v>
      </c>
      <c r="L1431" t="s">
        <v>6261</v>
      </c>
      <c r="M1431" t="str">
        <f>VLOOKUP(H1431,CHOOSE({1,2},Table17[Native],Table17[Name]),2,0)</f>
        <v>Lánlíng Xiàn</v>
      </c>
      <c r="N1431" s="15" t="str">
        <f>VLOOKUP(I1431,CHOOSE({1,2},Table17[Native],Table17[Name]),2,0)</f>
        <v>Línyí Shì</v>
      </c>
      <c r="O1431" s="15" t="str">
        <f t="shared" si="44"/>
        <v>Xiangcheng Zhen [incl. Xingming Xiang] (Línyí Shì)</v>
      </c>
      <c r="P1431" s="15" t="str">
        <f t="shared" si="45"/>
        <v>Xiangcheng Zhen [incl. Xingming Xiang] (Línyí Shì)</v>
      </c>
    </row>
    <row r="1432" spans="1:16" hidden="1" x14ac:dyDescent="0.25">
      <c r="A1432" t="s">
        <v>2325</v>
      </c>
      <c r="B1432" t="str">
        <f>IF(COUNTIF(A:A,A1432)&gt;1,_xlfn.CONCAT(A1432," (",N1432,")"),A1432)</f>
        <v>Xiāngdiàn Jiēdào</v>
      </c>
      <c r="C1432" t="str">
        <f>IF(COUNTIF(B:B,B1432)&gt;1,_xlfn.CONCAT(A1432," (",M1432,")"),B1432)</f>
        <v>Xiāngdiàn Jiēdào</v>
      </c>
      <c r="D1432" t="s">
        <v>2326</v>
      </c>
      <c r="E1432" t="s">
        <v>7</v>
      </c>
      <c r="F1432" t="str">
        <f>_xlfn.CONCAT(D1432,", ",H1432,", ",I1432,", ","山东省")</f>
        <v>香店街道, 平度市, 青岛市, 山东省</v>
      </c>
      <c r="G1432">
        <v>36263</v>
      </c>
      <c r="H1432" t="s">
        <v>3732</v>
      </c>
      <c r="I1432" t="s">
        <v>3724</v>
      </c>
      <c r="J1432" t="e">
        <f>VLOOKUP(F1432,[1]!china_towns_second__2[[Column1]:[Y]],3,FALSE)</f>
        <v>#N/A</v>
      </c>
      <c r="K1432" t="e">
        <f>VLOOKUP(F1432,[1]!china_towns_second__2[[Column1]:[Y]],2,FALSE)</f>
        <v>#N/A</v>
      </c>
      <c r="L1432" t="s">
        <v>6262</v>
      </c>
      <c r="M1432" t="str">
        <f>VLOOKUP(H1432,CHOOSE({1,2},Table17[Native],Table17[Name]),2,0)</f>
        <v>Píngdù Shì</v>
      </c>
      <c r="N1432" s="15" t="str">
        <f>VLOOKUP(I1432,CHOOSE({1,2},Table17[Native],Table17[Name]),2,0)</f>
        <v>Qīngdăo Shì</v>
      </c>
      <c r="O1432" s="15" t="str">
        <f t="shared" si="44"/>
        <v>Xiangdian Jiedao (Qīngdăo Shì)</v>
      </c>
      <c r="P1432" s="15" t="str">
        <f t="shared" si="45"/>
        <v>Xiangdian Jiedao (Qīngdăo Shì)</v>
      </c>
    </row>
    <row r="1433" spans="1:16" hidden="1" x14ac:dyDescent="0.25">
      <c r="A1433" t="s">
        <v>2327</v>
      </c>
      <c r="B1433" t="str">
        <f>IF(COUNTIF(A:A,A1433)&gt;1,_xlfn.CONCAT(A1433," (",N1433,")"),A1433)</f>
        <v>Xiānggăng Zhōnglù Jiēdào</v>
      </c>
      <c r="C1433" t="str">
        <f>IF(COUNTIF(B:B,B1433)&gt;1,_xlfn.CONCAT(A1433," (",M1433,")"),B1433)</f>
        <v>Xiānggăng Zhōnglù Jiēdào</v>
      </c>
      <c r="D1433" t="s">
        <v>2328</v>
      </c>
      <c r="E1433" t="s">
        <v>7</v>
      </c>
      <c r="F1433" t="str">
        <f>_xlfn.CONCAT(D1433,", ",H1433,", ",I1433,", ","山东省")</f>
        <v>香港中路街道, 市南区, 青岛市, 山东省</v>
      </c>
      <c r="G1433">
        <v>59372</v>
      </c>
      <c r="H1433" t="s">
        <v>3734</v>
      </c>
      <c r="I1433" t="s">
        <v>3724</v>
      </c>
      <c r="J1433">
        <f>VLOOKUP(F1433,[1]!china_towns_second__2[[Column1]:[Y]],3,FALSE)</f>
        <v>36.067009076502103</v>
      </c>
      <c r="K1433">
        <f>VLOOKUP(F1433,[1]!china_towns_second__2[[Column1]:[Y]],2,FALSE)</f>
        <v>120.3855444</v>
      </c>
      <c r="L1433" t="s">
        <v>6263</v>
      </c>
      <c r="M1433" t="str">
        <f>VLOOKUP(H1433,CHOOSE({1,2},Table17[Native],Table17[Name]),2,0)</f>
        <v>Shìnán Qū</v>
      </c>
      <c r="N1433" s="15" t="str">
        <f>VLOOKUP(I1433,CHOOSE({1,2},Table17[Native],Table17[Name]),2,0)</f>
        <v>Qīngdăo Shì</v>
      </c>
      <c r="O1433" s="15" t="str">
        <f t="shared" si="44"/>
        <v>Xianggang Zhonglu Jiedao (Qīngdăo Shì)</v>
      </c>
      <c r="P1433" s="15" t="str">
        <f t="shared" si="45"/>
        <v>Xianggang Zhonglu Jiedao (Qīngdăo Shì)</v>
      </c>
    </row>
    <row r="1434" spans="1:16" hidden="1" x14ac:dyDescent="0.25">
      <c r="A1434" t="s">
        <v>2040</v>
      </c>
      <c r="B1434" t="str">
        <f>IF(COUNTIF(A:A,A1434)&gt;1,_xlfn.CONCAT(A1434," (",N1434,")"),A1434)</f>
        <v>Xiānggōng Jiēdào</v>
      </c>
      <c r="C1434" t="str">
        <f>IF(COUNTIF(B:B,B1434)&gt;1,_xlfn.CONCAT(A1434," (",M1434,")"),B1434)</f>
        <v>Xiānggōng Jiēdào</v>
      </c>
      <c r="D1434" t="s">
        <v>2041</v>
      </c>
      <c r="E1434" t="s">
        <v>7</v>
      </c>
      <c r="F1434" t="str">
        <f>_xlfn.CONCAT(D1434,", ",H1434,", ",I1434,", ","山东省")</f>
        <v>相公街道, 河东区, 临沂市, 山东省</v>
      </c>
      <c r="G1434">
        <v>67595</v>
      </c>
      <c r="H1434" t="s">
        <v>3712</v>
      </c>
      <c r="I1434" t="s">
        <v>3710</v>
      </c>
      <c r="J1434">
        <f>VLOOKUP(F1434,[1]!china_towns_second__2[[Column1]:[Y]],3,FALSE)</f>
        <v>35.123362130646299</v>
      </c>
      <c r="K1434">
        <f>VLOOKUP(F1434,[1]!china_towns_second__2[[Column1]:[Y]],2,FALSE)</f>
        <v>118.4958822</v>
      </c>
      <c r="L1434" t="s">
        <v>6264</v>
      </c>
      <c r="M1434" t="str">
        <f>VLOOKUP(H1434,CHOOSE({1,2},Table17[Native],Table17[Name]),2,0)</f>
        <v>Hédōng Qū</v>
      </c>
      <c r="N1434" s="15" t="str">
        <f>VLOOKUP(I1434,CHOOSE({1,2},Table17[Native],Table17[Name]),2,0)</f>
        <v>Línyí Shì</v>
      </c>
      <c r="O1434" s="15" t="str">
        <f t="shared" si="44"/>
        <v>Xianggong Jiedao (Línyí Shì)</v>
      </c>
      <c r="P1434" s="15" t="str">
        <f t="shared" si="45"/>
        <v>Xianggong Jiedao (Línyí Shì)</v>
      </c>
    </row>
    <row r="1435" spans="1:16" hidden="1" x14ac:dyDescent="0.25">
      <c r="A1435" t="s">
        <v>1162</v>
      </c>
      <c r="B1435" t="str">
        <f>IF(COUNTIF(A:A,A1435)&gt;1,_xlfn.CONCAT(A1435," (",N1435,")"),A1435)</f>
        <v>Xiānggōngzhuāng Jiēdào</v>
      </c>
      <c r="C1435" t="str">
        <f>IF(COUNTIF(B:B,B1435)&gt;1,_xlfn.CONCAT(A1435," (",M1435,")"),B1435)</f>
        <v>Xiānggōngzhuāng Jiēdào</v>
      </c>
      <c r="D1435" t="s">
        <v>1163</v>
      </c>
      <c r="E1435" t="s">
        <v>7</v>
      </c>
      <c r="F1435" t="str">
        <f>_xlfn.CONCAT(D1435,", ",H1435,", ",I1435,", ","山东省")</f>
        <v>相公庄街道, 章丘区, 济南市, 山东省</v>
      </c>
      <c r="G1435">
        <v>58227</v>
      </c>
      <c r="H1435" t="s">
        <v>3685</v>
      </c>
      <c r="I1435" t="s">
        <v>3673</v>
      </c>
      <c r="J1435" t="e">
        <f>VLOOKUP(F1435,[1]!china_towns_second__2[[Column1]:[Y]],3,FALSE)</f>
        <v>#N/A</v>
      </c>
      <c r="K1435" t="e">
        <f>VLOOKUP(F1435,[1]!china_towns_second__2[[Column1]:[Y]],2,FALSE)</f>
        <v>#N/A</v>
      </c>
      <c r="L1435" t="s">
        <v>6265</v>
      </c>
      <c r="M1435" t="str">
        <f>VLOOKUP(H1435,CHOOSE({1,2},Table17[Native],Table17[Name]),2,0)</f>
        <v>Zhāngqiū Qū</v>
      </c>
      <c r="N1435" s="15" t="str">
        <f>VLOOKUP(I1435,CHOOSE({1,2},Table17[Native],Table17[Name]),2,0)</f>
        <v>Jìnán Shì</v>
      </c>
      <c r="O1435" s="15" t="str">
        <f t="shared" si="44"/>
        <v>Xianggongzhuang Jiedao (Jìnán Shì)</v>
      </c>
      <c r="P1435" s="15" t="str">
        <f t="shared" si="45"/>
        <v>Xianggongzhuang Jiedao (Jìnán Shì)</v>
      </c>
    </row>
    <row r="1436" spans="1:16" hidden="1" x14ac:dyDescent="0.25">
      <c r="A1436" t="s">
        <v>2042</v>
      </c>
      <c r="B1436" t="str">
        <f>IF(COUNTIF(A:A,A1436)&gt;1,_xlfn.CONCAT(A1436," (",N1436,")"),A1436)</f>
        <v>Xiānggōu Zhèn</v>
      </c>
      <c r="C1436" t="str">
        <f>IF(COUNTIF(B:B,B1436)&gt;1,_xlfn.CONCAT(A1436," (",M1436,")"),B1436)</f>
        <v>Xiānggōu Zhèn</v>
      </c>
      <c r="D1436" t="s">
        <v>2043</v>
      </c>
      <c r="E1436" t="s">
        <v>13</v>
      </c>
      <c r="F1436" t="str">
        <f>_xlfn.CONCAT(D1436,", ",H1436,", ",I1436,", ","山东省")</f>
        <v>相沟镇, 莒南县, 临沂市, 山东省</v>
      </c>
      <c r="G1436">
        <v>36273</v>
      </c>
      <c r="H1436" t="s">
        <v>3713</v>
      </c>
      <c r="I1436" t="s">
        <v>3710</v>
      </c>
      <c r="J1436">
        <f>VLOOKUP(F1436,[1]!china_towns_second__2[[Column1]:[Y]],3,FALSE)</f>
        <v>35.0718820455605</v>
      </c>
      <c r="K1436">
        <f>VLOOKUP(F1436,[1]!china_towns_second__2[[Column1]:[Y]],2,FALSE)</f>
        <v>118.7585078</v>
      </c>
      <c r="L1436" t="s">
        <v>6266</v>
      </c>
      <c r="M1436" t="str">
        <f>VLOOKUP(H1436,CHOOSE({1,2},Table17[Native],Table17[Name]),2,0)</f>
        <v>Jŭnán Xiàn</v>
      </c>
      <c r="N1436" s="15" t="str">
        <f>VLOOKUP(I1436,CHOOSE({1,2},Table17[Native],Table17[Name]),2,0)</f>
        <v>Línyí Shì</v>
      </c>
      <c r="O1436" s="15" t="str">
        <f t="shared" si="44"/>
        <v>Xianggou Zhen (Línyí Shì)</v>
      </c>
      <c r="P1436" s="15" t="str">
        <f t="shared" si="45"/>
        <v>Xianggou Zhen (Línyí Shì)</v>
      </c>
    </row>
    <row r="1437" spans="1:16" hidden="1" x14ac:dyDescent="0.25">
      <c r="A1437" t="s">
        <v>1720</v>
      </c>
      <c r="B1437" t="str">
        <f>IF(COUNTIF(A:A,A1437)&gt;1,_xlfn.CONCAT(A1437," (",N1437,")"),A1437)</f>
        <v>Xiāngjiāng Guănwĕihuì</v>
      </c>
      <c r="C1437" t="str">
        <f>IF(COUNTIF(B:B,B1437)&gt;1,_xlfn.CONCAT(A1437," (",M1437,")"),B1437)</f>
        <v>Xiāngjiāng Guănwĕihuì</v>
      </c>
      <c r="D1437" t="s">
        <v>1721</v>
      </c>
      <c r="E1437" t="s">
        <v>495</v>
      </c>
      <c r="F1437" t="str">
        <f>_xlfn.CONCAT(D1437,", ",H1437,", ",I1437,", ","山东省")</f>
        <v>香江管委会, 东昌府区, 聊城市, 山东省</v>
      </c>
      <c r="G1437">
        <v>5880</v>
      </c>
      <c r="H1437" t="s">
        <v>3702</v>
      </c>
      <c r="I1437" t="s">
        <v>3700</v>
      </c>
      <c r="J1437">
        <f>VLOOKUP(F1437,[1]!china_towns_second__2[[Column1]:[Y]],3,FALSE)</f>
        <v>36.474933569155901</v>
      </c>
      <c r="K1437">
        <f>VLOOKUP(F1437,[1]!china_towns_second__2[[Column1]:[Y]],2,FALSE)</f>
        <v>115.9613007</v>
      </c>
      <c r="L1437" t="s">
        <v>6267</v>
      </c>
      <c r="M1437" t="str">
        <f>VLOOKUP(H1437,CHOOSE({1,2},Table17[Native],Table17[Name]),2,0)</f>
        <v>Dōngchāngfŭ Qū</v>
      </c>
      <c r="N1437" s="15" t="str">
        <f>VLOOKUP(I1437,CHOOSE({1,2},Table17[Native],Table17[Name]),2,0)</f>
        <v>Liáochéng Shì</v>
      </c>
      <c r="O1437" s="15" t="str">
        <f t="shared" si="44"/>
        <v>Xiangjiang Guanweihui (Liáochéng Shì)</v>
      </c>
      <c r="P1437" s="15" t="str">
        <f t="shared" si="45"/>
        <v>Xiangjiang Guanweihui (Liáochéng Shì)</v>
      </c>
    </row>
    <row r="1438" spans="1:16" hidden="1" x14ac:dyDescent="0.25">
      <c r="A1438" t="s">
        <v>2329</v>
      </c>
      <c r="B1438" t="str">
        <f>IF(COUNTIF(A:A,A1438)&gt;1,_xlfn.CONCAT(A1438," (",N1438,")"),A1438)</f>
        <v>Xiāngtánlù Jiēdào</v>
      </c>
      <c r="C1438" t="str">
        <f>IF(COUNTIF(B:B,B1438)&gt;1,_xlfn.CONCAT(A1438," (",M1438,")"),B1438)</f>
        <v>Xiāngtánlù Jiēdào</v>
      </c>
      <c r="D1438" t="s">
        <v>2330</v>
      </c>
      <c r="E1438" t="s">
        <v>7</v>
      </c>
      <c r="F1438" t="str">
        <f>_xlfn.CONCAT(D1438,", ",H1438,", ",I1438,", ","山东省")</f>
        <v>湘潭路街道, 李沧区, 青岛市, 山东省</v>
      </c>
      <c r="G1438">
        <v>42972</v>
      </c>
      <c r="H1438" t="s">
        <v>3731</v>
      </c>
      <c r="I1438" t="s">
        <v>3724</v>
      </c>
      <c r="J1438">
        <f>VLOOKUP(F1438,[1]!china_towns_second__2[[Column1]:[Y]],3,FALSE)</f>
        <v>36.212191674221998</v>
      </c>
      <c r="K1438">
        <f>VLOOKUP(F1438,[1]!china_towns_second__2[[Column1]:[Y]],2,FALSE)</f>
        <v>120.4046154</v>
      </c>
      <c r="L1438" t="s">
        <v>6268</v>
      </c>
      <c r="M1438" t="str">
        <f>VLOOKUP(H1438,CHOOSE({1,2},Table17[Native],Table17[Name]),2,0)</f>
        <v>Lĭcāng Qū</v>
      </c>
      <c r="N1438" s="15" t="str">
        <f>VLOOKUP(I1438,CHOOSE({1,2},Table17[Native],Table17[Name]),2,0)</f>
        <v>Qīngdăo Shì</v>
      </c>
      <c r="O1438" s="15" t="str">
        <f t="shared" si="44"/>
        <v>Xiangtanlu Jiedao (Qīngdăo Shì)</v>
      </c>
      <c r="P1438" s="15" t="str">
        <f t="shared" si="45"/>
        <v>Xiangtanlu Jiedao (Qīngdăo Shì)</v>
      </c>
    </row>
    <row r="1439" spans="1:16" hidden="1" x14ac:dyDescent="0.25">
      <c r="A1439" t="s">
        <v>397</v>
      </c>
      <c r="B1439" t="str">
        <f>IF(COUNTIF(A:A,A1439)&gt;1,_xlfn.CONCAT(A1439," (",N1439,")"),A1439)</f>
        <v>Xiāngyá Zhèn</v>
      </c>
      <c r="C1439" t="str">
        <f>IF(COUNTIF(B:B,B1439)&gt;1,_xlfn.CONCAT(A1439," (",M1439,")"),B1439)</f>
        <v>Xiāngyá Zhèn</v>
      </c>
      <c r="D1439" t="s">
        <v>398</v>
      </c>
      <c r="E1439" t="s">
        <v>13</v>
      </c>
      <c r="F1439" t="str">
        <f>_xlfn.CONCAT(D1439,", ",H1439,", ",I1439,", ","山东省")</f>
        <v>相衙镇, 宁津县, 德州市, 山东省</v>
      </c>
      <c r="G1439">
        <v>23873</v>
      </c>
      <c r="H1439" t="s">
        <v>3647</v>
      </c>
      <c r="I1439" t="s">
        <v>3642</v>
      </c>
      <c r="J1439">
        <f>VLOOKUP(F1439,[1]!china_towns_second__2[[Column1]:[Y]],3,FALSE)</f>
        <v>37.690059469127</v>
      </c>
      <c r="K1439">
        <f>VLOOKUP(F1439,[1]!china_towns_second__2[[Column1]:[Y]],2,FALSE)</f>
        <v>116.68924989999999</v>
      </c>
      <c r="L1439" t="s">
        <v>6269</v>
      </c>
      <c r="M1439" t="str">
        <f>VLOOKUP(H1439,CHOOSE({1,2},Table17[Native],Table17[Name]),2,0)</f>
        <v>Níngjīn Xiàn</v>
      </c>
      <c r="N1439" s="15" t="str">
        <f>VLOOKUP(I1439,CHOOSE({1,2},Table17[Native],Table17[Name]),2,0)</f>
        <v>Dézhōu Shì</v>
      </c>
      <c r="O1439" s="15" t="str">
        <f t="shared" si="44"/>
        <v>Xiangya Zhen (Dézhōu Shì)</v>
      </c>
      <c r="P1439" s="15" t="str">
        <f t="shared" si="45"/>
        <v>Xiangya Zhen (Dézhōu Shì)</v>
      </c>
    </row>
    <row r="1440" spans="1:16" hidden="1" x14ac:dyDescent="0.25">
      <c r="A1440" t="s">
        <v>3275</v>
      </c>
      <c r="B1440" t="str">
        <f>IF(COUNTIF(A:A,A1440)&gt;1,_xlfn.CONCAT(A1440," (",N1440,")"),A1440)</f>
        <v>Xiàngyáng Jiēdào</v>
      </c>
      <c r="C1440" t="str">
        <f>IF(COUNTIF(B:B,B1440)&gt;1,_xlfn.CONCAT(A1440," (",M1440,")"),B1440)</f>
        <v>Xiàngyáng Jiēdào</v>
      </c>
      <c r="D1440" t="s">
        <v>3276</v>
      </c>
      <c r="E1440" t="s">
        <v>7</v>
      </c>
      <c r="F1440" t="str">
        <f>_xlfn.CONCAT(D1440,", ",H1440,", ",I1440,", ","山东省")</f>
        <v>向阳街道, 芝罘区, 烟台市, 山东省</v>
      </c>
      <c r="G1440">
        <v>59119</v>
      </c>
      <c r="H1440" t="s">
        <v>3782</v>
      </c>
      <c r="I1440" t="s">
        <v>3771</v>
      </c>
      <c r="J1440">
        <f>VLOOKUP(F1440,[1]!china_towns_second__2[[Column1]:[Y]],3,FALSE)</f>
        <v>37.541087979545203</v>
      </c>
      <c r="K1440">
        <f>VLOOKUP(F1440,[1]!china_towns_second__2[[Column1]:[Y]],2,FALSE)</f>
        <v>121.3934218</v>
      </c>
      <c r="L1440" t="s">
        <v>6270</v>
      </c>
      <c r="M1440" t="str">
        <f>VLOOKUP(H1440,CHOOSE({1,2},Table17[Native],Table17[Name]),2,0)</f>
        <v>Zhīfú Qū</v>
      </c>
      <c r="N1440" s="15" t="str">
        <f>VLOOKUP(I1440,CHOOSE({1,2},Table17[Native],Table17[Name]),2,0)</f>
        <v>Yāntái Shì</v>
      </c>
      <c r="O1440" s="15" t="str">
        <f t="shared" si="44"/>
        <v>Xiangyang Jiedao (Yāntái Shì)</v>
      </c>
      <c r="P1440" s="15" t="str">
        <f t="shared" si="45"/>
        <v>Xiangyang Jiedao (Yāntái Shì)</v>
      </c>
    </row>
    <row r="1441" spans="1:16" hidden="1" x14ac:dyDescent="0.25">
      <c r="A1441" t="s">
        <v>2637</v>
      </c>
      <c r="B1441" t="str">
        <f>IF(COUNTIF(A:A,A1441)&gt;1,_xlfn.CONCAT(A1441," (",N1441,")"),A1441)</f>
        <v>Xiāngyĭn Xiāng</v>
      </c>
      <c r="C1441" t="str">
        <f>IF(COUNTIF(B:B,B1441)&gt;1,_xlfn.CONCAT(A1441," (",M1441,")"),B1441)</f>
        <v>Xiāngyĭn Xiāng</v>
      </c>
      <c r="D1441" t="s">
        <v>2638</v>
      </c>
      <c r="E1441" t="s">
        <v>61</v>
      </c>
      <c r="F1441" t="str">
        <f>_xlfn.CONCAT(D1441,", ",H1441,", ",I1441,", ","山东省")</f>
        <v>乡饮乡, 宁阳县, 泰安市, 山东省</v>
      </c>
      <c r="G1441">
        <v>31069</v>
      </c>
      <c r="H1441" t="s">
        <v>3747</v>
      </c>
      <c r="I1441" t="s">
        <v>3743</v>
      </c>
      <c r="J1441" t="e">
        <f>VLOOKUP(F1441,[1]!china_towns_second__2[[Column1]:[Y]],3,FALSE)</f>
        <v>#N/A</v>
      </c>
      <c r="K1441" t="e">
        <f>VLOOKUP(F1441,[1]!china_towns_second__2[[Column1]:[Y]],2,FALSE)</f>
        <v>#N/A</v>
      </c>
      <c r="L1441" t="s">
        <v>6271</v>
      </c>
      <c r="M1441" t="str">
        <f>VLOOKUP(H1441,CHOOSE({1,2},Table17[Native],Table17[Name]),2,0)</f>
        <v>Níngyáng Xiàn</v>
      </c>
      <c r="N1441" s="15" t="str">
        <f>VLOOKUP(I1441,CHOOSE({1,2},Table17[Native],Table17[Name]),2,0)</f>
        <v>Tài'ān Shì</v>
      </c>
      <c r="O1441" s="15" t="str">
        <f t="shared" si="44"/>
        <v>Xiangyin Xiang (Tài'ān Shì)</v>
      </c>
      <c r="P1441" s="15" t="str">
        <f t="shared" si="45"/>
        <v>Xiangyin Xiang (Tài'ān Shì)</v>
      </c>
    </row>
    <row r="1442" spans="1:16" hidden="1" x14ac:dyDescent="0.25">
      <c r="A1442" t="s">
        <v>399</v>
      </c>
      <c r="B1442" t="str">
        <f>IF(COUNTIF(A:A,A1442)&gt;1,_xlfn.CONCAT(A1442," (",N1442,")"),A1442)</f>
        <v>Xiāngzhàozhuāng Zhèn</v>
      </c>
      <c r="C1442" t="str">
        <f>IF(COUNTIF(B:B,B1442)&gt;1,_xlfn.CONCAT(A1442," (",M1442,")"),B1442)</f>
        <v>Xiāngzhàozhuāng Zhèn</v>
      </c>
      <c r="D1442" t="s">
        <v>400</v>
      </c>
      <c r="E1442" t="s">
        <v>13</v>
      </c>
      <c r="F1442" t="str">
        <f>_xlfn.CONCAT(D1442,", ",H1442,", ",I1442,", ","山东省")</f>
        <v>香赵庄镇, 夏津县, 德州市, 山东省</v>
      </c>
      <c r="G1442">
        <v>24875</v>
      </c>
      <c r="H1442" t="s">
        <v>3652</v>
      </c>
      <c r="I1442" t="s">
        <v>3642</v>
      </c>
      <c r="J1442">
        <f>VLOOKUP(F1442,[1]!china_towns_second__2[[Column1]:[Y]],3,FALSE)</f>
        <v>36.924825052092501</v>
      </c>
      <c r="K1442">
        <f>VLOOKUP(F1442,[1]!china_towns_second__2[[Column1]:[Y]],2,FALSE)</f>
        <v>116.1209638</v>
      </c>
      <c r="L1442" t="s">
        <v>6272</v>
      </c>
      <c r="M1442" t="str">
        <f>VLOOKUP(H1442,CHOOSE({1,2},Table17[Native],Table17[Name]),2,0)</f>
        <v>Xiàjīn Xiàn</v>
      </c>
      <c r="N1442" s="15" t="str">
        <f>VLOOKUP(I1442,CHOOSE({1,2},Table17[Native],Table17[Name]),2,0)</f>
        <v>Dézhōu Shì</v>
      </c>
      <c r="O1442" s="15" t="str">
        <f t="shared" si="44"/>
        <v>Xiangzhaozhuang Zhen (Dézhōu Shì)</v>
      </c>
      <c r="P1442" s="15" t="str">
        <f t="shared" si="45"/>
        <v>Xiangzhaozhuang Zhen (Dézhōu Shì)</v>
      </c>
    </row>
    <row r="1443" spans="1:16" hidden="1" x14ac:dyDescent="0.25">
      <c r="A1443" t="s">
        <v>2859</v>
      </c>
      <c r="B1443" t="str">
        <f>IF(COUNTIF(A:A,A1443)&gt;1,_xlfn.CONCAT(A1443," (",N1443,")"),A1443)</f>
        <v>Xiāngzhōu Zhèn</v>
      </c>
      <c r="C1443" t="str">
        <f>IF(COUNTIF(B:B,B1443)&gt;1,_xlfn.CONCAT(A1443," (",M1443,")"),B1443)</f>
        <v>Xiāngzhōu Zhèn</v>
      </c>
      <c r="D1443" t="s">
        <v>2860</v>
      </c>
      <c r="E1443" t="s">
        <v>13</v>
      </c>
      <c r="F1443" t="str">
        <f>_xlfn.CONCAT(D1443,", ",H1443,", ",I1443,", ","山东省")</f>
        <v>相州镇, 诸城市, 潍坊市, 山东省</v>
      </c>
      <c r="G1443">
        <v>61748</v>
      </c>
      <c r="H1443" t="s">
        <v>3763</v>
      </c>
      <c r="I1443" t="s">
        <v>3751</v>
      </c>
      <c r="J1443">
        <f>VLOOKUP(F1443,[1]!china_towns_second__2[[Column1]:[Y]],3,FALSE)</f>
        <v>36.199140792394203</v>
      </c>
      <c r="K1443">
        <f>VLOOKUP(F1443,[1]!china_towns_second__2[[Column1]:[Y]],2,FALSE)</f>
        <v>119.3942402</v>
      </c>
      <c r="L1443" t="s">
        <v>6273</v>
      </c>
      <c r="M1443" t="str">
        <f>VLOOKUP(H1443,CHOOSE({1,2},Table17[Native],Table17[Name]),2,0)</f>
        <v>Zhūchéng Shì</v>
      </c>
      <c r="N1443" s="15" t="str">
        <f>VLOOKUP(I1443,CHOOSE({1,2},Table17[Native],Table17[Name]),2,0)</f>
        <v>Wéifāng Shì</v>
      </c>
      <c r="O1443" s="15" t="str">
        <f t="shared" si="44"/>
        <v>Xiangzhou Zhen (Wéifāng Shì)</v>
      </c>
      <c r="P1443" s="15" t="str">
        <f t="shared" si="45"/>
        <v>Xiangzhou Zhen (Wéifāng Shì)</v>
      </c>
    </row>
    <row r="1444" spans="1:16" hidden="1" x14ac:dyDescent="0.25">
      <c r="A1444" t="s">
        <v>559</v>
      </c>
      <c r="B1444" t="str">
        <f>IF(COUNTIF(A:A,A1444)&gt;1,_xlfn.CONCAT(A1444," (",N1444,")"),A1444)</f>
        <v>Xiānhé Zhèn</v>
      </c>
      <c r="C1444" t="str">
        <f>IF(COUNTIF(B:B,B1444)&gt;1,_xlfn.CONCAT(A1444," (",M1444,")"),B1444)</f>
        <v>Xiānhé Zhèn</v>
      </c>
      <c r="D1444" t="s">
        <v>560</v>
      </c>
      <c r="E1444" t="s">
        <v>13</v>
      </c>
      <c r="F1444" t="str">
        <f>_xlfn.CONCAT(D1444,", ",H1444,", ",I1444,", ","山东省")</f>
        <v>仙河镇, 河口区, 东营市, 山东省</v>
      </c>
      <c r="G1444">
        <v>45653</v>
      </c>
      <c r="H1444" t="s">
        <v>3658</v>
      </c>
      <c r="I1444" t="s">
        <v>3655</v>
      </c>
      <c r="J1444">
        <f>VLOOKUP(F1444,[1]!china_towns_second__2[[Column1]:[Y]],3,FALSE)</f>
        <v>38.025475129300801</v>
      </c>
      <c r="K1444">
        <f>VLOOKUP(F1444,[1]!china_towns_second__2[[Column1]:[Y]],2,FALSE)</f>
        <v>118.84247360000001</v>
      </c>
      <c r="L1444" t="s">
        <v>6274</v>
      </c>
      <c r="M1444" t="str">
        <f>VLOOKUP(H1444,CHOOSE({1,2},Table17[Native],Table17[Name]),2,0)</f>
        <v>Hékŏu Qū</v>
      </c>
      <c r="N1444" s="15" t="str">
        <f>VLOOKUP(I1444,CHOOSE({1,2},Table17[Native],Table17[Name]),2,0)</f>
        <v>Dōngyíng Shì</v>
      </c>
      <c r="O1444" s="15" t="str">
        <f t="shared" si="44"/>
        <v>Xianhe Zhen (Dōngyíng Shì)</v>
      </c>
      <c r="P1444" s="15" t="str">
        <f t="shared" si="45"/>
        <v>Xianhe Zhen (Dōngyíng Shì)</v>
      </c>
    </row>
    <row r="1445" spans="1:16" hidden="1" x14ac:dyDescent="0.25">
      <c r="A1445" t="s">
        <v>1454</v>
      </c>
      <c r="B1445" t="str">
        <f>IF(COUNTIF(A:A,A1445)&gt;1,_xlfn.CONCAT(A1445," (",N1445,")"),A1445)</f>
        <v>Xiānyíng Jiēdào</v>
      </c>
      <c r="C1445" t="str">
        <f>IF(COUNTIF(B:B,B1445)&gt;1,_xlfn.CONCAT(A1445," (",M1445,")"),B1445)</f>
        <v>Xiānyíng Jiēdào</v>
      </c>
      <c r="D1445" t="s">
        <v>1455</v>
      </c>
      <c r="E1445" t="s">
        <v>7</v>
      </c>
      <c r="F1445" t="str">
        <f>_xlfn.CONCAT(D1445,", ",H1445,", ",I1445,", ","山东省")</f>
        <v>仙营街道, 任城区, 济宁市, 山东省</v>
      </c>
      <c r="G1445">
        <v>51995</v>
      </c>
      <c r="H1445" t="s">
        <v>3692</v>
      </c>
      <c r="I1445" t="s">
        <v>3687</v>
      </c>
      <c r="J1445">
        <f>VLOOKUP(F1445,[1]!china_towns_second__2[[Column1]:[Y]],3,FALSE)</f>
        <v>35.426500608843902</v>
      </c>
      <c r="K1445">
        <f>VLOOKUP(F1445,[1]!china_towns_second__2[[Column1]:[Y]],2,FALSE)</f>
        <v>116.5899793</v>
      </c>
      <c r="L1445" t="s">
        <v>6275</v>
      </c>
      <c r="M1445" t="str">
        <f>VLOOKUP(H1445,CHOOSE({1,2},Table17[Native],Table17[Name]),2,0)</f>
        <v>Rènchéng Qū</v>
      </c>
      <c r="N1445" s="15" t="str">
        <f>VLOOKUP(I1445,CHOOSE({1,2},Table17[Native],Table17[Name]),2,0)</f>
        <v>Jìníng Shì</v>
      </c>
      <c r="O1445" s="15" t="str">
        <f t="shared" si="44"/>
        <v>Xianying Jiedao (Jìníng Shì)</v>
      </c>
      <c r="P1445" s="15" t="str">
        <f t="shared" si="45"/>
        <v>Xianying Jiedao (Jìníng Shì)</v>
      </c>
    </row>
    <row r="1446" spans="1:16" hidden="1" x14ac:dyDescent="0.25">
      <c r="A1446" t="s">
        <v>1456</v>
      </c>
      <c r="B1446" t="str">
        <f>IF(COUNTIF(A:A,A1446)&gt;1,_xlfn.CONCAT(A1446," (",N1446,")"),A1446)</f>
        <v>Xiăo'ānshān Zhèn</v>
      </c>
      <c r="C1446" t="str">
        <f>IF(COUNTIF(B:B,B1446)&gt;1,_xlfn.CONCAT(A1446," (",M1446,")"),B1446)</f>
        <v>Xiăo'ānshān Zhèn</v>
      </c>
      <c r="D1446" t="s">
        <v>1457</v>
      </c>
      <c r="E1446" t="s">
        <v>13</v>
      </c>
      <c r="F1446" t="str">
        <f>_xlfn.CONCAT(D1446,", ",H1446,", ",I1446,", ","山东省")</f>
        <v>小安山镇, 梁山县, 济宁市, 山东省</v>
      </c>
      <c r="G1446">
        <v>48760</v>
      </c>
      <c r="H1446" t="s">
        <v>3690</v>
      </c>
      <c r="I1446" t="s">
        <v>3687</v>
      </c>
      <c r="J1446">
        <f>VLOOKUP(F1446,[1]!china_towns_second__2[[Column1]:[Y]],3,FALSE)</f>
        <v>35.857845196230599</v>
      </c>
      <c r="K1446">
        <f>VLOOKUP(F1446,[1]!china_towns_second__2[[Column1]:[Y]],2,FALSE)</f>
        <v>116.1527097</v>
      </c>
      <c r="L1446" t="s">
        <v>6276</v>
      </c>
      <c r="M1446" t="str">
        <f>VLOOKUP(H1446,CHOOSE({1,2},Table17[Native],Table17[Name]),2,0)</f>
        <v>Liángshān Xiàn</v>
      </c>
      <c r="N1446" s="15" t="str">
        <f>VLOOKUP(I1446,CHOOSE({1,2},Table17[Native],Table17[Name]),2,0)</f>
        <v>Jìníng Shì</v>
      </c>
      <c r="O1446" s="15" t="str">
        <f t="shared" si="44"/>
        <v>Xiao'anshan Zhen (Jìníng Shì)</v>
      </c>
      <c r="P1446" s="15" t="str">
        <f t="shared" si="45"/>
        <v>Xiao'anshan Zhen (Jìníng Shì)</v>
      </c>
    </row>
    <row r="1447" spans="1:16" hidden="1" x14ac:dyDescent="0.25">
      <c r="A1447" t="s">
        <v>171</v>
      </c>
      <c r="B1447" t="str">
        <f>IF(COUNTIF(A:A,A1447)&gt;1,_xlfn.CONCAT(A1447," (",N1447,")"),A1447)</f>
        <v>Xiăobótóu Zhèn</v>
      </c>
      <c r="C1447" t="str">
        <f>IF(COUNTIF(B:B,B1447)&gt;1,_xlfn.CONCAT(A1447," (",M1447,")"),B1447)</f>
        <v>Xiăobótóu Zhèn</v>
      </c>
      <c r="D1447" t="s">
        <v>172</v>
      </c>
      <c r="E1447" t="s">
        <v>13</v>
      </c>
      <c r="F1447" t="str">
        <f>_xlfn.CONCAT(D1447,", ",H1447,", ",I1447,", ","山东省")</f>
        <v>小泊头镇, 无棣县, 滨州市, 山东省</v>
      </c>
      <c r="G1447">
        <v>36122</v>
      </c>
      <c r="H1447" t="s">
        <v>3636</v>
      </c>
      <c r="I1447" t="s">
        <v>3630</v>
      </c>
      <c r="J1447">
        <f>VLOOKUP(F1447,[1]!china_towns_second__2[[Column1]:[Y]],3,FALSE)</f>
        <v>38.022581838173799</v>
      </c>
      <c r="K1447">
        <f>VLOOKUP(F1447,[1]!china_towns_second__2[[Column1]:[Y]],2,FALSE)</f>
        <v>117.60375019999999</v>
      </c>
      <c r="L1447" t="s">
        <v>6277</v>
      </c>
      <c r="M1447" t="str">
        <f>VLOOKUP(H1447,CHOOSE({1,2},Table17[Native],Table17[Name]),2,0)</f>
        <v>Wúdì Xiàn</v>
      </c>
      <c r="N1447" s="15" t="str">
        <f>VLOOKUP(I1447,CHOOSE({1,2},Table17[Native],Table17[Name]),2,0)</f>
        <v>Bīnzhōu Shì</v>
      </c>
      <c r="O1447" s="15" t="str">
        <f t="shared" si="44"/>
        <v>Xiaobotou Zhen (Bīnzhōu Shì)</v>
      </c>
      <c r="P1447" s="15" t="str">
        <f t="shared" si="45"/>
        <v>Xiaobotou Zhen (Bīnzhōu Shì)</v>
      </c>
    </row>
    <row r="1448" spans="1:16" hidden="1" x14ac:dyDescent="0.25">
      <c r="A1448" t="s">
        <v>2478</v>
      </c>
      <c r="B1448" t="str">
        <f>IF(COUNTIF(A:A,A1448)&gt;1,_xlfn.CONCAT(A1448," (",N1448,")"),A1448)</f>
        <v>Xiăodiàn Zhèn</v>
      </c>
      <c r="C1448" t="str">
        <f>IF(COUNTIF(B:B,B1448)&gt;1,_xlfn.CONCAT(A1448," (",M1448,")"),B1448)</f>
        <v>Xiăodiàn Zhèn</v>
      </c>
      <c r="D1448" t="s">
        <v>2479</v>
      </c>
      <c r="E1448" t="s">
        <v>13</v>
      </c>
      <c r="F1448" t="str">
        <f>_xlfn.CONCAT(D1448,", ",H1448,", ",I1448,", ","山东省")</f>
        <v>小店镇, 莒县, 日照市, 山东省</v>
      </c>
      <c r="G1448">
        <v>46846</v>
      </c>
      <c r="H1448" t="s">
        <v>3739</v>
      </c>
      <c r="I1448" t="s">
        <v>3736</v>
      </c>
      <c r="J1448">
        <f>VLOOKUP(F1448,[1]!china_towns_second__2[[Column1]:[Y]],3,FALSE)</f>
        <v>35.411622568851698</v>
      </c>
      <c r="K1448">
        <f>VLOOKUP(F1448,[1]!china_towns_second__2[[Column1]:[Y]],2,FALSE)</f>
        <v>118.8028174</v>
      </c>
      <c r="L1448" t="s">
        <v>6278</v>
      </c>
      <c r="M1448" t="str">
        <f>VLOOKUP(H1448,CHOOSE({1,2},Table17[Native],Table17[Name]),2,0)</f>
        <v>Jŭ Xiàn</v>
      </c>
      <c r="N1448" s="15" t="str">
        <f>VLOOKUP(I1448,CHOOSE({1,2},Table17[Native],Table17[Name]),2,0)</f>
        <v>Rìzhào Shì</v>
      </c>
      <c r="O1448" s="15" t="str">
        <f t="shared" si="44"/>
        <v>Xiaodian Zhen (Rìzhào Shì)</v>
      </c>
      <c r="P1448" s="15" t="str">
        <f t="shared" si="45"/>
        <v>Xiaodian Zhen (Rìzhào Shì)</v>
      </c>
    </row>
    <row r="1449" spans="1:16" hidden="1" x14ac:dyDescent="0.25">
      <c r="A1449" t="s">
        <v>3002</v>
      </c>
      <c r="B1449" t="str">
        <f>IF(COUNTIF(A:A,A1449)&gt;1,_xlfn.CONCAT(A1449," (",N1449,")"),A1449)</f>
        <v>Xiăoguān Zhèn</v>
      </c>
      <c r="C1449" t="str">
        <f>IF(COUNTIF(B:B,B1449)&gt;1,_xlfn.CONCAT(A1449," (",M1449,")"),B1449)</f>
        <v>Xiăoguān Zhèn</v>
      </c>
      <c r="D1449" t="s">
        <v>3003</v>
      </c>
      <c r="E1449" t="s">
        <v>13</v>
      </c>
      <c r="F1449" t="str">
        <f>_xlfn.CONCAT(D1449,", ",H1449,", ",I1449,", ","山东省")</f>
        <v>小观镇, 文登区, 威海市, 山东省</v>
      </c>
      <c r="G1449">
        <v>36706</v>
      </c>
      <c r="H1449" t="s">
        <v>3769</v>
      </c>
      <c r="I1449" t="s">
        <v>3765</v>
      </c>
      <c r="J1449">
        <f>VLOOKUP(F1449,[1]!china_towns_second__2[[Column1]:[Y]],3,FALSE)</f>
        <v>36.982206071585203</v>
      </c>
      <c r="K1449">
        <f>VLOOKUP(F1449,[1]!china_towns_second__2[[Column1]:[Y]],2,FALSE)</f>
        <v>121.90051029999999</v>
      </c>
      <c r="L1449" t="s">
        <v>6279</v>
      </c>
      <c r="M1449" t="str">
        <f>VLOOKUP(H1449,CHOOSE({1,2},Table17[Native],Table17[Name]),2,0)</f>
        <v>Wéndēng Qū</v>
      </c>
      <c r="N1449" s="15" t="str">
        <f>VLOOKUP(I1449,CHOOSE({1,2},Table17[Native],Table17[Name]),2,0)</f>
        <v>Wēihăi Shì</v>
      </c>
      <c r="O1449" s="15" t="str">
        <f t="shared" si="44"/>
        <v>Xiaoguan Zhen (Wēihăi Shì)</v>
      </c>
      <c r="P1449" s="15" t="str">
        <f t="shared" si="45"/>
        <v>Xiaoguan Zhen (Wēihăi Shì)</v>
      </c>
    </row>
    <row r="1450" spans="1:16" hidden="1" x14ac:dyDescent="0.25">
      <c r="A1450" t="s">
        <v>3277</v>
      </c>
      <c r="B1450" t="str">
        <f>IF(COUNTIF(A:A,A1450)&gt;1,_xlfn.CONCAT(A1450," (",N1450,")"),A1450)</f>
        <v>Xiăojì Zhèn</v>
      </c>
      <c r="C1450" t="str">
        <f>IF(COUNTIF(B:B,B1450)&gt;1,_xlfn.CONCAT(A1450," (",M1450,")"),B1450)</f>
        <v>Xiăojì Zhèn</v>
      </c>
      <c r="D1450" t="s">
        <v>3278</v>
      </c>
      <c r="E1450" t="s">
        <v>13</v>
      </c>
      <c r="F1450" t="str">
        <f>_xlfn.CONCAT(D1450,", ",H1450,", ",I1450,", ","山东省")</f>
        <v>小纪镇, 海阳市, 烟台市, 山东省</v>
      </c>
      <c r="G1450">
        <v>45658</v>
      </c>
      <c r="H1450" t="s">
        <v>3773</v>
      </c>
      <c r="I1450" t="s">
        <v>3771</v>
      </c>
      <c r="J1450">
        <f>VLOOKUP(F1450,[1]!china_towns_second__2[[Column1]:[Y]],3,FALSE)</f>
        <v>36.819879338632902</v>
      </c>
      <c r="K1450">
        <f>VLOOKUP(F1450,[1]!china_towns_second__2[[Column1]:[Y]],2,FALSE)</f>
        <v>120.9700819</v>
      </c>
      <c r="L1450" t="s">
        <v>6280</v>
      </c>
      <c r="M1450" t="str">
        <f>VLOOKUP(H1450,CHOOSE({1,2},Table17[Native],Table17[Name]),2,0)</f>
        <v>Hăiyáng Shì</v>
      </c>
      <c r="N1450" s="15" t="str">
        <f>VLOOKUP(I1450,CHOOSE({1,2},Table17[Native],Table17[Name]),2,0)</f>
        <v>Yāntái Shì</v>
      </c>
      <c r="O1450" s="15" t="str">
        <f t="shared" si="44"/>
        <v>Xiaoji Zhen (Yāntái Shì)</v>
      </c>
      <c r="P1450" s="15" t="str">
        <f t="shared" si="45"/>
        <v>Xiaoji Zhen (Yāntái Shì)</v>
      </c>
    </row>
    <row r="1451" spans="1:16" hidden="1" x14ac:dyDescent="0.25">
      <c r="A1451" t="s">
        <v>1722</v>
      </c>
      <c r="B1451" t="str">
        <f>IF(COUNTIF(A:A,A1451)&gt;1,_xlfn.CONCAT(A1451," (",N1451,")"),A1451)</f>
        <v>Xiàojiāzhuāng Zhèn [Xiàozhuāng Zhèn]</v>
      </c>
      <c r="C1451" t="str">
        <f>IF(COUNTIF(B:B,B1451)&gt;1,_xlfn.CONCAT(A1451," (",M1451,")"),B1451)</f>
        <v>Xiàojiāzhuāng Zhèn [Xiàozhuāng Zhèn]</v>
      </c>
      <c r="D1451" t="s">
        <v>1723</v>
      </c>
      <c r="E1451" t="s">
        <v>13</v>
      </c>
      <c r="F1451" t="str">
        <f>_xlfn.CONCAT(D1451,", ",H1451,", ",I1451,", ","山东省")</f>
        <v>肖家庄镇, 茌平区, 聊城市, 山东省</v>
      </c>
      <c r="G1451">
        <v>21793</v>
      </c>
      <c r="H1451" t="s">
        <v>3701</v>
      </c>
      <c r="I1451" t="s">
        <v>3700</v>
      </c>
      <c r="J1451">
        <f>VLOOKUP(F1451,[1]!china_towns_second__2[[Column1]:[Y]],3,FALSE)</f>
        <v>36.6546204552522</v>
      </c>
      <c r="K1451">
        <f>VLOOKUP(F1451,[1]!china_towns_second__2[[Column1]:[Y]],2,FALSE)</f>
        <v>116.0338959</v>
      </c>
      <c r="L1451" t="s">
        <v>6281</v>
      </c>
      <c r="M1451" t="str">
        <f>VLOOKUP(H1451,CHOOSE({1,2},Table17[Native],Table17[Name]),2,0)</f>
        <v>Chípíng Qū</v>
      </c>
      <c r="N1451" s="15" t="str">
        <f>VLOOKUP(I1451,CHOOSE({1,2},Table17[Native],Table17[Name]),2,0)</f>
        <v>Liáochéng Shì</v>
      </c>
      <c r="O1451" s="15" t="str">
        <f t="shared" si="44"/>
        <v>Xiaojiazhuang Zhen [Xiaozhuang Zhen] (Liáochéng Shì)</v>
      </c>
      <c r="P1451" s="15" t="str">
        <f t="shared" si="45"/>
        <v>Xiaojiazhuang Zhen [Xiaozhuang Zhen] (Liáochéng Shì)</v>
      </c>
    </row>
    <row r="1452" spans="1:16" hidden="1" x14ac:dyDescent="0.25">
      <c r="A1452" t="s">
        <v>842</v>
      </c>
      <c r="B1452" t="str">
        <f>IF(COUNTIF(A:A,A1452)&gt;1,_xlfn.CONCAT(A1452," (",N1452,")"),A1452)</f>
        <v>Xiăojĭng Zhèn</v>
      </c>
      <c r="C1452" t="str">
        <f>IF(COUNTIF(B:B,B1452)&gt;1,_xlfn.CONCAT(A1452," (",M1452,")"),B1452)</f>
        <v>Xiăojĭng Zhèn</v>
      </c>
      <c r="D1452" t="s">
        <v>843</v>
      </c>
      <c r="E1452" t="s">
        <v>13</v>
      </c>
      <c r="F1452" t="str">
        <f>_xlfn.CONCAT(D1452,", ",H1452,", ",I1452,", ","山东省")</f>
        <v>小井镇, 东明县, 菏泽市, 山东省</v>
      </c>
      <c r="G1452">
        <v>45131</v>
      </c>
      <c r="H1452" t="s">
        <v>3666</v>
      </c>
      <c r="I1452" t="s">
        <v>3662</v>
      </c>
      <c r="J1452">
        <f>VLOOKUP(F1452,[1]!china_towns_second__2[[Column1]:[Y]],3,FALSE)</f>
        <v>35.100976375729402</v>
      </c>
      <c r="K1452">
        <f>VLOOKUP(F1452,[1]!china_towns_second__2[[Column1]:[Y]],2,FALSE)</f>
        <v>115.0879092</v>
      </c>
      <c r="L1452" t="s">
        <v>6282</v>
      </c>
      <c r="M1452" t="str">
        <f>VLOOKUP(H1452,CHOOSE({1,2},Table17[Native],Table17[Name]),2,0)</f>
        <v>Dōngmíng Xiàn</v>
      </c>
      <c r="N1452" s="15" t="str">
        <f>VLOOKUP(I1452,CHOOSE({1,2},Table17[Native],Table17[Name]),2,0)</f>
        <v>Hézé Shì</v>
      </c>
      <c r="O1452" s="15" t="str">
        <f t="shared" si="44"/>
        <v>Xiaojing Zhen (Hézé Shì)</v>
      </c>
      <c r="P1452" s="15" t="str">
        <f t="shared" si="45"/>
        <v>Xiaojing Zhen (Hézé Shì)</v>
      </c>
    </row>
    <row r="1453" spans="1:16" hidden="1" x14ac:dyDescent="0.25">
      <c r="A1453" t="s">
        <v>1164</v>
      </c>
      <c r="B1453" t="str">
        <f>IF(COUNTIF(A:A,A1453)&gt;1,_xlfn.CONCAT(A1453," (",N1453,")"),A1453)</f>
        <v>Xiàolĭ Jiēdào</v>
      </c>
      <c r="C1453" t="str">
        <f>IF(COUNTIF(B:B,B1453)&gt;1,_xlfn.CONCAT(A1453," (",M1453,")"),B1453)</f>
        <v>Xiàolĭ Jiēdào</v>
      </c>
      <c r="D1453" t="s">
        <v>1165</v>
      </c>
      <c r="E1453" t="s">
        <v>7</v>
      </c>
      <c r="F1453" t="str">
        <f>_xlfn.CONCAT(D1453,", ",H1453,", ",I1453,", ","山东省")</f>
        <v>孝里街道, 长清区, 济南市, 山东省</v>
      </c>
      <c r="G1453">
        <v>38512</v>
      </c>
      <c r="H1453" t="s">
        <v>3674</v>
      </c>
      <c r="I1453" t="s">
        <v>3673</v>
      </c>
      <c r="J1453" t="e">
        <f>VLOOKUP(F1453,[1]!china_towns_second__2[[Column1]:[Y]],3,FALSE)</f>
        <v>#N/A</v>
      </c>
      <c r="K1453" t="e">
        <f>VLOOKUP(F1453,[1]!china_towns_second__2[[Column1]:[Y]],2,FALSE)</f>
        <v>#N/A</v>
      </c>
      <c r="L1453" t="s">
        <v>6283</v>
      </c>
      <c r="M1453" t="str">
        <f>VLOOKUP(H1453,CHOOSE({1,2},Table17[Native],Table17[Name]),2,0)</f>
        <v>Chángqīng Qū</v>
      </c>
      <c r="N1453" s="15" t="str">
        <f>VLOOKUP(I1453,CHOOSE({1,2},Table17[Native],Table17[Name]),2,0)</f>
        <v>Jìnán Shì</v>
      </c>
      <c r="O1453" s="15" t="str">
        <f t="shared" si="44"/>
        <v>Xiaoli Jiedao (Jìnán Shì)</v>
      </c>
      <c r="P1453" s="15" t="str">
        <f t="shared" si="45"/>
        <v>Xiaoli Jiedao (Jìnán Shì)</v>
      </c>
    </row>
    <row r="1454" spans="1:16" hidden="1" x14ac:dyDescent="0.25">
      <c r="A1454" t="s">
        <v>844</v>
      </c>
      <c r="B1454" t="str">
        <f>IF(COUNTIF(A:A,A1454)&gt;1,_xlfn.CONCAT(A1454," (",N1454,")"),A1454)</f>
        <v>Xiăoliú Zhèn</v>
      </c>
      <c r="C1454" t="str">
        <f>IF(COUNTIF(B:B,B1454)&gt;1,_xlfn.CONCAT(A1454," (",M1454,")"),B1454)</f>
        <v>Xiăoliú Zhèn</v>
      </c>
      <c r="D1454" t="s">
        <v>845</v>
      </c>
      <c r="E1454" t="s">
        <v>13</v>
      </c>
      <c r="F1454" t="str">
        <f>_xlfn.CONCAT(D1454,", ",H1454,", ",I1454,", ","山东省")</f>
        <v>小留镇, 牡丹区, 菏泽市, 山东省</v>
      </c>
      <c r="G1454">
        <v>47600</v>
      </c>
      <c r="H1454" t="s">
        <v>3669</v>
      </c>
      <c r="I1454" t="s">
        <v>3662</v>
      </c>
      <c r="J1454">
        <f>VLOOKUP(F1454,[1]!china_towns_second__2[[Column1]:[Y]],3,FALSE)</f>
        <v>35.376859814095397</v>
      </c>
      <c r="K1454">
        <f>VLOOKUP(F1454,[1]!china_towns_second__2[[Column1]:[Y]],2,FALSE)</f>
        <v>115.4224514</v>
      </c>
      <c r="L1454" t="s">
        <v>6284</v>
      </c>
      <c r="M1454" t="str">
        <f>VLOOKUP(H1454,CHOOSE({1,2},Table17[Native],Table17[Name]),2,0)</f>
        <v>Mŭdān Qū</v>
      </c>
      <c r="N1454" s="15" t="str">
        <f>VLOOKUP(I1454,CHOOSE({1,2},Table17[Native],Table17[Name]),2,0)</f>
        <v>Hézé Shì</v>
      </c>
      <c r="O1454" s="15" t="str">
        <f t="shared" si="44"/>
        <v>Xiaoliu Zhen (Hézé Shì)</v>
      </c>
      <c r="P1454" s="15" t="str">
        <f t="shared" si="45"/>
        <v>Xiaoliu Zhen (Hézé Shì)</v>
      </c>
    </row>
    <row r="1455" spans="1:16" hidden="1" x14ac:dyDescent="0.25">
      <c r="A1455" t="s">
        <v>1458</v>
      </c>
      <c r="B1455" t="str">
        <f>IF(COUNTIF(A:A,A1455)&gt;1,_xlfn.CONCAT(A1455," (",N1455,")"),A1455)</f>
        <v>Xiăolùkŏu Zhèn</v>
      </c>
      <c r="C1455" t="str">
        <f>IF(COUNTIF(B:B,B1455)&gt;1,_xlfn.CONCAT(A1455," (",M1455,")"),B1455)</f>
        <v>Xiăolùkŏu Zhèn</v>
      </c>
      <c r="D1455" t="s">
        <v>1459</v>
      </c>
      <c r="E1455" t="s">
        <v>13</v>
      </c>
      <c r="F1455" t="str">
        <f>_xlfn.CONCAT(D1455,", ",H1455,", ",I1455,", ","山东省")</f>
        <v>小路口镇, 梁山县, 济宁市, 山东省</v>
      </c>
      <c r="G1455">
        <v>45087</v>
      </c>
      <c r="H1455" t="s">
        <v>3690</v>
      </c>
      <c r="I1455" t="s">
        <v>3687</v>
      </c>
      <c r="J1455">
        <f>VLOOKUP(F1455,[1]!china_towns_second__2[[Column1]:[Y]],3,FALSE)</f>
        <v>35.9300960367</v>
      </c>
      <c r="K1455">
        <f>VLOOKUP(F1455,[1]!china_towns_second__2[[Column1]:[Y]],2,FALSE)</f>
        <v>115.9782615</v>
      </c>
      <c r="L1455" t="s">
        <v>6285</v>
      </c>
      <c r="M1455" t="str">
        <f>VLOOKUP(H1455,CHOOSE({1,2},Table17[Native],Table17[Name]),2,0)</f>
        <v>Liángshān Xiàn</v>
      </c>
      <c r="N1455" s="15" t="str">
        <f>VLOOKUP(I1455,CHOOSE({1,2},Table17[Native],Table17[Name]),2,0)</f>
        <v>Jìníng Shì</v>
      </c>
      <c r="O1455" s="15" t="str">
        <f t="shared" si="44"/>
        <v>Xiaolukou Zhen (Jìníng Shì)</v>
      </c>
      <c r="P1455" s="15" t="str">
        <f t="shared" si="45"/>
        <v>Xiaolukou Zhen (Jìníng Shì)</v>
      </c>
    </row>
    <row r="1456" spans="1:16" hidden="1" x14ac:dyDescent="0.25">
      <c r="A1456" t="s">
        <v>1460</v>
      </c>
      <c r="B1456" t="str">
        <f>IF(COUNTIF(A:A,A1456)&gt;1,_xlfn.CONCAT(A1456," (",N1456,")"),A1456)</f>
        <v>Xiăomèng Zhèn</v>
      </c>
      <c r="C1456" t="str">
        <f>IF(COUNTIF(B:B,B1456)&gt;1,_xlfn.CONCAT(A1456," (",M1456,")"),B1456)</f>
        <v>Xiăomèng Zhèn</v>
      </c>
      <c r="D1456" t="s">
        <v>1461</v>
      </c>
      <c r="E1456" t="s">
        <v>13</v>
      </c>
      <c r="F1456" t="str">
        <f>_xlfn.CONCAT(D1456,", ",H1456,", ",I1456,", ","山东省")</f>
        <v>小孟镇, 兖州区, 济宁市, 山东省</v>
      </c>
      <c r="G1456">
        <v>35507</v>
      </c>
      <c r="H1456" t="s">
        <v>3696</v>
      </c>
      <c r="I1456" t="s">
        <v>3687</v>
      </c>
      <c r="J1456">
        <f>VLOOKUP(F1456,[1]!china_towns_second__2[[Column1]:[Y]],3,FALSE)</f>
        <v>35.688541572407203</v>
      </c>
      <c r="K1456">
        <f>VLOOKUP(F1456,[1]!china_towns_second__2[[Column1]:[Y]],2,FALSE)</f>
        <v>116.6778631</v>
      </c>
      <c r="L1456" t="s">
        <v>6286</v>
      </c>
      <c r="M1456" t="str">
        <f>VLOOKUP(H1456,CHOOSE({1,2},Table17[Native],Table17[Name]),2,0)</f>
        <v>Yănzhōu Qū</v>
      </c>
      <c r="N1456" s="15" t="str">
        <f>VLOOKUP(I1456,CHOOSE({1,2},Table17[Native],Table17[Name]),2,0)</f>
        <v>Jìníng Shì</v>
      </c>
      <c r="O1456" s="15" t="str">
        <f t="shared" si="44"/>
        <v>Xiaomeng Zhen (Jìníng Shì)</v>
      </c>
      <c r="P1456" s="15" t="str">
        <f t="shared" si="45"/>
        <v>Xiaomeng Zhen (Jìníng Shì)</v>
      </c>
    </row>
    <row r="1457" spans="1:16" hidden="1" x14ac:dyDescent="0.25">
      <c r="A1457" t="s">
        <v>3279</v>
      </c>
      <c r="B1457" t="str">
        <f>IF(COUNTIF(A:A,A1457)&gt;1,_xlfn.CONCAT(A1457," (",N1457,")"),A1457)</f>
        <v>Xiăoménjiā Zhèn</v>
      </c>
      <c r="C1457" t="str">
        <f>IF(COUNTIF(B:B,B1457)&gt;1,_xlfn.CONCAT(A1457," (",M1457,")"),B1457)</f>
        <v>Xiăoménjiā Zhèn</v>
      </c>
      <c r="D1457" t="s">
        <v>3280</v>
      </c>
      <c r="E1457" t="s">
        <v>13</v>
      </c>
      <c r="F1457" t="str">
        <f>_xlfn.CONCAT(D1457,", ",H1457,", ",I1457,", ","山东省")</f>
        <v>小门家镇, 蓬莱区, 烟台市, 山东省</v>
      </c>
      <c r="G1457">
        <v>35104</v>
      </c>
      <c r="H1457" t="s">
        <v>3779</v>
      </c>
      <c r="I1457" t="s">
        <v>3771</v>
      </c>
      <c r="J1457">
        <f>VLOOKUP(F1457,[1]!china_towns_second__2[[Column1]:[Y]],3,FALSE)</f>
        <v>37.639568715133002</v>
      </c>
      <c r="K1457">
        <f>VLOOKUP(F1457,[1]!china_towns_second__2[[Column1]:[Y]],2,FALSE)</f>
        <v>120.7559183</v>
      </c>
      <c r="L1457" t="s">
        <v>6287</v>
      </c>
      <c r="M1457" t="str">
        <f>VLOOKUP(H1457,CHOOSE({1,2},Table17[Native],Table17[Name]),2,0)</f>
        <v>Pénglái Qū</v>
      </c>
      <c r="N1457" s="15" t="str">
        <f>VLOOKUP(I1457,CHOOSE({1,2},Table17[Native],Table17[Name]),2,0)</f>
        <v>Yāntái Shì</v>
      </c>
      <c r="O1457" s="15" t="str">
        <f t="shared" si="44"/>
        <v>Xiaomenjia Zhen (Yāntái Shì)</v>
      </c>
      <c r="P1457" s="15" t="str">
        <f t="shared" si="45"/>
        <v>Xiaomenjia Zhen (Yāntái Shì)</v>
      </c>
    </row>
    <row r="1458" spans="1:16" hidden="1" x14ac:dyDescent="0.25">
      <c r="A1458" t="s">
        <v>3281</v>
      </c>
      <c r="B1458" t="str">
        <f>IF(COUNTIF(A:A,A1458)&gt;1,_xlfn.CONCAT(A1458," (",N1458,")"),A1458)</f>
        <v>Xiăoqīndăo Xiāng</v>
      </c>
      <c r="C1458" t="str">
        <f>IF(COUNTIF(B:B,B1458)&gt;1,_xlfn.CONCAT(A1458," (",M1458,")"),B1458)</f>
        <v>Xiăoqīndăo Xiāng</v>
      </c>
      <c r="D1458" t="s">
        <v>3282</v>
      </c>
      <c r="E1458" t="s">
        <v>61</v>
      </c>
      <c r="F1458" t="str">
        <f>_xlfn.CONCAT(D1458,", ",H1458,", ",I1458,", ","山东省")</f>
        <v>小钦岛乡, 蓬莱区, 烟台市, 山东省</v>
      </c>
      <c r="G1458">
        <v>658</v>
      </c>
      <c r="H1458" t="s">
        <v>3779</v>
      </c>
      <c r="I1458" t="s">
        <v>3771</v>
      </c>
      <c r="J1458" t="e">
        <f>VLOOKUP(F1458,[1]!china_towns_second__2[[Column1]:[Y]],3,FALSE)</f>
        <v>#N/A</v>
      </c>
      <c r="K1458" t="e">
        <f>VLOOKUP(F1458,[1]!china_towns_second__2[[Column1]:[Y]],2,FALSE)</f>
        <v>#N/A</v>
      </c>
      <c r="L1458" t="s">
        <v>6288</v>
      </c>
      <c r="M1458" t="str">
        <f>VLOOKUP(H1458,CHOOSE({1,2},Table17[Native],Table17[Name]),2,0)</f>
        <v>Pénglái Qū</v>
      </c>
      <c r="N1458" s="15" t="str">
        <f>VLOOKUP(I1458,CHOOSE({1,2},Table17[Native],Table17[Name]),2,0)</f>
        <v>Yāntái Shì</v>
      </c>
      <c r="O1458" s="15" t="str">
        <f t="shared" si="44"/>
        <v>Xiaoqindao Xiang (Yāntái Shì)</v>
      </c>
      <c r="P1458" s="15" t="str">
        <f t="shared" si="45"/>
        <v>Xiaoqindao Xiang (Yāntái Shì)</v>
      </c>
    </row>
    <row r="1459" spans="1:16" hidden="1" x14ac:dyDescent="0.25">
      <c r="A1459" t="s">
        <v>2639</v>
      </c>
      <c r="B1459" t="str">
        <f>IF(COUNTIF(A:A,A1459)&gt;1,_xlfn.CONCAT(A1459," (",N1459,")"),A1459)</f>
        <v>Xiăoxié Zhèn</v>
      </c>
      <c r="C1459" t="str">
        <f>IF(COUNTIF(B:B,B1459)&gt;1,_xlfn.CONCAT(A1459," (",M1459,")"),B1459)</f>
        <v>Xiăoxié Zhèn</v>
      </c>
      <c r="D1459" t="s">
        <v>2640</v>
      </c>
      <c r="E1459" t="s">
        <v>13</v>
      </c>
      <c r="F1459" t="str">
        <f>_xlfn.CONCAT(D1459,", ",H1459,", ",I1459,", ","山东省")</f>
        <v>小协镇, 新泰市, 泰安市, 山东省</v>
      </c>
      <c r="G1459">
        <v>44817</v>
      </c>
      <c r="H1459" t="s">
        <v>3749</v>
      </c>
      <c r="I1459" t="s">
        <v>3743</v>
      </c>
      <c r="J1459">
        <f>VLOOKUP(F1459,[1]!china_towns_second__2[[Column1]:[Y]],3,FALSE)</f>
        <v>35.885280442577397</v>
      </c>
      <c r="K1459">
        <f>VLOOKUP(F1459,[1]!china_towns_second__2[[Column1]:[Y]],2,FALSE)</f>
        <v>117.59722499999999</v>
      </c>
      <c r="L1459" t="s">
        <v>6289</v>
      </c>
      <c r="M1459" t="str">
        <f>VLOOKUP(H1459,CHOOSE({1,2},Table17[Native],Table17[Name]),2,0)</f>
        <v>Xīntài Shì</v>
      </c>
      <c r="N1459" s="15" t="str">
        <f>VLOOKUP(I1459,CHOOSE({1,2},Table17[Native],Table17[Name]),2,0)</f>
        <v>Tài'ān Shì</v>
      </c>
      <c r="O1459" s="15" t="str">
        <f t="shared" si="44"/>
        <v>Xiaoxie Zhen (Tài'ān Shì)</v>
      </c>
      <c r="P1459" s="15" t="str">
        <f t="shared" si="45"/>
        <v>Xiaoxie Zhen (Tài'ān Shì)</v>
      </c>
    </row>
    <row r="1460" spans="1:16" hidden="1" x14ac:dyDescent="0.25">
      <c r="A1460" t="s">
        <v>1462</v>
      </c>
      <c r="B1460" t="str">
        <f>IF(COUNTIF(A:A,A1460)&gt;1,_xlfn.CONCAT(A1460," (",N1460,")"),A1460)</f>
        <v>Xiăoxuĕ Jiēdào</v>
      </c>
      <c r="C1460" t="str">
        <f>IF(COUNTIF(B:B,B1460)&gt;1,_xlfn.CONCAT(A1460," (",M1460,")"),B1460)</f>
        <v>Xiăoxuĕ Jiēdào</v>
      </c>
      <c r="D1460" t="s">
        <v>1463</v>
      </c>
      <c r="E1460" t="s">
        <v>7</v>
      </c>
      <c r="F1460" t="str">
        <f>_xlfn.CONCAT(D1460,", ",H1460,", ",I1460,", ","山东省")</f>
        <v>小雪街道, 曲阜市, 济宁市, 山东省</v>
      </c>
      <c r="G1460">
        <v>43378</v>
      </c>
      <c r="H1460" t="s">
        <v>3691</v>
      </c>
      <c r="I1460" t="s">
        <v>3687</v>
      </c>
      <c r="J1460">
        <f>VLOOKUP(F1460,[1]!china_towns_second__2[[Column1]:[Y]],3,FALSE)</f>
        <v>35.518572550266597</v>
      </c>
      <c r="K1460">
        <f>VLOOKUP(F1460,[1]!china_towns_second__2[[Column1]:[Y]],2,FALSE)</f>
        <v>116.98130879999999</v>
      </c>
      <c r="L1460" t="s">
        <v>6290</v>
      </c>
      <c r="M1460" t="str">
        <f>VLOOKUP(H1460,CHOOSE({1,2},Table17[Native],Table17[Name]),2,0)</f>
        <v>Qŭfù Shì</v>
      </c>
      <c r="N1460" s="15" t="str">
        <f>VLOOKUP(I1460,CHOOSE({1,2},Table17[Native],Table17[Name]),2,0)</f>
        <v>Jìníng Shì</v>
      </c>
      <c r="O1460" s="15" t="str">
        <f t="shared" si="44"/>
        <v>Xiaoxue Jiedao (Jìníng Shì)</v>
      </c>
      <c r="P1460" s="15" t="str">
        <f t="shared" si="45"/>
        <v>Xiaoxue Jiedao (Jìníng Shì)</v>
      </c>
    </row>
    <row r="1461" spans="1:16" hidden="1" x14ac:dyDescent="0.25">
      <c r="A1461" t="s">
        <v>173</v>
      </c>
      <c r="B1461" t="str">
        <f>IF(COUNTIF(A:A,A1461)&gt;1,_xlfn.CONCAT(A1461," (",N1461,")"),A1461)</f>
        <v>Xiăoyíng Jiēdào</v>
      </c>
      <c r="C1461" t="str">
        <f>IF(COUNTIF(B:B,B1461)&gt;1,_xlfn.CONCAT(A1461," (",M1461,")"),B1461)</f>
        <v>Xiăoyíng Jiēdào</v>
      </c>
      <c r="D1461" t="s">
        <v>174</v>
      </c>
      <c r="E1461" t="s">
        <v>7</v>
      </c>
      <c r="F1461" t="str">
        <f>_xlfn.CONCAT(D1461,", ",H1461,", ",I1461,", ","山东省")</f>
        <v>小营街道, 滨城区, 滨州市, 山东省</v>
      </c>
      <c r="G1461">
        <v>35964</v>
      </c>
      <c r="H1461" t="s">
        <v>3632</v>
      </c>
      <c r="I1461" t="s">
        <v>3630</v>
      </c>
      <c r="J1461">
        <f>VLOOKUP(F1461,[1]!china_towns_second__2[[Column1]:[Y]],3,FALSE)</f>
        <v>37.297595478055896</v>
      </c>
      <c r="K1461">
        <f>VLOOKUP(F1461,[1]!china_towns_second__2[[Column1]:[Y]],2,FALSE)</f>
        <v>118.06101390000001</v>
      </c>
      <c r="L1461" t="s">
        <v>6291</v>
      </c>
      <c r="M1461" t="str">
        <f>VLOOKUP(H1461,CHOOSE({1,2},Table17[Native],Table17[Name]),2,0)</f>
        <v>Bīnchéng Qū</v>
      </c>
      <c r="N1461" s="15" t="str">
        <f>VLOOKUP(I1461,CHOOSE({1,2},Table17[Native],Table17[Name]),2,0)</f>
        <v>Bīnzhōu Shì</v>
      </c>
      <c r="O1461" s="15" t="str">
        <f t="shared" si="44"/>
        <v>Xiaoying Jiedao (Bīnzhōu Shì)</v>
      </c>
      <c r="P1461" s="15" t="str">
        <f t="shared" si="45"/>
        <v>Xiaoying Jiedao (Bīnzhōu Shì)</v>
      </c>
    </row>
    <row r="1462" spans="1:16" hidden="1" x14ac:dyDescent="0.25">
      <c r="A1462" t="s">
        <v>1464</v>
      </c>
      <c r="B1462" t="str">
        <f>IF(COUNTIF(A:A,A1462)&gt;1,_xlfn.CONCAT(A1462," (",N1462,")"),A1462)</f>
        <v>Xiāoyún Zhèn</v>
      </c>
      <c r="C1462" t="str">
        <f>IF(COUNTIF(B:B,B1462)&gt;1,_xlfn.CONCAT(A1462," (",M1462,")"),B1462)</f>
        <v>Xiāoyún Zhèn</v>
      </c>
      <c r="D1462" t="s">
        <v>1465</v>
      </c>
      <c r="E1462" t="s">
        <v>13</v>
      </c>
      <c r="F1462" t="str">
        <f>_xlfn.CONCAT(D1462,", ",H1462,", ",I1462,", ","山东省")</f>
        <v>霄云镇, 金乡县, 济宁市, 山东省</v>
      </c>
      <c r="G1462">
        <v>45897</v>
      </c>
      <c r="H1462" t="s">
        <v>3689</v>
      </c>
      <c r="I1462" t="s">
        <v>3687</v>
      </c>
      <c r="J1462">
        <f>VLOOKUP(F1462,[1]!china_towns_second__2[[Column1]:[Y]],3,FALSE)</f>
        <v>34.900942251551498</v>
      </c>
      <c r="K1462">
        <f>VLOOKUP(F1462,[1]!china_towns_second__2[[Column1]:[Y]],2,FALSE)</f>
        <v>116.3873126</v>
      </c>
      <c r="L1462" t="s">
        <v>6292</v>
      </c>
      <c r="M1462" t="str">
        <f>VLOOKUP(H1462,CHOOSE({1,2},Table17[Native],Table17[Name]),2,0)</f>
        <v>Jīnxiāng Xiàn</v>
      </c>
      <c r="N1462" s="15" t="str">
        <f>VLOOKUP(I1462,CHOOSE({1,2},Table17[Native],Table17[Name]),2,0)</f>
        <v>Jìníng Shì</v>
      </c>
      <c r="O1462" s="15" t="str">
        <f t="shared" si="44"/>
        <v>Xiaoyun Zhen (Jìníng Shì)</v>
      </c>
      <c r="P1462" s="15" t="str">
        <f t="shared" si="45"/>
        <v>Xiaoyun Zhen (Jìníng Shì)</v>
      </c>
    </row>
    <row r="1463" spans="1:16" hidden="1" x14ac:dyDescent="0.25">
      <c r="A1463" t="s">
        <v>1166</v>
      </c>
      <c r="B1463" t="str">
        <f>IF(COUNTIF(A:A,A1463)&gt;1,_xlfn.CONCAT(A1463," (",N1463,")"),A1463)</f>
        <v>Xiàozhí Zhèn</v>
      </c>
      <c r="C1463" t="str">
        <f>IF(COUNTIF(B:B,B1463)&gt;1,_xlfn.CONCAT(A1463," (",M1463,")"),B1463)</f>
        <v>Xiàozhí Zhèn</v>
      </c>
      <c r="D1463" t="s">
        <v>1167</v>
      </c>
      <c r="E1463" t="s">
        <v>13</v>
      </c>
      <c r="F1463" t="str">
        <f>_xlfn.CONCAT(D1463,", ",H1463,", ",I1463,", ","山东省")</f>
        <v>孝直镇, 平阴县, 济南市, 山东省</v>
      </c>
      <c r="G1463">
        <v>52683</v>
      </c>
      <c r="H1463" t="s">
        <v>3681</v>
      </c>
      <c r="I1463" t="s">
        <v>3673</v>
      </c>
      <c r="J1463">
        <f>VLOOKUP(F1463,[1]!china_towns_second__2[[Column1]:[Y]],3,FALSE)</f>
        <v>36.103395504647303</v>
      </c>
      <c r="K1463">
        <f>VLOOKUP(F1463,[1]!china_towns_second__2[[Column1]:[Y]],2,FALSE)</f>
        <v>116.4593818</v>
      </c>
      <c r="L1463" t="s">
        <v>6293</v>
      </c>
      <c r="M1463" t="str">
        <f>VLOOKUP(H1463,CHOOSE({1,2},Table17[Native],Table17[Name]),2,0)</f>
        <v>Píngyīn Xiàn</v>
      </c>
      <c r="N1463" s="15" t="str">
        <f>VLOOKUP(I1463,CHOOSE({1,2},Table17[Native],Table17[Name]),2,0)</f>
        <v>Jìnán Shì</v>
      </c>
      <c r="O1463" s="15" t="str">
        <f t="shared" si="44"/>
        <v>Xiaozhi Zhen (Jìnán Shì)</v>
      </c>
      <c r="P1463" s="15" t="str">
        <f t="shared" si="45"/>
        <v>Xiaozhi Zhen (Jìnán Shì)</v>
      </c>
    </row>
    <row r="1464" spans="1:16" hidden="1" x14ac:dyDescent="0.25">
      <c r="A1464" t="s">
        <v>3283</v>
      </c>
      <c r="B1464" t="str">
        <f>IF(COUNTIF(A:A,A1464)&gt;1,_xlfn.CONCAT(A1464," (",N1464,")"),A1464)</f>
        <v>Xiàqiū Zhèn</v>
      </c>
      <c r="C1464" t="str">
        <f>IF(COUNTIF(B:B,B1464)&gt;1,_xlfn.CONCAT(A1464," (",M1464,")"),B1464)</f>
        <v>Xiàqiū Zhèn</v>
      </c>
      <c r="D1464" t="s">
        <v>3284</v>
      </c>
      <c r="E1464" t="s">
        <v>13</v>
      </c>
      <c r="F1464" t="str">
        <f>_xlfn.CONCAT(D1464,", ",H1464,", ",I1464,", ","山东省")</f>
        <v>夏邱镇, 莱州市, 烟台市, 山东省</v>
      </c>
      <c r="G1464">
        <v>38947</v>
      </c>
      <c r="H1464" t="s">
        <v>3776</v>
      </c>
      <c r="I1464" t="s">
        <v>3771</v>
      </c>
      <c r="J1464">
        <f>VLOOKUP(F1464,[1]!china_towns_second__2[[Column1]:[Y]],3,FALSE)</f>
        <v>37.033362806398699</v>
      </c>
      <c r="K1464">
        <f>VLOOKUP(F1464,[1]!china_towns_second__2[[Column1]:[Y]],2,FALSE)</f>
        <v>119.89135349999999</v>
      </c>
      <c r="L1464" t="s">
        <v>6294</v>
      </c>
      <c r="M1464" t="str">
        <f>VLOOKUP(H1464,CHOOSE({1,2},Table17[Native],Table17[Name]),2,0)</f>
        <v>Láizhōu Shì</v>
      </c>
      <c r="N1464" s="15" t="str">
        <f>VLOOKUP(I1464,CHOOSE({1,2},Table17[Native],Table17[Name]),2,0)</f>
        <v>Yāntái Shì</v>
      </c>
      <c r="O1464" s="15" t="str">
        <f t="shared" si="44"/>
        <v>Xiaqiu Zhen (Yāntái Shì)</v>
      </c>
      <c r="P1464" s="15" t="str">
        <f t="shared" si="45"/>
        <v>Xiaqiu Zhen (Yāntái Shì)</v>
      </c>
    </row>
    <row r="1465" spans="1:16" hidden="1" x14ac:dyDescent="0.25">
      <c r="A1465" t="s">
        <v>175</v>
      </c>
      <c r="B1465" t="str">
        <f>IF(COUNTIF(A:A,A1465)&gt;1,_xlfn.CONCAT(A1465," (",N1465,")"),A1465)</f>
        <v>Xiàwā Zhèn</v>
      </c>
      <c r="C1465" t="str">
        <f>IF(COUNTIF(B:B,B1465)&gt;1,_xlfn.CONCAT(A1465," (",M1465,")"),B1465)</f>
        <v>Xiàwā Zhèn</v>
      </c>
      <c r="D1465" t="s">
        <v>176</v>
      </c>
      <c r="E1465" t="s">
        <v>13</v>
      </c>
      <c r="F1465" t="str">
        <f>_xlfn.CONCAT(D1465,", ",H1465,", ",I1465,", ","山东省")</f>
        <v>下洼镇, 沾化区, 滨州市, 山东省</v>
      </c>
      <c r="G1465">
        <v>49016</v>
      </c>
      <c r="H1465" t="s">
        <v>3638</v>
      </c>
      <c r="I1465" t="s">
        <v>3630</v>
      </c>
      <c r="J1465">
        <f>VLOOKUP(F1465,[1]!china_towns_second__2[[Column1]:[Y]],3,FALSE)</f>
        <v>37.705496223470298</v>
      </c>
      <c r="K1465">
        <f>VLOOKUP(F1465,[1]!china_towns_second__2[[Column1]:[Y]],2,FALSE)</f>
        <v>117.9342664</v>
      </c>
      <c r="L1465" t="s">
        <v>6295</v>
      </c>
      <c r="M1465" t="str">
        <f>VLOOKUP(H1465,CHOOSE({1,2},Table17[Native],Table17[Name]),2,0)</f>
        <v>Zhānhuà Qū</v>
      </c>
      <c r="N1465" s="15" t="str">
        <f>VLOOKUP(I1465,CHOOSE({1,2},Table17[Native],Table17[Name]),2,0)</f>
        <v>Bīnzhōu Shì</v>
      </c>
      <c r="O1465" s="15" t="str">
        <f t="shared" si="44"/>
        <v>Xiawa Zhen (Bīnzhōu Shì)</v>
      </c>
      <c r="P1465" s="15" t="str">
        <f t="shared" si="45"/>
        <v>Xiawa Zhen (Bīnzhōu Shì)</v>
      </c>
    </row>
    <row r="1466" spans="1:16" hidden="1" x14ac:dyDescent="0.25">
      <c r="A1466" t="s">
        <v>2861</v>
      </c>
      <c r="B1466" t="str">
        <f>IF(COUNTIF(A:A,A1466)&gt;1,_xlfn.CONCAT(A1466," (",N1466,")"),A1466)</f>
        <v>Xiàyíng Zhèn</v>
      </c>
      <c r="C1466" t="str">
        <f>IF(COUNTIF(B:B,B1466)&gt;1,_xlfn.CONCAT(A1466," (",M1466,")"),B1466)</f>
        <v>Xiàyíng Zhèn</v>
      </c>
      <c r="D1466" t="s">
        <v>2862</v>
      </c>
      <c r="E1466" t="s">
        <v>13</v>
      </c>
      <c r="F1466" t="str">
        <f>_xlfn.CONCAT(D1466,", ",H1466,", ",I1466,", ","山东省")</f>
        <v>下营镇, 昌邑市, 潍坊市, 山东省</v>
      </c>
      <c r="G1466">
        <v>23395</v>
      </c>
      <c r="H1466" t="s">
        <v>3754</v>
      </c>
      <c r="I1466" t="s">
        <v>3751</v>
      </c>
      <c r="J1466">
        <f>VLOOKUP(F1466,[1]!china_towns_second__2[[Column1]:[Y]],3,FALSE)</f>
        <v>37.035040465927104</v>
      </c>
      <c r="K1466">
        <f>VLOOKUP(F1466,[1]!china_towns_second__2[[Column1]:[Y]],2,FALSE)</f>
        <v>119.5226759</v>
      </c>
      <c r="L1466" t="s">
        <v>6296</v>
      </c>
      <c r="M1466" t="str">
        <f>VLOOKUP(H1466,CHOOSE({1,2},Table17[Native],Table17[Name]),2,0)</f>
        <v>Chāngyì Shì</v>
      </c>
      <c r="N1466" s="15" t="str">
        <f>VLOOKUP(I1466,CHOOSE({1,2},Table17[Native],Table17[Name]),2,0)</f>
        <v>Wéifāng Shì</v>
      </c>
      <c r="O1466" s="15" t="str">
        <f t="shared" si="44"/>
        <v>Xiaying Zhen (Wéifāng Shì)</v>
      </c>
      <c r="P1466" s="15" t="str">
        <f t="shared" si="45"/>
        <v>Xiaying Zhen (Wéifāng Shì)</v>
      </c>
    </row>
    <row r="1467" spans="1:16" hidden="1" x14ac:dyDescent="0.25">
      <c r="A1467" t="s">
        <v>2044</v>
      </c>
      <c r="B1467" t="str">
        <f>IF(COUNTIF(A:A,A1467)&gt;1,_xlfn.CONCAT(A1467," (",N1467,")"),A1467)</f>
        <v>Xiàyù Zhèn</v>
      </c>
      <c r="C1467" t="str">
        <f>IF(COUNTIF(B:B,B1467)&gt;1,_xlfn.CONCAT(A1467," (",M1467,")"),B1467)</f>
        <v>Xiàyù Zhèn</v>
      </c>
      <c r="D1467" t="s">
        <v>2045</v>
      </c>
      <c r="E1467" t="s">
        <v>13</v>
      </c>
      <c r="F1467" t="str">
        <f>_xlfn.CONCAT(D1467,", ",H1467,", ",I1467,", ","山东省")</f>
        <v>夏蔚镇, 沂水县, 临沂市, 山东省</v>
      </c>
      <c r="G1467">
        <v>44111</v>
      </c>
      <c r="H1467" t="s">
        <v>3722</v>
      </c>
      <c r="I1467" t="s">
        <v>3710</v>
      </c>
      <c r="J1467">
        <f>VLOOKUP(F1467,[1]!china_towns_second__2[[Column1]:[Y]],3,FALSE)</f>
        <v>35.840189054839499</v>
      </c>
      <c r="K1467">
        <f>VLOOKUP(F1467,[1]!china_towns_second__2[[Column1]:[Y]],2,FALSE)</f>
        <v>118.32712100000001</v>
      </c>
      <c r="L1467" t="s">
        <v>6297</v>
      </c>
      <c r="M1467" t="str">
        <f>VLOOKUP(H1467,CHOOSE({1,2},Table17[Native],Table17[Name]),2,0)</f>
        <v>Yíshuĭ Xiàn</v>
      </c>
      <c r="N1467" s="15" t="str">
        <f>VLOOKUP(I1467,CHOOSE({1,2},Table17[Native],Table17[Name]),2,0)</f>
        <v>Línyí Shì</v>
      </c>
      <c r="O1467" s="15" t="str">
        <f t="shared" si="44"/>
        <v>Xiayu Zhen (Línyí Shì)</v>
      </c>
      <c r="P1467" s="15" t="str">
        <f t="shared" si="45"/>
        <v>Xiayu Zhen (Línyí Shì)</v>
      </c>
    </row>
    <row r="1468" spans="1:16" hidden="1" x14ac:dyDescent="0.25">
      <c r="A1468" t="s">
        <v>2641</v>
      </c>
      <c r="B1468" t="str">
        <f>IF(COUNTIF(A:A,A1468)&gt;1,_xlfn.CONCAT(A1468," (",N1468,")"),A1468)</f>
        <v>Xiàzhāng Zhèn</v>
      </c>
      <c r="C1468" t="str">
        <f>IF(COUNTIF(B:B,B1468)&gt;1,_xlfn.CONCAT(A1468," (",M1468,")"),B1468)</f>
        <v>Xiàzhāng Zhèn</v>
      </c>
      <c r="D1468" t="s">
        <v>2642</v>
      </c>
      <c r="E1468" t="s">
        <v>13</v>
      </c>
      <c r="F1468" t="str">
        <f>_xlfn.CONCAT(D1468,", ",H1468,", ",I1468,", ","山东省")</f>
        <v>夏张镇, 岱岳区, 泰安市, 山东省</v>
      </c>
      <c r="G1468">
        <v>60728</v>
      </c>
      <c r="H1468" t="s">
        <v>3744</v>
      </c>
      <c r="I1468" t="s">
        <v>3743</v>
      </c>
      <c r="J1468">
        <f>VLOOKUP(F1468,[1]!china_towns_second__2[[Column1]:[Y]],3,FALSE)</f>
        <v>36.101130245422901</v>
      </c>
      <c r="K1468">
        <f>VLOOKUP(F1468,[1]!china_towns_second__2[[Column1]:[Y]],2,FALSE)</f>
        <v>116.9439034</v>
      </c>
      <c r="L1468" t="s">
        <v>6298</v>
      </c>
      <c r="M1468" t="str">
        <f>VLOOKUP(H1468,CHOOSE({1,2},Table17[Native],Table17[Name]),2,0)</f>
        <v>Dàiyuè Qū</v>
      </c>
      <c r="N1468" s="15" t="str">
        <f>VLOOKUP(I1468,CHOOSE({1,2},Table17[Native],Table17[Name]),2,0)</f>
        <v>Tài'ān Shì</v>
      </c>
      <c r="O1468" s="15" t="str">
        <f t="shared" si="44"/>
        <v>Xiazhang Zhen (Tài'ān Shì)</v>
      </c>
      <c r="P1468" s="15" t="str">
        <f t="shared" si="45"/>
        <v>Xiazhang Zhen (Tài'ān Shì)</v>
      </c>
    </row>
    <row r="1469" spans="1:16" hidden="1" x14ac:dyDescent="0.25">
      <c r="A1469" t="s">
        <v>1466</v>
      </c>
      <c r="B1469" t="str">
        <f>IF(COUNTIF(A:A,A1469)&gt;1,_xlfn.CONCAT(A1469," (",N1469,")"),A1469)</f>
        <v>Xiàzhèn Jiēdào</v>
      </c>
      <c r="C1469" t="str">
        <f>IF(COUNTIF(B:B,B1469)&gt;1,_xlfn.CONCAT(A1469," (",M1469,")"),B1469)</f>
        <v>Xiàzhèn Jiēdào</v>
      </c>
      <c r="D1469" t="s">
        <v>1467</v>
      </c>
      <c r="E1469" t="s">
        <v>7</v>
      </c>
      <c r="F1469" t="str">
        <f>_xlfn.CONCAT(D1469,", ",H1469,", ",I1469,", ","山东省")</f>
        <v>夏镇街道, 微山县, 济宁市, 山东省</v>
      </c>
      <c r="G1469">
        <v>108671</v>
      </c>
      <c r="H1469" t="s">
        <v>3694</v>
      </c>
      <c r="I1469" t="s">
        <v>3687</v>
      </c>
      <c r="J1469">
        <f>VLOOKUP(F1469,[1]!china_towns_second__2[[Column1]:[Y]],3,FALSE)</f>
        <v>34.815088675140501</v>
      </c>
      <c r="K1469">
        <f>VLOOKUP(F1469,[1]!china_towns_second__2[[Column1]:[Y]],2,FALSE)</f>
        <v>117.12204560000001</v>
      </c>
      <c r="L1469" t="s">
        <v>6299</v>
      </c>
      <c r="M1469" t="str">
        <f>VLOOKUP(H1469,CHOOSE({1,2},Table17[Native],Table17[Name]),2,0)</f>
        <v>Wēishān Xiàn</v>
      </c>
      <c r="N1469" s="15" t="str">
        <f>VLOOKUP(I1469,CHOOSE({1,2},Table17[Native],Table17[Name]),2,0)</f>
        <v>Jìníng Shì</v>
      </c>
      <c r="O1469" s="15" t="str">
        <f t="shared" si="44"/>
        <v>Xiazhen Jiedao (Jìníng Shì)</v>
      </c>
      <c r="P1469" s="15" t="str">
        <f t="shared" si="45"/>
        <v>Xiazhen Jiedao (Jìníng Shì)</v>
      </c>
    </row>
    <row r="1470" spans="1:16" hidden="1" x14ac:dyDescent="0.25">
      <c r="A1470" t="s">
        <v>2331</v>
      </c>
      <c r="B1470" t="str">
        <f>IF(COUNTIF(A:A,A1470)&gt;1,_xlfn.CONCAT(A1470," (",N1470,")"),A1470)</f>
        <v>Xiàzhuāng Jiēdào</v>
      </c>
      <c r="C1470" t="str">
        <f>IF(COUNTIF(B:B,B1470)&gt;1,_xlfn.CONCAT(A1470," (",M1470,")"),B1470)</f>
        <v>Xiàzhuāng Jiēdào</v>
      </c>
      <c r="D1470" t="s">
        <v>2332</v>
      </c>
      <c r="E1470" t="s">
        <v>7</v>
      </c>
      <c r="F1470" t="str">
        <f>_xlfn.CONCAT(D1470,", ",H1470,", ",I1470,", ","山东省")</f>
        <v>夏庄街道, 城阳区, 青岛市, 山东省</v>
      </c>
      <c r="G1470">
        <v>111655</v>
      </c>
      <c r="H1470" t="s">
        <v>3725</v>
      </c>
      <c r="I1470" t="s">
        <v>3724</v>
      </c>
      <c r="J1470">
        <f>VLOOKUP(F1470,[1]!china_towns_second__2[[Column1]:[Y]],3,FALSE)</f>
        <v>36.253325642484903</v>
      </c>
      <c r="K1470">
        <f>VLOOKUP(F1470,[1]!china_towns_second__2[[Column1]:[Y]],2,FALSE)</f>
        <v>120.46675930000001</v>
      </c>
      <c r="L1470" t="s">
        <v>6300</v>
      </c>
      <c r="M1470" t="str">
        <f>VLOOKUP(H1470,CHOOSE({1,2},Table17[Native],Table17[Name]),2,0)</f>
        <v>Chéngyáng Qū</v>
      </c>
      <c r="N1470" s="15" t="str">
        <f>VLOOKUP(I1470,CHOOSE({1,2},Table17[Native],Table17[Name]),2,0)</f>
        <v>Qīngdăo Shì</v>
      </c>
      <c r="O1470" s="15" t="str">
        <f t="shared" si="44"/>
        <v>Xiazhuang Jiedao (Qīngdăo Shì)</v>
      </c>
      <c r="P1470" s="15" t="str">
        <f t="shared" si="45"/>
        <v>Xiazhuang Jiedao (Qīngdăo Shì)</v>
      </c>
    </row>
    <row r="1471" spans="1:16" hidden="1" x14ac:dyDescent="0.25">
      <c r="A1471" t="s">
        <v>2480</v>
      </c>
      <c r="B1471" t="str">
        <f>IF(COUNTIF(A:A,A1471)&gt;1,_xlfn.CONCAT(A1471," (",N1471,")"),A1471)</f>
        <v>Xiàzhuāng Zhèn (Rìzhào Shì)</v>
      </c>
      <c r="C1471" t="str">
        <f>IF(COUNTIF(B:B,B1471)&gt;1,_xlfn.CONCAT(A1471," (",M1471,")"),B1471)</f>
        <v>Xiàzhuāng Zhèn (Rìzhào Shì)</v>
      </c>
      <c r="D1471" t="s">
        <v>2481</v>
      </c>
      <c r="E1471" t="s">
        <v>13</v>
      </c>
      <c r="F1471" t="str">
        <f>_xlfn.CONCAT(D1471,", ",H1471,", ",I1471,", ","山东省")</f>
        <v>夏庄镇, 莒县, 日照市, 山东省</v>
      </c>
      <c r="G1471">
        <v>53529</v>
      </c>
      <c r="H1471" t="s">
        <v>3739</v>
      </c>
      <c r="I1471" t="s">
        <v>3736</v>
      </c>
      <c r="J1471">
        <f>VLOOKUP(F1471,[1]!china_towns_second__2[[Column1]:[Y]],3,FALSE)</f>
        <v>35.421606536633298</v>
      </c>
      <c r="K1471">
        <f>VLOOKUP(F1471,[1]!china_towns_second__2[[Column1]:[Y]],2,FALSE)</f>
        <v>118.6842788</v>
      </c>
      <c r="L1471" t="s">
        <v>6301</v>
      </c>
      <c r="M1471" t="str">
        <f>VLOOKUP(H1471,CHOOSE({1,2},Table17[Native],Table17[Name]),2,0)</f>
        <v>Jŭ Xiàn</v>
      </c>
      <c r="N1471" s="15" t="str">
        <f>VLOOKUP(I1471,CHOOSE({1,2},Table17[Native],Table17[Name]),2,0)</f>
        <v>Rìzhào Shì</v>
      </c>
      <c r="O1471" s="15" t="str">
        <f t="shared" si="44"/>
        <v>Xiazhuang Zhen (Rizhao Shi) (Rìzhào Shì)</v>
      </c>
      <c r="P1471" s="15" t="str">
        <f t="shared" si="45"/>
        <v>Xiazhuang Zhen (Rizhao Shi) (Rìzhào Shì)</v>
      </c>
    </row>
    <row r="1472" spans="1:16" hidden="1" x14ac:dyDescent="0.25">
      <c r="A1472" t="s">
        <v>2480</v>
      </c>
      <c r="B1472" t="str">
        <f>IF(COUNTIF(A:A,A1472)&gt;1,_xlfn.CONCAT(A1472," (",N1472,")"),A1472)</f>
        <v>Xiàzhuāng Zhèn (Wéifāng Shì)</v>
      </c>
      <c r="C1472" t="str">
        <f>IF(COUNTIF(B:B,B1472)&gt;1,_xlfn.CONCAT(A1472," (",M1472,")"),B1472)</f>
        <v>Xiàzhuāng Zhèn (Wéifāng Shì)</v>
      </c>
      <c r="D1472" t="s">
        <v>2481</v>
      </c>
      <c r="E1472" t="s">
        <v>13</v>
      </c>
      <c r="F1472" t="str">
        <f>_xlfn.CONCAT(D1472,", ",H1472,", ",I1472,", ","山东省")</f>
        <v>夏庄镇, 高密市, 潍坊市, 山东省</v>
      </c>
      <c r="G1472">
        <v>88710</v>
      </c>
      <c r="H1472" t="s">
        <v>3756</v>
      </c>
      <c r="I1472" t="s">
        <v>3751</v>
      </c>
      <c r="J1472">
        <f>VLOOKUP(F1472,[1]!china_towns_second__2[[Column1]:[Y]],3,FALSE)</f>
        <v>36.461142028484304</v>
      </c>
      <c r="K1472">
        <f>VLOOKUP(F1472,[1]!china_towns_second__2[[Column1]:[Y]],2,FALSE)</f>
        <v>119.890173</v>
      </c>
      <c r="L1472" t="s">
        <v>6302</v>
      </c>
      <c r="M1472" t="str">
        <f>VLOOKUP(H1472,CHOOSE({1,2},Table17[Native],Table17[Name]),2,0)</f>
        <v>Gāomì Shì</v>
      </c>
      <c r="N1472" s="15" t="str">
        <f>VLOOKUP(I1472,CHOOSE({1,2},Table17[Native],Table17[Name]),2,0)</f>
        <v>Wéifāng Shì</v>
      </c>
      <c r="O1472" s="15" t="str">
        <f t="shared" si="44"/>
        <v>Xiazhuang Zhen (Weifang Shi) (Wéifāng Shì)</v>
      </c>
      <c r="P1472" s="15" t="str">
        <f t="shared" si="45"/>
        <v>Xiazhuang Zhen (Weifang Shi) (Wéifāng Shì)</v>
      </c>
    </row>
    <row r="1473" spans="1:16" hidden="1" x14ac:dyDescent="0.25">
      <c r="A1473" t="s">
        <v>2480</v>
      </c>
      <c r="B1473" t="str">
        <f>IF(COUNTIF(A:A,A1473)&gt;1,_xlfn.CONCAT(A1473," (",N1473,")"),A1473)</f>
        <v>Xiàzhuāng Zhèn (Wēihăi Shì)</v>
      </c>
      <c r="C1473" t="str">
        <f>IF(COUNTIF(B:B,B1473)&gt;1,_xlfn.CONCAT(A1473," (",M1473,")"),B1473)</f>
        <v>Xiàzhuāng Zhèn (Wēihăi Shì)</v>
      </c>
      <c r="D1473" t="s">
        <v>2481</v>
      </c>
      <c r="E1473" t="s">
        <v>13</v>
      </c>
      <c r="F1473" t="str">
        <f>_xlfn.CONCAT(D1473,", ",H1473,", ",I1473,", ","山东省")</f>
        <v>夏庄镇, 荣成市, 威海市, 山东省</v>
      </c>
      <c r="G1473">
        <v>11407</v>
      </c>
      <c r="H1473" t="s">
        <v>3767</v>
      </c>
      <c r="I1473" t="s">
        <v>3765</v>
      </c>
      <c r="J1473">
        <f>VLOOKUP(F1473,[1]!china_towns_second__2[[Column1]:[Y]],3,FALSE)</f>
        <v>37.229805198353802</v>
      </c>
      <c r="K1473">
        <f>VLOOKUP(F1473,[1]!china_towns_second__2[[Column1]:[Y]],2,FALSE)</f>
        <v>122.4520454</v>
      </c>
      <c r="L1473" t="s">
        <v>6303</v>
      </c>
      <c r="M1473" t="str">
        <f>VLOOKUP(H1473,CHOOSE({1,2},Table17[Native],Table17[Name]),2,0)</f>
        <v>Róngchéng Shì</v>
      </c>
      <c r="N1473" s="15" t="str">
        <f>VLOOKUP(I1473,CHOOSE({1,2},Table17[Native],Table17[Name]),2,0)</f>
        <v>Wēihăi Shì</v>
      </c>
      <c r="O1473" s="15" t="str">
        <f t="shared" si="44"/>
        <v>Xiazhuang Zhen (Weihai Shi) (Wēihăi Shì)</v>
      </c>
      <c r="P1473" s="15" t="str">
        <f t="shared" si="45"/>
        <v>Xiazhuang Zhen (Weihai Shi) (Wēihăi Shì)</v>
      </c>
    </row>
    <row r="1474" spans="1:16" hidden="1" x14ac:dyDescent="0.25">
      <c r="A1474" t="s">
        <v>846</v>
      </c>
      <c r="B1474" t="str">
        <f>IF(COUNTIF(A:A,A1474)&gt;1,_xlfn.CONCAT(A1474," (",N1474,")"),A1474)</f>
        <v>Xīchéng Jiēdào</v>
      </c>
      <c r="C1474" t="str">
        <f>IF(COUNTIF(B:B,B1474)&gt;1,_xlfn.CONCAT(A1474," (",M1474,")"),B1474)</f>
        <v>Xīchéng Jiēdào</v>
      </c>
      <c r="D1474" t="s">
        <v>847</v>
      </c>
      <c r="E1474" t="s">
        <v>7</v>
      </c>
      <c r="F1474" t="str">
        <f>_xlfn.CONCAT(D1474,", ",H1474,", ",I1474,", ","山东省")</f>
        <v>西城街道, 牡丹区, 菏泽市, 山东省</v>
      </c>
      <c r="G1474">
        <v>58131</v>
      </c>
      <c r="H1474" t="s">
        <v>3669</v>
      </c>
      <c r="I1474" t="s">
        <v>3662</v>
      </c>
      <c r="J1474">
        <f>VLOOKUP(F1474,[1]!china_towns_second__2[[Column1]:[Y]],3,FALSE)</f>
        <v>35.243161498346801</v>
      </c>
      <c r="K1474">
        <f>VLOOKUP(F1474,[1]!china_towns_second__2[[Column1]:[Y]],2,FALSE)</f>
        <v>115.4178297</v>
      </c>
      <c r="L1474" t="s">
        <v>6304</v>
      </c>
      <c r="M1474" t="str">
        <f>VLOOKUP(H1474,CHOOSE({1,2},Table17[Native],Table17[Name]),2,0)</f>
        <v>Mŭdān Qū</v>
      </c>
      <c r="N1474" s="15" t="str">
        <f>VLOOKUP(I1474,CHOOSE({1,2},Table17[Native],Table17[Name]),2,0)</f>
        <v>Hézé Shì</v>
      </c>
      <c r="O1474" s="15" t="str">
        <f t="shared" ref="O1474:O1537" si="46">_xlfn.CONCAT(L1474," (",N1474,")")</f>
        <v>Xicheng Jiedao (Hézé Shì)</v>
      </c>
      <c r="P1474" s="15" t="str">
        <f t="shared" ref="P1474:P1537" si="47">IF(COUNTIF(O:O,O1474)&gt;1,_xlfn.CONCAT(L1474," (",M1474,")"),O1474)</f>
        <v>Xicheng Jiedao (Hézé Shì)</v>
      </c>
    </row>
    <row r="1475" spans="1:16" hidden="1" x14ac:dyDescent="0.25">
      <c r="A1475" t="s">
        <v>3285</v>
      </c>
      <c r="B1475" t="str">
        <f>IF(COUNTIF(A:A,A1475)&gt;1,_xlfn.CONCAT(A1475," (",N1475,")"),A1475)</f>
        <v>Xīchéng Zhèn</v>
      </c>
      <c r="C1475" t="str">
        <f>IF(COUNTIF(B:B,B1475)&gt;1,_xlfn.CONCAT(A1475," (",M1475,")"),B1475)</f>
        <v>Xīchéng Zhèn</v>
      </c>
      <c r="D1475" t="s">
        <v>3286</v>
      </c>
      <c r="E1475" t="s">
        <v>13</v>
      </c>
      <c r="F1475" t="str">
        <f>_xlfn.CONCAT(D1475,", ",H1475,", ",I1475,", ","山东省")</f>
        <v>西城镇, 栖霞市, 烟台市, 山东省</v>
      </c>
      <c r="G1475">
        <v>19104</v>
      </c>
      <c r="H1475" t="s">
        <v>3780</v>
      </c>
      <c r="I1475" t="s">
        <v>3771</v>
      </c>
      <c r="J1475">
        <f>VLOOKUP(F1475,[1]!china_towns_second__2[[Column1]:[Y]],3,FALSE)</f>
        <v>37.318073608210099</v>
      </c>
      <c r="K1475">
        <f>VLOOKUP(F1475,[1]!china_towns_second__2[[Column1]:[Y]],2,FALSE)</f>
        <v>120.729305</v>
      </c>
      <c r="L1475" t="s">
        <v>6305</v>
      </c>
      <c r="M1475" t="str">
        <f>VLOOKUP(H1475,CHOOSE({1,2},Table17[Native],Table17[Name]),2,0)</f>
        <v>Qīxiá Shì</v>
      </c>
      <c r="N1475" s="15" t="str">
        <f>VLOOKUP(I1475,CHOOSE({1,2},Table17[Native],Table17[Name]),2,0)</f>
        <v>Yāntái Shì</v>
      </c>
      <c r="O1475" s="15" t="str">
        <f t="shared" si="46"/>
        <v>Xicheng Zhen (Yāntái Shì)</v>
      </c>
      <c r="P1475" s="15" t="str">
        <f t="shared" si="47"/>
        <v>Xicheng Zhen (Yāntái Shì)</v>
      </c>
    </row>
    <row r="1476" spans="1:16" hidden="1" x14ac:dyDescent="0.25">
      <c r="A1476" t="s">
        <v>177</v>
      </c>
      <c r="B1476" t="str">
        <f>IF(COUNTIF(A:A,A1476)&gt;1,_xlfn.CONCAT(A1476," (",N1476,")"),A1476)</f>
        <v>Xīdŏng Jiēdào</v>
      </c>
      <c r="C1476" t="str">
        <f>IF(COUNTIF(B:B,B1476)&gt;1,_xlfn.CONCAT(A1476," (",M1476,")"),B1476)</f>
        <v>Xīdŏng Jiēdào</v>
      </c>
      <c r="D1476" t="s">
        <v>178</v>
      </c>
      <c r="E1476" t="s">
        <v>7</v>
      </c>
      <c r="F1476" t="str">
        <f>_xlfn.CONCAT(D1476,", ",H1476,", ",I1476,", ","山东省")</f>
        <v>西董街道, 邹平市, 滨州市, 山东省</v>
      </c>
      <c r="G1476">
        <v>35992</v>
      </c>
      <c r="H1476" t="s">
        <v>3640</v>
      </c>
      <c r="I1476" t="s">
        <v>3630</v>
      </c>
      <c r="J1476">
        <f>VLOOKUP(F1476,[1]!china_towns_second__2[[Column1]:[Y]],3,FALSE)</f>
        <v>36.803630454572399</v>
      </c>
      <c r="K1476">
        <f>VLOOKUP(F1476,[1]!china_towns_second__2[[Column1]:[Y]],2,FALSE)</f>
        <v>117.7097794</v>
      </c>
      <c r="L1476" t="s">
        <v>6306</v>
      </c>
      <c r="M1476" t="str">
        <f>VLOOKUP(H1476,CHOOSE({1,2},Table17[Native],Table17[Name]),2,0)</f>
        <v>Zōupíng Shì</v>
      </c>
      <c r="N1476" s="15" t="str">
        <f>VLOOKUP(I1476,CHOOSE({1,2},Table17[Native],Table17[Name]),2,0)</f>
        <v>Bīnzhōu Shì</v>
      </c>
      <c r="O1476" s="15" t="str">
        <f t="shared" si="46"/>
        <v>Xidong Jiedao (Bīnzhōu Shì)</v>
      </c>
      <c r="P1476" s="15" t="str">
        <f t="shared" si="47"/>
        <v>Xidong Jiedao (Bīnzhōu Shì)</v>
      </c>
    </row>
    <row r="1477" spans="1:16" hidden="1" x14ac:dyDescent="0.25">
      <c r="A1477" t="s">
        <v>401</v>
      </c>
      <c r="B1477" t="str">
        <f>IF(COUNTIF(A:A,A1477)&gt;1,_xlfn.CONCAT(A1477," (",N1477,")"),A1477)</f>
        <v>Xīduàn Xiāng</v>
      </c>
      <c r="C1477" t="str">
        <f>IF(COUNTIF(B:B,B1477)&gt;1,_xlfn.CONCAT(A1477," (",M1477,")"),B1477)</f>
        <v>Xīduàn Xiāng</v>
      </c>
      <c r="D1477" t="s">
        <v>402</v>
      </c>
      <c r="E1477" t="s">
        <v>61</v>
      </c>
      <c r="F1477" t="str">
        <f>_xlfn.CONCAT(D1477,", ",H1477,", ",I1477,", ","山东省")</f>
        <v>西段乡, 乐陵市, 德州市, 山东省</v>
      </c>
      <c r="G1477">
        <v>24260</v>
      </c>
      <c r="H1477" t="s">
        <v>3644</v>
      </c>
      <c r="I1477" t="s">
        <v>3642</v>
      </c>
      <c r="J1477" t="e">
        <f>VLOOKUP(F1477,[1]!china_towns_second__2[[Column1]:[Y]],3,FALSE)</f>
        <v>#N/A</v>
      </c>
      <c r="K1477" t="e">
        <f>VLOOKUP(F1477,[1]!china_towns_second__2[[Column1]:[Y]],2,FALSE)</f>
        <v>#N/A</v>
      </c>
      <c r="L1477" t="s">
        <v>6307</v>
      </c>
      <c r="M1477" t="str">
        <f>VLOOKUP(H1477,CHOOSE({1,2},Table17[Native],Table17[Name]),2,0)</f>
        <v>Lèlíng Shì</v>
      </c>
      <c r="N1477" s="15" t="str">
        <f>VLOOKUP(I1477,CHOOSE({1,2},Table17[Native],Table17[Name]),2,0)</f>
        <v>Dézhōu Shì</v>
      </c>
      <c r="O1477" s="15" t="str">
        <f t="shared" si="46"/>
        <v>Xiduan Xiang (Dézhōu Shì)</v>
      </c>
      <c r="P1477" s="15" t="str">
        <f t="shared" si="47"/>
        <v>Xiduan Xiang (Dézhōu Shì)</v>
      </c>
    </row>
    <row r="1478" spans="1:16" hidden="1" x14ac:dyDescent="0.25">
      <c r="A1478" t="s">
        <v>1724</v>
      </c>
      <c r="B1478" t="str">
        <f>IF(COUNTIF(A:A,A1478)&gt;1,_xlfn.CONCAT(A1478," (",N1478,")"),A1478)</f>
        <v>Xiédiàn Xiāng</v>
      </c>
      <c r="C1478" t="str">
        <f>IF(COUNTIF(B:B,B1478)&gt;1,_xlfn.CONCAT(A1478," (",M1478,")"),B1478)</f>
        <v>Xiédiàn Xiāng</v>
      </c>
      <c r="D1478" t="s">
        <v>1725</v>
      </c>
      <c r="E1478" t="s">
        <v>61</v>
      </c>
      <c r="F1478" t="str">
        <f>_xlfn.CONCAT(D1478,", ",H1478,", ",I1478,", ","山东省")</f>
        <v>斜店乡, 冠县, 聊城市, 山东省</v>
      </c>
      <c r="G1478">
        <v>34450</v>
      </c>
      <c r="H1478" t="s">
        <v>3705</v>
      </c>
      <c r="I1478" t="s">
        <v>3700</v>
      </c>
      <c r="J1478" t="e">
        <f>VLOOKUP(F1478,[1]!china_towns_second__2[[Column1]:[Y]],3,FALSE)</f>
        <v>#N/A</v>
      </c>
      <c r="K1478" t="e">
        <f>VLOOKUP(F1478,[1]!china_towns_second__2[[Column1]:[Y]],2,FALSE)</f>
        <v>#N/A</v>
      </c>
      <c r="L1478" t="s">
        <v>6308</v>
      </c>
      <c r="M1478" t="str">
        <f>VLOOKUP(H1478,CHOOSE({1,2},Table17[Native],Table17[Name]),2,0)</f>
        <v>Guān Xiàn</v>
      </c>
      <c r="N1478" s="15" t="str">
        <f>VLOOKUP(I1478,CHOOSE({1,2},Table17[Native],Table17[Name]),2,0)</f>
        <v>Liáochéng Shì</v>
      </c>
      <c r="O1478" s="15" t="str">
        <f t="shared" si="46"/>
        <v>Xiedian Xiang (Liáochéng Shì)</v>
      </c>
      <c r="P1478" s="15" t="str">
        <f t="shared" si="47"/>
        <v>Xiedian Xiang (Liáochéng Shì)</v>
      </c>
    </row>
    <row r="1479" spans="1:16" hidden="1" x14ac:dyDescent="0.25">
      <c r="A1479" t="s">
        <v>848</v>
      </c>
      <c r="B1479" t="str">
        <f>IF(COUNTIF(A:A,A1479)&gt;1,_xlfn.CONCAT(A1479," (",N1479,")"),A1479)</f>
        <v>Xièjí Zhèn</v>
      </c>
      <c r="C1479" t="str">
        <f>IF(COUNTIF(B:B,B1479)&gt;1,_xlfn.CONCAT(A1479," (",M1479,")"),B1479)</f>
        <v>Xièjí Zhèn</v>
      </c>
      <c r="D1479" t="s">
        <v>849</v>
      </c>
      <c r="E1479" t="s">
        <v>13</v>
      </c>
      <c r="F1479" t="str">
        <f>_xlfn.CONCAT(D1479,", ",H1479,", ",I1479,", ","山东省")</f>
        <v>谢集镇, 单县, 菏泽市, 山东省</v>
      </c>
      <c r="G1479">
        <v>51957</v>
      </c>
      <c r="H1479" t="s">
        <v>3670</v>
      </c>
      <c r="I1479" t="s">
        <v>3662</v>
      </c>
      <c r="J1479">
        <f>VLOOKUP(F1479,[1]!china_towns_second__2[[Column1]:[Y]],3,FALSE)</f>
        <v>34.844820871880103</v>
      </c>
      <c r="K1479">
        <f>VLOOKUP(F1479,[1]!china_towns_second__2[[Column1]:[Y]],2,FALSE)</f>
        <v>116.07733</v>
      </c>
      <c r="L1479" t="s">
        <v>6309</v>
      </c>
      <c r="M1479" t="str">
        <f>VLOOKUP(H1479,CHOOSE({1,2},Table17[Native],Table17[Name]),2,0)</f>
        <v>Shàn Xiàn</v>
      </c>
      <c r="N1479" s="15" t="str">
        <f>VLOOKUP(I1479,CHOOSE({1,2},Table17[Native],Table17[Name]),2,0)</f>
        <v>Hézé Shì</v>
      </c>
      <c r="O1479" s="15" t="str">
        <f t="shared" si="46"/>
        <v>Xieji Zhen (Hézé Shì)</v>
      </c>
      <c r="P1479" s="15" t="str">
        <f t="shared" si="47"/>
        <v>Xieji Zhen (Hézé Shì)</v>
      </c>
    </row>
    <row r="1480" spans="1:16" hidden="1" x14ac:dyDescent="0.25">
      <c r="A1480" t="s">
        <v>2333</v>
      </c>
      <c r="B1480" t="str">
        <f>IF(COUNTIF(A:A,A1480)&gt;1,_xlfn.CONCAT(A1480," (",N1480,")"),A1480)</f>
        <v>Xīfúzhèn Jiēdào</v>
      </c>
      <c r="C1480" t="str">
        <f>IF(COUNTIF(B:B,B1480)&gt;1,_xlfn.CONCAT(A1480," (",M1480,")"),B1480)</f>
        <v>Xīfúzhèn Jiēdào</v>
      </c>
      <c r="D1480" t="s">
        <v>2334</v>
      </c>
      <c r="E1480" t="s">
        <v>7</v>
      </c>
      <c r="F1480" t="str">
        <f>_xlfn.CONCAT(D1480,", ",H1480,", ",I1480,", ","山东省")</f>
        <v>惜福镇街道, 城阳区, 青岛市, 山东省</v>
      </c>
      <c r="G1480">
        <v>57308</v>
      </c>
      <c r="H1480" t="s">
        <v>3725</v>
      </c>
      <c r="I1480" t="s">
        <v>3724</v>
      </c>
      <c r="J1480">
        <f>VLOOKUP(F1480,[1]!china_towns_second__2[[Column1]:[Y]],3,FALSE)</f>
        <v>36.303854346443998</v>
      </c>
      <c r="K1480">
        <f>VLOOKUP(F1480,[1]!china_towns_second__2[[Column1]:[Y]],2,FALSE)</f>
        <v>120.5172853</v>
      </c>
      <c r="L1480" t="s">
        <v>6310</v>
      </c>
      <c r="M1480" t="str">
        <f>VLOOKUP(H1480,CHOOSE({1,2},Table17[Native],Table17[Name]),2,0)</f>
        <v>Chéngyáng Qū</v>
      </c>
      <c r="N1480" s="15" t="str">
        <f>VLOOKUP(I1480,CHOOSE({1,2},Table17[Native],Table17[Name]),2,0)</f>
        <v>Qīngdăo Shì</v>
      </c>
      <c r="O1480" s="15" t="str">
        <f t="shared" si="46"/>
        <v>Xifuzhen Jiedao (Qīngdăo Shì)</v>
      </c>
      <c r="P1480" s="15" t="str">
        <f t="shared" si="47"/>
        <v>Xifuzhen Jiedao (Qīngdăo Shì)</v>
      </c>
    </row>
    <row r="1481" spans="1:16" hidden="1" x14ac:dyDescent="0.25">
      <c r="A1481" t="s">
        <v>3435</v>
      </c>
      <c r="B1481" t="str">
        <f>IF(COUNTIF(A:A,A1481)&gt;1,_xlfn.CONCAT(A1481," (",N1481,")"),A1481)</f>
        <v>Xīgăng Zhèn</v>
      </c>
      <c r="C1481" t="str">
        <f>IF(COUNTIF(B:B,B1481)&gt;1,_xlfn.CONCAT(A1481," (",M1481,")"),B1481)</f>
        <v>Xīgăng Zhèn</v>
      </c>
      <c r="D1481" t="s">
        <v>3436</v>
      </c>
      <c r="E1481" t="s">
        <v>13</v>
      </c>
      <c r="F1481" t="str">
        <f>_xlfn.CONCAT(D1481,", ",H1481,", ",I1481,", ","山东省")</f>
        <v>西岗镇, 滕州市, 枣庄市, 山东省</v>
      </c>
      <c r="G1481">
        <v>101610</v>
      </c>
      <c r="H1481" t="s">
        <v>3787</v>
      </c>
      <c r="I1481" t="s">
        <v>3784</v>
      </c>
      <c r="J1481">
        <f>VLOOKUP(F1481,[1]!china_towns_second__2[[Column1]:[Y]],3,FALSE)</f>
        <v>34.964888008073999</v>
      </c>
      <c r="K1481">
        <f>VLOOKUP(F1481,[1]!china_towns_second__2[[Column1]:[Y]],2,FALSE)</f>
        <v>117.0259786</v>
      </c>
      <c r="L1481" t="s">
        <v>6311</v>
      </c>
      <c r="M1481" t="str">
        <f>VLOOKUP(H1481,CHOOSE({1,2},Table17[Native],Table17[Name]),2,0)</f>
        <v>Téngzhōu Shì</v>
      </c>
      <c r="N1481" s="15" t="str">
        <f>VLOOKUP(I1481,CHOOSE({1,2},Table17[Native],Table17[Name]),2,0)</f>
        <v>Zăozhuāng Shì</v>
      </c>
      <c r="O1481" s="15" t="str">
        <f t="shared" si="46"/>
        <v>Xigang Zhen (Zăozhuāng Shì)</v>
      </c>
      <c r="P1481" s="15" t="str">
        <f t="shared" si="47"/>
        <v>Xigang Zhen (Zăozhuāng Shì)</v>
      </c>
    </row>
    <row r="1482" spans="1:16" hidden="1" x14ac:dyDescent="0.25">
      <c r="A1482" t="s">
        <v>2863</v>
      </c>
      <c r="B1482" t="str">
        <f>IF(COUNTIF(A:A,A1482)&gt;1,_xlfn.CONCAT(A1482," (",N1482,")"),A1482)</f>
        <v>Xīguān Jiēdào</v>
      </c>
      <c r="C1482" t="str">
        <f>IF(COUNTIF(B:B,B1482)&gt;1,_xlfn.CONCAT(A1482," (",M1482,")"),B1482)</f>
        <v>Xīguān Jiēdào</v>
      </c>
      <c r="D1482" t="s">
        <v>2864</v>
      </c>
      <c r="E1482" t="s">
        <v>7</v>
      </c>
      <c r="F1482" t="str">
        <f>_xlfn.CONCAT(D1482,", ",H1482,", ",I1482,", ","山东省")</f>
        <v>西关街道, 潍城区, 潍坊市, 山东省</v>
      </c>
      <c r="G1482">
        <v>71199</v>
      </c>
      <c r="H1482" t="s">
        <v>3762</v>
      </c>
      <c r="I1482" t="s">
        <v>3751</v>
      </c>
      <c r="J1482">
        <f>VLOOKUP(F1482,[1]!china_towns_second__2[[Column1]:[Y]],3,FALSE)</f>
        <v>36.708920730461102</v>
      </c>
      <c r="K1482">
        <f>VLOOKUP(F1482,[1]!china_towns_second__2[[Column1]:[Y]],2,FALSE)</f>
        <v>119.0597487</v>
      </c>
      <c r="L1482" t="s">
        <v>6312</v>
      </c>
      <c r="M1482" t="str">
        <f>VLOOKUP(H1482,CHOOSE({1,2},Table17[Native],Table17[Name]),2,0)</f>
        <v>Wéichéng Qū</v>
      </c>
      <c r="N1482" s="15" t="str">
        <f>VLOOKUP(I1482,CHOOSE({1,2},Table17[Native],Table17[Name]),2,0)</f>
        <v>Wéifāng Shì</v>
      </c>
      <c r="O1482" s="15" t="str">
        <f t="shared" si="46"/>
        <v>Xiguan Jiedao (Wéifāng Shì)</v>
      </c>
      <c r="P1482" s="15" t="str">
        <f t="shared" si="47"/>
        <v>Xiguan Jiedao (Wéifāng Shì)</v>
      </c>
    </row>
    <row r="1483" spans="1:16" hidden="1" x14ac:dyDescent="0.25">
      <c r="A1483" t="s">
        <v>3597</v>
      </c>
      <c r="B1483" t="str">
        <f>IF(COUNTIF(A:A,A1483)&gt;1,_xlfn.CONCAT(A1483," (",N1483,")"),A1483)</f>
        <v>Xīhé Zhèn [incl. Dōngpíng Zhèn, Zhāngzhuāng Xiāng]</v>
      </c>
      <c r="C1483" t="str">
        <f>IF(COUNTIF(B:B,B1483)&gt;1,_xlfn.CONCAT(A1483," (",M1483,")"),B1483)</f>
        <v>Xīhé Zhèn [incl. Dōngpíng Zhèn, Zhāngzhuāng Xiāng]</v>
      </c>
      <c r="D1483" t="s">
        <v>3598</v>
      </c>
      <c r="E1483" t="s">
        <v>13</v>
      </c>
      <c r="F1483" t="str">
        <f>_xlfn.CONCAT(D1483,", ",H1483,", ",I1483,", ","山东省")</f>
        <v>西河镇, 淄川区, 淄博市, 山东省</v>
      </c>
      <c r="G1483">
        <v>46431</v>
      </c>
      <c r="H1483" t="s">
        <v>3799</v>
      </c>
      <c r="I1483" t="s">
        <v>3791</v>
      </c>
      <c r="J1483">
        <f>VLOOKUP(F1483,[1]!china_towns_second__2[[Column1]:[Y]],3,FALSE)</f>
        <v>36.517424562053797</v>
      </c>
      <c r="K1483">
        <f>VLOOKUP(F1483,[1]!china_towns_second__2[[Column1]:[Y]],2,FALSE)</f>
        <v>118.0067244</v>
      </c>
      <c r="L1483" t="s">
        <v>6313</v>
      </c>
      <c r="M1483" t="str">
        <f>VLOOKUP(H1483,CHOOSE({1,2},Table17[Native],Table17[Name]),2,0)</f>
        <v>Zīchuān Qū</v>
      </c>
      <c r="N1483" s="15" t="str">
        <f>VLOOKUP(I1483,CHOOSE({1,2},Table17[Native],Table17[Name]),2,0)</f>
        <v>Zībó Shì</v>
      </c>
      <c r="O1483" s="15" t="str">
        <f t="shared" si="46"/>
        <v>Xihe Zhen [incl. Dongping Zhen, Zhangzhuang Xiang] (Zībó Shì)</v>
      </c>
      <c r="P1483" s="15" t="str">
        <f t="shared" si="47"/>
        <v>Xihe Zhen [incl. Dongping Zhen, Zhangzhuang Xiang] (Zībó Shì)</v>
      </c>
    </row>
    <row r="1484" spans="1:16" hidden="1" x14ac:dyDescent="0.25">
      <c r="A1484" t="s">
        <v>1726</v>
      </c>
      <c r="B1484" t="str">
        <f>IF(COUNTIF(A:A,A1484)&gt;1,_xlfn.CONCAT(A1484," (",N1484,")"),A1484)</f>
        <v>Xīhú Zhèn (Liáochéng Shì)</v>
      </c>
      <c r="C1484" t="str">
        <f>IF(COUNTIF(B:B,B1484)&gt;1,_xlfn.CONCAT(A1484," (",M1484,")"),B1484)</f>
        <v>Xīhú Zhèn (Liáochéng Shì)</v>
      </c>
      <c r="D1484" t="s">
        <v>1727</v>
      </c>
      <c r="E1484" t="s">
        <v>13</v>
      </c>
      <c r="F1484" t="str">
        <f>_xlfn.CONCAT(D1484,", ",H1484,", ",I1484,", ","山东省")</f>
        <v>西湖镇, 阳谷县, 聊城市, 山东省</v>
      </c>
      <c r="G1484">
        <v>37182</v>
      </c>
      <c r="H1484" t="s">
        <v>3708</v>
      </c>
      <c r="I1484" t="s">
        <v>3700</v>
      </c>
      <c r="J1484">
        <f>VLOOKUP(F1484,[1]!china_towns_second__2[[Column1]:[Y]],3,FALSE)</f>
        <v>36.1208729293472</v>
      </c>
      <c r="K1484">
        <f>VLOOKUP(F1484,[1]!china_towns_second__2[[Column1]:[Y]],2,FALSE)</f>
        <v>115.7025388</v>
      </c>
      <c r="L1484" t="s">
        <v>6314</v>
      </c>
      <c r="M1484" t="str">
        <f>VLOOKUP(H1484,CHOOSE({1,2},Table17[Native],Table17[Name]),2,0)</f>
        <v>Yánggŭ Xiàn</v>
      </c>
      <c r="N1484" s="15" t="str">
        <f>VLOOKUP(I1484,CHOOSE({1,2},Table17[Native],Table17[Name]),2,0)</f>
        <v>Liáochéng Shì</v>
      </c>
      <c r="O1484" s="15" t="str">
        <f t="shared" si="46"/>
        <v>Xihu Zhen (Liaocheng Shi) (Liáochéng Shì)</v>
      </c>
      <c r="P1484" s="15" t="str">
        <f t="shared" si="47"/>
        <v>Xihu Zhen (Liaocheng Shi) (Liáochéng Shì)</v>
      </c>
    </row>
    <row r="1485" spans="1:16" hidden="1" x14ac:dyDescent="0.25">
      <c r="A1485" t="s">
        <v>1726</v>
      </c>
      <c r="B1485" t="str">
        <f>IF(COUNTIF(A:A,A1485)&gt;1,_xlfn.CONCAT(A1485," (",N1485,")"),A1485)</f>
        <v>Xīhú Zhèn (Rìzhào Shì)</v>
      </c>
      <c r="C1485" t="str">
        <f>IF(COUNTIF(B:B,B1485)&gt;1,_xlfn.CONCAT(A1485," (",M1485,")"),B1485)</f>
        <v>Xīhú Zhèn (Rìzhào Shì)</v>
      </c>
      <c r="D1485" t="s">
        <v>1727</v>
      </c>
      <c r="E1485" t="s">
        <v>13</v>
      </c>
      <c r="F1485" t="str">
        <f>_xlfn.CONCAT(D1485,", ",H1485,", ",I1485,", ","山东省")</f>
        <v>西湖镇, 东港区, 日照市, 山东省</v>
      </c>
      <c r="G1485">
        <v>29978</v>
      </c>
      <c r="H1485" t="s">
        <v>3737</v>
      </c>
      <c r="I1485" t="s">
        <v>3736</v>
      </c>
      <c r="J1485">
        <f>VLOOKUP(F1485,[1]!china_towns_second__2[[Column1]:[Y]],3,FALSE)</f>
        <v>35.437435739931601</v>
      </c>
      <c r="K1485">
        <f>VLOOKUP(F1485,[1]!china_towns_second__2[[Column1]:[Y]],2,FALSE)</f>
        <v>119.22673380000001</v>
      </c>
      <c r="L1485" t="s">
        <v>6315</v>
      </c>
      <c r="M1485" t="str">
        <f>VLOOKUP(H1485,CHOOSE({1,2},Table17[Native],Table17[Name]),2,0)</f>
        <v>Dōnggăng Qū</v>
      </c>
      <c r="N1485" s="15" t="str">
        <f>VLOOKUP(I1485,CHOOSE({1,2},Table17[Native],Table17[Name]),2,0)</f>
        <v>Rìzhào Shì</v>
      </c>
      <c r="O1485" s="15" t="str">
        <f t="shared" si="46"/>
        <v>Xihu Zhen (Rizhao Shi) (Rìzhào Shì)</v>
      </c>
      <c r="P1485" s="15" t="str">
        <f t="shared" si="47"/>
        <v>Xihu Zhen (Rizhao Shi) (Rìzhào Shì)</v>
      </c>
    </row>
    <row r="1486" spans="1:16" hidden="1" x14ac:dyDescent="0.25">
      <c r="A1486" t="s">
        <v>3437</v>
      </c>
      <c r="B1486" t="str">
        <f>IF(COUNTIF(A:A,A1486)&gt;1,_xlfn.CONCAT(A1486," (",N1486,")"),A1486)</f>
        <v>Xījí Zhèn</v>
      </c>
      <c r="C1486" t="str">
        <f>IF(COUNTIF(B:B,B1486)&gt;1,_xlfn.CONCAT(A1486," (",M1486,")"),B1486)</f>
        <v>Xījí Zhèn</v>
      </c>
      <c r="D1486" t="s">
        <v>3438</v>
      </c>
      <c r="E1486" t="s">
        <v>13</v>
      </c>
      <c r="F1486" t="str">
        <f>_xlfn.CONCAT(D1486,", ",H1486,", ",I1486,", ","山东省")</f>
        <v>西集镇, 山亭区, 枣庄市, 山东省</v>
      </c>
      <c r="G1486">
        <v>29568</v>
      </c>
      <c r="H1486" t="s">
        <v>3785</v>
      </c>
      <c r="I1486" t="s">
        <v>3784</v>
      </c>
      <c r="J1486">
        <f>VLOOKUP(F1486,[1]!china_towns_second__2[[Column1]:[Y]],3,FALSE)</f>
        <v>34.943233686684799</v>
      </c>
      <c r="K1486">
        <f>VLOOKUP(F1486,[1]!china_towns_second__2[[Column1]:[Y]],2,FALSE)</f>
        <v>117.4170177</v>
      </c>
      <c r="L1486" t="s">
        <v>6316</v>
      </c>
      <c r="M1486" t="str">
        <f>VLOOKUP(H1486,CHOOSE({1,2},Table17[Native],Table17[Name]),2,0)</f>
        <v>Shāntíng Qū</v>
      </c>
      <c r="N1486" s="15" t="str">
        <f>VLOOKUP(I1486,CHOOSE({1,2},Table17[Native],Table17[Name]),2,0)</f>
        <v>Zăozhuāng Shì</v>
      </c>
      <c r="O1486" s="15" t="str">
        <f t="shared" si="46"/>
        <v>Xiji Zhen (Zăozhuāng Shì)</v>
      </c>
      <c r="P1486" s="15" t="str">
        <f t="shared" si="47"/>
        <v>Xiji Zhen (Zăozhuāng Shì)</v>
      </c>
    </row>
    <row r="1487" spans="1:16" hidden="1" x14ac:dyDescent="0.25">
      <c r="A1487" t="s">
        <v>3599</v>
      </c>
      <c r="B1487" t="str">
        <f>IF(COUNTIF(A:A,A1487)&gt;1,_xlfn.CONCAT(A1487," (",N1487,")"),A1487)</f>
        <v>Xīlĭ Zhèn</v>
      </c>
      <c r="C1487" t="str">
        <f>IF(COUNTIF(B:B,B1487)&gt;1,_xlfn.CONCAT(A1487," (",M1487,")"),B1487)</f>
        <v>Xīlĭ Zhèn</v>
      </c>
      <c r="D1487" t="s">
        <v>3600</v>
      </c>
      <c r="E1487" t="s">
        <v>13</v>
      </c>
      <c r="F1487" t="str">
        <f>_xlfn.CONCAT(D1487,", ",H1487,", ",I1487,", ","山东省")</f>
        <v>西里镇, 沂源县, 淄博市, 山东省</v>
      </c>
      <c r="G1487">
        <v>44544</v>
      </c>
      <c r="H1487" t="s">
        <v>3796</v>
      </c>
      <c r="I1487" t="s">
        <v>3791</v>
      </c>
      <c r="J1487">
        <f>VLOOKUP(F1487,[1]!china_towns_second__2[[Column1]:[Y]],3,FALSE)</f>
        <v>35.986592754755698</v>
      </c>
      <c r="K1487">
        <f>VLOOKUP(F1487,[1]!china_towns_second__2[[Column1]:[Y]],2,FALSE)</f>
        <v>118.27649959999999</v>
      </c>
      <c r="L1487" t="s">
        <v>6317</v>
      </c>
      <c r="M1487" t="str">
        <f>VLOOKUP(H1487,CHOOSE({1,2},Table17[Native],Table17[Name]),2,0)</f>
        <v>Yíyuán Xiàn</v>
      </c>
      <c r="N1487" s="15" t="str">
        <f>VLOOKUP(I1487,CHOOSE({1,2},Table17[Native],Table17[Name]),2,0)</f>
        <v>Zībó Shì</v>
      </c>
      <c r="O1487" s="15" t="str">
        <f t="shared" si="46"/>
        <v>Xili Zhen (Zībó Shì)</v>
      </c>
      <c r="P1487" s="15" t="str">
        <f t="shared" si="47"/>
        <v>Xili Zhen (Zībó Shì)</v>
      </c>
    </row>
    <row r="1488" spans="1:16" hidden="1" x14ac:dyDescent="0.25">
      <c r="A1488" t="s">
        <v>2335</v>
      </c>
      <c r="B1488" t="str">
        <f>IF(COUNTIF(A:A,A1488)&gt;1,_xlfn.CONCAT(A1488," (",N1488,")"),A1488)</f>
        <v>Xīn'ān Jiēdào (Qīngdăo Shì)</v>
      </c>
      <c r="C1488" t="str">
        <f>IF(COUNTIF(B:B,B1488)&gt;1,_xlfn.CONCAT(A1488," (",M1488,")"),B1488)</f>
        <v>Xīn'ān Jiēdào (Qīngdăo Shì)</v>
      </c>
      <c r="D1488" t="s">
        <v>2336</v>
      </c>
      <c r="E1488" t="s">
        <v>7</v>
      </c>
      <c r="F1488" t="str">
        <f>_xlfn.CONCAT(D1488,", ",H1488,", ",I1488,", ","山东省")</f>
        <v>辛安街道, 黄岛区, 青岛市, 山东省</v>
      </c>
      <c r="G1488">
        <v>131010</v>
      </c>
      <c r="H1488" t="s">
        <v>3726</v>
      </c>
      <c r="I1488" t="s">
        <v>3724</v>
      </c>
      <c r="J1488">
        <f>VLOOKUP(F1488,[1]!china_towns_second__2[[Column1]:[Y]],3,FALSE)</f>
        <v>36.011803548247002</v>
      </c>
      <c r="K1488">
        <f>VLOOKUP(F1488,[1]!china_towns_second__2[[Column1]:[Y]],2,FALSE)</f>
        <v>120.1305856</v>
      </c>
      <c r="L1488" t="s">
        <v>6318</v>
      </c>
      <c r="M1488" t="str">
        <f>VLOOKUP(H1488,CHOOSE({1,2},Table17[Native],Table17[Name]),2,0)</f>
        <v>Huángdăo Qū</v>
      </c>
      <c r="N1488" s="15" t="str">
        <f>VLOOKUP(I1488,CHOOSE({1,2},Table17[Native],Table17[Name]),2,0)</f>
        <v>Qīngdăo Shì</v>
      </c>
      <c r="O1488" s="15" t="str">
        <f t="shared" si="46"/>
        <v>Xin'an Jiedao (Qingdao Shi) (Qīngdăo Shì)</v>
      </c>
      <c r="P1488" s="15" t="str">
        <f t="shared" si="47"/>
        <v>Xin'an Jiedao (Qingdao Shi) (Qīngdăo Shì)</v>
      </c>
    </row>
    <row r="1489" spans="1:16" hidden="1" x14ac:dyDescent="0.25">
      <c r="A1489" t="s">
        <v>2335</v>
      </c>
      <c r="B1489" t="str">
        <f>IF(COUNTIF(A:A,A1489)&gt;1,_xlfn.CONCAT(A1489," (",N1489,")"),A1489)</f>
        <v>Xīn'ān Jiēdào (Wéifāng Shì)</v>
      </c>
      <c r="C1489" t="str">
        <f>IF(COUNTIF(B:B,B1489)&gt;1,_xlfn.CONCAT(A1489," (",M1489,")"),B1489)</f>
        <v>Xīn'ān Jiēdào (Wéifāng Shì)</v>
      </c>
      <c r="D1489" t="s">
        <v>2865</v>
      </c>
      <c r="E1489" t="s">
        <v>7</v>
      </c>
      <c r="F1489" t="str">
        <f>_xlfn.CONCAT(D1489,", ",H1489,", ",I1489,", ","山东省")</f>
        <v>新安街道, 安丘市, 潍坊市, 山东省</v>
      </c>
      <c r="G1489">
        <v>139524</v>
      </c>
      <c r="H1489" t="s">
        <v>3752</v>
      </c>
      <c r="I1489" t="s">
        <v>3751</v>
      </c>
      <c r="J1489">
        <f>VLOOKUP(F1489,[1]!china_towns_second__2[[Column1]:[Y]],3,FALSE)</f>
        <v>36.477889461255202</v>
      </c>
      <c r="K1489">
        <f>VLOOKUP(F1489,[1]!china_towns_second__2[[Column1]:[Y]],2,FALSE)</f>
        <v>119.2321274</v>
      </c>
      <c r="L1489" t="s">
        <v>6319</v>
      </c>
      <c r="M1489" t="str">
        <f>VLOOKUP(H1489,CHOOSE({1,2},Table17[Native],Table17[Name]),2,0)</f>
        <v>Ānqiū Shì</v>
      </c>
      <c r="N1489" s="15" t="str">
        <f>VLOOKUP(I1489,CHOOSE({1,2},Table17[Native],Table17[Name]),2,0)</f>
        <v>Wéifāng Shì</v>
      </c>
      <c r="O1489" s="15" t="str">
        <f t="shared" si="46"/>
        <v>Xin'an Jiedao (Weifang Shi) (Wéifāng Shì)</v>
      </c>
      <c r="P1489" s="15" t="str">
        <f t="shared" si="47"/>
        <v>Xin'an Jiedao (Weifang Shi) (Wéifāng Shì)</v>
      </c>
    </row>
    <row r="1490" spans="1:16" hidden="1" x14ac:dyDescent="0.25">
      <c r="A1490" t="s">
        <v>3287</v>
      </c>
      <c r="B1490" t="str">
        <f>IF(COUNTIF(A:A,A1490)&gt;1,_xlfn.CONCAT(A1490," (",N1490,")"),A1490)</f>
        <v>Xīn'ān Zhèn</v>
      </c>
      <c r="C1490" t="str">
        <f>IF(COUNTIF(B:B,B1490)&gt;1,_xlfn.CONCAT(A1490," (",M1490,")"),B1490)</f>
        <v>Xīn'ān Zhèn</v>
      </c>
      <c r="D1490" t="s">
        <v>3288</v>
      </c>
      <c r="E1490" t="s">
        <v>13</v>
      </c>
      <c r="F1490" t="str">
        <f>_xlfn.CONCAT(D1490,", ",H1490,", ",I1490,", ","山东省")</f>
        <v>辛安镇, 海阳市, 烟台市, 山东省</v>
      </c>
      <c r="G1490">
        <v>45028</v>
      </c>
      <c r="H1490" t="s">
        <v>3773</v>
      </c>
      <c r="I1490" t="s">
        <v>3771</v>
      </c>
      <c r="J1490">
        <f>VLOOKUP(F1490,[1]!china_towns_second__2[[Column1]:[Y]],3,FALSE)</f>
        <v>36.643191617101401</v>
      </c>
      <c r="K1490">
        <f>VLOOKUP(F1490,[1]!china_towns_second__2[[Column1]:[Y]],2,FALSE)</f>
        <v>120.99169190000001</v>
      </c>
      <c r="L1490" t="s">
        <v>6320</v>
      </c>
      <c r="M1490" t="str">
        <f>VLOOKUP(H1490,CHOOSE({1,2},Table17[Native],Table17[Name]),2,0)</f>
        <v>Hăiyáng Shì</v>
      </c>
      <c r="N1490" s="15" t="str">
        <f>VLOOKUP(I1490,CHOOSE({1,2},Table17[Native],Table17[Name]),2,0)</f>
        <v>Yāntái Shì</v>
      </c>
      <c r="O1490" s="15" t="str">
        <f t="shared" si="46"/>
        <v>Xin'an Zhen (Yāntái Shì)</v>
      </c>
      <c r="P1490" s="15" t="str">
        <f t="shared" si="47"/>
        <v>Xin'an Zhen (Yāntái Shì)</v>
      </c>
    </row>
    <row r="1491" spans="1:16" hidden="1" x14ac:dyDescent="0.25">
      <c r="A1491" t="s">
        <v>179</v>
      </c>
      <c r="B1491" t="str">
        <f>IF(COUNTIF(A:A,A1491)&gt;1,_xlfn.CONCAT(A1491," (",N1491,")"),A1491)</f>
        <v>Xìnchéng Jiēdào</v>
      </c>
      <c r="C1491" t="str">
        <f>IF(COUNTIF(B:B,B1491)&gt;1,_xlfn.CONCAT(A1491," (",M1491,")"),B1491)</f>
        <v>Xìnchéng Jiēdào</v>
      </c>
      <c r="D1491" t="s">
        <v>180</v>
      </c>
      <c r="E1491" t="s">
        <v>7</v>
      </c>
      <c r="F1491" t="str">
        <f>_xlfn.CONCAT(D1491,", ",H1491,", ",I1491,", ","山东省")</f>
        <v>信城街道, 阳信县, 滨州市, 山东省</v>
      </c>
      <c r="G1491">
        <v>45797</v>
      </c>
      <c r="H1491" t="s">
        <v>3637</v>
      </c>
      <c r="I1491" t="s">
        <v>3630</v>
      </c>
      <c r="J1491">
        <f>VLOOKUP(F1491,[1]!china_towns_second__2[[Column1]:[Y]],3,FALSE)</f>
        <v>37.644240881342597</v>
      </c>
      <c r="K1491">
        <f>VLOOKUP(F1491,[1]!china_towns_second__2[[Column1]:[Y]],2,FALSE)</f>
        <v>117.5776728</v>
      </c>
      <c r="L1491" t="s">
        <v>6321</v>
      </c>
      <c r="M1491" t="str">
        <f>VLOOKUP(H1491,CHOOSE({1,2},Table17[Native],Table17[Name]),2,0)</f>
        <v>Yángxìn Xiàn</v>
      </c>
      <c r="N1491" s="15" t="str">
        <f>VLOOKUP(I1491,CHOOSE({1,2},Table17[Native],Table17[Name]),2,0)</f>
        <v>Bīnzhōu Shì</v>
      </c>
      <c r="O1491" s="15" t="str">
        <f t="shared" si="46"/>
        <v>Xincheng Jiedao (Bīnzhōu Shì)</v>
      </c>
      <c r="P1491" s="15" t="str">
        <f t="shared" si="47"/>
        <v>Xincheng Jiedao (Bīnzhōu Shì)</v>
      </c>
    </row>
    <row r="1492" spans="1:16" hidden="1" x14ac:dyDescent="0.25">
      <c r="A1492" t="s">
        <v>1728</v>
      </c>
      <c r="B1492" t="str">
        <f>IF(COUNTIF(A:A,A1492)&gt;1,_xlfn.CONCAT(A1492," (",N1492,")"),A1492)</f>
        <v>Xīnchéng Jiēdào (Liáochéng Shì)</v>
      </c>
      <c r="C1492" t="str">
        <f>IF(COUNTIF(B:B,B1492)&gt;1,_xlfn.CONCAT(A1492," (",M1492,")"),B1492)</f>
        <v>Xīnchéng Jiēdào (Liáochéng Shì)</v>
      </c>
      <c r="D1492" t="s">
        <v>1729</v>
      </c>
      <c r="E1492" t="s">
        <v>7</v>
      </c>
      <c r="F1492" t="str">
        <f>_xlfn.CONCAT(D1492,", ",H1492,", ",I1492,", ","山东省")</f>
        <v>新城街道, 东阿县, 聊城市, 山东省</v>
      </c>
      <c r="G1492">
        <v>37729</v>
      </c>
      <c r="H1492" t="s">
        <v>3703</v>
      </c>
      <c r="I1492" t="s">
        <v>3700</v>
      </c>
      <c r="J1492">
        <f>VLOOKUP(F1492,[1]!china_towns_second__2[[Column1]:[Y]],3,FALSE)</f>
        <v>36.364688735475198</v>
      </c>
      <c r="K1492">
        <f>VLOOKUP(F1492,[1]!china_towns_second__2[[Column1]:[Y]],2,FALSE)</f>
        <v>116.241895</v>
      </c>
      <c r="L1492" t="s">
        <v>6322</v>
      </c>
      <c r="M1492" t="str">
        <f>VLOOKUP(H1492,CHOOSE({1,2},Table17[Native],Table17[Name]),2,0)</f>
        <v>Dōng'ē Xiàn</v>
      </c>
      <c r="N1492" s="15" t="str">
        <f>VLOOKUP(I1492,CHOOSE({1,2},Table17[Native],Table17[Name]),2,0)</f>
        <v>Liáochéng Shì</v>
      </c>
      <c r="O1492" s="15" t="str">
        <f t="shared" si="46"/>
        <v>Xincheng Jiedao (Liaocheng Shi) (Liáochéng Shì)</v>
      </c>
      <c r="P1492" s="15" t="str">
        <f t="shared" si="47"/>
        <v>Xincheng Jiedao (Liaocheng Shi) (Liáochéng Shì)</v>
      </c>
    </row>
    <row r="1493" spans="1:16" hidden="1" x14ac:dyDescent="0.25">
      <c r="A1493" t="s">
        <v>1728</v>
      </c>
      <c r="B1493" t="str">
        <f>IF(COUNTIF(A:A,A1493)&gt;1,_xlfn.CONCAT(A1493," (",N1493,")"),A1493)</f>
        <v>Xīnchéng Jiēdào (Tài'ān Shì)</v>
      </c>
      <c r="C1493" t="str">
        <f>IF(COUNTIF(B:B,B1493)&gt;1,_xlfn.CONCAT(A1493," (",M1493,")"),B1493)</f>
        <v>Xīnchéng Jiēdào (Tài'ān Shì)</v>
      </c>
      <c r="D1493" t="s">
        <v>1729</v>
      </c>
      <c r="E1493" t="s">
        <v>7</v>
      </c>
      <c r="F1493" t="str">
        <f>_xlfn.CONCAT(D1493,", ",H1493,", ",I1493,", ","山东省")</f>
        <v>新城街道, 肥城市, 泰安市, 山东省</v>
      </c>
      <c r="G1493">
        <v>172902</v>
      </c>
      <c r="H1493" t="s">
        <v>3746</v>
      </c>
      <c r="I1493" t="s">
        <v>3743</v>
      </c>
      <c r="J1493">
        <f>VLOOKUP(F1493,[1]!china_towns_second__2[[Column1]:[Y]],3,FALSE)</f>
        <v>36.181503863402902</v>
      </c>
      <c r="K1493">
        <f>VLOOKUP(F1493,[1]!china_towns_second__2[[Column1]:[Y]],2,FALSE)</f>
        <v>116.7564185</v>
      </c>
      <c r="L1493" t="s">
        <v>6323</v>
      </c>
      <c r="M1493" t="str">
        <f>VLOOKUP(H1493,CHOOSE({1,2},Table17[Native],Table17[Name]),2,0)</f>
        <v>Féichéng Shì</v>
      </c>
      <c r="N1493" s="15" t="str">
        <f>VLOOKUP(I1493,CHOOSE({1,2},Table17[Native],Table17[Name]),2,0)</f>
        <v>Tài'ān Shì</v>
      </c>
      <c r="O1493" s="15" t="str">
        <f t="shared" si="46"/>
        <v>Xincheng Jiedao (Tai'an Shi) (Tài'ān Shì)</v>
      </c>
      <c r="P1493" s="15" t="str">
        <f t="shared" si="47"/>
        <v>Xincheng Jiedao (Tai'an Shi) (Tài'ān Shì)</v>
      </c>
    </row>
    <row r="1494" spans="1:16" hidden="1" x14ac:dyDescent="0.25">
      <c r="A1494" t="s">
        <v>1728</v>
      </c>
      <c r="B1494" t="str">
        <f>IF(COUNTIF(A:A,A1494)&gt;1,_xlfn.CONCAT(A1494," (",N1494,")"),A1494)</f>
        <v>Xīnchéng Jiēdào (Wéifāng Shì)</v>
      </c>
      <c r="C1494" t="str">
        <f>IF(COUNTIF(B:B,B1494)&gt;1,_xlfn.CONCAT(A1494," (",M1494,")"),B1494)</f>
        <v>Xīnchéng Jiēdào (Wéifāng Shì)</v>
      </c>
      <c r="D1494" t="s">
        <v>1729</v>
      </c>
      <c r="E1494" t="s">
        <v>7</v>
      </c>
      <c r="F1494" t="str">
        <f>_xlfn.CONCAT(D1494,", ",H1494,", ",I1494,", ","山东省")</f>
        <v>新城街道, 奎文区, 潍坊市, 山东省</v>
      </c>
      <c r="G1494">
        <v>178546</v>
      </c>
      <c r="H1494" t="s">
        <v>3758</v>
      </c>
      <c r="I1494" t="s">
        <v>3751</v>
      </c>
      <c r="J1494">
        <f>VLOOKUP(F1494,[1]!china_towns_second__2[[Column1]:[Y]],3,FALSE)</f>
        <v>36.749356634695502</v>
      </c>
      <c r="K1494">
        <f>VLOOKUP(F1494,[1]!china_towns_second__2[[Column1]:[Y]],2,FALSE)</f>
        <v>119.1237955</v>
      </c>
      <c r="L1494" t="s">
        <v>6324</v>
      </c>
      <c r="M1494" t="str">
        <f>VLOOKUP(H1494,CHOOSE({1,2},Table17[Native],Table17[Name]),2,0)</f>
        <v>Kuíwén Qū</v>
      </c>
      <c r="N1494" s="15" t="str">
        <f>VLOOKUP(I1494,CHOOSE({1,2},Table17[Native],Table17[Name]),2,0)</f>
        <v>Wéifāng Shì</v>
      </c>
      <c r="O1494" s="15" t="str">
        <f t="shared" si="46"/>
        <v>Xincheng Jiedao (Weifang Shi) (Wéifāng Shì)</v>
      </c>
      <c r="P1494" s="15" t="str">
        <f t="shared" si="47"/>
        <v>Xincheng Jiedao (Weifang Shi) (Wéifāng Shì)</v>
      </c>
    </row>
    <row r="1495" spans="1:16" hidden="1" x14ac:dyDescent="0.25">
      <c r="A1495" t="s">
        <v>3601</v>
      </c>
      <c r="B1495" t="str">
        <f>IF(COUNTIF(A:A,A1495)&gt;1,_xlfn.CONCAT(A1495," (",N1495,")"),A1495)</f>
        <v>Xīnchéng Zhèn</v>
      </c>
      <c r="C1495" t="str">
        <f>IF(COUNTIF(B:B,B1495)&gt;1,_xlfn.CONCAT(A1495," (",M1495,")"),B1495)</f>
        <v>Xīnchéng Zhèn</v>
      </c>
      <c r="D1495" t="s">
        <v>3602</v>
      </c>
      <c r="E1495" t="s">
        <v>13</v>
      </c>
      <c r="F1495" t="str">
        <f>_xlfn.CONCAT(D1495,", ",H1495,", ",I1495,", ","山东省")</f>
        <v>新城镇, 桓台县, 淄博市, 山东省</v>
      </c>
      <c r="G1495">
        <v>34233</v>
      </c>
      <c r="H1495" t="s">
        <v>3794</v>
      </c>
      <c r="I1495" t="s">
        <v>3791</v>
      </c>
      <c r="J1495">
        <f>VLOOKUP(F1495,[1]!china_towns_second__2[[Column1]:[Y]],3,FALSE)</f>
        <v>36.959207228917897</v>
      </c>
      <c r="K1495">
        <f>VLOOKUP(F1495,[1]!china_towns_second__2[[Column1]:[Y]],2,FALSE)</f>
        <v>117.9500575</v>
      </c>
      <c r="L1495" t="s">
        <v>6325</v>
      </c>
      <c r="M1495" t="str">
        <f>VLOOKUP(H1495,CHOOSE({1,2},Table17[Native],Table17[Name]),2,0)</f>
        <v>Huántái Xiàn</v>
      </c>
      <c r="N1495" s="15" t="str">
        <f>VLOOKUP(I1495,CHOOSE({1,2},Table17[Native],Table17[Name]),2,0)</f>
        <v>Zībó Shì</v>
      </c>
      <c r="O1495" s="15" t="str">
        <f t="shared" si="46"/>
        <v>Xincheng Zhen (Zībó Shì)</v>
      </c>
      <c r="P1495" s="15" t="str">
        <f t="shared" si="47"/>
        <v>Xincheng Zhen (Zībó Shì)</v>
      </c>
    </row>
    <row r="1496" spans="1:16" hidden="1" x14ac:dyDescent="0.25">
      <c r="A1496" t="s">
        <v>561</v>
      </c>
      <c r="B1496" t="str">
        <f>IF(COUNTIF(A:A,A1496)&gt;1,_xlfn.CONCAT(A1496," (",N1496,")"),A1496)</f>
        <v>Xīndiàn Jiēdào (Dōngyíng Shì)</v>
      </c>
      <c r="C1496" t="str">
        <f>IF(COUNTIF(B:B,B1496)&gt;1,_xlfn.CONCAT(A1496," (",M1496,")"),B1496)</f>
        <v>Xīndiàn Jiēdào (Dōngyíng Shì)</v>
      </c>
      <c r="D1496" t="s">
        <v>562</v>
      </c>
      <c r="E1496" t="s">
        <v>7</v>
      </c>
      <c r="F1496" t="str">
        <f>_xlfn.CONCAT(D1496,", ",H1496,", ",I1496,", ","山东省")</f>
        <v>辛店街道, 东营区, 东营市, 山东省</v>
      </c>
      <c r="G1496">
        <v>137144</v>
      </c>
      <c r="H1496" t="s">
        <v>3656</v>
      </c>
      <c r="I1496" t="s">
        <v>3655</v>
      </c>
      <c r="J1496">
        <f>VLOOKUP(F1496,[1]!china_towns_second__2[[Column1]:[Y]],3,FALSE)</f>
        <v>37.478940301943098</v>
      </c>
      <c r="K1496">
        <f>VLOOKUP(F1496,[1]!china_towns_second__2[[Column1]:[Y]],2,FALSE)</f>
        <v>118.4701543</v>
      </c>
      <c r="L1496" t="s">
        <v>6326</v>
      </c>
      <c r="M1496" t="str">
        <f>VLOOKUP(H1496,CHOOSE({1,2},Table17[Native],Table17[Name]),2,0)</f>
        <v>Dōngyíng Qū</v>
      </c>
      <c r="N1496" s="15" t="str">
        <f>VLOOKUP(I1496,CHOOSE({1,2},Table17[Native],Table17[Name]),2,0)</f>
        <v>Dōngyíng Shì</v>
      </c>
      <c r="O1496" s="15" t="str">
        <f t="shared" si="46"/>
        <v>Xindian Jiedao (Dongying Shi) (Dōngyíng Shì)</v>
      </c>
      <c r="P1496" s="15" t="str">
        <f t="shared" si="47"/>
        <v>Xindian Jiedao (Dongying Shi) (Dōngyíng Shì)</v>
      </c>
    </row>
    <row r="1497" spans="1:16" hidden="1" x14ac:dyDescent="0.25">
      <c r="A1497" t="s">
        <v>561</v>
      </c>
      <c r="B1497" t="str">
        <f>IF(COUNTIF(A:A,A1497)&gt;1,_xlfn.CONCAT(A1497," (",N1497,")"),A1497)</f>
        <v>Xīndiàn Jiēdào (Zībó Shì)</v>
      </c>
      <c r="C1497" t="str">
        <f>IF(COUNTIF(B:B,B1497)&gt;1,_xlfn.CONCAT(A1497," (",M1497,")"),B1497)</f>
        <v>Xīndiàn Jiēdào (Zībó Shì)</v>
      </c>
      <c r="D1497" t="s">
        <v>562</v>
      </c>
      <c r="E1497" t="s">
        <v>7</v>
      </c>
      <c r="F1497" t="str">
        <f>_xlfn.CONCAT(D1497,", ",H1497,", ",I1497,", ","山东省")</f>
        <v>辛店街道, 临淄区, 淄博市, 山东省</v>
      </c>
      <c r="G1497">
        <v>63830</v>
      </c>
      <c r="H1497" t="s">
        <v>3795</v>
      </c>
      <c r="I1497" t="s">
        <v>3791</v>
      </c>
      <c r="J1497">
        <f>VLOOKUP(F1497,[1]!china_towns_second__2[[Column1]:[Y]],3,FALSE)</f>
        <v>36.7883703603542</v>
      </c>
      <c r="K1497">
        <f>VLOOKUP(F1497,[1]!china_towns_second__2[[Column1]:[Y]],2,FALSE)</f>
        <v>118.2586333</v>
      </c>
      <c r="L1497" t="s">
        <v>6327</v>
      </c>
      <c r="M1497" t="str">
        <f>VLOOKUP(H1497,CHOOSE({1,2},Table17[Native],Table17[Name]),2,0)</f>
        <v>Línzī Qū</v>
      </c>
      <c r="N1497" s="15" t="str">
        <f>VLOOKUP(I1497,CHOOSE({1,2},Table17[Native],Table17[Name]),2,0)</f>
        <v>Zībó Shì</v>
      </c>
      <c r="O1497" s="15" t="str">
        <f t="shared" si="46"/>
        <v>Xindian Jiedao (Zibo Shi) (Zībó Shì)</v>
      </c>
      <c r="P1497" s="15" t="str">
        <f t="shared" si="47"/>
        <v>Xindian Jiedao (Zibo Shi) (Zībó Shì)</v>
      </c>
    </row>
    <row r="1498" spans="1:16" hidden="1" x14ac:dyDescent="0.25">
      <c r="A1498" t="s">
        <v>181</v>
      </c>
      <c r="B1498" t="str">
        <f>IF(COUNTIF(A:A,A1498)&gt;1,_xlfn.CONCAT(A1498," (",N1498,")"),A1498)</f>
        <v>Xīndiàn Zhèn (Bīnzhōu Shì)</v>
      </c>
      <c r="C1498" t="str">
        <f>IF(COUNTIF(B:B,B1498)&gt;1,_xlfn.CONCAT(A1498," (",M1498,")"),B1498)</f>
        <v>Xīndiàn Zhèn (Bīnzhōu Shì)</v>
      </c>
      <c r="D1498" t="s">
        <v>182</v>
      </c>
      <c r="E1498" t="s">
        <v>13</v>
      </c>
      <c r="F1498" t="str">
        <f>_xlfn.CONCAT(D1498,", ",H1498,", ",I1498,", ","山东省")</f>
        <v>辛店镇, 惠民县, 滨州市, 山东省</v>
      </c>
      <c r="G1498">
        <v>44334</v>
      </c>
      <c r="H1498" t="s">
        <v>3635</v>
      </c>
      <c r="I1498" t="s">
        <v>3630</v>
      </c>
      <c r="J1498">
        <f>VLOOKUP(F1498,[1]!china_towns_second__2[[Column1]:[Y]],3,FALSE)</f>
        <v>37.359154021176103</v>
      </c>
      <c r="K1498">
        <f>VLOOKUP(F1498,[1]!china_towns_second__2[[Column1]:[Y]],2,FALSE)</f>
        <v>117.57080190000001</v>
      </c>
      <c r="L1498" t="s">
        <v>6328</v>
      </c>
      <c r="M1498" t="str">
        <f>VLOOKUP(H1498,CHOOSE({1,2},Table17[Native],Table17[Name]),2,0)</f>
        <v>Huìmín Xiàn</v>
      </c>
      <c r="N1498" s="15" t="str">
        <f>VLOOKUP(I1498,CHOOSE({1,2},Table17[Native],Table17[Name]),2,0)</f>
        <v>Bīnzhōu Shì</v>
      </c>
      <c r="O1498" s="15" t="str">
        <f t="shared" si="46"/>
        <v>Xindian Zhen (Binzhou Shi) (Bīnzhōu Shì)</v>
      </c>
      <c r="P1498" s="15" t="str">
        <f t="shared" si="47"/>
        <v>Xindian Zhen (Binzhou Shi) (Bīnzhōu Shì)</v>
      </c>
    </row>
    <row r="1499" spans="1:16" hidden="1" x14ac:dyDescent="0.25">
      <c r="A1499" t="s">
        <v>181</v>
      </c>
      <c r="B1499" t="str">
        <f>IF(COUNTIF(A:A,A1499)&gt;1,_xlfn.CONCAT(A1499," (",N1499,")"),A1499)</f>
        <v>Xīndiàn Zhèn (Dézhōu Shì)</v>
      </c>
      <c r="C1499" t="str">
        <f>IF(COUNTIF(B:B,B1499)&gt;1,_xlfn.CONCAT(A1499," (",M1499,")"),B1499)</f>
        <v>Xīndiàn Zhèn (Dézhōu Shì)</v>
      </c>
      <c r="D1499" t="s">
        <v>182</v>
      </c>
      <c r="E1499" t="s">
        <v>13</v>
      </c>
      <c r="F1499" t="str">
        <f>_xlfn.CONCAT(D1499,", ",H1499,", ",I1499,", ","山东省")</f>
        <v>辛店镇, 禹城市, 德州市, 山东省</v>
      </c>
      <c r="G1499">
        <v>31804</v>
      </c>
      <c r="H1499" t="s">
        <v>3653</v>
      </c>
      <c r="I1499" t="s">
        <v>3642</v>
      </c>
      <c r="J1499">
        <f>VLOOKUP(F1499,[1]!china_towns_second__2[[Column1]:[Y]],3,FALSE)</f>
        <v>37.1230144753263</v>
      </c>
      <c r="K1499">
        <f>VLOOKUP(F1499,[1]!china_towns_second__2[[Column1]:[Y]],2,FALSE)</f>
        <v>116.669687</v>
      </c>
      <c r="L1499" t="s">
        <v>6329</v>
      </c>
      <c r="M1499" t="str">
        <f>VLOOKUP(H1499,CHOOSE({1,2},Table17[Native],Table17[Name]),2,0)</f>
        <v>Yŭchéng Shì</v>
      </c>
      <c r="N1499" s="15" t="str">
        <f>VLOOKUP(I1499,CHOOSE({1,2},Table17[Native],Table17[Name]),2,0)</f>
        <v>Dézhōu Shì</v>
      </c>
      <c r="O1499" s="15" t="str">
        <f t="shared" si="46"/>
        <v>Xindian Zhen (Dezhou Shi) (Dézhōu Shì)</v>
      </c>
      <c r="P1499" s="15" t="str">
        <f t="shared" si="47"/>
        <v>Xindian Zhen (Dezhou Shi) (Dézhōu Shì)</v>
      </c>
    </row>
    <row r="1500" spans="1:16" hidden="1" x14ac:dyDescent="0.25">
      <c r="A1500" t="s">
        <v>1730</v>
      </c>
      <c r="B1500" t="str">
        <f>IF(COUNTIF(A:A,A1500)&gt;1,_xlfn.CONCAT(A1500," (",N1500,")"),A1500)</f>
        <v>Xìnfā Jiēdào</v>
      </c>
      <c r="C1500" t="str">
        <f>IF(COUNTIF(B:B,B1500)&gt;1,_xlfn.CONCAT(A1500," (",M1500,")"),B1500)</f>
        <v>Xìnfā Jiēdào</v>
      </c>
      <c r="D1500" t="s">
        <v>1731</v>
      </c>
      <c r="E1500" t="s">
        <v>7</v>
      </c>
      <c r="F1500" t="str">
        <f>_xlfn.CONCAT(D1500,", ",H1500,", ",I1500,", ","山东省")</f>
        <v>信发街道, 茌平区, 聊城市, 山东省</v>
      </c>
      <c r="G1500">
        <v>37755</v>
      </c>
      <c r="H1500" t="s">
        <v>3701</v>
      </c>
      <c r="I1500" t="s">
        <v>3700</v>
      </c>
      <c r="J1500">
        <f>VLOOKUP(F1500,[1]!china_towns_second__2[[Column1]:[Y]],3,FALSE)</f>
        <v>36.618244421005102</v>
      </c>
      <c r="K1500">
        <f>VLOOKUP(F1500,[1]!china_towns_second__2[[Column1]:[Y]],2,FALSE)</f>
        <v>116.2320778</v>
      </c>
      <c r="L1500" t="s">
        <v>6330</v>
      </c>
      <c r="M1500" t="str">
        <f>VLOOKUP(H1500,CHOOSE({1,2},Table17[Native],Table17[Name]),2,0)</f>
        <v>Chípíng Qū</v>
      </c>
      <c r="N1500" s="15" t="str">
        <f>VLOOKUP(I1500,CHOOSE({1,2},Table17[Native],Table17[Name]),2,0)</f>
        <v>Liáochéng Shì</v>
      </c>
      <c r="O1500" s="15" t="str">
        <f t="shared" si="46"/>
        <v>Xinfa Jiedao (Liáochéng Shì)</v>
      </c>
      <c r="P1500" s="15" t="str">
        <f t="shared" si="47"/>
        <v>Xinfa Jiedao (Liáochéng Shì)</v>
      </c>
    </row>
    <row r="1501" spans="1:16" hidden="1" x14ac:dyDescent="0.25">
      <c r="A1501" t="s">
        <v>2866</v>
      </c>
      <c r="B1501" t="str">
        <f>IF(COUNTIF(A:A,A1501)&gt;1,_xlfn.CONCAT(A1501," (",N1501,")"),A1501)</f>
        <v>Xīng'ān Jiēdào</v>
      </c>
      <c r="C1501" t="str">
        <f>IF(COUNTIF(B:B,B1501)&gt;1,_xlfn.CONCAT(A1501," (",M1501,")"),B1501)</f>
        <v>Xīng'ān Jiēdào</v>
      </c>
      <c r="D1501" t="s">
        <v>2867</v>
      </c>
      <c r="E1501" t="s">
        <v>7</v>
      </c>
      <c r="F1501" t="str">
        <f>_xlfn.CONCAT(D1501,", ",H1501,", ",I1501,", ","山东省")</f>
        <v>兴安街道, 安丘市, 潍坊市, 山东省</v>
      </c>
      <c r="G1501">
        <v>224684</v>
      </c>
      <c r="H1501" t="s">
        <v>3752</v>
      </c>
      <c r="I1501" t="s">
        <v>3751</v>
      </c>
      <c r="J1501">
        <f>VLOOKUP(F1501,[1]!china_towns_second__2[[Column1]:[Y]],3,FALSE)</f>
        <v>36.364595700944399</v>
      </c>
      <c r="K1501">
        <f>VLOOKUP(F1501,[1]!china_towns_second__2[[Column1]:[Y]],2,FALSE)</f>
        <v>119.17051189999999</v>
      </c>
      <c r="L1501" t="s">
        <v>6331</v>
      </c>
      <c r="M1501" t="str">
        <f>VLOOKUP(H1501,CHOOSE({1,2},Table17[Native],Table17[Name]),2,0)</f>
        <v>Ānqiū Shì</v>
      </c>
      <c r="N1501" s="15" t="str">
        <f>VLOOKUP(I1501,CHOOSE({1,2},Table17[Native],Table17[Name]),2,0)</f>
        <v>Wéifāng Shì</v>
      </c>
      <c r="O1501" s="15" t="str">
        <f t="shared" si="46"/>
        <v>Xing'an Jiedao (Wéifāng Shì)</v>
      </c>
      <c r="P1501" s="15" t="str">
        <f t="shared" si="47"/>
        <v>Xing'an Jiedao (Wéifāng Shì)</v>
      </c>
    </row>
    <row r="1502" spans="1:16" hidden="1" x14ac:dyDescent="0.25">
      <c r="A1502" t="s">
        <v>3289</v>
      </c>
      <c r="B1502" t="str">
        <f>IF(COUNTIF(A:A,A1502)&gt;1,_xlfn.CONCAT(A1502," (",N1502,")"),A1502)</f>
        <v>Xīngăng Jiēdào</v>
      </c>
      <c r="C1502" t="str">
        <f>IF(COUNTIF(B:B,B1502)&gt;1,_xlfn.CONCAT(A1502," (",M1502,")"),B1502)</f>
        <v>Xīngăng Jiēdào</v>
      </c>
      <c r="D1502" t="s">
        <v>3290</v>
      </c>
      <c r="E1502" t="s">
        <v>7</v>
      </c>
      <c r="F1502" t="str">
        <f>_xlfn.CONCAT(D1502,", ",H1502,", ",I1502,", ","山东省")</f>
        <v>新港街道, 蓬莱区, 烟台市, 山东省</v>
      </c>
      <c r="G1502">
        <v>23952</v>
      </c>
      <c r="H1502" t="s">
        <v>3779</v>
      </c>
      <c r="I1502" t="s">
        <v>3771</v>
      </c>
      <c r="J1502">
        <f>VLOOKUP(F1502,[1]!china_towns_second__2[[Column1]:[Y]],3,FALSE)</f>
        <v>37.804172798815301</v>
      </c>
      <c r="K1502">
        <f>VLOOKUP(F1502,[1]!china_towns_second__2[[Column1]:[Y]],2,FALSE)</f>
        <v>120.87678390000001</v>
      </c>
      <c r="L1502" t="s">
        <v>6332</v>
      </c>
      <c r="M1502" t="str">
        <f>VLOOKUP(H1502,CHOOSE({1,2},Table17[Native],Table17[Name]),2,0)</f>
        <v>Pénglái Qū</v>
      </c>
      <c r="N1502" s="15" t="str">
        <f>VLOOKUP(I1502,CHOOSE({1,2},Table17[Native],Table17[Name]),2,0)</f>
        <v>Yāntái Shì</v>
      </c>
      <c r="O1502" s="15" t="str">
        <f t="shared" si="46"/>
        <v>Xingang Jiedao (Yāntái Shì)</v>
      </c>
      <c r="P1502" s="15" t="str">
        <f t="shared" si="47"/>
        <v>Xingang Jiedao (Yāntái Shì)</v>
      </c>
    </row>
    <row r="1503" spans="1:16" hidden="1" x14ac:dyDescent="0.25">
      <c r="A1503" t="s">
        <v>3439</v>
      </c>
      <c r="B1503" t="str">
        <f>IF(COUNTIF(A:A,A1503)&gt;1,_xlfn.CONCAT(A1503," (",N1503,")"),A1503)</f>
        <v>Xīngchéng Jiēdào</v>
      </c>
      <c r="C1503" t="str">
        <f>IF(COUNTIF(B:B,B1503)&gt;1,_xlfn.CONCAT(A1503," (",M1503,")"),B1503)</f>
        <v>Xīngchéng Jiēdào</v>
      </c>
      <c r="D1503" t="s">
        <v>3440</v>
      </c>
      <c r="E1503" t="s">
        <v>7</v>
      </c>
      <c r="F1503" t="str">
        <f>_xlfn.CONCAT(D1503,", ",H1503,", ",I1503,", ","山东省")</f>
        <v>兴城街道, 薛城区, 枣庄市, 山东省</v>
      </c>
      <c r="G1503">
        <v>27406</v>
      </c>
      <c r="H1503" t="s">
        <v>3788</v>
      </c>
      <c r="I1503" t="s">
        <v>3784</v>
      </c>
      <c r="J1503">
        <f>VLOOKUP(F1503,[1]!china_towns_second__2[[Column1]:[Y]],3,FALSE)</f>
        <v>34.815476165531102</v>
      </c>
      <c r="K1503">
        <f>VLOOKUP(F1503,[1]!china_towns_second__2[[Column1]:[Y]],2,FALSE)</f>
        <v>117.3552285</v>
      </c>
      <c r="L1503" t="s">
        <v>6333</v>
      </c>
      <c r="M1503" t="str">
        <f>VLOOKUP(H1503,CHOOSE({1,2},Table17[Native],Table17[Name]),2,0)</f>
        <v>Xuēchéng Qū</v>
      </c>
      <c r="N1503" s="15" t="str">
        <f>VLOOKUP(I1503,CHOOSE({1,2},Table17[Native],Table17[Name]),2,0)</f>
        <v>Zăozhuāng Shì</v>
      </c>
      <c r="O1503" s="15" t="str">
        <f t="shared" si="46"/>
        <v>Xingcheng Jiedao (Zăozhuāng Shì)</v>
      </c>
      <c r="P1503" s="15" t="str">
        <f t="shared" si="47"/>
        <v>Xingcheng Jiedao (Zăozhuāng Shì)</v>
      </c>
    </row>
    <row r="1504" spans="1:16" hidden="1" x14ac:dyDescent="0.25">
      <c r="A1504" t="s">
        <v>2337</v>
      </c>
      <c r="B1504" t="str">
        <f>IF(COUNTIF(A:A,A1504)&gt;1,_xlfn.CONCAT(A1504," (",N1504,")"),A1504)</f>
        <v>Xīngchénglù Jiēdào</v>
      </c>
      <c r="C1504" t="str">
        <f>IF(COUNTIF(B:B,B1504)&gt;1,_xlfn.CONCAT(A1504," (",M1504,")"),B1504)</f>
        <v>Xīngchénglù Jiēdào</v>
      </c>
      <c r="D1504" t="s">
        <v>2338</v>
      </c>
      <c r="E1504" t="s">
        <v>7</v>
      </c>
      <c r="F1504" t="str">
        <f>_xlfn.CONCAT(D1504,", ",H1504,", ",I1504,", ","山东省")</f>
        <v>兴城路街道, 李沧区, 青岛市, 山东省</v>
      </c>
      <c r="G1504">
        <v>17145</v>
      </c>
      <c r="H1504" t="s">
        <v>3731</v>
      </c>
      <c r="I1504" t="s">
        <v>3724</v>
      </c>
      <c r="J1504">
        <f>VLOOKUP(F1504,[1]!china_towns_second__2[[Column1]:[Y]],3,FALSE)</f>
        <v>36.198720617778598</v>
      </c>
      <c r="K1504">
        <f>VLOOKUP(F1504,[1]!china_towns_second__2[[Column1]:[Y]],2,FALSE)</f>
        <v>120.3705262</v>
      </c>
      <c r="L1504" t="s">
        <v>6334</v>
      </c>
      <c r="M1504" t="str">
        <f>VLOOKUP(H1504,CHOOSE({1,2},Table17[Native],Table17[Name]),2,0)</f>
        <v>Lĭcāng Qū</v>
      </c>
      <c r="N1504" s="15" t="str">
        <f>VLOOKUP(I1504,CHOOSE({1,2},Table17[Native],Table17[Name]),2,0)</f>
        <v>Qīngdăo Shì</v>
      </c>
      <c r="O1504" s="15" t="str">
        <f t="shared" si="46"/>
        <v>Xingchenglu Jiedao (Qīngdăo Shì)</v>
      </c>
      <c r="P1504" s="15" t="str">
        <f t="shared" si="47"/>
        <v>Xingchenglu Jiedao (Qīngdăo Shì)</v>
      </c>
    </row>
    <row r="1505" spans="1:16" x14ac:dyDescent="0.25">
      <c r="A1505" t="s">
        <v>3291</v>
      </c>
      <c r="B1505" t="str">
        <f>IF(COUNTIF(A:A,A1505)&gt;1,_xlfn.CONCAT(A1505," (",N1505,")"),A1505)</f>
        <v>Xíngcūn Zhèn</v>
      </c>
      <c r="C1505" t="str">
        <f>IF(COUNTIF(B:B,B1505)&gt;1,_xlfn.CONCAT(A1505," (",M1505,")"),B1505)</f>
        <v>Xíngcūn Zhèn</v>
      </c>
      <c r="D1505" t="s">
        <v>3292</v>
      </c>
      <c r="E1505" t="s">
        <v>13</v>
      </c>
      <c r="F1505" t="str">
        <f>_xlfn.CONCAT(D1505,", ",H1505,", ",I1505,", ","山东省")</f>
        <v>行村镇, 海阳市, 烟台市, 山东省</v>
      </c>
      <c r="G1505">
        <v>44271</v>
      </c>
      <c r="H1505" t="s">
        <v>3773</v>
      </c>
      <c r="I1505" t="s">
        <v>3771</v>
      </c>
      <c r="J1505">
        <f>VLOOKUP(F1505,[1]!china_towns_second__2[[Column1]:[Y]],3,FALSE)</f>
        <v>36.701814890903599</v>
      </c>
      <c r="K1505">
        <f>VLOOKUP(F1505,[1]!china_towns_second__2[[Column1]:[Y]],2,FALSE)</f>
        <v>120.9138322</v>
      </c>
      <c r="L1505" t="s">
        <v>6335</v>
      </c>
      <c r="M1505" t="str">
        <f>VLOOKUP(H1505,CHOOSE({1,2},Table17[Native],Table17[Name]),2,0)</f>
        <v>Hăiyáng Shì</v>
      </c>
      <c r="N1505" s="15" t="str">
        <f>VLOOKUP(I1505,CHOOSE({1,2},Table17[Native],Table17[Name]),2,0)</f>
        <v>Yāntái Shì</v>
      </c>
      <c r="O1505" s="15" t="str">
        <f t="shared" si="46"/>
        <v>Xingcun Zhen (Yāntái Shì)</v>
      </c>
      <c r="P1505" s="15" t="str">
        <f t="shared" si="47"/>
        <v>Xingcun Zhen (Yāntái Shì)</v>
      </c>
    </row>
    <row r="1506" spans="1:16" x14ac:dyDescent="0.25">
      <c r="A1506" t="s">
        <v>1468</v>
      </c>
      <c r="B1506" t="str">
        <f>IF(COUNTIF(A:A,A1506)&gt;1,_xlfn.CONCAT(A1506," (",N1506,")"),A1506)</f>
        <v>Xīngcūn Zhèn</v>
      </c>
      <c r="C1506" t="str">
        <f>IF(COUNTIF(B:B,B1506)&gt;1,_xlfn.CONCAT(A1506," (",M1506,")"),B1506)</f>
        <v>Xīngcūn Zhèn</v>
      </c>
      <c r="D1506" t="s">
        <v>1469</v>
      </c>
      <c r="E1506" t="s">
        <v>13</v>
      </c>
      <c r="F1506" t="str">
        <f>_xlfn.CONCAT(D1506,", ",H1506,", ",I1506,", ","山东省")</f>
        <v>星村镇, 泗水县, 济宁市, 山东省</v>
      </c>
      <c r="G1506">
        <v>44136</v>
      </c>
      <c r="H1506" t="s">
        <v>3693</v>
      </c>
      <c r="I1506" t="s">
        <v>3687</v>
      </c>
      <c r="J1506">
        <f>VLOOKUP(F1506,[1]!china_towns_second__2[[Column1]:[Y]],3,FALSE)</f>
        <v>35.711749143230698</v>
      </c>
      <c r="K1506">
        <f>VLOOKUP(F1506,[1]!china_towns_second__2[[Column1]:[Y]],2,FALSE)</f>
        <v>117.3970913</v>
      </c>
      <c r="L1506" t="s">
        <v>6335</v>
      </c>
      <c r="M1506" t="str">
        <f>VLOOKUP(H1506,CHOOSE({1,2},Table17[Native],Table17[Name]),2,0)</f>
        <v>Sìshuĭ Xiàn</v>
      </c>
      <c r="N1506" s="15" t="str">
        <f>VLOOKUP(I1506,CHOOSE({1,2},Table17[Native],Table17[Name]),2,0)</f>
        <v>Jìníng Shì</v>
      </c>
      <c r="O1506" s="15" t="str">
        <f t="shared" si="46"/>
        <v>Xingcun Zhen (Jìníng Shì)</v>
      </c>
      <c r="P1506" s="15" t="str">
        <f t="shared" si="47"/>
        <v>Xingcun Zhen (Jìníng Shì)</v>
      </c>
    </row>
    <row r="1507" spans="1:16" hidden="1" x14ac:dyDescent="0.25">
      <c r="A1507" t="s">
        <v>403</v>
      </c>
      <c r="B1507" t="str">
        <f>IF(COUNTIF(A:A,A1507)&gt;1,_xlfn.CONCAT(A1507," (",N1507,")"),A1507)</f>
        <v>Xíngdòng Jiēdào</v>
      </c>
      <c r="C1507" t="str">
        <f>IF(COUNTIF(B:B,B1507)&gt;1,_xlfn.CONCAT(A1507," (",M1507,")"),B1507)</f>
        <v>Xíngdòng Jiēdào</v>
      </c>
      <c r="D1507" t="s">
        <v>404</v>
      </c>
      <c r="E1507" t="s">
        <v>7</v>
      </c>
      <c r="F1507" t="str">
        <f>_xlfn.CONCAT(D1507,", ",H1507,", ",I1507,", ","山东省")</f>
        <v>邢侗街道, 临邑县, 德州市, 山东省</v>
      </c>
      <c r="G1507">
        <v>87500</v>
      </c>
      <c r="H1507" t="s">
        <v>3646</v>
      </c>
      <c r="I1507" t="s">
        <v>3642</v>
      </c>
      <c r="J1507">
        <f>VLOOKUP(F1507,[1]!china_towns_second__2[[Column1]:[Y]],3,FALSE)</f>
        <v>37.173253137915701</v>
      </c>
      <c r="K1507">
        <f>VLOOKUP(F1507,[1]!china_towns_second__2[[Column1]:[Y]],2,FALSE)</f>
        <v>116.8955766</v>
      </c>
      <c r="L1507" t="s">
        <v>6336</v>
      </c>
      <c r="M1507" t="str">
        <f>VLOOKUP(H1507,CHOOSE({1,2},Table17[Native],Table17[Name]),2,0)</f>
        <v>Línyì Xiàn</v>
      </c>
      <c r="N1507" s="15" t="str">
        <f>VLOOKUP(I1507,CHOOSE({1,2},Table17[Native],Table17[Name]),2,0)</f>
        <v>Dézhōu Shì</v>
      </c>
      <c r="O1507" s="15" t="str">
        <f t="shared" si="46"/>
        <v>Xingdong Jiedao (Dézhōu Shì)</v>
      </c>
      <c r="P1507" s="15" t="str">
        <f t="shared" si="47"/>
        <v>Xingdong Jiedao (Dézhōu Shì)</v>
      </c>
    </row>
    <row r="1508" spans="1:16" hidden="1" x14ac:dyDescent="0.25">
      <c r="A1508" t="s">
        <v>3293</v>
      </c>
      <c r="B1508" t="str">
        <f>IF(COUNTIF(A:A,A1508)&gt;1,_xlfn.CONCAT(A1508," (",N1508,")"),A1508)</f>
        <v>Xìngfú Jiēdào</v>
      </c>
      <c r="C1508" t="str">
        <f>IF(COUNTIF(B:B,B1508)&gt;1,_xlfn.CONCAT(A1508," (",M1508,")"),B1508)</f>
        <v>Xìngfú Jiēdào</v>
      </c>
      <c r="D1508" t="s">
        <v>3294</v>
      </c>
      <c r="E1508" t="s">
        <v>7</v>
      </c>
      <c r="F1508" t="str">
        <f>_xlfn.CONCAT(D1508,", ",H1508,", ",I1508,", ","山东省")</f>
        <v>幸福街道, 芝罘区, 烟台市, 山东省</v>
      </c>
      <c r="G1508">
        <v>175093</v>
      </c>
      <c r="H1508" t="s">
        <v>3782</v>
      </c>
      <c r="I1508" t="s">
        <v>3771</v>
      </c>
      <c r="J1508">
        <f>VLOOKUP(F1508,[1]!china_towns_second__2[[Column1]:[Y]],3,FALSE)</f>
        <v>37.572745260669599</v>
      </c>
      <c r="K1508">
        <f>VLOOKUP(F1508,[1]!china_towns_second__2[[Column1]:[Y]],2,FALSE)</f>
        <v>121.3441268</v>
      </c>
      <c r="L1508" t="s">
        <v>6337</v>
      </c>
      <c r="M1508" t="str">
        <f>VLOOKUP(H1508,CHOOSE({1,2},Table17[Native],Table17[Name]),2,0)</f>
        <v>Zhīfú Qū</v>
      </c>
      <c r="N1508" s="15" t="str">
        <f>VLOOKUP(I1508,CHOOSE({1,2},Table17[Native],Table17[Name]),2,0)</f>
        <v>Yāntái Shì</v>
      </c>
      <c r="O1508" s="15" t="str">
        <f t="shared" si="46"/>
        <v>Xingfu Jiedao (Yāntái Shì)</v>
      </c>
      <c r="P1508" s="15" t="str">
        <f t="shared" si="47"/>
        <v>Xingfu Jiedao (Yāntái Shì)</v>
      </c>
    </row>
    <row r="1509" spans="1:16" hidden="1" x14ac:dyDescent="0.25">
      <c r="A1509" t="s">
        <v>1168</v>
      </c>
      <c r="B1509" t="str">
        <f>IF(COUNTIF(A:A,A1509)&gt;1,_xlfn.CONCAT(A1509," (",N1509,")"),A1509)</f>
        <v>Xìngfú Jiēdào [Duàndiàn Zhèn]</v>
      </c>
      <c r="C1509" t="str">
        <f>IF(COUNTIF(B:B,B1509)&gt;1,_xlfn.CONCAT(A1509," (",M1509,")"),B1509)</f>
        <v>Xìngfú Jiēdào [Duàndiàn Zhèn]</v>
      </c>
      <c r="D1509" t="s">
        <v>1169</v>
      </c>
      <c r="E1509" t="s">
        <v>7</v>
      </c>
      <c r="F1509" t="str">
        <f>_xlfn.CONCAT(D1509,", ",H1509,", ",I1509,", ","山东省")</f>
        <v>兴福街道, 槐荫区, 济南市, 山东省</v>
      </c>
      <c r="G1509">
        <v>84135</v>
      </c>
      <c r="H1509" t="s">
        <v>3676</v>
      </c>
      <c r="I1509" t="s">
        <v>3673</v>
      </c>
      <c r="J1509" t="e">
        <f>VLOOKUP(F1509,[1]!china_towns_second__2[[Column1]:[Y]],3,FALSE)</f>
        <v>#N/A</v>
      </c>
      <c r="K1509" t="e">
        <f>VLOOKUP(F1509,[1]!china_towns_second__2[[Column1]:[Y]],2,FALSE)</f>
        <v>#N/A</v>
      </c>
      <c r="L1509" t="s">
        <v>6338</v>
      </c>
      <c r="M1509" t="str">
        <f>VLOOKUP(H1509,CHOOSE({1,2},Table17[Native],Table17[Name]),2,0)</f>
        <v>Huáiyìn Qū</v>
      </c>
      <c r="N1509" s="15" t="str">
        <f>VLOOKUP(I1509,CHOOSE({1,2},Table17[Native],Table17[Name]),2,0)</f>
        <v>Jìnán Shì</v>
      </c>
      <c r="O1509" s="15" t="str">
        <f t="shared" si="46"/>
        <v>Xingfu Jiedao [Duandian Zhen] (Jìnán Shì)</v>
      </c>
      <c r="P1509" s="15" t="str">
        <f t="shared" si="47"/>
        <v>Xingfu Jiedao [Duandian Zhen] (Jìnán Shì)</v>
      </c>
    </row>
    <row r="1510" spans="1:16" hidden="1" x14ac:dyDescent="0.25">
      <c r="A1510" t="s">
        <v>183</v>
      </c>
      <c r="B1510" t="str">
        <f>IF(COUNTIF(A:A,A1510)&gt;1,_xlfn.CONCAT(A1510," (",N1510,")"),A1510)</f>
        <v>Xīngfú Zhèn</v>
      </c>
      <c r="C1510" t="str">
        <f>IF(COUNTIF(B:B,B1510)&gt;1,_xlfn.CONCAT(A1510," (",M1510,")"),B1510)</f>
        <v>Xīngfú Zhèn</v>
      </c>
      <c r="D1510" t="s">
        <v>184</v>
      </c>
      <c r="E1510" t="s">
        <v>13</v>
      </c>
      <c r="F1510" t="str">
        <f>_xlfn.CONCAT(D1510,", ",H1510,", ",I1510,", ","山东省")</f>
        <v>兴福镇, 博兴县, 滨州市, 山东省</v>
      </c>
      <c r="G1510">
        <v>39618</v>
      </c>
      <c r="H1510" t="s">
        <v>3634</v>
      </c>
      <c r="I1510" t="s">
        <v>3630</v>
      </c>
      <c r="J1510">
        <f>VLOOKUP(F1510,[1]!china_towns_second__2[[Column1]:[Y]],3,FALSE)</f>
        <v>37.022620087287898</v>
      </c>
      <c r="K1510">
        <f>VLOOKUP(F1510,[1]!china_towns_second__2[[Column1]:[Y]],2,FALSE)</f>
        <v>118.2437881</v>
      </c>
      <c r="L1510" t="s">
        <v>6339</v>
      </c>
      <c r="M1510" t="str">
        <f>VLOOKUP(H1510,CHOOSE({1,2},Table17[Native],Table17[Name]),2,0)</f>
        <v>Bóxīng Xiàn</v>
      </c>
      <c r="N1510" s="15" t="str">
        <f>VLOOKUP(I1510,CHOOSE({1,2},Table17[Native],Table17[Name]),2,0)</f>
        <v>Bīnzhōu Shì</v>
      </c>
      <c r="O1510" s="15" t="str">
        <f t="shared" si="46"/>
        <v>Xingfu Zhen (Bīnzhōu Shì)</v>
      </c>
      <c r="P1510" s="15" t="str">
        <f t="shared" si="47"/>
        <v>Xingfu Zhen (Bīnzhōu Shì)</v>
      </c>
    </row>
    <row r="1511" spans="1:16" hidden="1" x14ac:dyDescent="0.25">
      <c r="A1511" t="s">
        <v>2339</v>
      </c>
      <c r="B1511" t="str">
        <f>IF(COUNTIF(A:A,A1511)&gt;1,_xlfn.CONCAT(A1511," (",N1511,")"),A1511)</f>
        <v>Xīnghuálù Jiēdào</v>
      </c>
      <c r="C1511" t="str">
        <f>IF(COUNTIF(B:B,B1511)&gt;1,_xlfn.CONCAT(A1511," (",M1511,")"),B1511)</f>
        <v>Xīnghuálù Jiēdào</v>
      </c>
      <c r="D1511" t="s">
        <v>2340</v>
      </c>
      <c r="E1511" t="s">
        <v>7</v>
      </c>
      <c r="F1511" t="str">
        <f>_xlfn.CONCAT(D1511,", ",H1511,", ",I1511,", ","山东省")</f>
        <v>兴华路街道, 李沧区, 青岛市, 山东省</v>
      </c>
      <c r="G1511">
        <v>29402</v>
      </c>
      <c r="H1511" t="s">
        <v>3731</v>
      </c>
      <c r="I1511" t="s">
        <v>3724</v>
      </c>
      <c r="J1511">
        <f>VLOOKUP(F1511,[1]!china_towns_second__2[[Column1]:[Y]],3,FALSE)</f>
        <v>36.186089331124698</v>
      </c>
      <c r="K1511">
        <f>VLOOKUP(F1511,[1]!china_towns_second__2[[Column1]:[Y]],2,FALSE)</f>
        <v>120.38428159999999</v>
      </c>
      <c r="L1511" t="s">
        <v>6340</v>
      </c>
      <c r="M1511" t="str">
        <f>VLOOKUP(H1511,CHOOSE({1,2},Table17[Native],Table17[Name]),2,0)</f>
        <v>Lĭcāng Qū</v>
      </c>
      <c r="N1511" s="15" t="str">
        <f>VLOOKUP(I1511,CHOOSE({1,2},Table17[Native],Table17[Name]),2,0)</f>
        <v>Qīngdăo Shì</v>
      </c>
      <c r="O1511" s="15" t="str">
        <f t="shared" si="46"/>
        <v>Xinghualu Jiedao (Qīngdăo Shì)</v>
      </c>
      <c r="P1511" s="15" t="str">
        <f t="shared" si="47"/>
        <v>Xinghualu Jiedao (Qīngdăo Shì)</v>
      </c>
    </row>
    <row r="1512" spans="1:16" hidden="1" x14ac:dyDescent="0.25">
      <c r="A1512" t="s">
        <v>563</v>
      </c>
      <c r="B1512" t="str">
        <f>IF(COUNTIF(A:A,A1512)&gt;1,_xlfn.CONCAT(A1512," (",N1512,")"),A1512)</f>
        <v>Xīnglóng Jiēdào (Dōngyíng Shì)</v>
      </c>
      <c r="C1512" t="str">
        <f>IF(COUNTIF(B:B,B1512)&gt;1,_xlfn.CONCAT(A1512," (",M1512,")"),B1512)</f>
        <v>Xīnglóng Jiēdào (Dōngyíng Shì)</v>
      </c>
      <c r="D1512" t="s">
        <v>564</v>
      </c>
      <c r="E1512" t="s">
        <v>7</v>
      </c>
      <c r="F1512" t="str">
        <f>_xlfn.CONCAT(D1512,", ",H1512,", ",I1512,", ","山东省")</f>
        <v>兴隆街道, 垦利区, 东营市, 山东省</v>
      </c>
      <c r="G1512">
        <v>13406</v>
      </c>
      <c r="H1512" t="s">
        <v>3659</v>
      </c>
      <c r="I1512" t="s">
        <v>3655</v>
      </c>
      <c r="J1512">
        <f>VLOOKUP(F1512,[1]!china_towns_second__2[[Column1]:[Y]],3,FALSE)</f>
        <v>37.545043077207602</v>
      </c>
      <c r="K1512">
        <f>VLOOKUP(F1512,[1]!china_towns_second__2[[Column1]:[Y]],2,FALSE)</f>
        <v>118.6466267</v>
      </c>
      <c r="L1512" t="s">
        <v>6341</v>
      </c>
      <c r="M1512" t="str">
        <f>VLOOKUP(H1512,CHOOSE({1,2},Table17[Native],Table17[Name]),2,0)</f>
        <v>Kĕnlì Qū</v>
      </c>
      <c r="N1512" s="15" t="str">
        <f>VLOOKUP(I1512,CHOOSE({1,2},Table17[Native],Table17[Name]),2,0)</f>
        <v>Dōngyíng Shì</v>
      </c>
      <c r="O1512" s="15" t="str">
        <f t="shared" si="46"/>
        <v>Xinglong Jiedao (Dongying Shi) (Dōngyíng Shì)</v>
      </c>
      <c r="P1512" s="15" t="str">
        <f t="shared" si="47"/>
        <v>Xinglong Jiedao (Dongying Shi) (Dōngyíng Shì)</v>
      </c>
    </row>
    <row r="1513" spans="1:16" hidden="1" x14ac:dyDescent="0.25">
      <c r="A1513" t="s">
        <v>563</v>
      </c>
      <c r="B1513" t="str">
        <f>IF(COUNTIF(A:A,A1513)&gt;1,_xlfn.CONCAT(A1513," (",N1513,")"),A1513)</f>
        <v>Xīnglóng Jiēdào (Jìnán Shì)</v>
      </c>
      <c r="C1513" t="str">
        <f>IF(COUNTIF(B:B,B1513)&gt;1,_xlfn.CONCAT(A1513," (",M1513,")"),B1513)</f>
        <v>Xīnglóng Jiēdào (Jìnán Shì)</v>
      </c>
      <c r="D1513" t="s">
        <v>564</v>
      </c>
      <c r="E1513" t="s">
        <v>7</v>
      </c>
      <c r="F1513" t="str">
        <f>_xlfn.CONCAT(D1513,", ",H1513,", ",I1513,", ","山东省")</f>
        <v>兴隆街道, 市中区, 济南市, 山东省</v>
      </c>
      <c r="G1513">
        <v>25248</v>
      </c>
      <c r="H1513" t="s">
        <v>3683</v>
      </c>
      <c r="I1513" t="s">
        <v>3673</v>
      </c>
      <c r="J1513">
        <f>VLOOKUP(F1513,[1]!china_towns_second__2[[Column1]:[Y]],3,FALSE)</f>
        <v>36.578551981913201</v>
      </c>
      <c r="K1513">
        <f>VLOOKUP(F1513,[1]!china_towns_second__2[[Column1]:[Y]],2,FALSE)</f>
        <v>117.08636730000001</v>
      </c>
      <c r="L1513" t="s">
        <v>6342</v>
      </c>
      <c r="M1513" t="str">
        <f>VLOOKUP(H1513,CHOOSE({1,2},Table17[Native],Table17[Name]),2,0)</f>
        <v>Shìzhōng Qū</v>
      </c>
      <c r="N1513" s="15" t="str">
        <f>VLOOKUP(I1513,CHOOSE({1,2},Table17[Native],Table17[Name]),2,0)</f>
        <v>Jìnán Shì</v>
      </c>
      <c r="O1513" s="15" t="str">
        <f t="shared" si="46"/>
        <v>Xinglong Jiedao (Jinan Shi) (Jìnán Shì)</v>
      </c>
      <c r="P1513" s="15" t="str">
        <f t="shared" si="47"/>
        <v>Xinglong Jiedao (Jinan Shi) (Jìnán Shì)</v>
      </c>
    </row>
    <row r="1514" spans="1:16" hidden="1" x14ac:dyDescent="0.25">
      <c r="A1514" t="s">
        <v>405</v>
      </c>
      <c r="B1514" t="str">
        <f>IF(COUNTIF(A:A,A1514)&gt;1,_xlfn.CONCAT(A1514," (",N1514,")"),A1514)</f>
        <v>Xīnglóng Zhèn (Dézhōu Shì)</v>
      </c>
      <c r="C1514" t="str">
        <f>IF(COUNTIF(B:B,B1514)&gt;1,_xlfn.CONCAT(A1514," (",M1514,")"),B1514)</f>
        <v>Xīnglóng Zhèn (Dézhōu Shì)</v>
      </c>
      <c r="D1514" t="s">
        <v>406</v>
      </c>
      <c r="E1514" t="s">
        <v>13</v>
      </c>
      <c r="F1514" t="str">
        <f>_xlfn.CONCAT(D1514,", ",H1514,", ",I1514,", ","山东省")</f>
        <v>兴隆镇, 临邑县, 德州市, 山东省</v>
      </c>
      <c r="G1514">
        <v>38234</v>
      </c>
      <c r="H1514" t="s">
        <v>3646</v>
      </c>
      <c r="I1514" t="s">
        <v>3642</v>
      </c>
      <c r="J1514">
        <f>VLOOKUP(F1514,[1]!china_towns_second__2[[Column1]:[Y]],3,FALSE)</f>
        <v>37.069395132835403</v>
      </c>
      <c r="K1514">
        <f>VLOOKUP(F1514,[1]!china_towns_second__2[[Column1]:[Y]],2,FALSE)</f>
        <v>116.7674517</v>
      </c>
      <c r="L1514" t="s">
        <v>6343</v>
      </c>
      <c r="M1514" t="str">
        <f>VLOOKUP(H1514,CHOOSE({1,2},Table17[Native],Table17[Name]),2,0)</f>
        <v>Línyì Xiàn</v>
      </c>
      <c r="N1514" s="15" t="str">
        <f>VLOOKUP(I1514,CHOOSE({1,2},Table17[Native],Table17[Name]),2,0)</f>
        <v>Dézhōu Shì</v>
      </c>
      <c r="O1514" s="15" t="str">
        <f t="shared" si="46"/>
        <v>Xinglong Zhen (Dezhou Shi) (Dézhōu Shì)</v>
      </c>
      <c r="P1514" s="15" t="str">
        <f t="shared" si="47"/>
        <v>Xinglong Zhen (Dezhou Shi) (Dézhōu Shì)</v>
      </c>
    </row>
    <row r="1515" spans="1:16" hidden="1" x14ac:dyDescent="0.25">
      <c r="A1515" t="s">
        <v>405</v>
      </c>
      <c r="B1515" t="str">
        <f>IF(COUNTIF(A:A,A1515)&gt;1,_xlfn.CONCAT(A1515," (",N1515,")"),A1515)</f>
        <v>Xīnglóng Zhèn (Jìníng Shì)</v>
      </c>
      <c r="C1515" t="str">
        <f>IF(COUNTIF(B:B,B1515)&gt;1,_xlfn.CONCAT(A1515," (",M1515,")"),B1515)</f>
        <v>Xīnglóng Zhèn (Jìníng Shì)</v>
      </c>
      <c r="D1515" t="s">
        <v>406</v>
      </c>
      <c r="E1515" t="s">
        <v>13</v>
      </c>
      <c r="F1515" t="str">
        <f>_xlfn.CONCAT(D1515,", ",H1515,", ",I1515,", ","山东省")</f>
        <v>兴隆镇, 金乡县, 济宁市, 山东省</v>
      </c>
      <c r="G1515">
        <v>36600</v>
      </c>
      <c r="H1515" t="s">
        <v>3689</v>
      </c>
      <c r="I1515" t="s">
        <v>3687</v>
      </c>
      <c r="J1515">
        <f>VLOOKUP(F1515,[1]!china_towns_second__2[[Column1]:[Y]],3,FALSE)</f>
        <v>34.950530494531698</v>
      </c>
      <c r="K1515">
        <f>VLOOKUP(F1515,[1]!china_towns_second__2[[Column1]:[Y]],2,FALSE)</f>
        <v>116.27523360000001</v>
      </c>
      <c r="L1515" t="s">
        <v>6344</v>
      </c>
      <c r="M1515" t="str">
        <f>VLOOKUP(H1515,CHOOSE({1,2},Table17[Native],Table17[Name]),2,0)</f>
        <v>Jīnxiāng Xiàn</v>
      </c>
      <c r="N1515" s="15" t="str">
        <f>VLOOKUP(I1515,CHOOSE({1,2},Table17[Native],Table17[Name]),2,0)</f>
        <v>Jìníng Shì</v>
      </c>
      <c r="O1515" s="15" t="str">
        <f t="shared" si="46"/>
        <v>Xinglong Zhen (Jining Shi) (Jìníng Shì)</v>
      </c>
      <c r="P1515" s="15" t="str">
        <f t="shared" si="47"/>
        <v>Xinglong Zhen (Jining Shi) (Jìníng Shì)</v>
      </c>
    </row>
    <row r="1516" spans="1:16" hidden="1" x14ac:dyDescent="0.25">
      <c r="A1516" t="s">
        <v>2341</v>
      </c>
      <c r="B1516" t="str">
        <f>IF(COUNTIF(A:A,A1516)&gt;1,_xlfn.CONCAT(A1516," (",N1516,")"),A1516)</f>
        <v>Xīnglónglù Jiēdào</v>
      </c>
      <c r="C1516" t="str">
        <f>IF(COUNTIF(B:B,B1516)&gt;1,_xlfn.CONCAT(A1516," (",M1516,")"),B1516)</f>
        <v>Xīnglónglù Jiēdào</v>
      </c>
      <c r="D1516" t="s">
        <v>2342</v>
      </c>
      <c r="E1516" t="s">
        <v>7</v>
      </c>
      <c r="F1516" t="str">
        <f>_xlfn.CONCAT(D1516,", ",H1516,", ",I1516,", ","山东省")</f>
        <v>兴隆路街道, 市北区, 青岛市, 山东省</v>
      </c>
      <c r="G1516">
        <v>59600</v>
      </c>
      <c r="H1516" t="s">
        <v>3733</v>
      </c>
      <c r="I1516" t="s">
        <v>3724</v>
      </c>
      <c r="J1516">
        <f>VLOOKUP(F1516,[1]!china_towns_second__2[[Column1]:[Y]],3,FALSE)</f>
        <v>36.122286437842398</v>
      </c>
      <c r="K1516">
        <f>VLOOKUP(F1516,[1]!china_towns_second__2[[Column1]:[Y]],2,FALSE)</f>
        <v>120.3387896</v>
      </c>
      <c r="L1516" t="s">
        <v>6345</v>
      </c>
      <c r="M1516" t="str">
        <f>VLOOKUP(H1516,CHOOSE({1,2},Table17[Native],Table17[Name]),2,0)</f>
        <v>Shìbĕi Qū</v>
      </c>
      <c r="N1516" s="15" t="str">
        <f>VLOOKUP(I1516,CHOOSE({1,2},Table17[Native],Table17[Name]),2,0)</f>
        <v>Qīngdăo Shì</v>
      </c>
      <c r="O1516" s="15" t="str">
        <f t="shared" si="46"/>
        <v>Xinglonglu Jiedao (Qīngdăo Shì)</v>
      </c>
      <c r="P1516" s="15" t="str">
        <f t="shared" si="47"/>
        <v>Xinglonglu Jiedao (Qīngdăo Shì)</v>
      </c>
    </row>
    <row r="1517" spans="1:16" hidden="1" x14ac:dyDescent="0.25">
      <c r="A1517" t="s">
        <v>1470</v>
      </c>
      <c r="B1517" t="str">
        <f>IF(COUNTIF(A:A,A1517)&gt;1,_xlfn.CONCAT(A1517," (",N1517,")"),A1517)</f>
        <v>Xīnglóngzhuāng Jiēdào</v>
      </c>
      <c r="C1517" t="str">
        <f>IF(COUNTIF(B:B,B1517)&gt;1,_xlfn.CONCAT(A1517," (",M1517,")"),B1517)</f>
        <v>Xīnglóngzhuāng Jiēdào</v>
      </c>
      <c r="D1517" t="s">
        <v>1471</v>
      </c>
      <c r="E1517" t="s">
        <v>7</v>
      </c>
      <c r="F1517" t="str">
        <f>_xlfn.CONCAT(D1517,", ",H1517,", ",I1517,", ","山东省")</f>
        <v>兴隆庄街道, 兖州区, 济宁市, 山东省</v>
      </c>
      <c r="G1517">
        <v>58045</v>
      </c>
      <c r="H1517" t="s">
        <v>3696</v>
      </c>
      <c r="I1517" t="s">
        <v>3687</v>
      </c>
      <c r="J1517" t="e">
        <f>VLOOKUP(F1517,[1]!china_towns_second__2[[Column1]:[Y]],3,FALSE)</f>
        <v>#N/A</v>
      </c>
      <c r="K1517" t="e">
        <f>VLOOKUP(F1517,[1]!china_towns_second__2[[Column1]:[Y]],2,FALSE)</f>
        <v>#N/A</v>
      </c>
      <c r="L1517" t="s">
        <v>6346</v>
      </c>
      <c r="M1517" t="str">
        <f>VLOOKUP(H1517,CHOOSE({1,2},Table17[Native],Table17[Name]),2,0)</f>
        <v>Yănzhōu Qū</v>
      </c>
      <c r="N1517" s="15" t="str">
        <f>VLOOKUP(I1517,CHOOSE({1,2},Table17[Native],Table17[Name]),2,0)</f>
        <v>Jìníng Shì</v>
      </c>
      <c r="O1517" s="15" t="str">
        <f t="shared" si="46"/>
        <v>Xinglongzhuang Jiedao (Jìníng Shì)</v>
      </c>
      <c r="P1517" s="15" t="str">
        <f t="shared" si="47"/>
        <v>Xinglongzhuang Jiedao (Jìníng Shì)</v>
      </c>
    </row>
    <row r="1518" spans="1:16" hidden="1" x14ac:dyDescent="0.25">
      <c r="A1518" t="s">
        <v>3441</v>
      </c>
      <c r="B1518" t="str">
        <f>IF(COUNTIF(A:A,A1518)&gt;1,_xlfn.CONCAT(A1518," (",N1518,")"),A1518)</f>
        <v>Xīngrén Jiēdào</v>
      </c>
      <c r="C1518" t="str">
        <f>IF(COUNTIF(B:B,B1518)&gt;1,_xlfn.CONCAT(A1518," (",M1518,")"),B1518)</f>
        <v>Xīngrén Jiēdào</v>
      </c>
      <c r="D1518" t="s">
        <v>3442</v>
      </c>
      <c r="E1518" t="s">
        <v>7</v>
      </c>
      <c r="F1518" t="str">
        <f>_xlfn.CONCAT(D1518,", ",H1518,", ",I1518,", ","山东省")</f>
        <v>兴仁街道, 薛城区, 枣庄市, 山东省</v>
      </c>
      <c r="G1518">
        <v>62410</v>
      </c>
      <c r="H1518" t="s">
        <v>3788</v>
      </c>
      <c r="I1518" t="s">
        <v>3784</v>
      </c>
      <c r="J1518">
        <f>VLOOKUP(F1518,[1]!china_towns_second__2[[Column1]:[Y]],3,FALSE)</f>
        <v>34.8137884282838</v>
      </c>
      <c r="K1518">
        <f>VLOOKUP(F1518,[1]!china_towns_second__2[[Column1]:[Y]],2,FALSE)</f>
        <v>117.2988548</v>
      </c>
      <c r="L1518" t="s">
        <v>6347</v>
      </c>
      <c r="M1518" t="str">
        <f>VLOOKUP(H1518,CHOOSE({1,2},Table17[Native],Table17[Name]),2,0)</f>
        <v>Xuēchéng Qū</v>
      </c>
      <c r="N1518" s="15" t="str">
        <f>VLOOKUP(I1518,CHOOSE({1,2},Table17[Native],Table17[Name]),2,0)</f>
        <v>Zăozhuāng Shì</v>
      </c>
      <c r="O1518" s="15" t="str">
        <f t="shared" si="46"/>
        <v>Xingren Jiedao (Zăozhuāng Shì)</v>
      </c>
      <c r="P1518" s="15" t="str">
        <f t="shared" si="47"/>
        <v>Xingren Jiedao (Zăozhuāng Shì)</v>
      </c>
    </row>
    <row r="1519" spans="1:16" hidden="1" x14ac:dyDescent="0.25">
      <c r="A1519" t="s">
        <v>3603</v>
      </c>
      <c r="B1519" t="str">
        <f>IF(COUNTIF(A:A,A1519)&gt;1,_xlfn.CONCAT(A1519," (",N1519,")"),A1519)</f>
        <v>Xìngyuán Jiēdào</v>
      </c>
      <c r="C1519" t="str">
        <f>IF(COUNTIF(B:B,B1519)&gt;1,_xlfn.CONCAT(A1519," (",M1519,")"),B1519)</f>
        <v>Xìngyuán Jiēdào</v>
      </c>
      <c r="D1519" t="s">
        <v>3604</v>
      </c>
      <c r="E1519" t="s">
        <v>7</v>
      </c>
      <c r="F1519" t="str">
        <f>_xlfn.CONCAT(D1519,", ",H1519,", ",I1519,", ","山东省")</f>
        <v>杏园街道, 张店区, 淄博市, 山东省</v>
      </c>
      <c r="G1519">
        <v>35206</v>
      </c>
      <c r="H1519" t="s">
        <v>3797</v>
      </c>
      <c r="I1519" t="s">
        <v>3791</v>
      </c>
      <c r="J1519">
        <f>VLOOKUP(F1519,[1]!china_towns_second__2[[Column1]:[Y]],3,FALSE)</f>
        <v>36.788568171536802</v>
      </c>
      <c r="K1519">
        <f>VLOOKUP(F1519,[1]!china_towns_second__2[[Column1]:[Y]],2,FALSE)</f>
        <v>118.11913970000001</v>
      </c>
      <c r="L1519" t="s">
        <v>6348</v>
      </c>
      <c r="M1519" t="str">
        <f>VLOOKUP(H1519,CHOOSE({1,2},Table17[Native],Table17[Name]),2,0)</f>
        <v>Zhāngdiàn Qū</v>
      </c>
      <c r="N1519" s="15" t="str">
        <f>VLOOKUP(I1519,CHOOSE({1,2},Table17[Native],Table17[Name]),2,0)</f>
        <v>Zībó Shì</v>
      </c>
      <c r="O1519" s="15" t="str">
        <f t="shared" si="46"/>
        <v>Xingyuan Jiedao (Zībó Shì)</v>
      </c>
      <c r="P1519" s="15" t="str">
        <f t="shared" si="47"/>
        <v>Xingyuan Jiedao (Zībó Shì)</v>
      </c>
    </row>
    <row r="1520" spans="1:16" hidden="1" x14ac:dyDescent="0.25">
      <c r="A1520" t="s">
        <v>2343</v>
      </c>
      <c r="B1520" t="str">
        <f>IF(COUNTIF(A:A,A1520)&gt;1,_xlfn.CONCAT(A1520," (",N1520,")"),A1520)</f>
        <v>Xīnhé Zhèn [incl. Huībù Zhèn]</v>
      </c>
      <c r="C1520" t="str">
        <f>IF(COUNTIF(B:B,B1520)&gt;1,_xlfn.CONCAT(A1520," (",M1520,")"),B1520)</f>
        <v>Xīnhé Zhèn [incl. Huībù Zhèn]</v>
      </c>
      <c r="D1520" t="s">
        <v>2344</v>
      </c>
      <c r="E1520" t="s">
        <v>13</v>
      </c>
      <c r="F1520" t="str">
        <f>_xlfn.CONCAT(D1520,", ",H1520,", ",I1520,", ","山东省")</f>
        <v>新河镇, 平度市, 青岛市, 山东省</v>
      </c>
      <c r="G1520">
        <v>69884</v>
      </c>
      <c r="H1520" t="s">
        <v>3732</v>
      </c>
      <c r="I1520" t="s">
        <v>3724</v>
      </c>
      <c r="J1520">
        <f>VLOOKUP(F1520,[1]!china_towns_second__2[[Column1]:[Y]],3,FALSE)</f>
        <v>36.951759609034497</v>
      </c>
      <c r="K1520">
        <f>VLOOKUP(F1520,[1]!china_towns_second__2[[Column1]:[Y]],2,FALSE)</f>
        <v>119.6779348</v>
      </c>
      <c r="L1520" t="s">
        <v>6349</v>
      </c>
      <c r="M1520" t="str">
        <f>VLOOKUP(H1520,CHOOSE({1,2},Table17[Native],Table17[Name]),2,0)</f>
        <v>Píngdù Shì</v>
      </c>
      <c r="N1520" s="15" t="str">
        <f>VLOOKUP(I1520,CHOOSE({1,2},Table17[Native],Table17[Name]),2,0)</f>
        <v>Qīngdăo Shì</v>
      </c>
      <c r="O1520" s="15" t="str">
        <f t="shared" si="46"/>
        <v>Xinhe Zhen [incl. Huibu Zhen] (Qīngdăo Shì)</v>
      </c>
      <c r="P1520" s="15" t="str">
        <f t="shared" si="47"/>
        <v>Xinhe Zhen [incl. Huibu Zhen] (Qīngdăo Shì)</v>
      </c>
    </row>
    <row r="1521" spans="1:16" hidden="1" x14ac:dyDescent="0.25">
      <c r="A1521" t="s">
        <v>409</v>
      </c>
      <c r="B1521" t="str">
        <f>IF(COUNTIF(A:A,A1521)&gt;1,_xlfn.CONCAT(A1521," (",N1521,")"),A1521)</f>
        <v>Xīnhú Jiēdào</v>
      </c>
      <c r="C1521" t="str">
        <f>IF(COUNTIF(B:B,B1521)&gt;1,_xlfn.CONCAT(A1521," (",M1521,")"),B1521)</f>
        <v>Xīnhú Jiēdào</v>
      </c>
      <c r="D1521" t="s">
        <v>410</v>
      </c>
      <c r="E1521" t="s">
        <v>7</v>
      </c>
      <c r="F1521" t="str">
        <f>_xlfn.CONCAT(D1521,", ",H1521,", ",I1521,", ","山东省")</f>
        <v>新湖街道, 德城区, 德州市, 山东省</v>
      </c>
      <c r="G1521">
        <v>111659</v>
      </c>
      <c r="H1521" t="s">
        <v>3643</v>
      </c>
      <c r="I1521" t="s">
        <v>3642</v>
      </c>
      <c r="J1521">
        <f>VLOOKUP(F1521,[1]!china_towns_second__2[[Column1]:[Y]],3,FALSE)</f>
        <v>37.456275689242197</v>
      </c>
      <c r="K1521">
        <f>VLOOKUP(F1521,[1]!china_towns_second__2[[Column1]:[Y]],2,FALSE)</f>
        <v>116.2917463</v>
      </c>
      <c r="L1521" t="s">
        <v>6350</v>
      </c>
      <c r="M1521" t="str">
        <f>VLOOKUP(H1521,CHOOSE({1,2},Table17[Native],Table17[Name]),2,0)</f>
        <v>Déchéng Qū</v>
      </c>
      <c r="N1521" s="15" t="str">
        <f>VLOOKUP(I1521,CHOOSE({1,2},Table17[Native],Table17[Name]),2,0)</f>
        <v>Dézhōu Shì</v>
      </c>
      <c r="O1521" s="15" t="str">
        <f t="shared" si="46"/>
        <v>Xinhu Jiedao (Dézhōu Shì)</v>
      </c>
      <c r="P1521" s="15" t="str">
        <f t="shared" si="47"/>
        <v>Xinhu Jiedao (Dézhōu Shì)</v>
      </c>
    </row>
    <row r="1522" spans="1:16" x14ac:dyDescent="0.25">
      <c r="A1522" t="s">
        <v>2643</v>
      </c>
      <c r="B1522" t="str">
        <f>IF(COUNTIF(A:A,A1522)&gt;1,_xlfn.CONCAT(A1522," (",N1522,")"),A1522)</f>
        <v>Xīnhú Zhèn</v>
      </c>
      <c r="C1522" t="str">
        <f>IF(COUNTIF(B:B,B1522)&gt;1,_xlfn.CONCAT(A1522," (",M1522,")"),B1522)</f>
        <v>Xīnhú Zhèn</v>
      </c>
      <c r="D1522" t="s">
        <v>2644</v>
      </c>
      <c r="E1522" t="s">
        <v>13</v>
      </c>
      <c r="F1522" t="str">
        <f>_xlfn.CONCAT(D1522,", ",H1522,", ",I1522,", ","山东省")</f>
        <v>新湖镇, 东平县, 泰安市, 山东省</v>
      </c>
      <c r="G1522">
        <v>47137</v>
      </c>
      <c r="H1522" t="s">
        <v>3745</v>
      </c>
      <c r="I1522" t="s">
        <v>3743</v>
      </c>
      <c r="J1522">
        <f>VLOOKUP(F1522,[1]!china_towns_second__2[[Column1]:[Y]],3,FALSE)</f>
        <v>35.854858463292601</v>
      </c>
      <c r="K1522">
        <f>VLOOKUP(F1522,[1]!china_towns_second__2[[Column1]:[Y]],2,FALSE)</f>
        <v>116.27994959999999</v>
      </c>
      <c r="L1522" t="s">
        <v>6351</v>
      </c>
      <c r="M1522" t="str">
        <f>VLOOKUP(H1522,CHOOSE({1,2},Table17[Native],Table17[Name]),2,0)</f>
        <v>Dōngpíng Xiàn</v>
      </c>
      <c r="N1522" s="15" t="str">
        <f>VLOOKUP(I1522,CHOOSE({1,2},Table17[Native],Table17[Name]),2,0)</f>
        <v>Tài'ān Shì</v>
      </c>
      <c r="O1522" s="15" t="str">
        <f t="shared" si="46"/>
        <v>Xinhu Zhen (Tài'ān Shì)</v>
      </c>
      <c r="P1522" s="15" t="str">
        <f t="shared" si="47"/>
        <v>Xinhu Zhen (Tài'ān Shì)</v>
      </c>
    </row>
    <row r="1523" spans="1:16" x14ac:dyDescent="0.25">
      <c r="A1523" t="s">
        <v>565</v>
      </c>
      <c r="B1523" t="str">
        <f>IF(COUNTIF(A:A,A1523)&gt;1,_xlfn.CONCAT(A1523," (",N1523,")"),A1523)</f>
        <v>Xīnhù Zhèn</v>
      </c>
      <c r="C1523" t="str">
        <f>IF(COUNTIF(B:B,B1523)&gt;1,_xlfn.CONCAT(A1523," (",M1523,")"),B1523)</f>
        <v>Xīnhù Zhèn</v>
      </c>
      <c r="D1523" t="s">
        <v>566</v>
      </c>
      <c r="E1523" t="s">
        <v>13</v>
      </c>
      <c r="F1523" t="str">
        <f>_xlfn.CONCAT(D1523,", ",H1523,", ",I1523,", ","山东省")</f>
        <v>新户镇, 河口区, 东营市, 山东省</v>
      </c>
      <c r="G1523">
        <v>21086</v>
      </c>
      <c r="H1523" t="s">
        <v>3658</v>
      </c>
      <c r="I1523" t="s">
        <v>3655</v>
      </c>
      <c r="J1523">
        <f>VLOOKUP(F1523,[1]!china_towns_second__2[[Column1]:[Y]],3,FALSE)</f>
        <v>38.020090794351901</v>
      </c>
      <c r="K1523">
        <f>VLOOKUP(F1523,[1]!china_towns_second__2[[Column1]:[Y]],2,FALSE)</f>
        <v>118.34790510000001</v>
      </c>
      <c r="L1523" t="s">
        <v>6351</v>
      </c>
      <c r="M1523" t="str">
        <f>VLOOKUP(H1523,CHOOSE({1,2},Table17[Native],Table17[Name]),2,0)</f>
        <v>Hékŏu Qū</v>
      </c>
      <c r="N1523" s="15" t="str">
        <f>VLOOKUP(I1523,CHOOSE({1,2},Table17[Native],Table17[Name]),2,0)</f>
        <v>Dōngyíng Shì</v>
      </c>
      <c r="O1523" s="15" t="str">
        <f t="shared" si="46"/>
        <v>Xinhu Zhen (Dōngyíng Shì)</v>
      </c>
      <c r="P1523" s="15" t="str">
        <f t="shared" si="47"/>
        <v>Xinhu Zhen (Dōngyíng Shì)</v>
      </c>
    </row>
    <row r="1524" spans="1:16" hidden="1" x14ac:dyDescent="0.25">
      <c r="A1524" t="s">
        <v>407</v>
      </c>
      <c r="B1524" t="str">
        <f>IF(COUNTIF(A:A,A1524)&gt;1,_xlfn.CONCAT(A1524," (",N1524,")"),A1524)</f>
        <v>Xīnhuá Jiēdào</v>
      </c>
      <c r="C1524" t="str">
        <f>IF(COUNTIF(B:B,B1524)&gt;1,_xlfn.CONCAT(A1524," (",M1524,")"),B1524)</f>
        <v>Xīnhuá Jiēdào</v>
      </c>
      <c r="D1524" t="s">
        <v>408</v>
      </c>
      <c r="E1524" t="s">
        <v>7</v>
      </c>
      <c r="F1524" t="str">
        <f>_xlfn.CONCAT(D1524,", ",H1524,", ",I1524,", ","山东省")</f>
        <v>新华街道, 德城区, 德州市, 山东省</v>
      </c>
      <c r="G1524">
        <v>89861</v>
      </c>
      <c r="H1524" t="s">
        <v>3643</v>
      </c>
      <c r="I1524" t="s">
        <v>3642</v>
      </c>
      <c r="J1524">
        <f>VLOOKUP(F1524,[1]!china_towns_second__2[[Column1]:[Y]],3,FALSE)</f>
        <v>37.405310975444898</v>
      </c>
      <c r="K1524">
        <f>VLOOKUP(F1524,[1]!china_towns_second__2[[Column1]:[Y]],2,FALSE)</f>
        <v>116.3120436</v>
      </c>
      <c r="L1524" t="s">
        <v>6352</v>
      </c>
      <c r="M1524" t="str">
        <f>VLOOKUP(H1524,CHOOSE({1,2},Table17[Native],Table17[Name]),2,0)</f>
        <v>Déchéng Qū</v>
      </c>
      <c r="N1524" s="15" t="str">
        <f>VLOOKUP(I1524,CHOOSE({1,2},Table17[Native],Table17[Name]),2,0)</f>
        <v>Dézhōu Shì</v>
      </c>
      <c r="O1524" s="15" t="str">
        <f t="shared" si="46"/>
        <v>Xinhua Jiedao (Dézhōu Shì)</v>
      </c>
      <c r="P1524" s="15" t="str">
        <f t="shared" si="47"/>
        <v>Xinhua Jiedao (Dézhōu Shì)</v>
      </c>
    </row>
    <row r="1525" spans="1:16" hidden="1" x14ac:dyDescent="0.25">
      <c r="A1525" t="s">
        <v>1732</v>
      </c>
      <c r="B1525" t="str">
        <f>IF(COUNTIF(A:A,A1525)&gt;1,_xlfn.CONCAT(A1525," (",N1525,")"),A1525)</f>
        <v>Xīnhuálù Jiēdào</v>
      </c>
      <c r="C1525" t="str">
        <f>IF(COUNTIF(B:B,B1525)&gt;1,_xlfn.CONCAT(A1525," (",M1525,")"),B1525)</f>
        <v>Xīnhuálù Jiēdào</v>
      </c>
      <c r="D1525" t="s">
        <v>1733</v>
      </c>
      <c r="E1525" t="s">
        <v>7</v>
      </c>
      <c r="F1525" t="str">
        <f>_xlfn.CONCAT(D1525,", ",H1525,", ",I1525,", ","山东省")</f>
        <v>新华路街道, 临清市, 聊城市, 山东省</v>
      </c>
      <c r="G1525">
        <v>107211</v>
      </c>
      <c r="H1525" t="s">
        <v>3706</v>
      </c>
      <c r="I1525" t="s">
        <v>3700</v>
      </c>
      <c r="J1525">
        <f>VLOOKUP(F1525,[1]!china_towns_second__2[[Column1]:[Y]],3,FALSE)</f>
        <v>36.829767906892499</v>
      </c>
      <c r="K1525">
        <f>VLOOKUP(F1525,[1]!china_towns_second__2[[Column1]:[Y]],2,FALSE)</f>
        <v>115.7599731</v>
      </c>
      <c r="L1525" t="s">
        <v>6353</v>
      </c>
      <c r="M1525" t="str">
        <f>VLOOKUP(H1525,CHOOSE({1,2},Table17[Native],Table17[Name]),2,0)</f>
        <v>Línqīng Shì</v>
      </c>
      <c r="N1525" s="15" t="str">
        <f>VLOOKUP(I1525,CHOOSE({1,2},Table17[Native],Table17[Name]),2,0)</f>
        <v>Liáochéng Shì</v>
      </c>
      <c r="O1525" s="15" t="str">
        <f t="shared" si="46"/>
        <v>Xinhualu Jiedao (Liáochéng Shì)</v>
      </c>
      <c r="P1525" s="15" t="str">
        <f t="shared" si="47"/>
        <v>Xinhualu Jiedao (Liáochéng Shì)</v>
      </c>
    </row>
    <row r="1526" spans="1:16" hidden="1" x14ac:dyDescent="0.25">
      <c r="A1526" t="s">
        <v>1734</v>
      </c>
      <c r="B1526" t="str">
        <f>IF(COUNTIF(A:A,A1526)&gt;1,_xlfn.CONCAT(A1526," (",N1526,")"),A1526)</f>
        <v>Xīnjí Zhèn (Liáochéng Shì)</v>
      </c>
      <c r="C1526" t="str">
        <f>IF(COUNTIF(B:B,B1526)&gt;1,_xlfn.CONCAT(A1526," (",M1526,")"),B1526)</f>
        <v>Xīnjí Zhèn (Liáochéng Shì)</v>
      </c>
      <c r="D1526" t="s">
        <v>1735</v>
      </c>
      <c r="E1526" t="s">
        <v>13</v>
      </c>
      <c r="F1526" t="str">
        <f>_xlfn.CONCAT(D1526,", ",H1526,", ",I1526,", ","山东省")</f>
        <v>辛集镇, 冠县, 聊城市, 山东省</v>
      </c>
      <c r="G1526">
        <v>42774</v>
      </c>
      <c r="H1526" t="s">
        <v>3705</v>
      </c>
      <c r="I1526" t="s">
        <v>3700</v>
      </c>
      <c r="J1526">
        <f>VLOOKUP(F1526,[1]!china_towns_second__2[[Column1]:[Y]],3,FALSE)</f>
        <v>36.544851107536402</v>
      </c>
      <c r="K1526">
        <f>VLOOKUP(F1526,[1]!china_towns_second__2[[Column1]:[Y]],2,FALSE)</f>
        <v>115.69169599999999</v>
      </c>
      <c r="L1526" t="s">
        <v>6354</v>
      </c>
      <c r="M1526" t="str">
        <f>VLOOKUP(H1526,CHOOSE({1,2},Table17[Native],Table17[Name]),2,0)</f>
        <v>Guān Xiàn</v>
      </c>
      <c r="N1526" s="15" t="str">
        <f>VLOOKUP(I1526,CHOOSE({1,2},Table17[Native],Table17[Name]),2,0)</f>
        <v>Liáochéng Shì</v>
      </c>
      <c r="O1526" s="15" t="str">
        <f t="shared" si="46"/>
        <v>Xinji Zhen (Liaocheng Shi) (Liáochéng Shì)</v>
      </c>
      <c r="P1526" s="15" t="str">
        <f t="shared" si="47"/>
        <v>Xinji Zhen (Liaocheng Shi) (Liáochéng Shì)</v>
      </c>
    </row>
    <row r="1527" spans="1:16" hidden="1" x14ac:dyDescent="0.25">
      <c r="A1527" t="s">
        <v>1734</v>
      </c>
      <c r="B1527" t="str">
        <f>IF(COUNTIF(A:A,A1527)&gt;1,_xlfn.CONCAT(A1527," (",N1527,")"),A1527)</f>
        <v>Xīnjí Zhèn (Línyí Shì)</v>
      </c>
      <c r="C1527" t="str">
        <f>IF(COUNTIF(B:B,B1527)&gt;1,_xlfn.CONCAT(A1527," (",M1527,")"),B1527)</f>
        <v>Xīnjí Zhèn (Línyí Shì)</v>
      </c>
      <c r="D1527" t="s">
        <v>1735</v>
      </c>
      <c r="E1527" t="s">
        <v>13</v>
      </c>
      <c r="F1527" t="str">
        <f>_xlfn.CONCAT(D1527,", ",H1527,", ",I1527,", ","山东省")</f>
        <v>辛集镇, 沂南县, 临沂市, 山东省</v>
      </c>
      <c r="G1527">
        <v>50737</v>
      </c>
      <c r="H1527" t="s">
        <v>3721</v>
      </c>
      <c r="I1527" t="s">
        <v>3710</v>
      </c>
      <c r="J1527">
        <f>VLOOKUP(F1527,[1]!china_towns_second__2[[Column1]:[Y]],3,FALSE)</f>
        <v>35.514765805208199</v>
      </c>
      <c r="K1527">
        <f>VLOOKUP(F1527,[1]!china_towns_second__2[[Column1]:[Y]],2,FALSE)</f>
        <v>118.58085149999999</v>
      </c>
      <c r="L1527" t="s">
        <v>6355</v>
      </c>
      <c r="M1527" t="str">
        <f>VLOOKUP(H1527,CHOOSE({1,2},Table17[Native],Table17[Name]),2,0)</f>
        <v>Yínán Xiàn</v>
      </c>
      <c r="N1527" s="15" t="str">
        <f>VLOOKUP(I1527,CHOOSE({1,2},Table17[Native],Table17[Name]),2,0)</f>
        <v>Línyí Shì</v>
      </c>
      <c r="O1527" s="15" t="str">
        <f t="shared" si="46"/>
        <v>Xinji Zhen (Linyi Shi) (Línyí Shì)</v>
      </c>
      <c r="P1527" s="15" t="str">
        <f t="shared" si="47"/>
        <v>Xinji Zhen (Linyi Shi) (Línyí Shì)</v>
      </c>
    </row>
    <row r="1528" spans="1:16" hidden="1" x14ac:dyDescent="0.25">
      <c r="A1528" t="s">
        <v>3295</v>
      </c>
      <c r="B1528" t="str">
        <f>IF(COUNTIF(A:A,A1528)&gt;1,_xlfn.CONCAT(A1528," (",N1528,")"),A1528)</f>
        <v>Xīnjiā Jiēdào</v>
      </c>
      <c r="C1528" t="str">
        <f>IF(COUNTIF(B:B,B1528)&gt;1,_xlfn.CONCAT(A1528," (",M1528,")"),B1528)</f>
        <v>Xīnjiā Jiēdào</v>
      </c>
      <c r="D1528" t="s">
        <v>3296</v>
      </c>
      <c r="E1528" t="s">
        <v>7</v>
      </c>
      <c r="F1528" t="str">
        <f>_xlfn.CONCAT(D1528,", ",H1528,", ",I1528,", ","山东省")</f>
        <v>新嘉街道, 龙口市, 烟台市, 山东省</v>
      </c>
      <c r="G1528">
        <v>23481</v>
      </c>
      <c r="H1528" t="s">
        <v>3777</v>
      </c>
      <c r="I1528" t="s">
        <v>3771</v>
      </c>
      <c r="J1528">
        <f>VLOOKUP(F1528,[1]!china_towns_second__2[[Column1]:[Y]],3,FALSE)</f>
        <v>37.658319177927901</v>
      </c>
      <c r="K1528">
        <f>VLOOKUP(F1528,[1]!china_towns_second__2[[Column1]:[Y]],2,FALSE)</f>
        <v>120.4296209</v>
      </c>
      <c r="L1528" t="s">
        <v>6356</v>
      </c>
      <c r="M1528" t="str">
        <f>VLOOKUP(H1528,CHOOSE({1,2},Table17[Native],Table17[Name]),2,0)</f>
        <v>Lóngkŏu Shì</v>
      </c>
      <c r="N1528" s="15" t="str">
        <f>VLOOKUP(I1528,CHOOSE({1,2},Table17[Native],Table17[Name]),2,0)</f>
        <v>Yāntái Shì</v>
      </c>
      <c r="O1528" s="15" t="str">
        <f t="shared" si="46"/>
        <v>Xinjia Jiedao (Yāntái Shì)</v>
      </c>
      <c r="P1528" s="15" t="str">
        <f t="shared" si="47"/>
        <v>Xinjia Jiedao (Yāntái Shì)</v>
      </c>
    </row>
    <row r="1529" spans="1:16" hidden="1" x14ac:dyDescent="0.25">
      <c r="A1529" t="s">
        <v>1736</v>
      </c>
      <c r="B1529" t="str">
        <f>IF(COUNTIF(A:A,A1529)&gt;1,_xlfn.CONCAT(A1529," (",N1529,")"),A1529)</f>
        <v>Xīnqū Jiēdào</v>
      </c>
      <c r="C1529" t="str">
        <f>IF(COUNTIF(B:B,B1529)&gt;1,_xlfn.CONCAT(A1529," (",M1529,")"),B1529)</f>
        <v>Xīnqū Jiēdào</v>
      </c>
      <c r="D1529" t="s">
        <v>1737</v>
      </c>
      <c r="E1529" t="s">
        <v>7</v>
      </c>
      <c r="F1529" t="str">
        <f>_xlfn.CONCAT(D1529,", ",H1529,", ",I1529,", ","山东省")</f>
        <v>新区街道, 东昌府区, 聊城市, 山东省</v>
      </c>
      <c r="G1529">
        <v>145408</v>
      </c>
      <c r="H1529" t="s">
        <v>3702</v>
      </c>
      <c r="I1529" t="s">
        <v>3700</v>
      </c>
      <c r="J1529">
        <f>VLOOKUP(F1529,[1]!china_towns_second__2[[Column1]:[Y]],3,FALSE)</f>
        <v>36.478028261967999</v>
      </c>
      <c r="K1529">
        <f>VLOOKUP(F1529,[1]!china_towns_second__2[[Column1]:[Y]],2,FALSE)</f>
        <v>115.9905468</v>
      </c>
      <c r="L1529" t="s">
        <v>6357</v>
      </c>
      <c r="M1529" t="str">
        <f>VLOOKUP(H1529,CHOOSE({1,2},Table17[Native],Table17[Name]),2,0)</f>
        <v>Dōngchāngfŭ Qū</v>
      </c>
      <c r="N1529" s="15" t="str">
        <f>VLOOKUP(I1529,CHOOSE({1,2},Table17[Native],Table17[Name]),2,0)</f>
        <v>Liáochéng Shì</v>
      </c>
      <c r="O1529" s="15" t="str">
        <f t="shared" si="46"/>
        <v>Xinqu Jiedao (Liáochéng Shì)</v>
      </c>
      <c r="P1529" s="15" t="str">
        <f t="shared" si="47"/>
        <v>Xinqu Jiedao (Liáochéng Shì)</v>
      </c>
    </row>
    <row r="1530" spans="1:16" hidden="1" x14ac:dyDescent="0.25">
      <c r="A1530" t="s">
        <v>411</v>
      </c>
      <c r="B1530" t="str">
        <f>IF(COUNTIF(A:A,A1530)&gt;1,_xlfn.CONCAT(A1530," (",N1530,")"),A1530)</f>
        <v>Xīnshèngdiàn Zhèn</v>
      </c>
      <c r="C1530" t="str">
        <f>IF(COUNTIF(B:B,B1530)&gt;1,_xlfn.CONCAT(A1530," (",M1530,")"),B1530)</f>
        <v>Xīnshèngdiàn Zhèn</v>
      </c>
      <c r="D1530" t="s">
        <v>412</v>
      </c>
      <c r="E1530" t="s">
        <v>13</v>
      </c>
      <c r="F1530" t="str">
        <f>_xlfn.CONCAT(D1530,", ",H1530,", ",I1530,", ","山东省")</f>
        <v>新盛店镇, 夏津县, 德州市, 山东省</v>
      </c>
      <c r="G1530">
        <v>50556</v>
      </c>
      <c r="H1530" t="s">
        <v>3652</v>
      </c>
      <c r="I1530" t="s">
        <v>3642</v>
      </c>
      <c r="J1530">
        <f>VLOOKUP(F1530,[1]!china_towns_second__2[[Column1]:[Y]],3,FALSE)</f>
        <v>37.086597653789703</v>
      </c>
      <c r="K1530">
        <f>VLOOKUP(F1530,[1]!china_towns_second__2[[Column1]:[Y]],2,FALSE)</f>
        <v>116.02909219999999</v>
      </c>
      <c r="L1530" t="s">
        <v>6358</v>
      </c>
      <c r="M1530" t="str">
        <f>VLOOKUP(H1530,CHOOSE({1,2},Table17[Native],Table17[Name]),2,0)</f>
        <v>Xiàjīn Xiàn</v>
      </c>
      <c r="N1530" s="15" t="str">
        <f>VLOOKUP(I1530,CHOOSE({1,2},Table17[Native],Table17[Name]),2,0)</f>
        <v>Dézhōu Shì</v>
      </c>
      <c r="O1530" s="15" t="str">
        <f t="shared" si="46"/>
        <v>Xinshengdian Zhen (Dézhōu Shì)</v>
      </c>
      <c r="P1530" s="15" t="str">
        <f t="shared" si="47"/>
        <v>Xinshengdian Zhen (Dézhōu Shì)</v>
      </c>
    </row>
    <row r="1531" spans="1:16" hidden="1" x14ac:dyDescent="0.25">
      <c r="A1531" t="s">
        <v>1170</v>
      </c>
      <c r="B1531" t="str">
        <f>IF(COUNTIF(A:A,A1531)&gt;1,_xlfn.CONCAT(A1531," (",N1531,")"),A1531)</f>
        <v>Xīnshì Zhèn</v>
      </c>
      <c r="C1531" t="str">
        <f>IF(COUNTIF(B:B,B1531)&gt;1,_xlfn.CONCAT(A1531," (",M1531,")"),B1531)</f>
        <v>Xīnshì Zhèn</v>
      </c>
      <c r="D1531" t="s">
        <v>1171</v>
      </c>
      <c r="E1531" t="s">
        <v>13</v>
      </c>
      <c r="F1531" t="str">
        <f>_xlfn.CONCAT(D1531,", ",H1531,", ",I1531,", ","山东省")</f>
        <v>新市镇, 济阳区, 济南市, 山东省</v>
      </c>
      <c r="G1531">
        <v>35729</v>
      </c>
      <c r="H1531" t="s">
        <v>3677</v>
      </c>
      <c r="I1531" t="s">
        <v>3673</v>
      </c>
      <c r="J1531">
        <f>VLOOKUP(F1531,[1]!china_towns_second__2[[Column1]:[Y]],3,FALSE)</f>
        <v>37.0738563732139</v>
      </c>
      <c r="K1531">
        <f>VLOOKUP(F1531,[1]!china_towns_second__2[[Column1]:[Y]],2,FALSE)</f>
        <v>116.9841711</v>
      </c>
      <c r="L1531" t="s">
        <v>6359</v>
      </c>
      <c r="M1531" t="str">
        <f>VLOOKUP(H1531,CHOOSE({1,2},Table17[Native],Table17[Name]),2,0)</f>
        <v>Jìyáng Qū</v>
      </c>
      <c r="N1531" s="15" t="str">
        <f>VLOOKUP(I1531,CHOOSE({1,2},Table17[Native],Table17[Name]),2,0)</f>
        <v>Jìnán Shì</v>
      </c>
      <c r="O1531" s="15" t="str">
        <f t="shared" si="46"/>
        <v>Xinshi Zhen (Jìnán Shì)</v>
      </c>
      <c r="P1531" s="15" t="str">
        <f t="shared" si="47"/>
        <v>Xinshi Zhen (Jìnán Shì)</v>
      </c>
    </row>
    <row r="1532" spans="1:16" hidden="1" x14ac:dyDescent="0.25">
      <c r="A1532" t="s">
        <v>1738</v>
      </c>
      <c r="B1532" t="str">
        <f>IF(COUNTIF(A:A,A1532)&gt;1,_xlfn.CONCAT(A1532," (",N1532,")"),A1532)</f>
        <v>Xīntíng Jiēdào</v>
      </c>
      <c r="C1532" t="str">
        <f>IF(COUNTIF(B:B,B1532)&gt;1,_xlfn.CONCAT(A1532," (",M1532,")"),B1532)</f>
        <v>Xīntíng Jiēdào</v>
      </c>
      <c r="D1532" t="s">
        <v>1739</v>
      </c>
      <c r="E1532" t="s">
        <v>7</v>
      </c>
      <c r="F1532" t="str">
        <f>_xlfn.CONCAT(D1532,", ",H1532,", ",I1532,", ","山东省")</f>
        <v>莘亭街道, 莘县, 聊城市, 山东省</v>
      </c>
      <c r="G1532">
        <v>35709</v>
      </c>
      <c r="H1532" t="s">
        <v>3707</v>
      </c>
      <c r="I1532" t="s">
        <v>3700</v>
      </c>
      <c r="J1532">
        <f>VLOOKUP(F1532,[1]!china_towns_second__2[[Column1]:[Y]],3,FALSE)</f>
        <v>36.2853124549585</v>
      </c>
      <c r="K1532">
        <f>VLOOKUP(F1532,[1]!china_towns_second__2[[Column1]:[Y]],2,FALSE)</f>
        <v>115.6752637</v>
      </c>
      <c r="L1532" t="s">
        <v>6360</v>
      </c>
      <c r="M1532" t="str">
        <f>VLOOKUP(H1532,CHOOSE({1,2},Table17[Native],Table17[Name]),2,0)</f>
        <v>Shēn Xiàn</v>
      </c>
      <c r="N1532" s="15" t="str">
        <f>VLOOKUP(I1532,CHOOSE({1,2},Table17[Native],Table17[Name]),2,0)</f>
        <v>Liáochéng Shì</v>
      </c>
      <c r="O1532" s="15" t="str">
        <f t="shared" si="46"/>
        <v>Xinting Jiedao (Liáochéng Shì)</v>
      </c>
      <c r="P1532" s="15" t="str">
        <f t="shared" si="47"/>
        <v>Xinting Jiedao (Liáochéng Shì)</v>
      </c>
    </row>
    <row r="1533" spans="1:16" hidden="1" x14ac:dyDescent="0.25">
      <c r="A1533" t="s">
        <v>2645</v>
      </c>
      <c r="B1533" t="str">
        <f>IF(COUNTIF(A:A,A1533)&gt;1,_xlfn.CONCAT(A1533," (",N1533,")"),A1533)</f>
        <v>Xīnwèn Jiēdào</v>
      </c>
      <c r="C1533" t="str">
        <f>IF(COUNTIF(B:B,B1533)&gt;1,_xlfn.CONCAT(A1533," (",M1533,")"),B1533)</f>
        <v>Xīnwèn Jiēdào</v>
      </c>
      <c r="D1533" t="s">
        <v>2646</v>
      </c>
      <c r="E1533" t="s">
        <v>7</v>
      </c>
      <c r="F1533" t="str">
        <f>_xlfn.CONCAT(D1533,", ",H1533,", ",I1533,", ","山东省")</f>
        <v>新汶街道, 新泰市, 泰安市, 山东省</v>
      </c>
      <c r="G1533">
        <v>104583</v>
      </c>
      <c r="H1533" t="s">
        <v>3749</v>
      </c>
      <c r="I1533" t="s">
        <v>3743</v>
      </c>
      <c r="J1533">
        <f>VLOOKUP(F1533,[1]!china_towns_second__2[[Column1]:[Y]],3,FALSE)</f>
        <v>35.865092666075498</v>
      </c>
      <c r="K1533">
        <f>VLOOKUP(F1533,[1]!china_towns_second__2[[Column1]:[Y]],2,FALSE)</f>
        <v>117.6680211</v>
      </c>
      <c r="L1533" t="s">
        <v>6361</v>
      </c>
      <c r="M1533" t="str">
        <f>VLOOKUP(H1533,CHOOSE({1,2},Table17[Native],Table17[Name]),2,0)</f>
        <v>Xīntài Shì</v>
      </c>
      <c r="N1533" s="15" t="str">
        <f>VLOOKUP(I1533,CHOOSE({1,2},Table17[Native],Table17[Name]),2,0)</f>
        <v>Tài'ān Shì</v>
      </c>
      <c r="O1533" s="15" t="str">
        <f t="shared" si="46"/>
        <v>Xinwen Jiedao (Tài'ān Shì)</v>
      </c>
      <c r="P1533" s="15" t="str">
        <f t="shared" si="47"/>
        <v>Xinwen Jiedao (Tài'ān Shì)</v>
      </c>
    </row>
    <row r="1534" spans="1:16" hidden="1" x14ac:dyDescent="0.25">
      <c r="A1534" t="s">
        <v>2046</v>
      </c>
      <c r="B1534" t="str">
        <f>IF(COUNTIF(A:A,A1534)&gt;1,_xlfn.CONCAT(A1534," (",N1534,")"),A1534)</f>
        <v>Xīnxīng Zhèn (Línyí Shì)</v>
      </c>
      <c r="C1534" t="str">
        <f>IF(COUNTIF(B:B,B1534)&gt;1,_xlfn.CONCAT(A1534," (",M1534,")"),B1534)</f>
        <v>Xīnxīng Zhèn (Línyí Shì)</v>
      </c>
      <c r="D1534" t="s">
        <v>2047</v>
      </c>
      <c r="E1534" t="s">
        <v>13</v>
      </c>
      <c r="F1534" t="str">
        <f>_xlfn.CONCAT(D1534,", ",H1534,", ",I1534,", ","山东省")</f>
        <v>新兴镇, 兰陵县, 临沂市, 山东省</v>
      </c>
      <c r="G1534">
        <v>39748</v>
      </c>
      <c r="H1534" t="s">
        <v>3714</v>
      </c>
      <c r="I1534" t="s">
        <v>3710</v>
      </c>
      <c r="J1534">
        <f>VLOOKUP(F1534,[1]!china_towns_second__2[[Column1]:[Y]],3,FALSE)</f>
        <v>34.8060426483556</v>
      </c>
      <c r="K1534">
        <f>VLOOKUP(F1534,[1]!china_towns_second__2[[Column1]:[Y]],2,FALSE)</f>
        <v>117.83593949999999</v>
      </c>
      <c r="L1534" t="s">
        <v>6362</v>
      </c>
      <c r="M1534" t="str">
        <f>VLOOKUP(H1534,CHOOSE({1,2},Table17[Native],Table17[Name]),2,0)</f>
        <v>Lánlíng Xiàn</v>
      </c>
      <c r="N1534" s="15" t="str">
        <f>VLOOKUP(I1534,CHOOSE({1,2},Table17[Native],Table17[Name]),2,0)</f>
        <v>Línyí Shì</v>
      </c>
      <c r="O1534" s="15" t="str">
        <f t="shared" si="46"/>
        <v>Xinxing Zhen (Linyi Shi) (Línyí Shì)</v>
      </c>
      <c r="P1534" s="15" t="str">
        <f t="shared" si="47"/>
        <v>Xinxing Zhen (Linyi Shi) (Línyí Shì)</v>
      </c>
    </row>
    <row r="1535" spans="1:16" hidden="1" x14ac:dyDescent="0.25">
      <c r="A1535" t="s">
        <v>2046</v>
      </c>
      <c r="B1535" t="str">
        <f>IF(COUNTIF(A:A,A1535)&gt;1,_xlfn.CONCAT(A1535," (",N1535,")"),A1535)</f>
        <v>Xīnxīng Zhèn (Wéifāng Shì)</v>
      </c>
      <c r="C1535" t="str">
        <f>IF(COUNTIF(B:B,B1535)&gt;1,_xlfn.CONCAT(A1535," (",M1535,")"),B1535)</f>
        <v>Xīnxīng Zhèn (Wéifāng Shì)</v>
      </c>
      <c r="D1535" t="s">
        <v>2868</v>
      </c>
      <c r="E1535" t="s">
        <v>13</v>
      </c>
      <c r="F1535" t="str">
        <f>_xlfn.CONCAT(D1535,", ",H1535,", ",I1535,", ","山东省")</f>
        <v>辛兴镇, 诸城市, 潍坊市, 山东省</v>
      </c>
      <c r="G1535">
        <v>38200</v>
      </c>
      <c r="H1535" t="s">
        <v>3763</v>
      </c>
      <c r="I1535" t="s">
        <v>3751</v>
      </c>
      <c r="J1535">
        <f>VLOOKUP(F1535,[1]!china_towns_second__2[[Column1]:[Y]],3,FALSE)</f>
        <v>36.048094073334703</v>
      </c>
      <c r="K1535">
        <f>VLOOKUP(F1535,[1]!china_towns_second__2[[Column1]:[Y]],2,FALSE)</f>
        <v>119.5626779</v>
      </c>
      <c r="L1535" t="s">
        <v>6363</v>
      </c>
      <c r="M1535" t="str">
        <f>VLOOKUP(H1535,CHOOSE({1,2},Table17[Native],Table17[Name]),2,0)</f>
        <v>Zhūchéng Shì</v>
      </c>
      <c r="N1535" s="15" t="str">
        <f>VLOOKUP(I1535,CHOOSE({1,2},Table17[Native],Table17[Name]),2,0)</f>
        <v>Wéifāng Shì</v>
      </c>
      <c r="O1535" s="15" t="str">
        <f t="shared" si="46"/>
        <v>Xinxing Zhen (Weifang Shi) (Wéifāng Shì)</v>
      </c>
      <c r="P1535" s="15" t="str">
        <f t="shared" si="47"/>
        <v>Xinxing Zhen (Weifang Shi) (Wéifāng Shì)</v>
      </c>
    </row>
    <row r="1536" spans="1:16" hidden="1" x14ac:dyDescent="0.25">
      <c r="A1536" t="s">
        <v>1472</v>
      </c>
      <c r="B1536" t="str">
        <f>IF(COUNTIF(A:A,A1536)&gt;1,_xlfn.CONCAT(A1536," (",N1536,")"),A1536)</f>
        <v>Xīnyăn Zhèn</v>
      </c>
      <c r="C1536" t="str">
        <f>IF(COUNTIF(B:B,B1536)&gt;1,_xlfn.CONCAT(A1536," (",M1536,")"),B1536)</f>
        <v>Xīnyăn Zhèn</v>
      </c>
      <c r="D1536" t="s">
        <v>1473</v>
      </c>
      <c r="E1536" t="s">
        <v>13</v>
      </c>
      <c r="F1536" t="str">
        <f>_xlfn.CONCAT(D1536,", ",H1536,", ",I1536,", ","山东省")</f>
        <v>新兖镇, 兖州区, 济宁市, 山东省</v>
      </c>
      <c r="G1536">
        <v>51505</v>
      </c>
      <c r="H1536" t="s">
        <v>3696</v>
      </c>
      <c r="I1536" t="s">
        <v>3687</v>
      </c>
      <c r="J1536">
        <f>VLOOKUP(F1536,[1]!china_towns_second__2[[Column1]:[Y]],3,FALSE)</f>
        <v>35.550278314735799</v>
      </c>
      <c r="K1536">
        <f>VLOOKUP(F1536,[1]!china_towns_second__2[[Column1]:[Y]],2,FALSE)</f>
        <v>116.760527</v>
      </c>
      <c r="L1536" t="s">
        <v>6364</v>
      </c>
      <c r="M1536" t="str">
        <f>VLOOKUP(H1536,CHOOSE({1,2},Table17[Native],Table17[Name]),2,0)</f>
        <v>Yănzhōu Qū</v>
      </c>
      <c r="N1536" s="15" t="str">
        <f>VLOOKUP(I1536,CHOOSE({1,2},Table17[Native],Table17[Name]),2,0)</f>
        <v>Jìníng Shì</v>
      </c>
      <c r="O1536" s="15" t="str">
        <f t="shared" si="46"/>
        <v>Xinyan Zhen (Jìníng Shì)</v>
      </c>
      <c r="P1536" s="15" t="str">
        <f t="shared" si="47"/>
        <v>Xinyan Zhen (Jìníng Shì)</v>
      </c>
    </row>
    <row r="1537" spans="1:16" hidden="1" x14ac:dyDescent="0.25">
      <c r="A1537" t="s">
        <v>185</v>
      </c>
      <c r="B1537" t="str">
        <f>IF(COUNTIF(A:A,A1537)&gt;1,_xlfn.CONCAT(A1537," (",N1537,")"),A1537)</f>
        <v>Xìnyáng Zhèn</v>
      </c>
      <c r="C1537" t="str">
        <f>IF(COUNTIF(B:B,B1537)&gt;1,_xlfn.CONCAT(A1537," (",M1537,")"),B1537)</f>
        <v>Xìnyáng Zhèn</v>
      </c>
      <c r="D1537" t="s">
        <v>186</v>
      </c>
      <c r="E1537" t="s">
        <v>13</v>
      </c>
      <c r="F1537" t="str">
        <f>_xlfn.CONCAT(D1537,", ",H1537,", ",I1537,", ","山东省")</f>
        <v>信阳镇, 无棣县, 滨州市, 山东省</v>
      </c>
      <c r="G1537">
        <v>30071</v>
      </c>
      <c r="H1537" t="s">
        <v>3636</v>
      </c>
      <c r="I1537" t="s">
        <v>3630</v>
      </c>
      <c r="J1537">
        <f>VLOOKUP(F1537,[1]!china_towns_second__2[[Column1]:[Y]],3,FALSE)</f>
        <v>37.810109135795301</v>
      </c>
      <c r="K1537">
        <f>VLOOKUP(F1537,[1]!china_towns_second__2[[Column1]:[Y]],2,FALSE)</f>
        <v>117.6170178</v>
      </c>
      <c r="L1537" t="s">
        <v>6365</v>
      </c>
      <c r="M1537" t="str">
        <f>VLOOKUP(H1537,CHOOSE({1,2},Table17[Native],Table17[Name]),2,0)</f>
        <v>Wúdì Xiàn</v>
      </c>
      <c r="N1537" s="15" t="str">
        <f>VLOOKUP(I1537,CHOOSE({1,2},Table17[Native],Table17[Name]),2,0)</f>
        <v>Bīnzhōu Shì</v>
      </c>
      <c r="O1537" s="15" t="str">
        <f t="shared" si="46"/>
        <v>Xinyang Zhen (Bīnzhōu Shì)</v>
      </c>
      <c r="P1537" s="15" t="str">
        <f t="shared" si="47"/>
        <v>Xinyang Zhen (Bīnzhōu Shì)</v>
      </c>
    </row>
    <row r="1538" spans="1:16" hidden="1" x14ac:dyDescent="0.25">
      <c r="A1538" t="s">
        <v>1474</v>
      </c>
      <c r="B1538" t="str">
        <f>IF(COUNTIF(A:A,A1538)&gt;1,_xlfn.CONCAT(A1538," (",N1538,")"),A1538)</f>
        <v>Xīnyì Zhèn</v>
      </c>
      <c r="C1538" t="str">
        <f>IF(COUNTIF(B:B,B1538)&gt;1,_xlfn.CONCAT(A1538," (",M1538,")"),B1538)</f>
        <v>Xīnyì Zhèn</v>
      </c>
      <c r="D1538" t="s">
        <v>1475</v>
      </c>
      <c r="E1538" t="s">
        <v>13</v>
      </c>
      <c r="F1538" t="str">
        <f>_xlfn.CONCAT(D1538,", ",H1538,", ",I1538,", ","山东省")</f>
        <v>新驿镇, 兖州区, 济宁市, 山东省</v>
      </c>
      <c r="G1538">
        <v>46765</v>
      </c>
      <c r="H1538" t="s">
        <v>3696</v>
      </c>
      <c r="I1538" t="s">
        <v>3687</v>
      </c>
      <c r="J1538">
        <f>VLOOKUP(F1538,[1]!china_towns_second__2[[Column1]:[Y]],3,FALSE)</f>
        <v>35.637615842699503</v>
      </c>
      <c r="K1538">
        <f>VLOOKUP(F1538,[1]!china_towns_second__2[[Column1]:[Y]],2,FALSE)</f>
        <v>116.6623787</v>
      </c>
      <c r="L1538" t="s">
        <v>6366</v>
      </c>
      <c r="M1538" t="str">
        <f>VLOOKUP(H1538,CHOOSE({1,2},Table17[Native],Table17[Name]),2,0)</f>
        <v>Yănzhōu Qū</v>
      </c>
      <c r="N1538" s="15" t="str">
        <f>VLOOKUP(I1538,CHOOSE({1,2},Table17[Native],Table17[Name]),2,0)</f>
        <v>Jìníng Shì</v>
      </c>
      <c r="O1538" s="15" t="str">
        <f t="shared" ref="O1538:O1601" si="48">_xlfn.CONCAT(L1538," (",N1538,")")</f>
        <v>Xinyi Zhen (Jìníng Shì)</v>
      </c>
      <c r="P1538" s="15" t="str">
        <f t="shared" ref="P1538:P1601" si="49">IF(COUNTIF(O:O,O1538)&gt;1,_xlfn.CONCAT(L1538," (",M1538,")"),O1538)</f>
        <v>Xinyi Zhen (Jìníng Shì)</v>
      </c>
    </row>
    <row r="1539" spans="1:16" hidden="1" x14ac:dyDescent="0.25">
      <c r="A1539" t="s">
        <v>2869</v>
      </c>
      <c r="B1539" t="str">
        <f>IF(COUNTIF(A:A,A1539)&gt;1,_xlfn.CONCAT(A1539," (",N1539,")"),A1539)</f>
        <v>Xīnzhài Jiēdào</v>
      </c>
      <c r="C1539" t="str">
        <f>IF(COUNTIF(B:B,B1539)&gt;1,_xlfn.CONCAT(A1539," (",M1539,")"),B1539)</f>
        <v>Xīnzhài Jiēdào</v>
      </c>
      <c r="D1539" t="s">
        <v>2870</v>
      </c>
      <c r="E1539" t="s">
        <v>7</v>
      </c>
      <c r="F1539" t="str">
        <f>_xlfn.CONCAT(D1539,", ",H1539,", ",I1539,", ","山东省")</f>
        <v>辛寨街道, 临朐县, 潍坊市, 山东省</v>
      </c>
      <c r="G1539">
        <v>100168</v>
      </c>
      <c r="H1539" t="s">
        <v>3759</v>
      </c>
      <c r="I1539" t="s">
        <v>3751</v>
      </c>
      <c r="J1539" t="e">
        <f>VLOOKUP(F1539,[1]!china_towns_second__2[[Column1]:[Y]],3,FALSE)</f>
        <v>#N/A</v>
      </c>
      <c r="K1539" t="e">
        <f>VLOOKUP(F1539,[1]!china_towns_second__2[[Column1]:[Y]],2,FALSE)</f>
        <v>#N/A</v>
      </c>
      <c r="L1539" t="s">
        <v>6367</v>
      </c>
      <c r="M1539" t="str">
        <f>VLOOKUP(H1539,CHOOSE({1,2},Table17[Native],Table17[Name]),2,0)</f>
        <v>Línqú Xiàn</v>
      </c>
      <c r="N1539" s="15" t="str">
        <f>VLOOKUP(I1539,CHOOSE({1,2},Table17[Native],Table17[Name]),2,0)</f>
        <v>Wéifāng Shì</v>
      </c>
      <c r="O1539" s="15" t="str">
        <f t="shared" si="48"/>
        <v>Xinzhai Jiedao (Wéifāng Shì)</v>
      </c>
      <c r="P1539" s="15" t="str">
        <f t="shared" si="49"/>
        <v>Xinzhai Jiedao (Wéifāng Shì)</v>
      </c>
    </row>
    <row r="1540" spans="1:16" hidden="1" x14ac:dyDescent="0.25">
      <c r="A1540" t="s">
        <v>413</v>
      </c>
      <c r="B1540" t="str">
        <f>IF(COUNTIF(A:A,A1540)&gt;1,_xlfn.CONCAT(A1540," (",N1540,")"),A1540)</f>
        <v>Xīnzhài Zhèn (Dézhōu Shì)</v>
      </c>
      <c r="C1540" t="str">
        <f>IF(COUNTIF(B:B,B1540)&gt;1,_xlfn.CONCAT(A1540," (",M1540,")"),B1540)</f>
        <v>Xīnzhài Zhèn (Dézhōu Shì)</v>
      </c>
      <c r="D1540" t="s">
        <v>414</v>
      </c>
      <c r="E1540" t="s">
        <v>13</v>
      </c>
      <c r="F1540" t="str">
        <f>_xlfn.CONCAT(D1540,", ",H1540,", ",I1540,", ","山东省")</f>
        <v>辛寨镇, 禹城市, 德州市, 山东省</v>
      </c>
      <c r="G1540">
        <v>39736</v>
      </c>
      <c r="H1540" t="s">
        <v>3653</v>
      </c>
      <c r="I1540" t="s">
        <v>3642</v>
      </c>
      <c r="J1540">
        <f>VLOOKUP(F1540,[1]!china_towns_second__2[[Column1]:[Y]],3,FALSE)</f>
        <v>36.830157648281201</v>
      </c>
      <c r="K1540">
        <f>VLOOKUP(F1540,[1]!china_towns_second__2[[Column1]:[Y]],2,FALSE)</f>
        <v>116.4409617</v>
      </c>
      <c r="L1540" t="s">
        <v>6368</v>
      </c>
      <c r="M1540" t="str">
        <f>VLOOKUP(H1540,CHOOSE({1,2},Table17[Native],Table17[Name]),2,0)</f>
        <v>Yŭchéng Shì</v>
      </c>
      <c r="N1540" s="15" t="str">
        <f>VLOOKUP(I1540,CHOOSE({1,2},Table17[Native],Table17[Name]),2,0)</f>
        <v>Dézhōu Shì</v>
      </c>
      <c r="O1540" s="15" t="str">
        <f t="shared" si="48"/>
        <v>Xinzhai Zhen (Dezhou Shi) (Dézhōu Shì)</v>
      </c>
      <c r="P1540" s="15" t="str">
        <f t="shared" si="49"/>
        <v>Xinzhai Zhen (Dezhou Shi) (Dézhōu Shì)</v>
      </c>
    </row>
    <row r="1541" spans="1:16" hidden="1" x14ac:dyDescent="0.25">
      <c r="A1541" t="s">
        <v>413</v>
      </c>
      <c r="B1541" t="str">
        <f>IF(COUNTIF(A:A,A1541)&gt;1,_xlfn.CONCAT(A1541," (",N1541,")"),A1541)</f>
        <v>Xīnzhài Zhèn (Jìnán Shì)</v>
      </c>
      <c r="C1541" t="str">
        <f>IF(COUNTIF(B:B,B1541)&gt;1,_xlfn.CONCAT(A1541," (",M1541,")"),B1541)</f>
        <v>Xīnzhài Zhèn (Jìnán Shì)</v>
      </c>
      <c r="D1541" t="s">
        <v>414</v>
      </c>
      <c r="E1541" t="s">
        <v>13</v>
      </c>
      <c r="F1541" t="str">
        <f>_xlfn.CONCAT(D1541,", ",H1541,", ",I1541,", ","山东省")</f>
        <v>辛寨镇, 章丘区, 济南市, 山东省</v>
      </c>
      <c r="G1541">
        <v>32814</v>
      </c>
      <c r="H1541" t="s">
        <v>3685</v>
      </c>
      <c r="I1541" t="s">
        <v>3673</v>
      </c>
      <c r="J1541">
        <f>VLOOKUP(F1541,[1]!china_towns_second__2[[Column1]:[Y]],3,FALSE)</f>
        <v>36.940375287190101</v>
      </c>
      <c r="K1541">
        <f>VLOOKUP(F1541,[1]!china_towns_second__2[[Column1]:[Y]],2,FALSE)</f>
        <v>117.4984678</v>
      </c>
      <c r="L1541" t="s">
        <v>6369</v>
      </c>
      <c r="M1541" t="str">
        <f>VLOOKUP(H1541,CHOOSE({1,2},Table17[Native],Table17[Name]),2,0)</f>
        <v>Zhāngqiū Qū</v>
      </c>
      <c r="N1541" s="15" t="str">
        <f>VLOOKUP(I1541,CHOOSE({1,2},Table17[Native],Table17[Name]),2,0)</f>
        <v>Jìnán Shì</v>
      </c>
      <c r="O1541" s="15" t="str">
        <f t="shared" si="48"/>
        <v>Xinzhai Zhen (Jinan Shi) (Jìnán Shì)</v>
      </c>
      <c r="P1541" s="15" t="str">
        <f t="shared" si="49"/>
        <v>Xinzhai Zhen (Jinan Shi) (Jìnán Shì)</v>
      </c>
    </row>
    <row r="1542" spans="1:16" hidden="1" x14ac:dyDescent="0.25">
      <c r="A1542" t="s">
        <v>1740</v>
      </c>
      <c r="B1542" t="str">
        <f>IF(COUNTIF(A:A,A1542)&gt;1,_xlfn.CONCAT(A1542," (",N1542,")"),A1542)</f>
        <v>Xīnzhōu Jiēdào</v>
      </c>
      <c r="C1542" t="str">
        <f>IF(COUNTIF(B:B,B1542)&gt;1,_xlfn.CONCAT(A1542," (",M1542,")"),B1542)</f>
        <v>Xīnzhōu Jiēdào</v>
      </c>
      <c r="D1542" t="s">
        <v>1741</v>
      </c>
      <c r="E1542" t="s">
        <v>7</v>
      </c>
      <c r="F1542" t="str">
        <f>_xlfn.CONCAT(D1542,", ",H1542,", ",I1542,", ","山东省")</f>
        <v>莘州街道, 莘县, 聊城市, 山东省</v>
      </c>
      <c r="G1542">
        <v>28015</v>
      </c>
      <c r="H1542" t="s">
        <v>3707</v>
      </c>
      <c r="I1542" t="s">
        <v>3700</v>
      </c>
      <c r="J1542">
        <f>VLOOKUP(F1542,[1]!china_towns_second__2[[Column1]:[Y]],3,FALSE)</f>
        <v>36.2005542102292</v>
      </c>
      <c r="K1542">
        <f>VLOOKUP(F1542,[1]!china_towns_second__2[[Column1]:[Y]],2,FALSE)</f>
        <v>115.6662145</v>
      </c>
      <c r="L1542" t="s">
        <v>6370</v>
      </c>
      <c r="M1542" t="str">
        <f>VLOOKUP(H1542,CHOOSE({1,2},Table17[Native],Table17[Name]),2,0)</f>
        <v>Shēn Xiàn</v>
      </c>
      <c r="N1542" s="15" t="str">
        <f>VLOOKUP(I1542,CHOOSE({1,2},Table17[Native],Table17[Name]),2,0)</f>
        <v>Liáochéng Shì</v>
      </c>
      <c r="O1542" s="15" t="str">
        <f t="shared" si="48"/>
        <v>Xinzhou Jiedao (Liáochéng Shì)</v>
      </c>
      <c r="P1542" s="15" t="str">
        <f t="shared" si="49"/>
        <v>Xinzhou Jiedao (Liáochéng Shì)</v>
      </c>
    </row>
    <row r="1543" spans="1:16" hidden="1" x14ac:dyDescent="0.25">
      <c r="A1543" t="s">
        <v>1172</v>
      </c>
      <c r="B1543" t="str">
        <f>IF(COUNTIF(A:A,A1543)&gt;1,_xlfn.CONCAT(A1543," (",N1543,")"),A1543)</f>
        <v>Xīnzhuāng Jiēdào</v>
      </c>
      <c r="C1543" t="str">
        <f>IF(COUNTIF(B:B,B1543)&gt;1,_xlfn.CONCAT(A1543," (",M1543,")"),B1543)</f>
        <v>Xīnzhuāng Jiēdào</v>
      </c>
      <c r="D1543" t="s">
        <v>1173</v>
      </c>
      <c r="E1543" t="s">
        <v>7</v>
      </c>
      <c r="F1543" t="str">
        <f>_xlfn.CONCAT(D1543,", ",H1543,", ",I1543,", ","山东省")</f>
        <v>辛庄街道, 钢城区, 济南市, 山东省</v>
      </c>
      <c r="G1543">
        <v>46844</v>
      </c>
      <c r="H1543" t="s">
        <v>3675</v>
      </c>
      <c r="I1543" t="s">
        <v>3673</v>
      </c>
      <c r="J1543" t="e">
        <f>VLOOKUP(F1543,[1]!china_towns_second__2[[Column1]:[Y]],3,FALSE)</f>
        <v>#N/A</v>
      </c>
      <c r="K1543" t="e">
        <f>VLOOKUP(F1543,[1]!china_towns_second__2[[Column1]:[Y]],2,FALSE)</f>
        <v>#N/A</v>
      </c>
      <c r="L1543" t="s">
        <v>6371</v>
      </c>
      <c r="M1543" t="str">
        <f>VLOOKUP(H1543,CHOOSE({1,2},Table17[Native],Table17[Name]),2,0)</f>
        <v>Gāngchéng Qū</v>
      </c>
      <c r="N1543" s="15" t="str">
        <f>VLOOKUP(I1543,CHOOSE({1,2},Table17[Native],Table17[Name]),2,0)</f>
        <v>Jìnán Shì</v>
      </c>
      <c r="O1543" s="15" t="str">
        <f t="shared" si="48"/>
        <v>Xinzhuang Jiedao (Jìnán Shì)</v>
      </c>
      <c r="P1543" s="15" t="str">
        <f t="shared" si="49"/>
        <v>Xinzhuang Jiedao (Jìnán Shì)</v>
      </c>
    </row>
    <row r="1544" spans="1:16" hidden="1" x14ac:dyDescent="0.25">
      <c r="A1544" t="s">
        <v>2048</v>
      </c>
      <c r="B1544" t="str">
        <f>IF(COUNTIF(A:A,A1544)&gt;1,_xlfn.CONCAT(A1544," (",N1544,")"),A1544)</f>
        <v>Xīnzhuāng Zhèn (Línyí Shì)</v>
      </c>
      <c r="C1544" t="str">
        <f>IF(COUNTIF(B:B,B1544)&gt;1,_xlfn.CONCAT(A1544," (",M1544,")"),B1544)</f>
        <v>Xīnzhuāng Zhèn (Línyí Shì)</v>
      </c>
      <c r="D1544" t="s">
        <v>2049</v>
      </c>
      <c r="E1544" t="s">
        <v>13</v>
      </c>
      <c r="F1544" t="str">
        <f>_xlfn.CONCAT(D1544,", ",H1544,", ",I1544,", ","山东省")</f>
        <v>新庄镇, 费县, 临沂市, 山东省</v>
      </c>
      <c r="G1544">
        <v>47596</v>
      </c>
      <c r="H1544" t="s">
        <v>3711</v>
      </c>
      <c r="I1544" t="s">
        <v>3710</v>
      </c>
      <c r="J1544">
        <f>VLOOKUP(F1544,[1]!china_towns_second__2[[Column1]:[Y]],3,FALSE)</f>
        <v>35.087885177090399</v>
      </c>
      <c r="K1544">
        <f>VLOOKUP(F1544,[1]!china_towns_second__2[[Column1]:[Y]],2,FALSE)</f>
        <v>117.8911128</v>
      </c>
      <c r="L1544" t="s">
        <v>6372</v>
      </c>
      <c r="M1544" t="str">
        <f>VLOOKUP(H1544,CHOOSE({1,2},Table17[Native],Table17[Name]),2,0)</f>
        <v>Fèi Xiàn</v>
      </c>
      <c r="N1544" s="15" t="str">
        <f>VLOOKUP(I1544,CHOOSE({1,2},Table17[Native],Table17[Name]),2,0)</f>
        <v>Línyí Shì</v>
      </c>
      <c r="O1544" s="15" t="str">
        <f t="shared" si="48"/>
        <v>Xinzhuang Zhen (Linyi Shi) (Línyí Shì)</v>
      </c>
      <c r="P1544" s="15" t="str">
        <f t="shared" si="49"/>
        <v>Xinzhuang Zhen (Linyi Shi) (Línyí Shì)</v>
      </c>
    </row>
    <row r="1545" spans="1:16" hidden="1" x14ac:dyDescent="0.25">
      <c r="A1545" t="s">
        <v>2048</v>
      </c>
      <c r="B1545" t="str">
        <f>IF(COUNTIF(A:A,A1545)&gt;1,_xlfn.CONCAT(A1545," (",N1545,")"),A1545)</f>
        <v>Xīnzhuāng Zhèn (Yāntái Shì)</v>
      </c>
      <c r="C1545" t="str">
        <f>IF(COUNTIF(B:B,B1545)&gt;1,_xlfn.CONCAT(A1545," (",M1545,")"),B1545)</f>
        <v>Xīnzhuāng Zhèn (Yāntái Shì)</v>
      </c>
      <c r="D1545" t="s">
        <v>3297</v>
      </c>
      <c r="E1545" t="s">
        <v>13</v>
      </c>
      <c r="F1545" t="str">
        <f>_xlfn.CONCAT(D1545,", ",H1545,", ",I1545,", ","山东省")</f>
        <v>辛庄镇, 招远市, 烟台市, 山东省</v>
      </c>
      <c r="G1545">
        <v>34096</v>
      </c>
      <c r="H1545" t="s">
        <v>3781</v>
      </c>
      <c r="I1545" t="s">
        <v>3771</v>
      </c>
      <c r="J1545">
        <f>VLOOKUP(F1545,[1]!china_towns_second__2[[Column1]:[Y]],3,FALSE)</f>
        <v>37.484239423667702</v>
      </c>
      <c r="K1545">
        <f>VLOOKUP(F1545,[1]!china_towns_second__2[[Column1]:[Y]],2,FALSE)</f>
        <v>120.22858239999999</v>
      </c>
      <c r="L1545" t="s">
        <v>6373</v>
      </c>
      <c r="M1545" t="str">
        <f>VLOOKUP(H1545,CHOOSE({1,2},Table17[Native],Table17[Name]),2,0)</f>
        <v>Zhāoyuăn Shì</v>
      </c>
      <c r="N1545" s="15" t="str">
        <f>VLOOKUP(I1545,CHOOSE({1,2},Table17[Native],Table17[Name]),2,0)</f>
        <v>Yāntái Shì</v>
      </c>
      <c r="O1545" s="15" t="str">
        <f t="shared" si="48"/>
        <v>Xinzhuang Zhen (Yantai Shi) (Yāntái Shì)</v>
      </c>
      <c r="P1545" s="15" t="str">
        <f t="shared" si="49"/>
        <v>Xinzhuang Zhen (Yantai Shi) (Yāntái Shì)</v>
      </c>
    </row>
    <row r="1546" spans="1:16" hidden="1" x14ac:dyDescent="0.25">
      <c r="A1546" t="s">
        <v>1476</v>
      </c>
      <c r="B1546" t="str">
        <f>IF(COUNTIF(A:A,A1546)&gt;1,_xlfn.CONCAT(A1546," (",N1546,")"),A1546)</f>
        <v>Xīpíng Zhèn</v>
      </c>
      <c r="C1546" t="str">
        <f>IF(COUNTIF(B:B,B1546)&gt;1,_xlfn.CONCAT(A1546," (",M1546,")"),B1546)</f>
        <v>Xīpíng Zhèn</v>
      </c>
      <c r="D1546" t="s">
        <v>1477</v>
      </c>
      <c r="E1546" t="s">
        <v>13</v>
      </c>
      <c r="F1546" t="str">
        <f>_xlfn.CONCAT(D1546,", ",H1546,", ",I1546,", ","山东省")</f>
        <v>西平镇, 微山县, 济宁市, 山东省</v>
      </c>
      <c r="G1546">
        <v>8446</v>
      </c>
      <c r="H1546" t="s">
        <v>3694</v>
      </c>
      <c r="I1546" t="s">
        <v>3687</v>
      </c>
      <c r="J1546">
        <f>VLOOKUP(F1546,[1]!china_towns_second__2[[Column1]:[Y]],3,FALSE)</f>
        <v>34.855380775540901</v>
      </c>
      <c r="K1546">
        <f>VLOOKUP(F1546,[1]!china_towns_second__2[[Column1]:[Y]],2,FALSE)</f>
        <v>116.968307</v>
      </c>
      <c r="L1546" t="s">
        <v>6374</v>
      </c>
      <c r="M1546" t="str">
        <f>VLOOKUP(H1546,CHOOSE({1,2},Table17[Native],Table17[Name]),2,0)</f>
        <v>Wēishān Xiàn</v>
      </c>
      <c r="N1546" s="15" t="str">
        <f>VLOOKUP(I1546,CHOOSE({1,2},Table17[Native],Table17[Name]),2,0)</f>
        <v>Jìníng Shì</v>
      </c>
      <c r="O1546" s="15" t="str">
        <f t="shared" si="48"/>
        <v>Xiping Zhen (Jìníng Shì)</v>
      </c>
      <c r="P1546" s="15" t="str">
        <f t="shared" si="49"/>
        <v>Xiping Zhen (Jìníng Shì)</v>
      </c>
    </row>
    <row r="1547" spans="1:16" hidden="1" x14ac:dyDescent="0.25">
      <c r="A1547" t="s">
        <v>1174</v>
      </c>
      <c r="B1547" t="str">
        <f>IF(COUNTIF(A:A,A1547)&gt;1,_xlfn.CONCAT(A1547," (",N1547,")"),A1547)</f>
        <v>Xīshìchăng Jiēdào</v>
      </c>
      <c r="C1547" t="str">
        <f>IF(COUNTIF(B:B,B1547)&gt;1,_xlfn.CONCAT(A1547," (",M1547,")"),B1547)</f>
        <v>Xīshìchăng Jiēdào</v>
      </c>
      <c r="D1547" t="s">
        <v>1175</v>
      </c>
      <c r="E1547" t="s">
        <v>7</v>
      </c>
      <c r="F1547" t="str">
        <f>_xlfn.CONCAT(D1547,", ",H1547,", ",I1547,", ","山东省")</f>
        <v>西市场街道, 槐荫区, 济南市, 山东省</v>
      </c>
      <c r="G1547">
        <v>8181</v>
      </c>
      <c r="H1547" t="s">
        <v>3676</v>
      </c>
      <c r="I1547" t="s">
        <v>3673</v>
      </c>
      <c r="J1547">
        <f>VLOOKUP(F1547,[1]!china_towns_second__2[[Column1]:[Y]],3,FALSE)</f>
        <v>36.661480601357901</v>
      </c>
      <c r="K1547">
        <f>VLOOKUP(F1547,[1]!china_towns_second__2[[Column1]:[Y]],2,FALSE)</f>
        <v>116.9684149</v>
      </c>
      <c r="L1547" t="s">
        <v>6375</v>
      </c>
      <c r="M1547" t="str">
        <f>VLOOKUP(H1547,CHOOSE({1,2},Table17[Native],Table17[Name]),2,0)</f>
        <v>Huáiyìn Qū</v>
      </c>
      <c r="N1547" s="15" t="str">
        <f>VLOOKUP(I1547,CHOOSE({1,2},Table17[Native],Table17[Name]),2,0)</f>
        <v>Jìnán Shì</v>
      </c>
      <c r="O1547" s="15" t="str">
        <f t="shared" si="48"/>
        <v>Xishichang Jiedao (Jìnán Shì)</v>
      </c>
      <c r="P1547" s="15" t="str">
        <f t="shared" si="49"/>
        <v>Xishichang Jiedao (Jìnán Shì)</v>
      </c>
    </row>
    <row r="1548" spans="1:16" hidden="1" x14ac:dyDescent="0.25">
      <c r="A1548" t="s">
        <v>1176</v>
      </c>
      <c r="B1548" t="str">
        <f>IF(COUNTIF(A:A,A1548)&gt;1,_xlfn.CONCAT(A1548," (",N1548,")"),A1548)</f>
        <v>Xiùhuì Jiēdào</v>
      </c>
      <c r="C1548" t="str">
        <f>IF(COUNTIF(B:B,B1548)&gt;1,_xlfn.CONCAT(A1548," (",M1548,")"),B1548)</f>
        <v>Xiùhuì Jiēdào</v>
      </c>
      <c r="D1548" t="s">
        <v>1177</v>
      </c>
      <c r="E1548" t="s">
        <v>7</v>
      </c>
      <c r="F1548" t="str">
        <f>_xlfn.CONCAT(D1548,", ",H1548,", ",I1548,", ","山东省")</f>
        <v>绣惠街道, 章丘区, 济南市, 山东省</v>
      </c>
      <c r="G1548">
        <v>55158</v>
      </c>
      <c r="H1548" t="s">
        <v>3685</v>
      </c>
      <c r="I1548" t="s">
        <v>3673</v>
      </c>
      <c r="J1548" t="e">
        <f>VLOOKUP(F1548,[1]!china_towns_second__2[[Column1]:[Y]],3,FALSE)</f>
        <v>#N/A</v>
      </c>
      <c r="K1548" t="e">
        <f>VLOOKUP(F1548,[1]!china_towns_second__2[[Column1]:[Y]],2,FALSE)</f>
        <v>#N/A</v>
      </c>
      <c r="L1548" t="s">
        <v>6376</v>
      </c>
      <c r="M1548" t="str">
        <f>VLOOKUP(H1548,CHOOSE({1,2},Table17[Native],Table17[Name]),2,0)</f>
        <v>Zhāngqiū Qū</v>
      </c>
      <c r="N1548" s="15" t="str">
        <f>VLOOKUP(I1548,CHOOSE({1,2},Table17[Native],Table17[Name]),2,0)</f>
        <v>Jìnán Shì</v>
      </c>
      <c r="O1548" s="15" t="str">
        <f t="shared" si="48"/>
        <v>Xiuhui Jiedao (Jìnán Shì)</v>
      </c>
      <c r="P1548" s="15" t="str">
        <f t="shared" si="49"/>
        <v>Xiuhui Jiedao (Jìnán Shì)</v>
      </c>
    </row>
    <row r="1549" spans="1:16" hidden="1" x14ac:dyDescent="0.25">
      <c r="A1549" t="s">
        <v>3443</v>
      </c>
      <c r="B1549" t="str">
        <f>IF(COUNTIF(A:A,A1549)&gt;1,_xlfn.CONCAT(A1549," (",N1549,")"),A1549)</f>
        <v>Xīwángzhuāng Zhèn</v>
      </c>
      <c r="C1549" t="str">
        <f>IF(COUNTIF(B:B,B1549)&gt;1,_xlfn.CONCAT(A1549," (",M1549,")"),B1549)</f>
        <v>Xīwángzhuāng Zhèn</v>
      </c>
      <c r="D1549" t="s">
        <v>3444</v>
      </c>
      <c r="E1549" t="s">
        <v>13</v>
      </c>
      <c r="F1549" t="str">
        <f>_xlfn.CONCAT(D1549,", ",H1549,", ",I1549,", ","山东省")</f>
        <v>西王庄镇, 市中区, 枣庄市, 山东省</v>
      </c>
      <c r="G1549">
        <v>41139</v>
      </c>
      <c r="H1549" t="s">
        <v>3683</v>
      </c>
      <c r="I1549" t="s">
        <v>3784</v>
      </c>
      <c r="J1549">
        <f>VLOOKUP(F1549,[1]!china_towns_second__2[[Column1]:[Y]],3,FALSE)</f>
        <v>34.819896063599103</v>
      </c>
      <c r="K1549">
        <f>VLOOKUP(F1549,[1]!china_towns_second__2[[Column1]:[Y]],2,FALSE)</f>
        <v>117.6244914</v>
      </c>
      <c r="L1549" t="s">
        <v>6377</v>
      </c>
      <c r="M1549" t="str">
        <f>VLOOKUP(H1549,CHOOSE({1,2},Table17[Native],Table17[Name]),2,0)</f>
        <v>Shìzhōng Qū</v>
      </c>
      <c r="N1549" s="15" t="str">
        <f>VLOOKUP(I1549,CHOOSE({1,2},Table17[Native],Table17[Name]),2,0)</f>
        <v>Zăozhuāng Shì</v>
      </c>
      <c r="O1549" s="15" t="str">
        <f t="shared" si="48"/>
        <v>Xiwangzhuang Zhen (Zăozhuāng Shì)</v>
      </c>
      <c r="P1549" s="15" t="str">
        <f t="shared" si="49"/>
        <v>Xiwangzhuang Zhen (Zăozhuāng Shì)</v>
      </c>
    </row>
    <row r="1550" spans="1:16" hidden="1" x14ac:dyDescent="0.25">
      <c r="A1550" t="s">
        <v>187</v>
      </c>
      <c r="B1550" t="str">
        <f>IF(COUNTIF(A:A,A1550)&gt;1,_xlfn.CONCAT(A1550," (",N1550,")"),A1550)</f>
        <v>Xīxiăowáng Zhèn</v>
      </c>
      <c r="C1550" t="str">
        <f>IF(COUNTIF(B:B,B1550)&gt;1,_xlfn.CONCAT(A1550," (",M1550,")"),B1550)</f>
        <v>Xīxiăowáng Zhèn</v>
      </c>
      <c r="D1550" t="s">
        <v>188</v>
      </c>
      <c r="E1550" t="s">
        <v>13</v>
      </c>
      <c r="F1550" t="str">
        <f>_xlfn.CONCAT(D1550,", ",H1550,", ",I1550,", ","山东省")</f>
        <v>西小王镇, 无棣县, 滨州市, 山东省</v>
      </c>
      <c r="G1550">
        <v>19704</v>
      </c>
      <c r="H1550" t="s">
        <v>3636</v>
      </c>
      <c r="I1550" t="s">
        <v>3630</v>
      </c>
      <c r="J1550">
        <f>VLOOKUP(F1550,[1]!china_towns_second__2[[Column1]:[Y]],3,FALSE)</f>
        <v>37.8795220046634</v>
      </c>
      <c r="K1550">
        <f>VLOOKUP(F1550,[1]!china_towns_second__2[[Column1]:[Y]],2,FALSE)</f>
        <v>117.9101926</v>
      </c>
      <c r="L1550" t="s">
        <v>6378</v>
      </c>
      <c r="M1550" t="str">
        <f>VLOOKUP(H1550,CHOOSE({1,2},Table17[Native],Table17[Name]),2,0)</f>
        <v>Wúdì Xiàn</v>
      </c>
      <c r="N1550" s="15" t="str">
        <f>VLOOKUP(I1550,CHOOSE({1,2},Table17[Native],Table17[Name]),2,0)</f>
        <v>Bīnzhōu Shì</v>
      </c>
      <c r="O1550" s="15" t="str">
        <f t="shared" si="48"/>
        <v>Xixiaowang Zhen (Bīnzhōu Shì)</v>
      </c>
      <c r="P1550" s="15" t="str">
        <f t="shared" si="49"/>
        <v>Xixiaowang Zhen (Bīnzhōu Shì)</v>
      </c>
    </row>
    <row r="1551" spans="1:16" hidden="1" x14ac:dyDescent="0.25">
      <c r="A1551" t="s">
        <v>1178</v>
      </c>
      <c r="B1551" t="str">
        <f>IF(COUNTIF(A:A,A1551)&gt;1,_xlfn.CONCAT(A1551," (",N1551,")"),A1551)</f>
        <v>Xīyíng Jiēdào</v>
      </c>
      <c r="C1551" t="str">
        <f>IF(COUNTIF(B:B,B1551)&gt;1,_xlfn.CONCAT(A1551," (",M1551,")"),B1551)</f>
        <v>Xīyíng Jiēdào</v>
      </c>
      <c r="D1551" t="s">
        <v>1179</v>
      </c>
      <c r="E1551" t="s">
        <v>7</v>
      </c>
      <c r="F1551" t="str">
        <f>_xlfn.CONCAT(D1551,", ",H1551,", ",I1551,", ","山东省")</f>
        <v>西营街道, 历城区, 济南市, 山东省</v>
      </c>
      <c r="G1551">
        <v>28794</v>
      </c>
      <c r="H1551" t="s">
        <v>3679</v>
      </c>
      <c r="I1551" t="s">
        <v>3673</v>
      </c>
      <c r="J1551" t="e">
        <f>VLOOKUP(F1551,[1]!china_towns_second__2[[Column1]:[Y]],3,FALSE)</f>
        <v>#N/A</v>
      </c>
      <c r="K1551" t="e">
        <f>VLOOKUP(F1551,[1]!china_towns_second__2[[Column1]:[Y]],2,FALSE)</f>
        <v>#N/A</v>
      </c>
      <c r="L1551" t="s">
        <v>6379</v>
      </c>
      <c r="M1551" t="str">
        <f>VLOOKUP(H1551,CHOOSE({1,2},Table17[Native],Table17[Name]),2,0)</f>
        <v>Lìchéng Qū</v>
      </c>
      <c r="N1551" s="15" t="str">
        <f>VLOOKUP(I1551,CHOOSE({1,2},Table17[Native],Table17[Name]),2,0)</f>
        <v>Jìnán Shì</v>
      </c>
      <c r="O1551" s="15" t="str">
        <f t="shared" si="48"/>
        <v>Xiying Jiedao (Jìnán Shì)</v>
      </c>
      <c r="P1551" s="15" t="str">
        <f t="shared" si="49"/>
        <v>Xiying Jiedao (Jìnán Shì)</v>
      </c>
    </row>
    <row r="1552" spans="1:16" hidden="1" x14ac:dyDescent="0.25">
      <c r="A1552" t="s">
        <v>3004</v>
      </c>
      <c r="B1552" t="str">
        <f>IF(COUNTIF(A:A,A1552)&gt;1,_xlfn.CONCAT(A1552," (",N1552,")"),A1552)</f>
        <v>Xīyuàn Jiēdào</v>
      </c>
      <c r="C1552" t="str">
        <f>IF(COUNTIF(B:B,B1552)&gt;1,_xlfn.CONCAT(A1552," (",M1552,")"),B1552)</f>
        <v>Xīyuàn Jiēdào</v>
      </c>
      <c r="D1552" t="s">
        <v>3005</v>
      </c>
      <c r="E1552" t="s">
        <v>7</v>
      </c>
      <c r="F1552" t="str">
        <f>_xlfn.CONCAT(D1552,", ",H1552,", ",I1552,", ","山东省")</f>
        <v>西苑街道, 环翠区, 威海市, 山东省</v>
      </c>
      <c r="G1552">
        <v>25187</v>
      </c>
      <c r="H1552" t="s">
        <v>3766</v>
      </c>
      <c r="I1552" t="s">
        <v>3765</v>
      </c>
      <c r="J1552">
        <f>VLOOKUP(F1552,[1]!china_towns_second__2[[Column1]:[Y]],3,FALSE)</f>
        <v>37.401704857867799</v>
      </c>
      <c r="K1552">
        <f>VLOOKUP(F1552,[1]!china_towns_second__2[[Column1]:[Y]],2,FALSE)</f>
        <v>122.1235233</v>
      </c>
      <c r="L1552" t="s">
        <v>6380</v>
      </c>
      <c r="M1552" t="str">
        <f>VLOOKUP(H1552,CHOOSE({1,2},Table17[Native],Table17[Name]),2,0)</f>
        <v>Huáncuì Qū</v>
      </c>
      <c r="N1552" s="15" t="str">
        <f>VLOOKUP(I1552,CHOOSE({1,2},Table17[Native],Table17[Name]),2,0)</f>
        <v>Wēihăi Shì</v>
      </c>
      <c r="O1552" s="15" t="str">
        <f t="shared" si="48"/>
        <v>Xiyuan Jiedao (Wēihăi Shì)</v>
      </c>
      <c r="P1552" s="15" t="str">
        <f t="shared" si="49"/>
        <v>Xiyuan Jiedao (Wēihăi Shì)</v>
      </c>
    </row>
    <row r="1553" spans="1:16" hidden="1" x14ac:dyDescent="0.25">
      <c r="A1553" t="s">
        <v>2647</v>
      </c>
      <c r="B1553" t="str">
        <f>IF(COUNTIF(A:A,A1553)&gt;1,_xlfn.CONCAT(A1553," (",N1553,")"),A1553)</f>
        <v>Xīzhāngzhuāng Zhèn</v>
      </c>
      <c r="C1553" t="str">
        <f>IF(COUNTIF(B:B,B1553)&gt;1,_xlfn.CONCAT(A1553," (",M1553,")"),B1553)</f>
        <v>Xīzhāngzhuāng Zhèn</v>
      </c>
      <c r="D1553" t="s">
        <v>2648</v>
      </c>
      <c r="E1553" t="s">
        <v>13</v>
      </c>
      <c r="F1553" t="str">
        <f>_xlfn.CONCAT(D1553,", ",H1553,", ",I1553,", ","山东省")</f>
        <v>西张庄镇, 新泰市, 泰安市, 山东省</v>
      </c>
      <c r="G1553">
        <v>37875</v>
      </c>
      <c r="H1553" t="s">
        <v>3749</v>
      </c>
      <c r="I1553" t="s">
        <v>3743</v>
      </c>
      <c r="J1553">
        <f>VLOOKUP(F1553,[1]!china_towns_second__2[[Column1]:[Y]],3,FALSE)</f>
        <v>35.948607136984798</v>
      </c>
      <c r="K1553">
        <f>VLOOKUP(F1553,[1]!china_towns_second__2[[Column1]:[Y]],2,FALSE)</f>
        <v>117.58684239999999</v>
      </c>
      <c r="L1553" t="s">
        <v>6381</v>
      </c>
      <c r="M1553" t="str">
        <f>VLOOKUP(H1553,CHOOSE({1,2},Table17[Native],Table17[Name]),2,0)</f>
        <v>Xīntài Shì</v>
      </c>
      <c r="N1553" s="15" t="str">
        <f>VLOOKUP(I1553,CHOOSE({1,2},Table17[Native],Table17[Name]),2,0)</f>
        <v>Tài'ān Shì</v>
      </c>
      <c r="O1553" s="15" t="str">
        <f t="shared" si="48"/>
        <v>Xizhangzhuang Zhen (Tài'ān Shì)</v>
      </c>
      <c r="P1553" s="15" t="str">
        <f t="shared" si="49"/>
        <v>Xizhangzhuang Zhen (Tài'ān Shì)</v>
      </c>
    </row>
    <row r="1554" spans="1:16" hidden="1" x14ac:dyDescent="0.25">
      <c r="A1554" t="s">
        <v>1478</v>
      </c>
      <c r="B1554" t="str">
        <f>IF(COUNTIF(A:A,A1554)&gt;1,_xlfn.CONCAT(A1554," (",N1554,")"),A1554)</f>
        <v>Xīzōu Zhèn</v>
      </c>
      <c r="C1554" t="str">
        <f>IF(COUNTIF(B:B,B1554)&gt;1,_xlfn.CONCAT(A1554," (",M1554,")"),B1554)</f>
        <v>Xīzōu Zhèn</v>
      </c>
      <c r="D1554" t="s">
        <v>1479</v>
      </c>
      <c r="E1554" t="s">
        <v>13</v>
      </c>
      <c r="F1554" t="str">
        <f>_xlfn.CONCAT(D1554,", ",H1554,", ",I1554,", ","山东省")</f>
        <v>息陬镇, 曲阜市, 济宁市, 山东省</v>
      </c>
      <c r="G1554">
        <v>47364</v>
      </c>
      <c r="H1554" t="s">
        <v>3691</v>
      </c>
      <c r="I1554" t="s">
        <v>3687</v>
      </c>
      <c r="J1554">
        <f>VLOOKUP(F1554,[1]!china_towns_second__2[[Column1]:[Y]],3,FALSE)</f>
        <v>35.537282754448199</v>
      </c>
      <c r="K1554">
        <f>VLOOKUP(F1554,[1]!china_towns_second__2[[Column1]:[Y]],2,FALSE)</f>
        <v>117.05597640000001</v>
      </c>
      <c r="L1554" t="s">
        <v>6382</v>
      </c>
      <c r="M1554" t="str">
        <f>VLOOKUP(H1554,CHOOSE({1,2},Table17[Native],Table17[Name]),2,0)</f>
        <v>Qŭfù Shì</v>
      </c>
      <c r="N1554" s="15" t="str">
        <f>VLOOKUP(I1554,CHOOSE({1,2},Table17[Native],Table17[Name]),2,0)</f>
        <v>Jìníng Shì</v>
      </c>
      <c r="O1554" s="15" t="str">
        <f t="shared" si="48"/>
        <v>Xizou Zhen (Jìníng Shì)</v>
      </c>
      <c r="P1554" s="15" t="str">
        <f t="shared" si="49"/>
        <v>Xizou Zhen (Jìníng Shì)</v>
      </c>
    </row>
    <row r="1555" spans="1:16" hidden="1" x14ac:dyDescent="0.25">
      <c r="A1555" t="s">
        <v>415</v>
      </c>
      <c r="B1555" t="str">
        <f>IF(COUNTIF(A:A,A1555)&gt;1,_xlfn.CONCAT(A1555," (",N1555,")"),A1555)</f>
        <v>Xuānzhāngtún Zhèn</v>
      </c>
      <c r="C1555" t="str">
        <f>IF(COUNTIF(B:B,B1555)&gt;1,_xlfn.CONCAT(A1555," (",M1555,")"),B1555)</f>
        <v>Xuānzhāngtún Zhèn</v>
      </c>
      <c r="D1555" t="s">
        <v>416</v>
      </c>
      <c r="E1555" t="s">
        <v>13</v>
      </c>
      <c r="F1555" t="str">
        <f>_xlfn.CONCAT(D1555,", ",H1555,", ",I1555,", ","山东省")</f>
        <v>宣章屯镇, 齐河县, 德州市, 山东省</v>
      </c>
      <c r="G1555">
        <v>22506</v>
      </c>
      <c r="H1555" t="s">
        <v>3649</v>
      </c>
      <c r="I1555" t="s">
        <v>3642</v>
      </c>
      <c r="J1555">
        <f>VLOOKUP(F1555,[1]!china_towns_second__2[[Column1]:[Y]],3,FALSE)</f>
        <v>36.954902869216298</v>
      </c>
      <c r="K1555">
        <f>VLOOKUP(F1555,[1]!china_towns_second__2[[Column1]:[Y]],2,FALSE)</f>
        <v>116.82331189999999</v>
      </c>
      <c r="L1555" t="s">
        <v>6383</v>
      </c>
      <c r="M1555" t="str">
        <f>VLOOKUP(H1555,CHOOSE({1,2},Table17[Native],Table17[Name]),2,0)</f>
        <v>Qíhé Xiàn</v>
      </c>
      <c r="N1555" s="15" t="str">
        <f>VLOOKUP(I1555,CHOOSE({1,2},Table17[Native],Table17[Name]),2,0)</f>
        <v>Dézhōu Shì</v>
      </c>
      <c r="O1555" s="15" t="str">
        <f t="shared" si="48"/>
        <v>Xuanzhangtun Zhen (Dézhōu Shì)</v>
      </c>
      <c r="P1555" s="15" t="str">
        <f t="shared" si="49"/>
        <v>Xuanzhangtun Zhen (Dézhōu Shì)</v>
      </c>
    </row>
    <row r="1556" spans="1:16" hidden="1" x14ac:dyDescent="0.25">
      <c r="A1556" t="s">
        <v>3298</v>
      </c>
      <c r="B1556" t="str">
        <f>IF(COUNTIF(A:A,A1556)&gt;1,_xlfn.CONCAT(A1556," (",N1556,")"),A1556)</f>
        <v>Xuéfāng Zhèn</v>
      </c>
      <c r="C1556" t="str">
        <f>IF(COUNTIF(B:B,B1556)&gt;1,_xlfn.CONCAT(A1556," (",M1556,")"),B1556)</f>
        <v>Xuéfāng Zhèn</v>
      </c>
      <c r="D1556" t="s">
        <v>3299</v>
      </c>
      <c r="E1556" t="s">
        <v>13</v>
      </c>
      <c r="F1556" t="str">
        <f>_xlfn.CONCAT(D1556,", ",H1556,", ",I1556,", ","山东省")</f>
        <v>穴坊镇, 莱阳市, 烟台市, 山东省</v>
      </c>
      <c r="G1556">
        <v>56439</v>
      </c>
      <c r="H1556" t="s">
        <v>3775</v>
      </c>
      <c r="I1556" t="s">
        <v>3771</v>
      </c>
      <c r="J1556">
        <f>VLOOKUP(F1556,[1]!china_towns_second__2[[Column1]:[Y]],3,FALSE)</f>
        <v>36.6448147858437</v>
      </c>
      <c r="K1556">
        <f>VLOOKUP(F1556,[1]!china_towns_second__2[[Column1]:[Y]],2,FALSE)</f>
        <v>120.7036951</v>
      </c>
      <c r="L1556" t="s">
        <v>6384</v>
      </c>
      <c r="M1556" t="str">
        <f>VLOOKUP(H1556,CHOOSE({1,2},Table17[Native],Table17[Name]),2,0)</f>
        <v>Láiyáng Shì</v>
      </c>
      <c r="N1556" s="15" t="str">
        <f>VLOOKUP(I1556,CHOOSE({1,2},Table17[Native],Table17[Name]),2,0)</f>
        <v>Yāntái Shì</v>
      </c>
      <c r="O1556" s="15" t="str">
        <f t="shared" si="48"/>
        <v>Xuefang Zhen (Yāntái Shì)</v>
      </c>
      <c r="P1556" s="15" t="str">
        <f t="shared" si="49"/>
        <v>Xuefang Zhen (Yāntái Shì)</v>
      </c>
    </row>
    <row r="1557" spans="1:16" hidden="1" x14ac:dyDescent="0.25">
      <c r="A1557" t="s">
        <v>3605</v>
      </c>
      <c r="B1557" t="str">
        <f>IF(COUNTIF(A:A,A1557)&gt;1,_xlfn.CONCAT(A1557," (",N1557,")"),A1557)</f>
        <v>Xuĕgōng Jiēdào</v>
      </c>
      <c r="C1557" t="str">
        <f>IF(COUNTIF(B:B,B1557)&gt;1,_xlfn.CONCAT(A1557," (",M1557,")"),B1557)</f>
        <v>Xuĕgōng Jiēdào</v>
      </c>
      <c r="D1557" t="s">
        <v>3606</v>
      </c>
      <c r="E1557" t="s">
        <v>7</v>
      </c>
      <c r="F1557" t="str">
        <f>_xlfn.CONCAT(D1557,", ",H1557,", ",I1557,", ","山东省")</f>
        <v>雪宫街道, 临淄区, 淄博市, 山东省</v>
      </c>
      <c r="G1557">
        <v>51154</v>
      </c>
      <c r="H1557" t="s">
        <v>3795</v>
      </c>
      <c r="I1557" t="s">
        <v>3791</v>
      </c>
      <c r="J1557">
        <f>VLOOKUP(F1557,[1]!china_towns_second__2[[Column1]:[Y]],3,FALSE)</f>
        <v>36.811277367492998</v>
      </c>
      <c r="K1557">
        <f>VLOOKUP(F1557,[1]!china_towns_second__2[[Column1]:[Y]],2,FALSE)</f>
        <v>118.2646527</v>
      </c>
      <c r="L1557" t="s">
        <v>6385</v>
      </c>
      <c r="M1557" t="str">
        <f>VLOOKUP(H1557,CHOOSE({1,2},Table17[Native],Table17[Name]),2,0)</f>
        <v>Línzī Qū</v>
      </c>
      <c r="N1557" s="15" t="str">
        <f>VLOOKUP(I1557,CHOOSE({1,2},Table17[Native],Table17[Name]),2,0)</f>
        <v>Zībó Shì</v>
      </c>
      <c r="O1557" s="15" t="str">
        <f t="shared" si="48"/>
        <v>Xuegong Jiedao (Zībó Shì)</v>
      </c>
      <c r="P1557" s="15" t="str">
        <f t="shared" si="49"/>
        <v>Xuegong Jiedao (Zībó Shì)</v>
      </c>
    </row>
    <row r="1558" spans="1:16" hidden="1" x14ac:dyDescent="0.25">
      <c r="A1558" t="s">
        <v>2345</v>
      </c>
      <c r="B1558" t="str">
        <f>IF(COUNTIF(A:A,A1558)&gt;1,_xlfn.CONCAT(A1558," (",N1558,")"),A1558)</f>
        <v>Xuējiādăo Jiēdào</v>
      </c>
      <c r="C1558" t="str">
        <f>IF(COUNTIF(B:B,B1558)&gt;1,_xlfn.CONCAT(A1558," (",M1558,")"),B1558)</f>
        <v>Xuējiādăo Jiēdào</v>
      </c>
      <c r="D1558" t="s">
        <v>2346</v>
      </c>
      <c r="E1558" t="s">
        <v>7</v>
      </c>
      <c r="F1558" t="str">
        <f>_xlfn.CONCAT(D1558,", ",H1558,", ",I1558,", ","山东省")</f>
        <v>薛家岛街道, 黄岛区, 青岛市, 山东省</v>
      </c>
      <c r="G1558">
        <v>71169</v>
      </c>
      <c r="H1558" t="s">
        <v>3726</v>
      </c>
      <c r="I1558" t="s">
        <v>3724</v>
      </c>
      <c r="J1558">
        <f>VLOOKUP(F1558,[1]!china_towns_second__2[[Column1]:[Y]],3,FALSE)</f>
        <v>35.967634143676797</v>
      </c>
      <c r="K1558">
        <f>VLOOKUP(F1558,[1]!china_towns_second__2[[Column1]:[Y]],2,FALSE)</f>
        <v>120.23671659999999</v>
      </c>
      <c r="L1558" t="s">
        <v>6386</v>
      </c>
      <c r="M1558" t="str">
        <f>VLOOKUP(H1558,CHOOSE({1,2},Table17[Native],Table17[Name]),2,0)</f>
        <v>Huángdăo Qū</v>
      </c>
      <c r="N1558" s="15" t="str">
        <f>VLOOKUP(I1558,CHOOSE({1,2},Table17[Native],Table17[Name]),2,0)</f>
        <v>Qīngdăo Shì</v>
      </c>
      <c r="O1558" s="15" t="str">
        <f t="shared" si="48"/>
        <v>Xuejiadao Jiedao (Qīngdăo Shì)</v>
      </c>
      <c r="P1558" s="15" t="str">
        <f t="shared" si="49"/>
        <v>Xuejiadao Jiedao (Qīngdăo Shì)</v>
      </c>
    </row>
    <row r="1559" spans="1:16" hidden="1" x14ac:dyDescent="0.25">
      <c r="A1559" t="s">
        <v>1180</v>
      </c>
      <c r="B1559" t="str">
        <f>IF(COUNTIF(A:A,A1559)&gt;1,_xlfn.CONCAT(A1559," (",N1559,")"),A1559)</f>
        <v>Xuĕyĕ Jiēdào</v>
      </c>
      <c r="C1559" t="str">
        <f>IF(COUNTIF(B:B,B1559)&gt;1,_xlfn.CONCAT(A1559," (",M1559,")"),B1559)</f>
        <v>Xuĕyĕ Jiēdào</v>
      </c>
      <c r="D1559" t="s">
        <v>1181</v>
      </c>
      <c r="E1559" t="s">
        <v>7</v>
      </c>
      <c r="F1559" t="str">
        <f>_xlfn.CONCAT(D1559,", ",H1559,", ",I1559,", ","山东省")</f>
        <v>雪野街道, 莱芜区, 济南市, 山东省</v>
      </c>
      <c r="G1559">
        <v>41629</v>
      </c>
      <c r="H1559" t="s">
        <v>3678</v>
      </c>
      <c r="I1559" t="s">
        <v>3673</v>
      </c>
      <c r="J1559" t="e">
        <f>VLOOKUP(F1559,[1]!china_towns_second__2[[Column1]:[Y]],3,FALSE)</f>
        <v>#N/A</v>
      </c>
      <c r="K1559" t="e">
        <f>VLOOKUP(F1559,[1]!china_towns_second__2[[Column1]:[Y]],2,FALSE)</f>
        <v>#N/A</v>
      </c>
      <c r="L1559" t="s">
        <v>6387</v>
      </c>
      <c r="M1559" t="str">
        <f>VLOOKUP(H1559,CHOOSE({1,2},Table17[Native],Table17[Name]),2,0)</f>
        <v>Láiwú Qū</v>
      </c>
      <c r="N1559" s="15" t="str">
        <f>VLOOKUP(I1559,CHOOSE({1,2},Table17[Native],Table17[Name]),2,0)</f>
        <v>Jìnán Shì</v>
      </c>
      <c r="O1559" s="15" t="str">
        <f t="shared" si="48"/>
        <v>Xueye Jiedao (Jìnán Shì)</v>
      </c>
      <c r="P1559" s="15" t="str">
        <f t="shared" si="49"/>
        <v>Xueye Jiedao (Jìnán Shì)</v>
      </c>
    </row>
    <row r="1560" spans="1:16" hidden="1" x14ac:dyDescent="0.25">
      <c r="A1560" t="s">
        <v>2050</v>
      </c>
      <c r="B1560" t="str">
        <f>IF(COUNTIF(A:A,A1560)&gt;1,_xlfn.CONCAT(A1560," (",N1560,")"),A1560)</f>
        <v>Xuēzhuāng Zhèn</v>
      </c>
      <c r="C1560" t="str">
        <f>IF(COUNTIF(B:B,B1560)&gt;1,_xlfn.CONCAT(A1560," (",M1560,")"),B1560)</f>
        <v>Xuēzhuāng Zhèn</v>
      </c>
      <c r="D1560" t="s">
        <v>2051</v>
      </c>
      <c r="E1560" t="s">
        <v>13</v>
      </c>
      <c r="F1560" t="str">
        <f>_xlfn.CONCAT(D1560,", ",H1560,", ",I1560,", ","山东省")</f>
        <v>薛庄镇, 费县, 临沂市, 山东省</v>
      </c>
      <c r="G1560">
        <v>51761</v>
      </c>
      <c r="H1560" t="s">
        <v>3711</v>
      </c>
      <c r="I1560" t="s">
        <v>3710</v>
      </c>
      <c r="J1560">
        <f>VLOOKUP(F1560,[1]!china_towns_second__2[[Column1]:[Y]],3,FALSE)</f>
        <v>35.384253438336799</v>
      </c>
      <c r="K1560">
        <f>VLOOKUP(F1560,[1]!china_towns_second__2[[Column1]:[Y]],2,FALSE)</f>
        <v>118.11379839999999</v>
      </c>
      <c r="L1560" t="s">
        <v>6388</v>
      </c>
      <c r="M1560" t="str">
        <f>VLOOKUP(H1560,CHOOSE({1,2},Table17[Native],Table17[Name]),2,0)</f>
        <v>Fèi Xiàn</v>
      </c>
      <c r="N1560" s="15" t="str">
        <f>VLOOKUP(I1560,CHOOSE({1,2},Table17[Native],Table17[Name]),2,0)</f>
        <v>Línyí Shì</v>
      </c>
      <c r="O1560" s="15" t="str">
        <f t="shared" si="48"/>
        <v>Xuezhuang Zhen (Línyí Shì)</v>
      </c>
      <c r="P1560" s="15" t="str">
        <f t="shared" si="49"/>
        <v>Xuezhuang Zhen (Línyí Shì)</v>
      </c>
    </row>
    <row r="1561" spans="1:16" hidden="1" x14ac:dyDescent="0.25">
      <c r="A1561" t="s">
        <v>3300</v>
      </c>
      <c r="B1561" t="str">
        <f>IF(COUNTIF(A:A,A1561)&gt;1,_xlfn.CONCAT(A1561," (",N1561,")"),A1561)</f>
        <v>Xúfú Jiēdào</v>
      </c>
      <c r="C1561" t="str">
        <f>IF(COUNTIF(B:B,B1561)&gt;1,_xlfn.CONCAT(A1561," (",M1561,")"),B1561)</f>
        <v>Xúfú Jiēdào</v>
      </c>
      <c r="D1561" t="s">
        <v>3301</v>
      </c>
      <c r="E1561" t="s">
        <v>7</v>
      </c>
      <c r="F1561" t="str">
        <f>_xlfn.CONCAT(D1561,", ",H1561,", ",I1561,", ","山东省")</f>
        <v>徐福街道, 龙口市, 烟台市, 山东省</v>
      </c>
      <c r="G1561">
        <v>53925</v>
      </c>
      <c r="H1561" t="s">
        <v>3777</v>
      </c>
      <c r="I1561" t="s">
        <v>3771</v>
      </c>
      <c r="J1561">
        <f>VLOOKUP(F1561,[1]!china_towns_second__2[[Column1]:[Y]],3,FALSE)</f>
        <v>37.709835879721503</v>
      </c>
      <c r="K1561">
        <f>VLOOKUP(F1561,[1]!china_towns_second__2[[Column1]:[Y]],2,FALSE)</f>
        <v>120.4437154</v>
      </c>
      <c r="L1561" t="s">
        <v>6389</v>
      </c>
      <c r="M1561" t="str">
        <f>VLOOKUP(H1561,CHOOSE({1,2},Table17[Native],Table17[Name]),2,0)</f>
        <v>Lóngkŏu Shì</v>
      </c>
      <c r="N1561" s="15" t="str">
        <f>VLOOKUP(I1561,CHOOSE({1,2},Table17[Native],Table17[Name]),2,0)</f>
        <v>Yāntái Shì</v>
      </c>
      <c r="O1561" s="15" t="str">
        <f t="shared" si="48"/>
        <v>Xufu Jiedao (Yāntái Shì)</v>
      </c>
      <c r="P1561" s="15" t="str">
        <f t="shared" si="49"/>
        <v>Xufu Jiedao (Yāntái Shì)</v>
      </c>
    </row>
    <row r="1562" spans="1:16" hidden="1" x14ac:dyDescent="0.25">
      <c r="A1562" t="s">
        <v>3006</v>
      </c>
      <c r="B1562" t="str">
        <f>IF(COUNTIF(A:A,A1562)&gt;1,_xlfn.CONCAT(A1562," (",N1562,")"),A1562)</f>
        <v>Xújiā Zhèn</v>
      </c>
      <c r="C1562" t="str">
        <f>IF(COUNTIF(B:B,B1562)&gt;1,_xlfn.CONCAT(A1562," (",M1562,")"),B1562)</f>
        <v>Xújiā Zhèn</v>
      </c>
      <c r="D1562" t="s">
        <v>3007</v>
      </c>
      <c r="E1562" t="s">
        <v>13</v>
      </c>
      <c r="F1562" t="str">
        <f>_xlfn.CONCAT(D1562,", ",H1562,", ",I1562,", ","山东省")</f>
        <v>徐家镇, 乳山市, 威海市, 山东省</v>
      </c>
      <c r="G1562">
        <v>17225</v>
      </c>
      <c r="H1562" t="s">
        <v>3768</v>
      </c>
      <c r="I1562" t="s">
        <v>3765</v>
      </c>
      <c r="J1562">
        <f>VLOOKUP(F1562,[1]!china_towns_second__2[[Column1]:[Y]],3,FALSE)</f>
        <v>36.916271778362002</v>
      </c>
      <c r="K1562">
        <f>VLOOKUP(F1562,[1]!china_towns_second__2[[Column1]:[Y]],2,FALSE)</f>
        <v>121.75342879999999</v>
      </c>
      <c r="L1562" t="s">
        <v>6390</v>
      </c>
      <c r="M1562" t="str">
        <f>VLOOKUP(H1562,CHOOSE({1,2},Table17[Native],Table17[Name]),2,0)</f>
        <v>Rŭshān Shì</v>
      </c>
      <c r="N1562" s="15" t="str">
        <f>VLOOKUP(I1562,CHOOSE({1,2},Table17[Native],Table17[Name]),2,0)</f>
        <v>Wēihăi Shì</v>
      </c>
      <c r="O1562" s="15" t="str">
        <f t="shared" si="48"/>
        <v>Xujia Zhen (Wēihăi Shì)</v>
      </c>
      <c r="P1562" s="15" t="str">
        <f t="shared" si="49"/>
        <v>Xujia Zhen (Wēihăi Shì)</v>
      </c>
    </row>
    <row r="1563" spans="1:16" hidden="1" x14ac:dyDescent="0.25">
      <c r="A1563" t="s">
        <v>3302</v>
      </c>
      <c r="B1563" t="str">
        <f>IF(COUNTIF(A:A,A1563)&gt;1,_xlfn.CONCAT(A1563," (",N1563,")"),A1563)</f>
        <v>Xújiādiàn Zhèn</v>
      </c>
      <c r="C1563" t="str">
        <f>IF(COUNTIF(B:B,B1563)&gt;1,_xlfn.CONCAT(A1563," (",M1563,")"),B1563)</f>
        <v>Xújiādiàn Zhèn</v>
      </c>
      <c r="D1563" t="s">
        <v>3303</v>
      </c>
      <c r="E1563" t="s">
        <v>13</v>
      </c>
      <c r="F1563" t="str">
        <f>_xlfn.CONCAT(D1563,", ",H1563,", ",I1563,", ","山东省")</f>
        <v>徐家店镇, 海阳市, 烟台市, 山东省</v>
      </c>
      <c r="G1563">
        <v>43554</v>
      </c>
      <c r="H1563" t="s">
        <v>3773</v>
      </c>
      <c r="I1563" t="s">
        <v>3771</v>
      </c>
      <c r="J1563">
        <f>VLOOKUP(F1563,[1]!china_towns_second__2[[Column1]:[Y]],3,FALSE)</f>
        <v>37.100995722121802</v>
      </c>
      <c r="K1563">
        <f>VLOOKUP(F1563,[1]!china_towns_second__2[[Column1]:[Y]],2,FALSE)</f>
        <v>121.02372389999999</v>
      </c>
      <c r="L1563" t="s">
        <v>6391</v>
      </c>
      <c r="M1563" t="str">
        <f>VLOOKUP(H1563,CHOOSE({1,2},Table17[Native],Table17[Name]),2,0)</f>
        <v>Hăiyáng Shì</v>
      </c>
      <c r="N1563" s="15" t="str">
        <f>VLOOKUP(I1563,CHOOSE({1,2},Table17[Native],Table17[Name]),2,0)</f>
        <v>Yāntái Shì</v>
      </c>
      <c r="O1563" s="15" t="str">
        <f t="shared" si="48"/>
        <v>Xujiadian Zhen (Yāntái Shì)</v>
      </c>
      <c r="P1563" s="15" t="str">
        <f t="shared" si="49"/>
        <v>Xujiadian Zhen (Yāntái Shì)</v>
      </c>
    </row>
    <row r="1564" spans="1:16" hidden="1" x14ac:dyDescent="0.25">
      <c r="A1564" t="s">
        <v>2052</v>
      </c>
      <c r="B1564" t="str">
        <f>IF(COUNTIF(A:A,A1564)&gt;1,_xlfn.CONCAT(A1564," (",N1564,")"),A1564)</f>
        <v>Xŭjiāhú Zhèn [incl. Yáodiànzi Zhèn]</v>
      </c>
      <c r="C1564" t="str">
        <f>IF(COUNTIF(B:B,B1564)&gt;1,_xlfn.CONCAT(A1564," (",M1564,")"),B1564)</f>
        <v>Xŭjiāhú Zhèn [incl. Yáodiànzi Zhèn]</v>
      </c>
      <c r="D1564" t="s">
        <v>2053</v>
      </c>
      <c r="E1564" t="s">
        <v>13</v>
      </c>
      <c r="F1564" t="str">
        <f>_xlfn.CONCAT(D1564,", ",H1564,", ",I1564,", ","山东省")</f>
        <v>许家湖镇, 沂水县, 临沂市, 山东省</v>
      </c>
      <c r="G1564">
        <v>117318</v>
      </c>
      <c r="H1564" t="s">
        <v>3722</v>
      </c>
      <c r="I1564" t="s">
        <v>3710</v>
      </c>
      <c r="J1564">
        <f>VLOOKUP(F1564,[1]!china_towns_second__2[[Column1]:[Y]],3,FALSE)</f>
        <v>35.706335396562601</v>
      </c>
      <c r="K1564">
        <f>VLOOKUP(F1564,[1]!china_towns_second__2[[Column1]:[Y]],2,FALSE)</f>
        <v>118.583417</v>
      </c>
      <c r="L1564" t="s">
        <v>6392</v>
      </c>
      <c r="M1564" t="str">
        <f>VLOOKUP(H1564,CHOOSE({1,2},Table17[Native],Table17[Name]),2,0)</f>
        <v>Yíshuĭ Xiàn</v>
      </c>
      <c r="N1564" s="15" t="str">
        <f>VLOOKUP(I1564,CHOOSE({1,2},Table17[Native],Table17[Name]),2,0)</f>
        <v>Línyí Shì</v>
      </c>
      <c r="O1564" s="15" t="str">
        <f t="shared" si="48"/>
        <v>Xujiahu Zhen [incl. Yaodianzi Zhen] (Línyí Shì)</v>
      </c>
      <c r="P1564" s="15" t="str">
        <f t="shared" si="49"/>
        <v>Xujiahu Zhen [incl. Yaodianzi Zhen] (Línyí Shì)</v>
      </c>
    </row>
    <row r="1565" spans="1:16" hidden="1" x14ac:dyDescent="0.25">
      <c r="A1565" t="s">
        <v>2649</v>
      </c>
      <c r="B1565" t="str">
        <f>IF(COUNTIF(A:A,A1565)&gt;1,_xlfn.CONCAT(A1565," (",N1565,")"),A1565)</f>
        <v>Xújiālóu Jiēdào</v>
      </c>
      <c r="C1565" t="str">
        <f>IF(COUNTIF(B:B,B1565)&gt;1,_xlfn.CONCAT(A1565," (",M1565,")"),B1565)</f>
        <v>Xújiālóu Jiēdào</v>
      </c>
      <c r="D1565" t="s">
        <v>2650</v>
      </c>
      <c r="E1565" t="s">
        <v>7</v>
      </c>
      <c r="F1565" t="str">
        <f>_xlfn.CONCAT(D1565,", ",H1565,", ",I1565,", ","山东省")</f>
        <v>徐家楼街道, 泰山区, 泰安市, 山东省</v>
      </c>
      <c r="G1565">
        <v>41448</v>
      </c>
      <c r="H1565" t="s">
        <v>3748</v>
      </c>
      <c r="I1565" t="s">
        <v>3743</v>
      </c>
      <c r="J1565">
        <f>VLOOKUP(F1565,[1]!china_towns_second__2[[Column1]:[Y]],3,FALSE)</f>
        <v>36.148524014979998</v>
      </c>
      <c r="K1565">
        <f>VLOOKUP(F1565,[1]!china_towns_second__2[[Column1]:[Y]],2,FALSE)</f>
        <v>117.1097626</v>
      </c>
      <c r="L1565" t="s">
        <v>6393</v>
      </c>
      <c r="M1565" t="str">
        <f>VLOOKUP(H1565,CHOOSE({1,2},Table17[Native],Table17[Name]),2,0)</f>
        <v>Tàishān Qū</v>
      </c>
      <c r="N1565" s="15" t="str">
        <f>VLOOKUP(I1565,CHOOSE({1,2},Table17[Native],Table17[Name]),2,0)</f>
        <v>Tài'ān Shì</v>
      </c>
      <c r="O1565" s="15" t="str">
        <f t="shared" si="48"/>
        <v>Xujialou Jiedao (Tài'ān Shì)</v>
      </c>
      <c r="P1565" s="15" t="str">
        <f t="shared" si="49"/>
        <v>Xujialou Jiedao (Tài'ān Shì)</v>
      </c>
    </row>
    <row r="1566" spans="1:16" hidden="1" x14ac:dyDescent="0.25">
      <c r="A1566" t="s">
        <v>2482</v>
      </c>
      <c r="B1566" t="str">
        <f>IF(COUNTIF(A:A,A1566)&gt;1,_xlfn.CONCAT(A1566," (",N1566,")"),A1566)</f>
        <v>Xŭmèng Zhèn</v>
      </c>
      <c r="C1566" t="str">
        <f>IF(COUNTIF(B:B,B1566)&gt;1,_xlfn.CONCAT(A1566," (",M1566,")"),B1566)</f>
        <v>Xŭmèng Zhèn</v>
      </c>
      <c r="D1566" t="s">
        <v>2483</v>
      </c>
      <c r="E1566" t="s">
        <v>13</v>
      </c>
      <c r="F1566" t="str">
        <f>_xlfn.CONCAT(D1566,", ",H1566,", ",I1566,", ","山东省")</f>
        <v>许孟镇, 五莲县, 日照市, 山东省</v>
      </c>
      <c r="G1566">
        <v>51308</v>
      </c>
      <c r="H1566" t="s">
        <v>3741</v>
      </c>
      <c r="I1566" t="s">
        <v>3736</v>
      </c>
      <c r="J1566">
        <f>VLOOKUP(F1566,[1]!china_towns_second__2[[Column1]:[Y]],3,FALSE)</f>
        <v>35.841499814571499</v>
      </c>
      <c r="K1566">
        <f>VLOOKUP(F1566,[1]!china_towns_second__2[[Column1]:[Y]],2,FALSE)</f>
        <v>119.2975455</v>
      </c>
      <c r="L1566" t="s">
        <v>6394</v>
      </c>
      <c r="M1566" t="str">
        <f>VLOOKUP(H1566,CHOOSE({1,2},Table17[Native],Table17[Name]),2,0)</f>
        <v>Wŭlián Xiàn</v>
      </c>
      <c r="N1566" s="15" t="str">
        <f>VLOOKUP(I1566,CHOOSE({1,2},Table17[Native],Table17[Name]),2,0)</f>
        <v>Rìzhào Shì</v>
      </c>
      <c r="O1566" s="15" t="str">
        <f t="shared" si="48"/>
        <v>Xumeng Zhen (Rìzhào Shì)</v>
      </c>
      <c r="P1566" s="15" t="str">
        <f t="shared" si="49"/>
        <v>Xumeng Zhen (Rìzhào Shì)</v>
      </c>
    </row>
    <row r="1567" spans="1:16" hidden="1" x14ac:dyDescent="0.25">
      <c r="A1567" t="s">
        <v>3008</v>
      </c>
      <c r="B1567" t="str">
        <f>IF(COUNTIF(A:A,A1567)&gt;1,_xlfn.CONCAT(A1567," (",N1567,")"),A1567)</f>
        <v>Xúnshān Jiēdào</v>
      </c>
      <c r="C1567" t="str">
        <f>IF(COUNTIF(B:B,B1567)&gt;1,_xlfn.CONCAT(A1567," (",M1567,")"),B1567)</f>
        <v>Xúnshān Jiēdào</v>
      </c>
      <c r="D1567" t="s">
        <v>3009</v>
      </c>
      <c r="E1567" t="s">
        <v>7</v>
      </c>
      <c r="F1567" t="str">
        <f>_xlfn.CONCAT(D1567,", ",H1567,", ",I1567,", ","山东省")</f>
        <v>寻山街道, 荣成市, 威海市, 山东省</v>
      </c>
      <c r="G1567">
        <v>29556</v>
      </c>
      <c r="H1567" t="s">
        <v>3767</v>
      </c>
      <c r="I1567" t="s">
        <v>3765</v>
      </c>
      <c r="J1567">
        <f>VLOOKUP(F1567,[1]!china_towns_second__2[[Column1]:[Y]],3,FALSE)</f>
        <v>37.184198253038801</v>
      </c>
      <c r="K1567">
        <f>VLOOKUP(F1567,[1]!china_towns_second__2[[Column1]:[Y]],2,FALSE)</f>
        <v>122.5270778</v>
      </c>
      <c r="L1567" t="s">
        <v>6395</v>
      </c>
      <c r="M1567" t="str">
        <f>VLOOKUP(H1567,CHOOSE({1,2},Table17[Native],Table17[Name]),2,0)</f>
        <v>Róngchéng Shì</v>
      </c>
      <c r="N1567" s="15" t="str">
        <f>VLOOKUP(I1567,CHOOSE({1,2},Table17[Native],Table17[Name]),2,0)</f>
        <v>Wēihăi Shì</v>
      </c>
      <c r="O1567" s="15" t="str">
        <f t="shared" si="48"/>
        <v>Xunshan Jiedao (Wēihăi Shì)</v>
      </c>
      <c r="P1567" s="15" t="str">
        <f t="shared" si="49"/>
        <v>Xunshan Jiedao (Wēihăi Shì)</v>
      </c>
    </row>
    <row r="1568" spans="1:16" hidden="1" x14ac:dyDescent="0.25">
      <c r="A1568" t="s">
        <v>1182</v>
      </c>
      <c r="B1568" t="str">
        <f>IF(COUNTIF(A:A,A1568)&gt;1,_xlfn.CONCAT(A1568," (",N1568,")"),A1568)</f>
        <v>Xŭshāng Jiēdào</v>
      </c>
      <c r="C1568" t="str">
        <f>IF(COUNTIF(B:B,B1568)&gt;1,_xlfn.CONCAT(A1568," (",M1568,")"),B1568)</f>
        <v>Xŭshāng Jiēdào</v>
      </c>
      <c r="D1568" t="s">
        <v>1183</v>
      </c>
      <c r="E1568" t="s">
        <v>7</v>
      </c>
      <c r="F1568" t="str">
        <f>_xlfn.CONCAT(D1568,", ",H1568,", ",I1568,", ","山东省")</f>
        <v>许商街道, 商河县, 济南市, 山东省</v>
      </c>
      <c r="G1568">
        <v>101329</v>
      </c>
      <c r="H1568" t="s">
        <v>3682</v>
      </c>
      <c r="I1568" t="s">
        <v>3673</v>
      </c>
      <c r="J1568">
        <f>VLOOKUP(F1568,[1]!china_towns_second__2[[Column1]:[Y]],3,FALSE)</f>
        <v>37.280342606431397</v>
      </c>
      <c r="K1568">
        <f>VLOOKUP(F1568,[1]!china_towns_second__2[[Column1]:[Y]],2,FALSE)</f>
        <v>117.15626140000001</v>
      </c>
      <c r="L1568" t="s">
        <v>6396</v>
      </c>
      <c r="M1568" t="str">
        <f>VLOOKUP(H1568,CHOOSE({1,2},Table17[Native],Table17[Name]),2,0)</f>
        <v>Shānghé Xiàn</v>
      </c>
      <c r="N1568" s="15" t="str">
        <f>VLOOKUP(I1568,CHOOSE({1,2},Table17[Native],Table17[Name]),2,0)</f>
        <v>Jìnán Shì</v>
      </c>
      <c r="O1568" s="15" t="str">
        <f t="shared" si="48"/>
        <v>Xushang Jiedao (Jìnán Shì)</v>
      </c>
      <c r="P1568" s="15" t="str">
        <f t="shared" si="49"/>
        <v>Xushang Jiedao (Jìnán Shì)</v>
      </c>
    </row>
    <row r="1569" spans="1:16" hidden="1" x14ac:dyDescent="0.25">
      <c r="A1569" t="s">
        <v>1742</v>
      </c>
      <c r="B1569" t="str">
        <f>IF(COUNTIF(A:A,A1569)&gt;1,_xlfn.CONCAT(A1569," (",N1569,")"),A1569)</f>
        <v>Xŭyíng Zhèn</v>
      </c>
      <c r="C1569" t="str">
        <f>IF(COUNTIF(B:B,B1569)&gt;1,_xlfn.CONCAT(A1569," (",M1569,")"),B1569)</f>
        <v>Xŭyíng Zhèn</v>
      </c>
      <c r="D1569" t="s">
        <v>1743</v>
      </c>
      <c r="E1569" t="s">
        <v>13</v>
      </c>
      <c r="F1569" t="str">
        <f>_xlfn.CONCAT(D1569,", ",H1569,", ",I1569,", ","山东省")</f>
        <v>许营镇, 东昌府区, 聊城市, 山东省</v>
      </c>
      <c r="G1569">
        <v>37297</v>
      </c>
      <c r="H1569" t="s">
        <v>3702</v>
      </c>
      <c r="I1569" t="s">
        <v>3700</v>
      </c>
      <c r="J1569">
        <f>VLOOKUP(F1569,[1]!china_towns_second__2[[Column1]:[Y]],3,FALSE)</f>
        <v>36.397637757922602</v>
      </c>
      <c r="K1569">
        <f>VLOOKUP(F1569,[1]!china_towns_second__2[[Column1]:[Y]],2,FALSE)</f>
        <v>116.08370240000001</v>
      </c>
      <c r="L1569" t="s">
        <v>6397</v>
      </c>
      <c r="M1569" t="str">
        <f>VLOOKUP(H1569,CHOOSE({1,2},Table17[Native],Table17[Name]),2,0)</f>
        <v>Dōngchāngfŭ Qū</v>
      </c>
      <c r="N1569" s="15" t="str">
        <f>VLOOKUP(I1569,CHOOSE({1,2},Table17[Native],Table17[Name]),2,0)</f>
        <v>Liáochéng Shì</v>
      </c>
      <c r="O1569" s="15" t="str">
        <f t="shared" si="48"/>
        <v>Xuying Zhen (Liáochéng Shì)</v>
      </c>
      <c r="P1569" s="15" t="str">
        <f t="shared" si="49"/>
        <v>Xuying Zhen (Liáochéng Shì)</v>
      </c>
    </row>
    <row r="1570" spans="1:16" hidden="1" x14ac:dyDescent="0.25">
      <c r="A1570" t="s">
        <v>417</v>
      </c>
      <c r="B1570" t="str">
        <f>IF(COUNTIF(A:A,A1570)&gt;1,_xlfn.CONCAT(A1570," (",N1570,")"),A1570)</f>
        <v>Xúyuánzi Xiāng</v>
      </c>
      <c r="C1570" t="str">
        <f>IF(COUNTIF(B:B,B1570)&gt;1,_xlfn.CONCAT(A1570," (",M1570,")"),B1570)</f>
        <v>Xúyuánzi Xiāng</v>
      </c>
      <c r="D1570" t="s">
        <v>418</v>
      </c>
      <c r="E1570" t="s">
        <v>61</v>
      </c>
      <c r="F1570" t="str">
        <f>_xlfn.CONCAT(D1570,", ",H1570,", ",I1570,", ","山东省")</f>
        <v>徐园子乡, 庆云县, 德州市, 山东省</v>
      </c>
      <c r="G1570">
        <v>16017</v>
      </c>
      <c r="H1570" t="s">
        <v>3650</v>
      </c>
      <c r="I1570" t="s">
        <v>3642</v>
      </c>
      <c r="J1570" t="e">
        <f>VLOOKUP(F1570,[1]!china_towns_second__2[[Column1]:[Y]],3,FALSE)</f>
        <v>#N/A</v>
      </c>
      <c r="K1570" t="e">
        <f>VLOOKUP(F1570,[1]!china_towns_second__2[[Column1]:[Y]],2,FALSE)</f>
        <v>#N/A</v>
      </c>
      <c r="L1570" t="s">
        <v>6398</v>
      </c>
      <c r="M1570" t="str">
        <f>VLOOKUP(H1570,CHOOSE({1,2},Table17[Native],Table17[Name]),2,0)</f>
        <v>Qìngyún Xiàn</v>
      </c>
      <c r="N1570" s="15" t="str">
        <f>VLOOKUP(I1570,CHOOSE({1,2},Table17[Native],Table17[Name]),2,0)</f>
        <v>Dézhōu Shì</v>
      </c>
      <c r="O1570" s="15" t="str">
        <f t="shared" si="48"/>
        <v>Xuyuanzi Xiang (Dézhōu Shì)</v>
      </c>
      <c r="P1570" s="15" t="str">
        <f t="shared" si="49"/>
        <v>Xuyuanzi Xiang (Dézhōu Shì)</v>
      </c>
    </row>
    <row r="1571" spans="1:16" hidden="1" x14ac:dyDescent="0.25">
      <c r="A1571" t="s">
        <v>850</v>
      </c>
      <c r="B1571" t="str">
        <f>IF(COUNTIF(A:A,A1571)&gt;1,_xlfn.CONCAT(A1571," (",N1571,")"),A1571)</f>
        <v>Xúzhài Zhèn</v>
      </c>
      <c r="C1571" t="str">
        <f>IF(COUNTIF(B:B,B1571)&gt;1,_xlfn.CONCAT(A1571," (",M1571,")"),B1571)</f>
        <v>Xúzhài Zhèn</v>
      </c>
      <c r="D1571" t="s">
        <v>851</v>
      </c>
      <c r="E1571" t="s">
        <v>13</v>
      </c>
      <c r="F1571" t="str">
        <f>_xlfn.CONCAT(D1571,", ",H1571,", ",I1571,", ","山东省")</f>
        <v>徐寨镇, 单县, 菏泽市, 山东省</v>
      </c>
      <c r="G1571">
        <v>58053</v>
      </c>
      <c r="H1571" t="s">
        <v>3670</v>
      </c>
      <c r="I1571" t="s">
        <v>3662</v>
      </c>
      <c r="J1571">
        <f>VLOOKUP(F1571,[1]!china_towns_second__2[[Column1]:[Y]],3,FALSE)</f>
        <v>34.8779744557404</v>
      </c>
      <c r="K1571">
        <f>VLOOKUP(F1571,[1]!china_towns_second__2[[Column1]:[Y]],2,FALSE)</f>
        <v>116.1987936</v>
      </c>
      <c r="L1571" t="s">
        <v>6399</v>
      </c>
      <c r="M1571" t="str">
        <f>VLOOKUP(H1571,CHOOSE({1,2},Table17[Native],Table17[Name]),2,0)</f>
        <v>Shàn Xiàn</v>
      </c>
      <c r="N1571" s="15" t="str">
        <f>VLOOKUP(I1571,CHOOSE({1,2},Table17[Native],Table17[Name]),2,0)</f>
        <v>Hézé Shì</v>
      </c>
      <c r="O1571" s="15" t="str">
        <f t="shared" si="48"/>
        <v>Xuzhai Zhen (Hézé Shì)</v>
      </c>
      <c r="P1571" s="15" t="str">
        <f t="shared" si="49"/>
        <v>Xuzhai Zhen (Hézé Shì)</v>
      </c>
    </row>
    <row r="1572" spans="1:16" hidden="1" x14ac:dyDescent="0.25">
      <c r="A1572" t="s">
        <v>1480</v>
      </c>
      <c r="B1572" t="str">
        <f>IF(COUNTIF(A:A,A1572)&gt;1,_xlfn.CONCAT(A1572," (",N1572,")"),A1572)</f>
        <v>Xŭzhuāng Jiēdào</v>
      </c>
      <c r="C1572" t="str">
        <f>IF(COUNTIF(B:B,B1572)&gt;1,_xlfn.CONCAT(A1572," (",M1572,")"),B1572)</f>
        <v>Xŭzhuāng Jiēdào</v>
      </c>
      <c r="D1572" t="s">
        <v>1481</v>
      </c>
      <c r="E1572" t="s">
        <v>7</v>
      </c>
      <c r="F1572" t="str">
        <f>_xlfn.CONCAT(D1572,", ",H1572,", ",I1572,", ","山东省")</f>
        <v>许庄街道, 任城区, 济宁市, 山东省</v>
      </c>
      <c r="G1572">
        <v>58363</v>
      </c>
      <c r="H1572" t="s">
        <v>3692</v>
      </c>
      <c r="I1572" t="s">
        <v>3687</v>
      </c>
      <c r="J1572">
        <f>VLOOKUP(F1572,[1]!china_towns_second__2[[Column1]:[Y]],3,FALSE)</f>
        <v>35.3423229433823</v>
      </c>
      <c r="K1572">
        <f>VLOOKUP(F1572,[1]!china_towns_second__2[[Column1]:[Y]],2,FALSE)</f>
        <v>116.5929206</v>
      </c>
      <c r="L1572" t="s">
        <v>6400</v>
      </c>
      <c r="M1572" t="str">
        <f>VLOOKUP(H1572,CHOOSE({1,2},Table17[Native],Table17[Name]),2,0)</f>
        <v>Rènchéng Qū</v>
      </c>
      <c r="N1572" s="15" t="str">
        <f>VLOOKUP(I1572,CHOOSE({1,2},Table17[Native],Table17[Name]),2,0)</f>
        <v>Jìníng Shì</v>
      </c>
      <c r="O1572" s="15" t="str">
        <f t="shared" si="48"/>
        <v>Xuzhuang Jiedao (Jìníng Shì)</v>
      </c>
      <c r="P1572" s="15" t="str">
        <f t="shared" si="49"/>
        <v>Xuzhuang Jiedao (Jìníng Shì)</v>
      </c>
    </row>
    <row r="1573" spans="1:16" hidden="1" x14ac:dyDescent="0.25">
      <c r="A1573" t="s">
        <v>1744</v>
      </c>
      <c r="B1573" t="str">
        <f>IF(COUNTIF(A:A,A1573)&gt;1,_xlfn.CONCAT(A1573," (",N1573,")"),A1573)</f>
        <v>Xúzhuāng Zhèn (Liáochéng Shì)</v>
      </c>
      <c r="C1573" t="str">
        <f>IF(COUNTIF(B:B,B1573)&gt;1,_xlfn.CONCAT(A1573," (",M1573,")"),B1573)</f>
        <v>Xúzhuāng Zhèn (Liáochéng Shì)</v>
      </c>
      <c r="D1573" t="s">
        <v>1745</v>
      </c>
      <c r="E1573" t="s">
        <v>13</v>
      </c>
      <c r="F1573" t="str">
        <f>_xlfn.CONCAT(D1573,", ",H1573,", ",I1573,", ","山东省")</f>
        <v>徐庄镇, 莘县, 聊城市, 山东省</v>
      </c>
      <c r="G1573">
        <v>30974</v>
      </c>
      <c r="H1573" t="s">
        <v>3707</v>
      </c>
      <c r="I1573" t="s">
        <v>3700</v>
      </c>
      <c r="J1573">
        <f>VLOOKUP(F1573,[1]!china_towns_second__2[[Column1]:[Y]],3,FALSE)</f>
        <v>36.062427420411403</v>
      </c>
      <c r="K1573">
        <f>VLOOKUP(F1573,[1]!china_towns_second__2[[Column1]:[Y]],2,FALSE)</f>
        <v>115.6370922</v>
      </c>
      <c r="L1573" t="s">
        <v>6401</v>
      </c>
      <c r="M1573" t="str">
        <f>VLOOKUP(H1573,CHOOSE({1,2},Table17[Native],Table17[Name]),2,0)</f>
        <v>Shēn Xiàn</v>
      </c>
      <c r="N1573" s="15" t="str">
        <f>VLOOKUP(I1573,CHOOSE({1,2},Table17[Native],Table17[Name]),2,0)</f>
        <v>Liáochéng Shì</v>
      </c>
      <c r="O1573" s="15" t="str">
        <f t="shared" si="48"/>
        <v>Xuzhuang Zhen (Liaocheng Shi) (Liáochéng Shì)</v>
      </c>
      <c r="P1573" s="15" t="str">
        <f t="shared" si="49"/>
        <v>Xuzhuang Zhen (Liaocheng Shi) (Liáochéng Shì)</v>
      </c>
    </row>
    <row r="1574" spans="1:16" hidden="1" x14ac:dyDescent="0.25">
      <c r="A1574" t="s">
        <v>1744</v>
      </c>
      <c r="B1574" t="str">
        <f>IF(COUNTIF(A:A,A1574)&gt;1,_xlfn.CONCAT(A1574," (",N1574,")"),A1574)</f>
        <v>Xúzhuāng Zhèn (Zăozhuāng Shì)</v>
      </c>
      <c r="C1574" t="str">
        <f>IF(COUNTIF(B:B,B1574)&gt;1,_xlfn.CONCAT(A1574," (",M1574,")"),B1574)</f>
        <v>Xúzhuāng Zhèn (Zăozhuāng Shì)</v>
      </c>
      <c r="D1574" t="s">
        <v>1745</v>
      </c>
      <c r="E1574" t="s">
        <v>13</v>
      </c>
      <c r="F1574" t="str">
        <f>_xlfn.CONCAT(D1574,", ",H1574,", ",I1574,", ","山东省")</f>
        <v>徐庄镇, 山亭区, 枣庄市, 山东省</v>
      </c>
      <c r="G1574">
        <v>49345</v>
      </c>
      <c r="H1574" t="s">
        <v>3785</v>
      </c>
      <c r="I1574" t="s">
        <v>3784</v>
      </c>
      <c r="J1574">
        <f>VLOOKUP(F1574,[1]!china_towns_second__2[[Column1]:[Y]],3,FALSE)</f>
        <v>35.085217273896703</v>
      </c>
      <c r="K1574">
        <f>VLOOKUP(F1574,[1]!china_towns_second__2[[Column1]:[Y]],2,FALSE)</f>
        <v>117.56492799999999</v>
      </c>
      <c r="L1574" t="s">
        <v>6402</v>
      </c>
      <c r="M1574" t="str">
        <f>VLOOKUP(H1574,CHOOSE({1,2},Table17[Native],Table17[Name]),2,0)</f>
        <v>Shāntíng Qū</v>
      </c>
      <c r="N1574" s="15" t="str">
        <f>VLOOKUP(I1574,CHOOSE({1,2},Table17[Native],Table17[Name]),2,0)</f>
        <v>Zăozhuāng Shì</v>
      </c>
      <c r="O1574" s="15" t="str">
        <f t="shared" si="48"/>
        <v>Xuzhuang Zhen (Zaozhuang Shi) (Zăozhuāng Shì)</v>
      </c>
      <c r="P1574" s="15" t="str">
        <f t="shared" si="49"/>
        <v>Xuzhuang Zhen (Zaozhuang Shi) (Zăozhuāng Shì)</v>
      </c>
    </row>
    <row r="1575" spans="1:16" hidden="1" x14ac:dyDescent="0.25">
      <c r="A1575" t="s">
        <v>2347</v>
      </c>
      <c r="B1575" t="str">
        <f>IF(COUNTIF(A:A,A1575)&gt;1,_xlfn.CONCAT(A1575," (",N1575,")"),A1575)</f>
        <v>Yán'ānlù Jiēdào</v>
      </c>
      <c r="C1575" t="str">
        <f>IF(COUNTIF(B:B,B1575)&gt;1,_xlfn.CONCAT(A1575," (",M1575,")"),B1575)</f>
        <v>Yán'ānlù Jiēdào</v>
      </c>
      <c r="D1575" t="s">
        <v>2348</v>
      </c>
      <c r="E1575" t="s">
        <v>7</v>
      </c>
      <c r="F1575" t="str">
        <f>_xlfn.CONCAT(D1575,", ",H1575,", ",I1575,", ","山东省")</f>
        <v>延安路街道, 市北区, 青岛市, 山东省</v>
      </c>
      <c r="G1575">
        <v>38827</v>
      </c>
      <c r="H1575" t="s">
        <v>3733</v>
      </c>
      <c r="I1575" t="s">
        <v>3724</v>
      </c>
      <c r="J1575">
        <f>VLOOKUP(F1575,[1]!china_towns_second__2[[Column1]:[Y]],3,FALSE)</f>
        <v>36.0732108404626</v>
      </c>
      <c r="K1575">
        <f>VLOOKUP(F1575,[1]!china_towns_second__2[[Column1]:[Y]],2,FALSE)</f>
        <v>120.34268609999999</v>
      </c>
      <c r="L1575" t="s">
        <v>6403</v>
      </c>
      <c r="M1575" t="str">
        <f>VLOOKUP(H1575,CHOOSE({1,2},Table17[Native],Table17[Name]),2,0)</f>
        <v>Shìbĕi Qū</v>
      </c>
      <c r="N1575" s="15" t="str">
        <f>VLOOKUP(I1575,CHOOSE({1,2},Table17[Native],Table17[Name]),2,0)</f>
        <v>Qīngdăo Shì</v>
      </c>
      <c r="O1575" s="15" t="str">
        <f t="shared" si="48"/>
        <v>Yan'anlu Jiedao (Qīngdăo Shì)</v>
      </c>
      <c r="P1575" s="15" t="str">
        <f t="shared" si="49"/>
        <v>Yan'anlu Jiedao (Qīngdăo Shì)</v>
      </c>
    </row>
    <row r="1576" spans="1:16" hidden="1" x14ac:dyDescent="0.25">
      <c r="A1576" t="s">
        <v>419</v>
      </c>
      <c r="B1576" t="str">
        <f>IF(COUNTIF(A:A,A1576)&gt;1,_xlfn.CONCAT(A1576," (",N1576,")"),A1576)</f>
        <v>Yànbĕi Jiēdào</v>
      </c>
      <c r="C1576" t="str">
        <f>IF(COUNTIF(B:B,B1576)&gt;1,_xlfn.CONCAT(A1576," (",M1576,")"),B1576)</f>
        <v>Yànbĕi Jiēdào</v>
      </c>
      <c r="D1576" t="s">
        <v>420</v>
      </c>
      <c r="E1576" t="s">
        <v>7</v>
      </c>
      <c r="F1576" t="str">
        <f>_xlfn.CONCAT(D1576,", ",H1576,", ",I1576,", ","山东省")</f>
        <v>晏北街道, 齐河县, 德州市, 山东省</v>
      </c>
      <c r="G1576">
        <v>61485</v>
      </c>
      <c r="H1576" t="s">
        <v>3649</v>
      </c>
      <c r="I1576" t="s">
        <v>3642</v>
      </c>
      <c r="J1576">
        <f>VLOOKUP(F1576,[1]!china_towns_second__2[[Column1]:[Y]],3,FALSE)</f>
        <v>36.846636181447302</v>
      </c>
      <c r="K1576">
        <f>VLOOKUP(F1576,[1]!china_towns_second__2[[Column1]:[Y]],2,FALSE)</f>
        <v>116.7851187</v>
      </c>
      <c r="L1576" t="s">
        <v>6404</v>
      </c>
      <c r="M1576" t="str">
        <f>VLOOKUP(H1576,CHOOSE({1,2},Table17[Native],Table17[Name]),2,0)</f>
        <v>Qíhé Xiàn</v>
      </c>
      <c r="N1576" s="15" t="str">
        <f>VLOOKUP(I1576,CHOOSE({1,2},Table17[Native],Table17[Name]),2,0)</f>
        <v>Dézhōu Shì</v>
      </c>
      <c r="O1576" s="15" t="str">
        <f t="shared" si="48"/>
        <v>Yanbei Jiedao (Dézhōu Shì)</v>
      </c>
      <c r="P1576" s="15" t="str">
        <f t="shared" si="49"/>
        <v>Yanbei Jiedao (Dézhōu Shì)</v>
      </c>
    </row>
    <row r="1577" spans="1:16" hidden="1" x14ac:dyDescent="0.25">
      <c r="A1577" t="s">
        <v>2054</v>
      </c>
      <c r="B1577" t="str">
        <f>IF(COUNTIF(A:A,A1577)&gt;1,_xlfn.CONCAT(A1577," (",N1577,")"),A1577)</f>
        <v>Yánbīn Zhèn</v>
      </c>
      <c r="C1577" t="str">
        <f>IF(COUNTIF(B:B,B1577)&gt;1,_xlfn.CONCAT(A1577," (",M1577,")"),B1577)</f>
        <v>Yánbīn Zhèn</v>
      </c>
      <c r="D1577" t="s">
        <v>2055</v>
      </c>
      <c r="E1577" t="s">
        <v>13</v>
      </c>
      <c r="F1577" t="str">
        <f>_xlfn.CONCAT(D1577,", ",H1577,", ",I1577,", ","山东省")</f>
        <v>筵宾镇, 莒南县, 临沂市, 山东省</v>
      </c>
      <c r="G1577">
        <v>42098</v>
      </c>
      <c r="H1577" t="s">
        <v>3713</v>
      </c>
      <c r="I1577" t="s">
        <v>3710</v>
      </c>
      <c r="J1577">
        <f>VLOOKUP(F1577,[1]!china_towns_second__2[[Column1]:[Y]],3,FALSE)</f>
        <v>35.266548624529598</v>
      </c>
      <c r="K1577">
        <f>VLOOKUP(F1577,[1]!china_towns_second__2[[Column1]:[Y]],2,FALSE)</f>
        <v>118.7793171</v>
      </c>
      <c r="L1577" t="s">
        <v>6405</v>
      </c>
      <c r="M1577" t="str">
        <f>VLOOKUP(H1577,CHOOSE({1,2},Table17[Native],Table17[Name]),2,0)</f>
        <v>Jŭnán Xiàn</v>
      </c>
      <c r="N1577" s="15" t="str">
        <f>VLOOKUP(I1577,CHOOSE({1,2},Table17[Native],Table17[Name]),2,0)</f>
        <v>Línyí Shì</v>
      </c>
      <c r="O1577" s="15" t="str">
        <f t="shared" si="48"/>
        <v>Yanbin Zhen (Línyí Shì)</v>
      </c>
      <c r="P1577" s="15" t="str">
        <f t="shared" si="49"/>
        <v>Yanbin Zhen (Línyí Shì)</v>
      </c>
    </row>
    <row r="1578" spans="1:16" hidden="1" x14ac:dyDescent="0.25">
      <c r="A1578" t="s">
        <v>421</v>
      </c>
      <c r="B1578" t="str">
        <f>IF(COUNTIF(A:A,A1578)&gt;1,_xlfn.CONCAT(A1578," (",N1578,")"),A1578)</f>
        <v>Yànchéng Jiēdào</v>
      </c>
      <c r="C1578" t="str">
        <f>IF(COUNTIF(B:B,B1578)&gt;1,_xlfn.CONCAT(A1578," (",M1578,")"),B1578)</f>
        <v>Yànchéng Jiēdào</v>
      </c>
      <c r="D1578" t="s">
        <v>422</v>
      </c>
      <c r="E1578" t="s">
        <v>7</v>
      </c>
      <c r="F1578" t="str">
        <f>_xlfn.CONCAT(D1578,", ",H1578,", ",I1578,", ","山东省")</f>
        <v>晏城街道, 齐河县, 德州市, 山东省</v>
      </c>
      <c r="G1578">
        <v>82461</v>
      </c>
      <c r="H1578" t="s">
        <v>3649</v>
      </c>
      <c r="I1578" t="s">
        <v>3642</v>
      </c>
      <c r="J1578">
        <f>VLOOKUP(F1578,[1]!china_towns_second__2[[Column1]:[Y]],3,FALSE)</f>
        <v>36.7796806230374</v>
      </c>
      <c r="K1578">
        <f>VLOOKUP(F1578,[1]!china_towns_second__2[[Column1]:[Y]],2,FALSE)</f>
        <v>116.7767935</v>
      </c>
      <c r="L1578" t="s">
        <v>6406</v>
      </c>
      <c r="M1578" t="str">
        <f>VLOOKUP(H1578,CHOOSE({1,2},Table17[Native],Table17[Name]),2,0)</f>
        <v>Qíhé Xiàn</v>
      </c>
      <c r="N1578" s="15" t="str">
        <f>VLOOKUP(I1578,CHOOSE({1,2},Table17[Native],Table17[Name]),2,0)</f>
        <v>Dézhōu Shì</v>
      </c>
      <c r="O1578" s="15" t="str">
        <f t="shared" si="48"/>
        <v>Yancheng Jiedao (Dézhōu Shì)</v>
      </c>
      <c r="P1578" s="15" t="str">
        <f t="shared" si="49"/>
        <v>Yancheng Jiedao (Dézhōu Shì)</v>
      </c>
    </row>
    <row r="1579" spans="1:16" x14ac:dyDescent="0.25">
      <c r="A1579" t="s">
        <v>1482</v>
      </c>
      <c r="B1579" t="str">
        <f>IF(COUNTIF(A:A,A1579)&gt;1,_xlfn.CONCAT(A1579," (",N1579,")"),A1579)</f>
        <v>Yándiàn Zhèn</v>
      </c>
      <c r="C1579" t="str">
        <f>IF(COUNTIF(B:B,B1579)&gt;1,_xlfn.CONCAT(A1579," (",M1579,")"),B1579)</f>
        <v>Yándiàn Zhèn</v>
      </c>
      <c r="D1579" t="s">
        <v>1483</v>
      </c>
      <c r="E1579" t="s">
        <v>13</v>
      </c>
      <c r="F1579" t="str">
        <f>_xlfn.CONCAT(D1579,", ",H1579,", ",I1579,", ","山东省")</f>
        <v>颜店镇, 兖州区, 济宁市, 山东省</v>
      </c>
      <c r="G1579">
        <v>59272</v>
      </c>
      <c r="H1579" t="s">
        <v>3696</v>
      </c>
      <c r="I1579" t="s">
        <v>3687</v>
      </c>
      <c r="J1579">
        <f>VLOOKUP(F1579,[1]!china_towns_second__2[[Column1]:[Y]],3,FALSE)</f>
        <v>35.560428891369803</v>
      </c>
      <c r="K1579">
        <f>VLOOKUP(F1579,[1]!china_towns_second__2[[Column1]:[Y]],2,FALSE)</f>
        <v>116.659722</v>
      </c>
      <c r="L1579" t="s">
        <v>6407</v>
      </c>
      <c r="M1579" t="str">
        <f>VLOOKUP(H1579,CHOOSE({1,2},Table17[Native],Table17[Name]),2,0)</f>
        <v>Yănzhōu Qū</v>
      </c>
      <c r="N1579" s="15" t="str">
        <f>VLOOKUP(I1579,CHOOSE({1,2},Table17[Native],Table17[Name]),2,0)</f>
        <v>Jìníng Shì</v>
      </c>
      <c r="O1579" s="15" t="str">
        <f t="shared" si="48"/>
        <v>Yandian Zhen (Jìníng Shì)</v>
      </c>
      <c r="P1579" s="15" t="str">
        <f t="shared" si="49"/>
        <v>Yandian Zhen (Jìníng Shì)</v>
      </c>
    </row>
    <row r="1580" spans="1:16" x14ac:dyDescent="0.25">
      <c r="A1580" t="s">
        <v>1746</v>
      </c>
      <c r="B1580" t="str">
        <f>IF(COUNTIF(A:A,A1580)&gt;1,_xlfn.CONCAT(A1580," (",N1580,")"),A1580)</f>
        <v>Yàndiàn Zhèn</v>
      </c>
      <c r="C1580" t="str">
        <f>IF(COUNTIF(B:B,B1580)&gt;1,_xlfn.CONCAT(A1580," (",M1580,")"),B1580)</f>
        <v>Yàndiàn Zhèn</v>
      </c>
      <c r="D1580" t="s">
        <v>1747</v>
      </c>
      <c r="E1580" t="s">
        <v>13</v>
      </c>
      <c r="F1580" t="str">
        <f>_xlfn.CONCAT(D1580,", ",H1580,", ",I1580,", ","山东省")</f>
        <v>燕店镇, 莘县, 聊城市, 山东省</v>
      </c>
      <c r="G1580">
        <v>37752</v>
      </c>
      <c r="H1580" t="s">
        <v>3707</v>
      </c>
      <c r="I1580" t="s">
        <v>3700</v>
      </c>
      <c r="J1580">
        <f>VLOOKUP(F1580,[1]!china_towns_second__2[[Column1]:[Y]],3,FALSE)</f>
        <v>36.315054919718598</v>
      </c>
      <c r="K1580">
        <f>VLOOKUP(F1580,[1]!china_towns_second__2[[Column1]:[Y]],2,FALSE)</f>
        <v>115.60755399999999</v>
      </c>
      <c r="L1580" t="s">
        <v>6407</v>
      </c>
      <c r="M1580" t="str">
        <f>VLOOKUP(H1580,CHOOSE({1,2},Table17[Native],Table17[Name]),2,0)</f>
        <v>Shēn Xiàn</v>
      </c>
      <c r="N1580" s="15" t="str">
        <f>VLOOKUP(I1580,CHOOSE({1,2},Table17[Native],Table17[Name]),2,0)</f>
        <v>Liáochéng Shì</v>
      </c>
      <c r="O1580" s="15" t="str">
        <f t="shared" si="48"/>
        <v>Yandian Zhen (Liáochéng Shì)</v>
      </c>
      <c r="P1580" s="15" t="str">
        <f t="shared" si="49"/>
        <v>Yandian Zhen (Shēn Xiàn)</v>
      </c>
    </row>
    <row r="1581" spans="1:16" x14ac:dyDescent="0.25">
      <c r="A1581" t="s">
        <v>1748</v>
      </c>
      <c r="B1581" t="str">
        <f>IF(COUNTIF(A:A,A1581)&gt;1,_xlfn.CONCAT(A1581," (",N1581,")"),A1581)</f>
        <v>Yāndiàn Zhèn</v>
      </c>
      <c r="C1581" t="str">
        <f>IF(COUNTIF(B:B,B1581)&gt;1,_xlfn.CONCAT(A1581," (",M1581,")"),B1581)</f>
        <v>Yāndiàn Zhèn</v>
      </c>
      <c r="D1581" t="s">
        <v>1749</v>
      </c>
      <c r="E1581" t="s">
        <v>13</v>
      </c>
      <c r="F1581" t="str">
        <f>_xlfn.CONCAT(D1581,", ",H1581,", ",I1581,", ","山东省")</f>
        <v>烟店镇, 临清市, 聊城市, 山东省</v>
      </c>
      <c r="G1581">
        <v>40712</v>
      </c>
      <c r="H1581" t="s">
        <v>3706</v>
      </c>
      <c r="I1581" t="s">
        <v>3700</v>
      </c>
      <c r="J1581">
        <f>VLOOKUP(F1581,[1]!china_towns_second__2[[Column1]:[Y]],3,FALSE)</f>
        <v>36.710587998648698</v>
      </c>
      <c r="K1581">
        <f>VLOOKUP(F1581,[1]!china_towns_second__2[[Column1]:[Y]],2,FALSE)</f>
        <v>115.47758399999999</v>
      </c>
      <c r="L1581" t="s">
        <v>6407</v>
      </c>
      <c r="M1581" t="str">
        <f>VLOOKUP(H1581,CHOOSE({1,2},Table17[Native],Table17[Name]),2,0)</f>
        <v>Línqīng Shì</v>
      </c>
      <c r="N1581" s="15" t="str">
        <f>VLOOKUP(I1581,CHOOSE({1,2},Table17[Native],Table17[Name]),2,0)</f>
        <v>Liáochéng Shì</v>
      </c>
      <c r="O1581" s="15" t="str">
        <f t="shared" si="48"/>
        <v>Yandian Zhen (Liáochéng Shì)</v>
      </c>
      <c r="P1581" s="15" t="str">
        <f t="shared" si="49"/>
        <v>Yandian Zhen (Línqīng Shì)</v>
      </c>
    </row>
    <row r="1582" spans="1:16" hidden="1" x14ac:dyDescent="0.25">
      <c r="A1582" t="s">
        <v>852</v>
      </c>
      <c r="B1582" t="str">
        <f>IF(COUNTIF(A:A,A1582)&gt;1,_xlfn.CONCAT(A1582," (",N1582,")"),A1582)</f>
        <v>Yándiànlóu Zhèn</v>
      </c>
      <c r="C1582" t="str">
        <f>IF(COUNTIF(B:B,B1582)&gt;1,_xlfn.CONCAT(A1582," (",M1582,")"),B1582)</f>
        <v>Yándiànlóu Zhèn</v>
      </c>
      <c r="D1582" t="s">
        <v>853</v>
      </c>
      <c r="E1582" t="s">
        <v>13</v>
      </c>
      <c r="F1582" t="str">
        <f>_xlfn.CONCAT(D1582,", ",H1582,", ",I1582,", ","山东省")</f>
        <v>阎店楼镇, 曹县, 菏泽市, 山东省</v>
      </c>
      <c r="G1582">
        <v>48146</v>
      </c>
      <c r="H1582" t="s">
        <v>3663</v>
      </c>
      <c r="I1582" t="s">
        <v>3662</v>
      </c>
      <c r="J1582">
        <f>VLOOKUP(F1582,[1]!china_towns_second__2[[Column1]:[Y]],3,FALSE)</f>
        <v>34.726044252074097</v>
      </c>
      <c r="K1582">
        <f>VLOOKUP(F1582,[1]!china_towns_second__2[[Column1]:[Y]],2,FALSE)</f>
        <v>115.57130600000001</v>
      </c>
      <c r="L1582" t="s">
        <v>6408</v>
      </c>
      <c r="M1582" t="str">
        <f>VLOOKUP(H1582,CHOOSE({1,2},Table17[Native],Table17[Name]),2,0)</f>
        <v>Cáo Xiàn</v>
      </c>
      <c r="N1582" s="15" t="str">
        <f>VLOOKUP(I1582,CHOOSE({1,2},Table17[Native],Table17[Name]),2,0)</f>
        <v>Hézé Shì</v>
      </c>
      <c r="O1582" s="15" t="str">
        <f t="shared" si="48"/>
        <v>Yandianlou Zhen (Hézé Shì)</v>
      </c>
      <c r="P1582" s="15" t="str">
        <f t="shared" si="49"/>
        <v>Yandianlou Zhen (Hézé Shì)</v>
      </c>
    </row>
    <row r="1583" spans="1:16" hidden="1" x14ac:dyDescent="0.25">
      <c r="A1583" t="s">
        <v>423</v>
      </c>
      <c r="B1583" t="str">
        <f>IF(COUNTIF(A:A,A1583)&gt;1,_xlfn.CONCAT(A1583," (",N1583,")"),A1583)</f>
        <v>Yáng'ān Zhèn</v>
      </c>
      <c r="C1583" t="str">
        <f>IF(COUNTIF(B:B,B1583)&gt;1,_xlfn.CONCAT(A1583," (",M1583,")"),B1583)</f>
        <v>Yáng'ān Zhèn</v>
      </c>
      <c r="D1583" t="s">
        <v>424</v>
      </c>
      <c r="E1583" t="s">
        <v>13</v>
      </c>
      <c r="F1583" t="str">
        <f>_xlfn.CONCAT(D1583,", ",H1583,", ",I1583,", ","山东省")</f>
        <v>杨安镇, 乐陵市, 德州市, 山东省</v>
      </c>
      <c r="G1583">
        <v>47374</v>
      </c>
      <c r="H1583" t="s">
        <v>3644</v>
      </c>
      <c r="I1583" t="s">
        <v>3642</v>
      </c>
      <c r="J1583">
        <f>VLOOKUP(F1583,[1]!china_towns_second__2[[Column1]:[Y]],3,FALSE)</f>
        <v>37.614917294861201</v>
      </c>
      <c r="K1583">
        <f>VLOOKUP(F1583,[1]!china_towns_second__2[[Column1]:[Y]],2,FALSE)</f>
        <v>117.1267757</v>
      </c>
      <c r="L1583" t="s">
        <v>6409</v>
      </c>
      <c r="M1583" t="str">
        <f>VLOOKUP(H1583,CHOOSE({1,2},Table17[Native],Table17[Name]),2,0)</f>
        <v>Lèlíng Shì</v>
      </c>
      <c r="N1583" s="15" t="str">
        <f>VLOOKUP(I1583,CHOOSE({1,2},Table17[Native],Table17[Name]),2,0)</f>
        <v>Dézhōu Shì</v>
      </c>
      <c r="O1583" s="15" t="str">
        <f t="shared" si="48"/>
        <v>Yang'an Zhen (Dézhōu Shì)</v>
      </c>
      <c r="P1583" s="15" t="str">
        <f t="shared" si="49"/>
        <v>Yang'an Zhen (Dézhōu Shì)</v>
      </c>
    </row>
    <row r="1584" spans="1:16" hidden="1" x14ac:dyDescent="0.25">
      <c r="A1584" t="s">
        <v>3304</v>
      </c>
      <c r="B1584" t="str">
        <f>IF(COUNTIF(A:A,A1584)&gt;1,_xlfn.CONCAT(A1584," (",N1584,")"),A1584)</f>
        <v>Yángchŭ Zhèn</v>
      </c>
      <c r="C1584" t="str">
        <f>IF(COUNTIF(B:B,B1584)&gt;1,_xlfn.CONCAT(A1584," (",M1584,")"),B1584)</f>
        <v>Yángchŭ Zhèn</v>
      </c>
      <c r="D1584" t="s">
        <v>3305</v>
      </c>
      <c r="E1584" t="s">
        <v>13</v>
      </c>
      <c r="F1584" t="str">
        <f>_xlfn.CONCAT(D1584,", ",H1584,", ",I1584,", ","山东省")</f>
        <v>杨础镇, 栖霞市, 烟台市, 山东省</v>
      </c>
      <c r="G1584">
        <v>24815</v>
      </c>
      <c r="H1584" t="s">
        <v>3780</v>
      </c>
      <c r="I1584" t="s">
        <v>3771</v>
      </c>
      <c r="J1584">
        <f>VLOOKUP(F1584,[1]!china_towns_second__2[[Column1]:[Y]],3,FALSE)</f>
        <v>37.196161642917403</v>
      </c>
      <c r="K1584">
        <f>VLOOKUP(F1584,[1]!china_towns_second__2[[Column1]:[Y]],2,FALSE)</f>
        <v>120.7858768</v>
      </c>
      <c r="L1584" t="s">
        <v>6410</v>
      </c>
      <c r="M1584" t="str">
        <f>VLOOKUP(H1584,CHOOSE({1,2},Table17[Native],Table17[Name]),2,0)</f>
        <v>Qīxiá Shì</v>
      </c>
      <c r="N1584" s="15" t="str">
        <f>VLOOKUP(I1584,CHOOSE({1,2},Table17[Native],Table17[Name]),2,0)</f>
        <v>Yāntái Shì</v>
      </c>
      <c r="O1584" s="15" t="str">
        <f t="shared" si="48"/>
        <v>Yangchu Zhen (Yāntái Shì)</v>
      </c>
      <c r="P1584" s="15" t="str">
        <f t="shared" si="49"/>
        <v>Yangchu Zhen (Yāntái Shì)</v>
      </c>
    </row>
    <row r="1585" spans="1:16" hidden="1" x14ac:dyDescent="0.25">
      <c r="A1585" t="s">
        <v>1484</v>
      </c>
      <c r="B1585" t="str">
        <f>IF(COUNTIF(A:A,A1585)&gt;1,_xlfn.CONCAT(A1585," (",N1585,")"),A1585)</f>
        <v>Yángdiàn Zhèn</v>
      </c>
      <c r="C1585" t="str">
        <f>IF(COUNTIF(B:B,B1585)&gt;1,_xlfn.CONCAT(A1585," (",M1585,")"),B1585)</f>
        <v>Yángdiàn Zhèn</v>
      </c>
      <c r="D1585" t="s">
        <v>1485</v>
      </c>
      <c r="E1585" t="s">
        <v>13</v>
      </c>
      <c r="F1585" t="str">
        <f>_xlfn.CONCAT(D1585,", ",H1585,", ",I1585,", ","山东省")</f>
        <v>杨店镇, 汶上县, 济宁市, 山东省</v>
      </c>
      <c r="G1585">
        <v>28953</v>
      </c>
      <c r="H1585" t="s">
        <v>3695</v>
      </c>
      <c r="I1585" t="s">
        <v>3687</v>
      </c>
      <c r="J1585">
        <f>VLOOKUP(F1585,[1]!china_towns_second__2[[Column1]:[Y]],3,FALSE)</f>
        <v>35.835541676801</v>
      </c>
      <c r="K1585">
        <f>VLOOKUP(F1585,[1]!china_towns_second__2[[Column1]:[Y]],2,FALSE)</f>
        <v>116.5501283</v>
      </c>
      <c r="L1585" t="s">
        <v>6411</v>
      </c>
      <c r="M1585" t="str">
        <f>VLOOKUP(H1585,CHOOSE({1,2},Table17[Native],Table17[Name]),2,0)</f>
        <v>Wènshàng Xiàn</v>
      </c>
      <c r="N1585" s="15" t="str">
        <f>VLOOKUP(I1585,CHOOSE({1,2},Table17[Native],Table17[Name]),2,0)</f>
        <v>Jìníng Shì</v>
      </c>
      <c r="O1585" s="15" t="str">
        <f t="shared" si="48"/>
        <v>Yangdian Zhen (Jìníng Shì)</v>
      </c>
      <c r="P1585" s="15" t="str">
        <f t="shared" si="49"/>
        <v>Yangdian Zhen (Jìníng Shì)</v>
      </c>
    </row>
    <row r="1586" spans="1:16" hidden="1" x14ac:dyDescent="0.25">
      <c r="A1586" t="s">
        <v>1750</v>
      </c>
      <c r="B1586" t="str">
        <f>IF(COUNTIF(A:A,A1586)&gt;1,_xlfn.CONCAT(A1586," (",N1586,")"),A1586)</f>
        <v>Yángguāntún Xiāng</v>
      </c>
      <c r="C1586" t="str">
        <f>IF(COUNTIF(B:B,B1586)&gt;1,_xlfn.CONCAT(A1586," (",M1586,")"),B1586)</f>
        <v>Yángguāntún Xiāng</v>
      </c>
      <c r="D1586" t="s">
        <v>1751</v>
      </c>
      <c r="E1586" t="s">
        <v>61</v>
      </c>
      <c r="F1586" t="str">
        <f>_xlfn.CONCAT(D1586,", ",H1586,", ",I1586,", ","山东省")</f>
        <v>杨官屯乡, 茌平区, 聊城市, 山东省</v>
      </c>
      <c r="G1586">
        <v>14782</v>
      </c>
      <c r="H1586" t="s">
        <v>3701</v>
      </c>
      <c r="I1586" t="s">
        <v>3700</v>
      </c>
      <c r="J1586" t="e">
        <f>VLOOKUP(F1586,[1]!china_towns_second__2[[Column1]:[Y]],3,FALSE)</f>
        <v>#N/A</v>
      </c>
      <c r="K1586" t="e">
        <f>VLOOKUP(F1586,[1]!china_towns_second__2[[Column1]:[Y]],2,FALSE)</f>
        <v>#N/A</v>
      </c>
      <c r="L1586" t="s">
        <v>6412</v>
      </c>
      <c r="M1586" t="str">
        <f>VLOOKUP(H1586,CHOOSE({1,2},Table17[Native],Table17[Name]),2,0)</f>
        <v>Chípíng Qū</v>
      </c>
      <c r="N1586" s="15" t="str">
        <f>VLOOKUP(I1586,CHOOSE({1,2},Table17[Native],Table17[Name]),2,0)</f>
        <v>Liáochéng Shì</v>
      </c>
      <c r="O1586" s="15" t="str">
        <f t="shared" si="48"/>
        <v>Yangguantun Xiang (Liáochéng Shì)</v>
      </c>
      <c r="P1586" s="15" t="str">
        <f t="shared" si="49"/>
        <v>Yangguantun Xiang (Liáochéng Shì)</v>
      </c>
    </row>
    <row r="1587" spans="1:16" hidden="1" x14ac:dyDescent="0.25">
      <c r="A1587" t="s">
        <v>2349</v>
      </c>
      <c r="B1587" t="str">
        <f>IF(COUNTIF(A:A,A1587)&gt;1,_xlfn.CONCAT(A1587," (",N1587,")"),A1587)</f>
        <v>Yánghé Zhèn</v>
      </c>
      <c r="C1587" t="str">
        <f>IF(COUNTIF(B:B,B1587)&gt;1,_xlfn.CONCAT(A1587," (",M1587,")"),B1587)</f>
        <v>Yánghé Zhèn</v>
      </c>
      <c r="D1587" t="s">
        <v>2350</v>
      </c>
      <c r="E1587" t="s">
        <v>13</v>
      </c>
      <c r="F1587" t="str">
        <f>_xlfn.CONCAT(D1587,", ",H1587,", ",I1587,", ","山东省")</f>
        <v>洋河镇, 胶州市, 青岛市, 山东省</v>
      </c>
      <c r="G1587">
        <v>50371</v>
      </c>
      <c r="H1587" t="s">
        <v>3727</v>
      </c>
      <c r="I1587" t="s">
        <v>3724</v>
      </c>
      <c r="J1587">
        <f>VLOOKUP(F1587,[1]!china_towns_second__2[[Column1]:[Y]],3,FALSE)</f>
        <v>36.1126451659553</v>
      </c>
      <c r="K1587">
        <f>VLOOKUP(F1587,[1]!china_towns_second__2[[Column1]:[Y]],2,FALSE)</f>
        <v>119.9286388</v>
      </c>
      <c r="L1587" t="s">
        <v>6413</v>
      </c>
      <c r="M1587" t="str">
        <f>VLOOKUP(H1587,CHOOSE({1,2},Table17[Native],Table17[Name]),2,0)</f>
        <v>Jiāozhōu Shì</v>
      </c>
      <c r="N1587" s="15" t="str">
        <f>VLOOKUP(I1587,CHOOSE({1,2},Table17[Native],Table17[Name]),2,0)</f>
        <v>Qīngdăo Shì</v>
      </c>
      <c r="O1587" s="15" t="str">
        <f t="shared" si="48"/>
        <v>Yanghe Zhen (Qīngdăo Shì)</v>
      </c>
      <c r="P1587" s="15" t="str">
        <f t="shared" si="49"/>
        <v>Yanghe Zhen (Qīngdăo Shì)</v>
      </c>
    </row>
    <row r="1588" spans="1:16" hidden="1" x14ac:dyDescent="0.25">
      <c r="A1588" t="s">
        <v>189</v>
      </c>
      <c r="B1588" t="str">
        <f>IF(COUNTIF(A:A,A1588)&gt;1,_xlfn.CONCAT(A1588," (",N1588,")"),A1588)</f>
        <v>Yánghú Xiāng</v>
      </c>
      <c r="C1588" t="str">
        <f>IF(COUNTIF(B:B,B1588)&gt;1,_xlfn.CONCAT(A1588," (",M1588,")"),B1588)</f>
        <v>Yánghú Xiāng</v>
      </c>
      <c r="D1588" t="s">
        <v>190</v>
      </c>
      <c r="E1588" t="s">
        <v>61</v>
      </c>
      <c r="F1588" t="str">
        <f>_xlfn.CONCAT(D1588,", ",H1588,", ",I1588,", ","山东省")</f>
        <v>洋湖乡, 阳信县, 滨州市, 山东省</v>
      </c>
      <c r="G1588">
        <v>48231</v>
      </c>
      <c r="H1588" t="s">
        <v>3637</v>
      </c>
      <c r="I1588" t="s">
        <v>3630</v>
      </c>
      <c r="J1588" t="e">
        <f>VLOOKUP(F1588,[1]!china_towns_second__2[[Column1]:[Y]],3,FALSE)</f>
        <v>#N/A</v>
      </c>
      <c r="K1588" t="e">
        <f>VLOOKUP(F1588,[1]!china_towns_second__2[[Column1]:[Y]],2,FALSE)</f>
        <v>#N/A</v>
      </c>
      <c r="L1588" t="s">
        <v>6414</v>
      </c>
      <c r="M1588" t="str">
        <f>VLOOKUP(H1588,CHOOSE({1,2},Table17[Native],Table17[Name]),2,0)</f>
        <v>Yángxìn Xiàn</v>
      </c>
      <c r="N1588" s="15" t="str">
        <f>VLOOKUP(I1588,CHOOSE({1,2},Table17[Native],Table17[Name]),2,0)</f>
        <v>Bīnzhōu Shì</v>
      </c>
      <c r="O1588" s="15" t="str">
        <f t="shared" si="48"/>
        <v>Yanghu Xiang (Bīnzhōu Shì)</v>
      </c>
      <c r="P1588" s="15" t="str">
        <f t="shared" si="49"/>
        <v>Yanghu Xiang (Bīnzhōu Shì)</v>
      </c>
    </row>
    <row r="1589" spans="1:16" hidden="1" x14ac:dyDescent="0.25">
      <c r="A1589" t="s">
        <v>2056</v>
      </c>
      <c r="B1589" t="str">
        <f>IF(COUNTIF(A:A,A1589)&gt;1,_xlfn.CONCAT(A1589," (",N1589,")"),A1589)</f>
        <v>Yángjí Zhèn</v>
      </c>
      <c r="C1589" t="str">
        <f>IF(COUNTIF(B:B,B1589)&gt;1,_xlfn.CONCAT(A1589," (",M1589,")"),B1589)</f>
        <v>Yángjí Zhèn</v>
      </c>
      <c r="D1589" t="s">
        <v>2057</v>
      </c>
      <c r="E1589" t="s">
        <v>13</v>
      </c>
      <c r="F1589" t="str">
        <f>_xlfn.CONCAT(D1589,", ",H1589,", ",I1589,", ","山东省")</f>
        <v>杨集镇, 郯城县, 临沂市, 山东省</v>
      </c>
      <c r="G1589">
        <v>43677</v>
      </c>
      <c r="H1589" t="s">
        <v>3720</v>
      </c>
      <c r="I1589" t="s">
        <v>3710</v>
      </c>
      <c r="J1589">
        <f>VLOOKUP(F1589,[1]!china_towns_second__2[[Column1]:[Y]],3,FALSE)</f>
        <v>34.432928460248903</v>
      </c>
      <c r="K1589">
        <f>VLOOKUP(F1589,[1]!china_towns_second__2[[Column1]:[Y]],2,FALSE)</f>
        <v>118.2234241</v>
      </c>
      <c r="L1589" t="s">
        <v>6415</v>
      </c>
      <c r="M1589" t="str">
        <f>VLOOKUP(H1589,CHOOSE({1,2},Table17[Native],Table17[Name]),2,0)</f>
        <v>Tánchéng Xiàn</v>
      </c>
      <c r="N1589" s="15" t="str">
        <f>VLOOKUP(I1589,CHOOSE({1,2},Table17[Native],Table17[Name]),2,0)</f>
        <v>Línyí Shì</v>
      </c>
      <c r="O1589" s="15" t="str">
        <f t="shared" si="48"/>
        <v>Yangji Zhen (Línyí Shì)</v>
      </c>
      <c r="P1589" s="15" t="str">
        <f t="shared" si="49"/>
        <v>Yangji Zhen (Línyí Shì)</v>
      </c>
    </row>
    <row r="1590" spans="1:16" hidden="1" x14ac:dyDescent="0.25">
      <c r="A1590" t="s">
        <v>3306</v>
      </c>
      <c r="B1590" t="str">
        <f>IF(COUNTIF(A:A,A1590)&gt;1,_xlfn.CONCAT(A1590," (",N1590,")"),A1590)</f>
        <v>Yángjùn Zhèn</v>
      </c>
      <c r="C1590" t="str">
        <f>IF(COUNTIF(B:B,B1590)&gt;1,_xlfn.CONCAT(A1590," (",M1590,")"),B1590)</f>
        <v>Yángjùn Zhèn</v>
      </c>
      <c r="D1590" t="s">
        <v>3307</v>
      </c>
      <c r="E1590" t="s">
        <v>13</v>
      </c>
      <c r="F1590" t="str">
        <f>_xlfn.CONCAT(D1590,", ",H1590,", ",I1590,", ","山东省")</f>
        <v>羊郡镇, 莱阳市, 烟台市, 山东省</v>
      </c>
      <c r="G1590">
        <v>25603</v>
      </c>
      <c r="H1590" t="s">
        <v>3775</v>
      </c>
      <c r="I1590" t="s">
        <v>3771</v>
      </c>
      <c r="J1590">
        <f>VLOOKUP(F1590,[1]!china_towns_second__2[[Column1]:[Y]],3,FALSE)</f>
        <v>36.662249336396897</v>
      </c>
      <c r="K1590">
        <f>VLOOKUP(F1590,[1]!china_towns_second__2[[Column1]:[Y]],2,FALSE)</f>
        <v>120.8206211</v>
      </c>
      <c r="L1590" t="s">
        <v>6416</v>
      </c>
      <c r="M1590" t="str">
        <f>VLOOKUP(H1590,CHOOSE({1,2},Table17[Native],Table17[Name]),2,0)</f>
        <v>Láiyáng Shì</v>
      </c>
      <c r="N1590" s="15" t="str">
        <f>VLOOKUP(I1590,CHOOSE({1,2},Table17[Native],Table17[Name]),2,0)</f>
        <v>Yāntái Shì</v>
      </c>
      <c r="O1590" s="15" t="str">
        <f t="shared" si="48"/>
        <v>Yangjun Zhen (Yāntái Shì)</v>
      </c>
      <c r="P1590" s="15" t="str">
        <f t="shared" si="49"/>
        <v>Yangjun Zhen (Yāntái Shì)</v>
      </c>
    </row>
    <row r="1591" spans="1:16" hidden="1" x14ac:dyDescent="0.25">
      <c r="A1591" t="s">
        <v>2871</v>
      </c>
      <c r="B1591" t="str">
        <f>IF(COUNTIF(A:A,A1591)&gt;1,_xlfn.CONCAT(A1591," (",N1591,")"),A1591)</f>
        <v>Yángkŏu Zhèn</v>
      </c>
      <c r="C1591" t="str">
        <f>IF(COUNTIF(B:B,B1591)&gt;1,_xlfn.CONCAT(A1591," (",M1591,")"),B1591)</f>
        <v>Yángkŏu Zhèn</v>
      </c>
      <c r="D1591" t="s">
        <v>2872</v>
      </c>
      <c r="E1591" t="s">
        <v>13</v>
      </c>
      <c r="F1591" t="str">
        <f>_xlfn.CONCAT(D1591,", ",H1591,", ",I1591,", ","山东省")</f>
        <v>羊口镇, 寿光市, 潍坊市, 山东省</v>
      </c>
      <c r="G1591">
        <v>60036</v>
      </c>
      <c r="H1591" t="s">
        <v>3761</v>
      </c>
      <c r="I1591" t="s">
        <v>3751</v>
      </c>
      <c r="J1591">
        <f>VLOOKUP(F1591,[1]!china_towns_second__2[[Column1]:[Y]],3,FALSE)</f>
        <v>37.221755446227696</v>
      </c>
      <c r="K1591">
        <f>VLOOKUP(F1591,[1]!china_towns_second__2[[Column1]:[Y]],2,FALSE)</f>
        <v>118.8741388</v>
      </c>
      <c r="L1591" t="s">
        <v>6417</v>
      </c>
      <c r="M1591" t="str">
        <f>VLOOKUP(H1591,CHOOSE({1,2},Table17[Native],Table17[Name]),2,0)</f>
        <v>Shòuguāng Shì</v>
      </c>
      <c r="N1591" s="15" t="str">
        <f>VLOOKUP(I1591,CHOOSE({1,2},Table17[Native],Table17[Name]),2,0)</f>
        <v>Wéifāng Shì</v>
      </c>
      <c r="O1591" s="15" t="str">
        <f t="shared" si="48"/>
        <v>Yangkou Zhen (Wéifāng Shì)</v>
      </c>
      <c r="P1591" s="15" t="str">
        <f t="shared" si="49"/>
        <v>Yangkou Zhen (Wéifāng Shì)</v>
      </c>
    </row>
    <row r="1592" spans="1:16" hidden="1" x14ac:dyDescent="0.25">
      <c r="A1592" t="s">
        <v>1184</v>
      </c>
      <c r="B1592" t="str">
        <f>IF(COUNTIF(A:A,A1592)&gt;1,_xlfn.CONCAT(A1592," (",N1592,")"),A1592)</f>
        <v>Yánglĭ Jiēdào</v>
      </c>
      <c r="C1592" t="str">
        <f>IF(COUNTIF(B:B,B1592)&gt;1,_xlfn.CONCAT(A1592," (",M1592,")"),B1592)</f>
        <v>Yánglĭ Jiēdào</v>
      </c>
      <c r="D1592" t="s">
        <v>1185</v>
      </c>
      <c r="E1592" t="s">
        <v>7</v>
      </c>
      <c r="F1592" t="str">
        <f>_xlfn.CONCAT(D1592,", ",H1592,", ",I1592,", ","山东省")</f>
        <v>羊里街道, 莱芜区, 济南市, 山东省</v>
      </c>
      <c r="G1592">
        <v>54523</v>
      </c>
      <c r="H1592" t="s">
        <v>3678</v>
      </c>
      <c r="I1592" t="s">
        <v>3673</v>
      </c>
      <c r="J1592" t="e">
        <f>VLOOKUP(F1592,[1]!china_towns_second__2[[Column1]:[Y]],3,FALSE)</f>
        <v>#N/A</v>
      </c>
      <c r="K1592" t="e">
        <f>VLOOKUP(F1592,[1]!china_towns_second__2[[Column1]:[Y]],2,FALSE)</f>
        <v>#N/A</v>
      </c>
      <c r="L1592" t="s">
        <v>6418</v>
      </c>
      <c r="M1592" t="str">
        <f>VLOOKUP(H1592,CHOOSE({1,2},Table17[Native],Table17[Name]),2,0)</f>
        <v>Láiwú Qū</v>
      </c>
      <c r="N1592" s="15" t="str">
        <f>VLOOKUP(I1592,CHOOSE({1,2},Table17[Native],Table17[Name]),2,0)</f>
        <v>Jìnán Shì</v>
      </c>
      <c r="O1592" s="15" t="str">
        <f t="shared" si="48"/>
        <v>Yangli Jiedao (Jìnán Shì)</v>
      </c>
      <c r="P1592" s="15" t="str">
        <f t="shared" si="49"/>
        <v>Yangli Jiedao (Jìnán Shì)</v>
      </c>
    </row>
    <row r="1593" spans="1:16" x14ac:dyDescent="0.25">
      <c r="A1593" t="s">
        <v>2651</v>
      </c>
      <c r="B1593" t="str">
        <f>IF(COUNTIF(A:A,A1593)&gt;1,_xlfn.CONCAT(A1593," (",N1593,")"),A1593)</f>
        <v>Yángliú Zhèn</v>
      </c>
      <c r="C1593" t="str">
        <f>IF(COUNTIF(B:B,B1593)&gt;1,_xlfn.CONCAT(A1593," (",M1593,")"),B1593)</f>
        <v>Yángliú Zhèn</v>
      </c>
      <c r="D1593" t="s">
        <v>2652</v>
      </c>
      <c r="E1593" t="s">
        <v>13</v>
      </c>
      <c r="F1593" t="str">
        <f>_xlfn.CONCAT(D1593,", ",H1593,", ",I1593,", ","山东省")</f>
        <v>羊流镇, 新泰市, 泰安市, 山东省</v>
      </c>
      <c r="G1593">
        <v>93584</v>
      </c>
      <c r="H1593" t="s">
        <v>3749</v>
      </c>
      <c r="I1593" t="s">
        <v>3743</v>
      </c>
      <c r="J1593">
        <f>VLOOKUP(F1593,[1]!china_towns_second__2[[Column1]:[Y]],3,FALSE)</f>
        <v>36.038445046422297</v>
      </c>
      <c r="K1593">
        <f>VLOOKUP(F1593,[1]!china_towns_second__2[[Column1]:[Y]],2,FALSE)</f>
        <v>117.5338117</v>
      </c>
      <c r="L1593" t="s">
        <v>6419</v>
      </c>
      <c r="M1593" t="str">
        <f>VLOOKUP(H1593,CHOOSE({1,2},Table17[Native],Table17[Name]),2,0)</f>
        <v>Xīntài Shì</v>
      </c>
      <c r="N1593" s="15" t="str">
        <f>VLOOKUP(I1593,CHOOSE({1,2},Table17[Native],Table17[Name]),2,0)</f>
        <v>Tài'ān Shì</v>
      </c>
      <c r="O1593" s="15" t="str">
        <f t="shared" si="48"/>
        <v>Yangliu Zhen (Tài'ān Shì)</v>
      </c>
      <c r="P1593" s="15" t="str">
        <f t="shared" si="49"/>
        <v>Yangliu Zhen (Tài'ān Shì)</v>
      </c>
    </row>
    <row r="1594" spans="1:16" x14ac:dyDescent="0.25">
      <c r="A1594" t="s">
        <v>1486</v>
      </c>
      <c r="B1594" t="str">
        <f>IF(COUNTIF(A:A,A1594)&gt;1,_xlfn.CONCAT(A1594," (",N1594,")"),A1594)</f>
        <v>Yángliŭ Zhèn</v>
      </c>
      <c r="C1594" t="str">
        <f>IF(COUNTIF(B:B,B1594)&gt;1,_xlfn.CONCAT(A1594," (",M1594,")"),B1594)</f>
        <v>Yángliŭ Zhèn</v>
      </c>
      <c r="D1594" t="s">
        <v>1487</v>
      </c>
      <c r="E1594" t="s">
        <v>13</v>
      </c>
      <c r="F1594" t="str">
        <f>_xlfn.CONCAT(D1594,", ",H1594,", ",I1594,", ","山东省")</f>
        <v>杨柳镇, 泗水县, 济宁市, 山东省</v>
      </c>
      <c r="G1594">
        <v>33606</v>
      </c>
      <c r="H1594" t="s">
        <v>3693</v>
      </c>
      <c r="I1594" t="s">
        <v>3687</v>
      </c>
      <c r="J1594">
        <f>VLOOKUP(F1594,[1]!china_towns_second__2[[Column1]:[Y]],3,FALSE)</f>
        <v>35.677267511857401</v>
      </c>
      <c r="K1594">
        <f>VLOOKUP(F1594,[1]!china_towns_second__2[[Column1]:[Y]],2,FALSE)</f>
        <v>117.135761</v>
      </c>
      <c r="L1594" t="s">
        <v>6419</v>
      </c>
      <c r="M1594" t="str">
        <f>VLOOKUP(H1594,CHOOSE({1,2},Table17[Native],Table17[Name]),2,0)</f>
        <v>Sìshuĭ Xiàn</v>
      </c>
      <c r="N1594" s="15" t="str">
        <f>VLOOKUP(I1594,CHOOSE({1,2},Table17[Native],Table17[Name]),2,0)</f>
        <v>Jìníng Shì</v>
      </c>
      <c r="O1594" s="15" t="str">
        <f t="shared" si="48"/>
        <v>Yangliu Zhen (Jìníng Shì)</v>
      </c>
      <c r="P1594" s="15" t="str">
        <f t="shared" si="49"/>
        <v>Yangliu Zhen (Jìníng Shì)</v>
      </c>
    </row>
    <row r="1595" spans="1:16" hidden="1" x14ac:dyDescent="0.25">
      <c r="A1595" t="s">
        <v>191</v>
      </c>
      <c r="B1595" t="str">
        <f>IF(COUNTIF(A:A,A1595)&gt;1,_xlfn.CONCAT(A1595," (",N1595,")"),A1595)</f>
        <v>Yángliŭxuĕ Zhèn</v>
      </c>
      <c r="C1595" t="str">
        <f>IF(COUNTIF(B:B,B1595)&gt;1,_xlfn.CONCAT(A1595," (",M1595,")"),B1595)</f>
        <v>Yángliŭxuĕ Zhèn</v>
      </c>
      <c r="D1595" t="s">
        <v>192</v>
      </c>
      <c r="E1595" t="s">
        <v>13</v>
      </c>
      <c r="F1595" t="str">
        <f>_xlfn.CONCAT(D1595,", ",H1595,", ",I1595,", ","山东省")</f>
        <v>杨柳雪镇, 滨城区, 滨州市, 山东省</v>
      </c>
      <c r="G1595">
        <v>40124</v>
      </c>
      <c r="H1595" t="s">
        <v>3632</v>
      </c>
      <c r="I1595" t="s">
        <v>3630</v>
      </c>
      <c r="J1595">
        <f>VLOOKUP(F1595,[1]!china_towns_second__2[[Column1]:[Y]],3,FALSE)</f>
        <v>37.437666553513303</v>
      </c>
      <c r="K1595">
        <f>VLOOKUP(F1595,[1]!china_towns_second__2[[Column1]:[Y]],2,FALSE)</f>
        <v>117.8840965</v>
      </c>
      <c r="L1595" t="s">
        <v>6420</v>
      </c>
      <c r="M1595" t="str">
        <f>VLOOKUP(H1595,CHOOSE({1,2},Table17[Native],Table17[Name]),2,0)</f>
        <v>Bīnchéng Qū</v>
      </c>
      <c r="N1595" s="15" t="str">
        <f>VLOOKUP(I1595,CHOOSE({1,2},Table17[Native],Table17[Name]),2,0)</f>
        <v>Bīnzhōu Shì</v>
      </c>
      <c r="O1595" s="15" t="str">
        <f t="shared" si="48"/>
        <v>Yangliuxue Zhen (Bīnzhōu Shì)</v>
      </c>
      <c r="P1595" s="15" t="str">
        <f t="shared" si="49"/>
        <v>Yangliuxue Zhen (Bīnzhōu Shì)</v>
      </c>
    </row>
    <row r="1596" spans="1:16" hidden="1" x14ac:dyDescent="0.25">
      <c r="A1596" t="s">
        <v>854</v>
      </c>
      <c r="B1596" t="str">
        <f>IF(COUNTIF(A:A,A1596)&gt;1,_xlfn.CONCAT(A1596," (",N1596,")"),A1596)</f>
        <v>Yánglóu Zhèn</v>
      </c>
      <c r="C1596" t="str">
        <f>IF(COUNTIF(B:B,B1596)&gt;1,_xlfn.CONCAT(A1596," (",M1596,")"),B1596)</f>
        <v>Yánglóu Zhèn</v>
      </c>
      <c r="D1596" t="s">
        <v>855</v>
      </c>
      <c r="E1596" t="s">
        <v>13</v>
      </c>
      <c r="F1596" t="str">
        <f>_xlfn.CONCAT(D1596,", ",H1596,", ",I1596,", ","山东省")</f>
        <v>杨楼镇, 单县, 菏泽市, 山东省</v>
      </c>
      <c r="G1596">
        <v>43436</v>
      </c>
      <c r="H1596" t="s">
        <v>3670</v>
      </c>
      <c r="I1596" t="s">
        <v>3662</v>
      </c>
      <c r="J1596">
        <f>VLOOKUP(F1596,[1]!china_towns_second__2[[Column1]:[Y]],3,FALSE)</f>
        <v>34.608679227824901</v>
      </c>
      <c r="K1596">
        <f>VLOOKUP(F1596,[1]!china_towns_second__2[[Column1]:[Y]],2,FALSE)</f>
        <v>116.168488</v>
      </c>
      <c r="L1596" t="s">
        <v>6421</v>
      </c>
      <c r="M1596" t="str">
        <f>VLOOKUP(H1596,CHOOSE({1,2},Table17[Native],Table17[Name]),2,0)</f>
        <v>Shàn Xiàn</v>
      </c>
      <c r="N1596" s="15" t="str">
        <f>VLOOKUP(I1596,CHOOSE({1,2},Table17[Native],Table17[Name]),2,0)</f>
        <v>Hézé Shì</v>
      </c>
      <c r="O1596" s="15" t="str">
        <f t="shared" si="48"/>
        <v>Yanglou Zhen (Hézé Shì)</v>
      </c>
      <c r="P1596" s="15" t="str">
        <f t="shared" si="49"/>
        <v>Yanglou Zhen (Hézé Shì)</v>
      </c>
    </row>
    <row r="1597" spans="1:16" hidden="1" x14ac:dyDescent="0.25">
      <c r="A1597" t="s">
        <v>3308</v>
      </c>
      <c r="B1597" t="str">
        <f>IF(COUNTIF(A:A,A1597)&gt;1,_xlfn.CONCAT(A1597," (",N1597,")"),A1597)</f>
        <v>Yăngmădăo Jiēdào</v>
      </c>
      <c r="C1597" t="str">
        <f>IF(COUNTIF(B:B,B1597)&gt;1,_xlfn.CONCAT(A1597," (",M1597,")"),B1597)</f>
        <v>Yăngmădăo Jiēdào</v>
      </c>
      <c r="D1597" t="s">
        <v>3309</v>
      </c>
      <c r="E1597" t="s">
        <v>7</v>
      </c>
      <c r="F1597" t="str">
        <f>_xlfn.CONCAT(D1597,", ",H1597,", ",I1597,", ","山东省")</f>
        <v>养马岛街道, 牟平区, 烟台市, 山东省</v>
      </c>
      <c r="G1597">
        <v>6284</v>
      </c>
      <c r="H1597" t="s">
        <v>3778</v>
      </c>
      <c r="I1597" t="s">
        <v>3771</v>
      </c>
      <c r="J1597">
        <f>VLOOKUP(F1597,[1]!china_towns_second__2[[Column1]:[Y]],3,FALSE)</f>
        <v>37.465482020314496</v>
      </c>
      <c r="K1597">
        <f>VLOOKUP(F1597,[1]!china_towns_second__2[[Column1]:[Y]],2,FALSE)</f>
        <v>121.6180334</v>
      </c>
      <c r="L1597" t="s">
        <v>6422</v>
      </c>
      <c r="M1597" t="str">
        <f>VLOOKUP(H1597,CHOOSE({1,2},Table17[Native],Table17[Name]),2,0)</f>
        <v>Mùpíng Qū</v>
      </c>
      <c r="N1597" s="15" t="str">
        <f>VLOOKUP(I1597,CHOOSE({1,2},Table17[Native],Table17[Name]),2,0)</f>
        <v>Yāntái Shì</v>
      </c>
      <c r="O1597" s="15" t="str">
        <f t="shared" si="48"/>
        <v>Yangmadao Jiedao (Yāntái Shì)</v>
      </c>
      <c r="P1597" s="15" t="str">
        <f t="shared" si="49"/>
        <v>Yangmadao Jiedao (Yāntái Shì)</v>
      </c>
    </row>
    <row r="1598" spans="1:16" hidden="1" x14ac:dyDescent="0.25">
      <c r="A1598" t="s">
        <v>1488</v>
      </c>
      <c r="B1598" t="str">
        <f>IF(COUNTIF(A:A,A1598)&gt;1,_xlfn.CONCAT(A1598," (",N1598,")"),A1598)</f>
        <v>Yángshān Zhèn</v>
      </c>
      <c r="C1598" t="str">
        <f>IF(COUNTIF(B:B,B1598)&gt;1,_xlfn.CONCAT(A1598," (",M1598,")"),B1598)</f>
        <v>Yángshān Zhèn</v>
      </c>
      <c r="D1598" t="s">
        <v>1489</v>
      </c>
      <c r="E1598" t="s">
        <v>13</v>
      </c>
      <c r="F1598" t="str">
        <f>_xlfn.CONCAT(D1598,", ",H1598,", ",I1598,", ","山东省")</f>
        <v>羊山镇, 金乡县, 济宁市, 山东省</v>
      </c>
      <c r="G1598">
        <v>50194</v>
      </c>
      <c r="H1598" t="s">
        <v>3689</v>
      </c>
      <c r="I1598" t="s">
        <v>3687</v>
      </c>
      <c r="J1598">
        <f>VLOOKUP(F1598,[1]!china_towns_second__2[[Column1]:[Y]],3,FALSE)</f>
        <v>35.148592550406299</v>
      </c>
      <c r="K1598">
        <f>VLOOKUP(F1598,[1]!china_towns_second__2[[Column1]:[Y]],2,FALSE)</f>
        <v>116.2474146</v>
      </c>
      <c r="L1598" t="s">
        <v>6423</v>
      </c>
      <c r="M1598" t="str">
        <f>VLOOKUP(H1598,CHOOSE({1,2},Table17[Native],Table17[Name]),2,0)</f>
        <v>Jīnxiāng Xiàn</v>
      </c>
      <c r="N1598" s="15" t="str">
        <f>VLOOKUP(I1598,CHOOSE({1,2},Table17[Native],Table17[Name]),2,0)</f>
        <v>Jìníng Shì</v>
      </c>
      <c r="O1598" s="15" t="str">
        <f t="shared" si="48"/>
        <v>Yangshan Zhen (Jìníng Shì)</v>
      </c>
      <c r="P1598" s="15" t="str">
        <f t="shared" si="49"/>
        <v>Yangshan Zhen (Jìníng Shì)</v>
      </c>
    </row>
    <row r="1599" spans="1:16" hidden="1" x14ac:dyDescent="0.25">
      <c r="A1599" t="s">
        <v>3010</v>
      </c>
      <c r="B1599" t="str">
        <f>IF(COUNTIF(A:A,A1599)&gt;1,_xlfn.CONCAT(A1599," (",N1599,")"),A1599)</f>
        <v>Yángtíng Zhèn</v>
      </c>
      <c r="C1599" t="str">
        <f>IF(COUNTIF(B:B,B1599)&gt;1,_xlfn.CONCAT(A1599," (",M1599,")"),B1599)</f>
        <v>Yángtíng Zhèn</v>
      </c>
      <c r="D1599" t="s">
        <v>3011</v>
      </c>
      <c r="E1599" t="s">
        <v>13</v>
      </c>
      <c r="F1599" t="str">
        <f>_xlfn.CONCAT(D1599,", ",H1599,", ",I1599,", ","山东省")</f>
        <v>羊亭镇, 环翠区, 威海市, 山东省</v>
      </c>
      <c r="G1599">
        <v>31118</v>
      </c>
      <c r="H1599" t="s">
        <v>3766</v>
      </c>
      <c r="I1599" t="s">
        <v>3765</v>
      </c>
      <c r="J1599">
        <f>VLOOKUP(F1599,[1]!china_towns_second__2[[Column1]:[Y]],3,FALSE)</f>
        <v>37.4145678290717</v>
      </c>
      <c r="K1599">
        <f>VLOOKUP(F1599,[1]!china_towns_second__2[[Column1]:[Y]],2,FALSE)</f>
        <v>122.0311178</v>
      </c>
      <c r="L1599" t="s">
        <v>6424</v>
      </c>
      <c r="M1599" t="str">
        <f>VLOOKUP(H1599,CHOOSE({1,2},Table17[Native],Table17[Name]),2,0)</f>
        <v>Huáncuì Qū</v>
      </c>
      <c r="N1599" s="15" t="str">
        <f>VLOOKUP(I1599,CHOOSE({1,2},Table17[Native],Table17[Name]),2,0)</f>
        <v>Wēihăi Shì</v>
      </c>
      <c r="O1599" s="15" t="str">
        <f t="shared" si="48"/>
        <v>Yangting Zhen (Wēihăi Shì)</v>
      </c>
      <c r="P1599" s="15" t="str">
        <f t="shared" si="49"/>
        <v>Yangting Zhen (Wēihăi Shì)</v>
      </c>
    </row>
    <row r="1600" spans="1:16" hidden="1" x14ac:dyDescent="0.25">
      <c r="A1600" t="s">
        <v>1752</v>
      </c>
      <c r="B1600" t="str">
        <f>IF(COUNTIF(A:A,A1600)&gt;1,_xlfn.CONCAT(A1600," (",N1600,")"),A1600)</f>
        <v>Yángtún Zhèn</v>
      </c>
      <c r="C1600" t="str">
        <f>IF(COUNTIF(B:B,B1600)&gt;1,_xlfn.CONCAT(A1600," (",M1600,")"),B1600)</f>
        <v>Yángtún Zhèn</v>
      </c>
      <c r="D1600" t="s">
        <v>1753</v>
      </c>
      <c r="E1600" t="s">
        <v>13</v>
      </c>
      <c r="F1600" t="str">
        <f>_xlfn.CONCAT(D1600,", ",H1600,", ",I1600,", ","山东省")</f>
        <v>杨屯镇, 高唐县, 聊城市, 山东省</v>
      </c>
      <c r="G1600">
        <v>41994</v>
      </c>
      <c r="H1600" t="s">
        <v>3704</v>
      </c>
      <c r="I1600" t="s">
        <v>3700</v>
      </c>
      <c r="J1600">
        <f>VLOOKUP(F1600,[1]!china_towns_second__2[[Column1]:[Y]],3,FALSE)</f>
        <v>36.7892426762713</v>
      </c>
      <c r="K1600">
        <f>VLOOKUP(F1600,[1]!china_towns_second__2[[Column1]:[Y]],2,FALSE)</f>
        <v>116.3380037</v>
      </c>
      <c r="L1600" t="s">
        <v>6425</v>
      </c>
      <c r="M1600" t="str">
        <f>VLOOKUP(H1600,CHOOSE({1,2},Table17[Native],Table17[Name]),2,0)</f>
        <v>Gāotáng Xiàn</v>
      </c>
      <c r="N1600" s="15" t="str">
        <f>VLOOKUP(I1600,CHOOSE({1,2},Table17[Native],Table17[Name]),2,0)</f>
        <v>Liáochéng Shì</v>
      </c>
      <c r="O1600" s="15" t="str">
        <f t="shared" si="48"/>
        <v>Yangtun Zhen (Liáochéng Shì)</v>
      </c>
      <c r="P1600" s="15" t="str">
        <f t="shared" si="49"/>
        <v>Yangtun Zhen (Liáochéng Shì)</v>
      </c>
    </row>
    <row r="1601" spans="1:16" hidden="1" x14ac:dyDescent="0.25">
      <c r="A1601" t="s">
        <v>1490</v>
      </c>
      <c r="B1601" t="str">
        <f>IF(COUNTIF(A:A,A1601)&gt;1,_xlfn.CONCAT(A1601," (",N1601,")"),A1601)</f>
        <v>Yángyíng Zhèn</v>
      </c>
      <c r="C1601" t="str">
        <f>IF(COUNTIF(B:B,B1601)&gt;1,_xlfn.CONCAT(A1601," (",M1601,")"),B1601)</f>
        <v>Yángyíng Zhèn</v>
      </c>
      <c r="D1601" t="s">
        <v>1491</v>
      </c>
      <c r="E1601" t="s">
        <v>13</v>
      </c>
      <c r="F1601" t="str">
        <f>_xlfn.CONCAT(D1601,", ",H1601,", ",I1601,", ","山东省")</f>
        <v>杨营镇, 梁山县, 济宁市, 山东省</v>
      </c>
      <c r="G1601">
        <v>53626</v>
      </c>
      <c r="H1601" t="s">
        <v>3690</v>
      </c>
      <c r="I1601" t="s">
        <v>3687</v>
      </c>
      <c r="J1601">
        <f>VLOOKUP(F1601,[1]!china_towns_second__2[[Column1]:[Y]],3,FALSE)</f>
        <v>35.829922709043103</v>
      </c>
      <c r="K1601">
        <f>VLOOKUP(F1601,[1]!china_towns_second__2[[Column1]:[Y]],2,FALSE)</f>
        <v>115.97912460000001</v>
      </c>
      <c r="L1601" t="s">
        <v>6426</v>
      </c>
      <c r="M1601" t="str">
        <f>VLOOKUP(H1601,CHOOSE({1,2},Table17[Native],Table17[Name]),2,0)</f>
        <v>Liángshān Xiàn</v>
      </c>
      <c r="N1601" s="15" t="str">
        <f>VLOOKUP(I1601,CHOOSE({1,2},Table17[Native],Table17[Name]),2,0)</f>
        <v>Jìníng Shì</v>
      </c>
      <c r="O1601" s="15" t="str">
        <f t="shared" si="48"/>
        <v>Yangying Zhen (Jìníng Shì)</v>
      </c>
      <c r="P1601" s="15" t="str">
        <f t="shared" si="49"/>
        <v>Yangying Zhen (Jìníng Shì)</v>
      </c>
    </row>
    <row r="1602" spans="1:16" hidden="1" x14ac:dyDescent="0.25">
      <c r="A1602" t="s">
        <v>1186</v>
      </c>
      <c r="B1602" t="str">
        <f>IF(COUNTIF(A:A,A1602)&gt;1,_xlfn.CONCAT(A1602," (",N1602,")"),A1602)</f>
        <v>Yángzhuāng Zhèn (Jìnán Shì)</v>
      </c>
      <c r="C1602" t="str">
        <f>IF(COUNTIF(B:B,B1602)&gt;1,_xlfn.CONCAT(A1602," (",M1602,")"),B1602)</f>
        <v>Yángzhuāng Zhèn (Jìnán Shì)</v>
      </c>
      <c r="D1602" t="s">
        <v>1187</v>
      </c>
      <c r="E1602" t="s">
        <v>13</v>
      </c>
      <c r="F1602" t="str">
        <f>_xlfn.CONCAT(D1602,", ",H1602,", ",I1602,", ","山东省")</f>
        <v>杨庄镇, 莱芜区, 济南市, 山东省</v>
      </c>
      <c r="G1602">
        <v>43046</v>
      </c>
      <c r="H1602" t="s">
        <v>3678</v>
      </c>
      <c r="I1602" t="s">
        <v>3673</v>
      </c>
      <c r="J1602">
        <f>VLOOKUP(F1602,[1]!china_towns_second__2[[Column1]:[Y]],3,FALSE)</f>
        <v>36.242370000000001</v>
      </c>
      <c r="K1602">
        <f>VLOOKUP(F1602,[1]!china_towns_second__2[[Column1]:[Y]],2,FALSE)</f>
        <v>117.43644999999999</v>
      </c>
      <c r="L1602" t="s">
        <v>6427</v>
      </c>
      <c r="M1602" t="str">
        <f>VLOOKUP(H1602,CHOOSE({1,2},Table17[Native],Table17[Name]),2,0)</f>
        <v>Láiwú Qū</v>
      </c>
      <c r="N1602" s="15" t="str">
        <f>VLOOKUP(I1602,CHOOSE({1,2},Table17[Native],Table17[Name]),2,0)</f>
        <v>Jìnán Shì</v>
      </c>
      <c r="O1602" s="15" t="str">
        <f t="shared" ref="O1602:O1665" si="50">_xlfn.CONCAT(L1602," (",N1602,")")</f>
        <v>Yangzhuang Zhen (Jinan Shi) (Jìnán Shì)</v>
      </c>
      <c r="P1602" s="15" t="str">
        <f t="shared" ref="P1602:P1665" si="51">IF(COUNTIF(O:O,O1602)&gt;1,_xlfn.CONCAT(L1602," (",M1602,")"),O1602)</f>
        <v>Yangzhuang Zhen (Jinan Shi) (Jìnán Shì)</v>
      </c>
    </row>
    <row r="1603" spans="1:16" hidden="1" x14ac:dyDescent="0.25">
      <c r="A1603" t="s">
        <v>1186</v>
      </c>
      <c r="B1603" t="str">
        <f>IF(COUNTIF(A:A,A1603)&gt;1,_xlfn.CONCAT(A1603," (",N1603,")"),A1603)</f>
        <v>Yángzhuāng Zhèn (Línyí Shì)</v>
      </c>
      <c r="C1603" t="str">
        <f>IF(COUNTIF(B:B,B1603)&gt;1,_xlfn.CONCAT(A1603," (",M1603,")"),B1603)</f>
        <v>Yángzhuāng Zhèn (Línyí Shì)</v>
      </c>
      <c r="D1603" t="s">
        <v>1187</v>
      </c>
      <c r="E1603" t="s">
        <v>13</v>
      </c>
      <c r="F1603" t="str">
        <f>_xlfn.CONCAT(D1603,", ",H1603,", ",I1603,", ","山东省")</f>
        <v>杨庄镇, 沂水县, 临沂市, 山东省</v>
      </c>
      <c r="G1603">
        <v>54503</v>
      </c>
      <c r="H1603" t="s">
        <v>3722</v>
      </c>
      <c r="I1603" t="s">
        <v>3710</v>
      </c>
      <c r="J1603">
        <f>VLOOKUP(F1603,[1]!china_towns_second__2[[Column1]:[Y]],3,FALSE)</f>
        <v>36.010186588531496</v>
      </c>
      <c r="K1603">
        <f>VLOOKUP(F1603,[1]!china_towns_second__2[[Column1]:[Y]],2,FALSE)</f>
        <v>118.8257356</v>
      </c>
      <c r="L1603" t="s">
        <v>6428</v>
      </c>
      <c r="M1603" t="str">
        <f>VLOOKUP(H1603,CHOOSE({1,2},Table17[Native],Table17[Name]),2,0)</f>
        <v>Yíshuĭ Xiàn</v>
      </c>
      <c r="N1603" s="15" t="str">
        <f>VLOOKUP(I1603,CHOOSE({1,2},Table17[Native],Table17[Name]),2,0)</f>
        <v>Línyí Shì</v>
      </c>
      <c r="O1603" s="15" t="str">
        <f t="shared" si="50"/>
        <v>Yangzhuang Zhen (Linyi Shi) (Línyí Shì)</v>
      </c>
      <c r="P1603" s="15" t="str">
        <f t="shared" si="51"/>
        <v>Yangzhuang Zhen (Linyi Shi) (Línyí Shì)</v>
      </c>
    </row>
    <row r="1604" spans="1:16" hidden="1" x14ac:dyDescent="0.25">
      <c r="A1604" t="s">
        <v>1186</v>
      </c>
      <c r="B1604" t="str">
        <f>IF(COUNTIF(A:A,A1604)&gt;1,_xlfn.CONCAT(A1604," (",N1604,")"),A1604)</f>
        <v>Yángzhuāng Zhèn (Zăozhuāng Shì)</v>
      </c>
      <c r="C1604" t="str">
        <f>IF(COUNTIF(B:B,B1604)&gt;1,_xlfn.CONCAT(A1604," (",M1604,")"),B1604)</f>
        <v>Yángzhuāng Zhèn (Zăozhuāng Shì)</v>
      </c>
      <c r="D1604" t="s">
        <v>3445</v>
      </c>
      <c r="E1604" t="s">
        <v>13</v>
      </c>
      <c r="F1604" t="str">
        <f>_xlfn.CONCAT(D1604,", ",H1604,", ",I1604,", ","山东省")</f>
        <v>羊庄镇, 滕州市, 枣庄市, 山东省</v>
      </c>
      <c r="G1604">
        <v>66755</v>
      </c>
      <c r="H1604" t="s">
        <v>3787</v>
      </c>
      <c r="I1604" t="s">
        <v>3784</v>
      </c>
      <c r="J1604">
        <f>VLOOKUP(F1604,[1]!china_towns_second__2[[Column1]:[Y]],3,FALSE)</f>
        <v>34.977168370640797</v>
      </c>
      <c r="K1604">
        <f>VLOOKUP(F1604,[1]!china_towns_second__2[[Column1]:[Y]],2,FALSE)</f>
        <v>117.34590110000001</v>
      </c>
      <c r="L1604" t="s">
        <v>6429</v>
      </c>
      <c r="M1604" t="str">
        <f>VLOOKUP(H1604,CHOOSE({1,2},Table17[Native],Table17[Name]),2,0)</f>
        <v>Téngzhōu Shì</v>
      </c>
      <c r="N1604" s="15" t="str">
        <f>VLOOKUP(I1604,CHOOSE({1,2},Table17[Native],Table17[Name]),2,0)</f>
        <v>Zăozhuāng Shì</v>
      </c>
      <c r="O1604" s="15" t="str">
        <f t="shared" si="50"/>
        <v>Yangzhuang Zhen (Zaozhuang Shi) (Zăozhuāng Shì)</v>
      </c>
      <c r="P1604" s="15" t="str">
        <f t="shared" si="51"/>
        <v>Yangzhuang Zhen (Zaozhuang Shi) (Zăozhuāng Shì)</v>
      </c>
    </row>
    <row r="1605" spans="1:16" hidden="1" x14ac:dyDescent="0.25">
      <c r="A1605" t="s">
        <v>856</v>
      </c>
      <c r="B1605" t="str">
        <f>IF(COUNTIF(A:A,A1605)&gt;1,_xlfn.CONCAT(A1605," (",N1605,")"),A1605)</f>
        <v>Yángzhuāngjí Zhèn</v>
      </c>
      <c r="C1605" t="str">
        <f>IF(COUNTIF(B:B,B1605)&gt;1,_xlfn.CONCAT(A1605," (",M1605,")"),B1605)</f>
        <v>Yángzhuāngjí Zhèn</v>
      </c>
      <c r="D1605" t="s">
        <v>857</v>
      </c>
      <c r="E1605" t="s">
        <v>13</v>
      </c>
      <c r="F1605" t="str">
        <f>_xlfn.CONCAT(D1605,", ",H1605,", ",I1605,", ","山东省")</f>
        <v>杨庄集镇, 郓城县, 菏泽市, 山东省</v>
      </c>
      <c r="G1605">
        <v>50045</v>
      </c>
      <c r="H1605" t="s">
        <v>3671</v>
      </c>
      <c r="I1605" t="s">
        <v>3662</v>
      </c>
      <c r="J1605">
        <f>VLOOKUP(F1605,[1]!china_towns_second__2[[Column1]:[Y]],3,FALSE)</f>
        <v>35.675713945626804</v>
      </c>
      <c r="K1605">
        <f>VLOOKUP(F1605,[1]!china_towns_second__2[[Column1]:[Y]],2,FALSE)</f>
        <v>116.04203219999999</v>
      </c>
      <c r="L1605" t="s">
        <v>6430</v>
      </c>
      <c r="M1605" t="str">
        <f>VLOOKUP(H1605,CHOOSE({1,2},Table17[Native],Table17[Name]),2,0)</f>
        <v>Yùnchéng Xiàn</v>
      </c>
      <c r="N1605" s="15" t="str">
        <f>VLOOKUP(I1605,CHOOSE({1,2},Table17[Native],Table17[Name]),2,0)</f>
        <v>Hézé Shì</v>
      </c>
      <c r="O1605" s="15" t="str">
        <f t="shared" si="50"/>
        <v>Yangzhuangji Zhen (Hézé Shì)</v>
      </c>
      <c r="P1605" s="15" t="str">
        <f t="shared" si="51"/>
        <v>Yangzhuangji Zhen (Hézé Shì)</v>
      </c>
    </row>
    <row r="1606" spans="1:16" hidden="1" x14ac:dyDescent="0.25">
      <c r="A1606" t="s">
        <v>2873</v>
      </c>
      <c r="B1606" t="str">
        <f>IF(COUNTIF(A:A,A1606)&gt;1,_xlfn.CONCAT(A1606," (",N1606,")"),A1606)</f>
        <v>Yāngzi Jiēdào</v>
      </c>
      <c r="C1606" t="str">
        <f>IF(COUNTIF(B:B,B1606)&gt;1,_xlfn.CONCAT(A1606," (",M1606,")"),B1606)</f>
        <v>Yāngzi Jiēdào</v>
      </c>
      <c r="D1606" t="s">
        <v>2874</v>
      </c>
      <c r="E1606" t="s">
        <v>7</v>
      </c>
      <c r="F1606" t="str">
        <f>_xlfn.CONCAT(D1606,", ",H1606,", ",I1606,", ","山东省")</f>
        <v>央子街道, 寒亭区, 潍坊市, 山东省</v>
      </c>
      <c r="G1606">
        <v>20172</v>
      </c>
      <c r="H1606" t="s">
        <v>3757</v>
      </c>
      <c r="I1606" t="s">
        <v>3751</v>
      </c>
      <c r="J1606">
        <f>VLOOKUP(F1606,[1]!china_towns_second__2[[Column1]:[Y]],3,FALSE)</f>
        <v>37.074343364362399</v>
      </c>
      <c r="K1606">
        <f>VLOOKUP(F1606,[1]!china_towns_second__2[[Column1]:[Y]],2,FALSE)</f>
        <v>119.17467329999999</v>
      </c>
      <c r="L1606" t="s">
        <v>6431</v>
      </c>
      <c r="M1606" t="str">
        <f>VLOOKUP(H1606,CHOOSE({1,2},Table17[Native],Table17[Name]),2,0)</f>
        <v>Hántíng Qū</v>
      </c>
      <c r="N1606" s="15" t="str">
        <f>VLOOKUP(I1606,CHOOSE({1,2},Table17[Native],Table17[Name]),2,0)</f>
        <v>Wéifāng Shì</v>
      </c>
      <c r="O1606" s="15" t="str">
        <f t="shared" si="50"/>
        <v>Yangzi Jiedao (Wéifāng Shì)</v>
      </c>
      <c r="P1606" s="15" t="str">
        <f t="shared" si="51"/>
        <v>Yangzi Jiedao (Wéifāng Shì)</v>
      </c>
    </row>
    <row r="1607" spans="1:16" hidden="1" x14ac:dyDescent="0.25">
      <c r="A1607" t="s">
        <v>1492</v>
      </c>
      <c r="B1607" t="str">
        <f>IF(COUNTIF(A:A,A1607)&gt;1,_xlfn.CONCAT(A1607," (",N1607,")"),A1607)</f>
        <v>Yănkuàng Jítuán Jìdōng Xīncūn</v>
      </c>
      <c r="C1607" t="str">
        <f>IF(COUNTIF(B:B,B1607)&gt;1,_xlfn.CONCAT(A1607," (",M1607,")"),B1607)</f>
        <v>Yănkuàng Jítuán Jìdōng Xīncūn</v>
      </c>
      <c r="D1607" t="s">
        <v>1493</v>
      </c>
      <c r="E1607" t="s">
        <v>495</v>
      </c>
      <c r="F1607" t="str">
        <f>_xlfn.CONCAT(D1607,", ",H1607,", ",I1607,", ","山东省")</f>
        <v>兖矿集团济东新村, 任城区, 济宁市, 山东省</v>
      </c>
      <c r="G1607">
        <v>21102</v>
      </c>
      <c r="H1607" t="s">
        <v>3692</v>
      </c>
      <c r="I1607" t="s">
        <v>3687</v>
      </c>
      <c r="J1607" t="e">
        <f>VLOOKUP(F1607,[1]!china_towns_second__2[[Column1]:[Y]],3,FALSE)</f>
        <v>#N/A</v>
      </c>
      <c r="K1607" t="e">
        <f>VLOOKUP(F1607,[1]!china_towns_second__2[[Column1]:[Y]],2,FALSE)</f>
        <v>#N/A</v>
      </c>
      <c r="L1607" t="s">
        <v>6432</v>
      </c>
      <c r="M1607" t="str">
        <f>VLOOKUP(H1607,CHOOSE({1,2},Table17[Native],Table17[Name]),2,0)</f>
        <v>Rènchéng Qū</v>
      </c>
      <c r="N1607" s="15" t="str">
        <f>VLOOKUP(I1607,CHOOSE({1,2},Table17[Native],Table17[Name]),2,0)</f>
        <v>Jìníng Shì</v>
      </c>
      <c r="O1607" s="15" t="str">
        <f t="shared" si="50"/>
        <v>Yankuang Jituan Jidong Xincun (Jìníng Shì)</v>
      </c>
      <c r="P1607" s="15" t="str">
        <f t="shared" si="51"/>
        <v>Yankuang Jituan Jidong Xincun (Jìníng Shì)</v>
      </c>
    </row>
    <row r="1608" spans="1:16" hidden="1" x14ac:dyDescent="0.25">
      <c r="A1608" t="s">
        <v>1754</v>
      </c>
      <c r="B1608" t="str">
        <f>IF(COUNTIF(A:A,A1608)&gt;1,_xlfn.CONCAT(A1608," (",N1608,")"),A1608)</f>
        <v>Yánlóu Zhèn</v>
      </c>
      <c r="C1608" t="str">
        <f>IF(COUNTIF(B:B,B1608)&gt;1,_xlfn.CONCAT(A1608," (",M1608,")"),B1608)</f>
        <v>Yánlóu Zhèn</v>
      </c>
      <c r="D1608" t="s">
        <v>1755</v>
      </c>
      <c r="E1608" t="s">
        <v>13</v>
      </c>
      <c r="F1608" t="str">
        <f>_xlfn.CONCAT(D1608,", ",H1608,", ",I1608,", ","山东省")</f>
        <v>阎楼镇, 阳谷县, 聊城市, 山东省</v>
      </c>
      <c r="G1608">
        <v>49285</v>
      </c>
      <c r="H1608" t="s">
        <v>3708</v>
      </c>
      <c r="I1608" t="s">
        <v>3700</v>
      </c>
      <c r="J1608">
        <f>VLOOKUP(F1608,[1]!china_towns_second__2[[Column1]:[Y]],3,FALSE)</f>
        <v>36.1351237070688</v>
      </c>
      <c r="K1608">
        <f>VLOOKUP(F1608,[1]!china_towns_second__2[[Column1]:[Y]],2,FALSE)</f>
        <v>115.8872525</v>
      </c>
      <c r="L1608" t="s">
        <v>6433</v>
      </c>
      <c r="M1608" t="str">
        <f>VLOOKUP(H1608,CHOOSE({1,2},Table17[Native],Table17[Name]),2,0)</f>
        <v>Yánggŭ Xiàn</v>
      </c>
      <c r="N1608" s="15" t="str">
        <f>VLOOKUP(I1608,CHOOSE({1,2},Table17[Native],Table17[Name]),2,0)</f>
        <v>Liáochéng Shì</v>
      </c>
      <c r="O1608" s="15" t="str">
        <f t="shared" si="50"/>
        <v>Yanlou Zhen (Liáochéng Shì)</v>
      </c>
      <c r="P1608" s="15" t="str">
        <f t="shared" si="51"/>
        <v>Yanlou Zhen (Liáochéng Shì)</v>
      </c>
    </row>
    <row r="1609" spans="1:16" hidden="1" x14ac:dyDescent="0.25">
      <c r="A1609" t="s">
        <v>1188</v>
      </c>
      <c r="B1609" t="str">
        <f>IF(COUNTIF(A:A,A1609)&gt;1,_xlfn.CONCAT(A1609," (",N1609,")"),A1609)</f>
        <v>Yànshān Jiēdào</v>
      </c>
      <c r="C1609" t="str">
        <f>IF(COUNTIF(B:B,B1609)&gt;1,_xlfn.CONCAT(A1609," (",M1609,")"),B1609)</f>
        <v>Yànshān Jiēdào</v>
      </c>
      <c r="D1609" t="s">
        <v>1189</v>
      </c>
      <c r="E1609" t="s">
        <v>7</v>
      </c>
      <c r="F1609" t="str">
        <f>_xlfn.CONCAT(D1609,", ",H1609,", ",I1609,", ","山东省")</f>
        <v>燕山街道, 历下区, 济南市, 山东省</v>
      </c>
      <c r="G1609">
        <v>43359</v>
      </c>
      <c r="H1609" t="s">
        <v>3680</v>
      </c>
      <c r="I1609" t="s">
        <v>3673</v>
      </c>
      <c r="J1609">
        <f>VLOOKUP(F1609,[1]!china_towns_second__2[[Column1]:[Y]],3,FALSE)</f>
        <v>36.6580510193739</v>
      </c>
      <c r="K1609">
        <f>VLOOKUP(F1609,[1]!china_towns_second__2[[Column1]:[Y]],2,FALSE)</f>
        <v>117.0550918</v>
      </c>
      <c r="L1609" t="s">
        <v>6434</v>
      </c>
      <c r="M1609" t="str">
        <f>VLOOKUP(H1609,CHOOSE({1,2},Table17[Native],Table17[Name]),2,0)</f>
        <v>Lìxià Qū</v>
      </c>
      <c r="N1609" s="15" t="str">
        <f>VLOOKUP(I1609,CHOOSE({1,2},Table17[Native],Table17[Name]),2,0)</f>
        <v>Jìnán Shì</v>
      </c>
      <c r="O1609" s="15" t="str">
        <f t="shared" si="50"/>
        <v>Yanshan Jiedao (Jìnán Shì)</v>
      </c>
      <c r="P1609" s="15" t="str">
        <f t="shared" si="51"/>
        <v>Yanshan Jiedao (Jìnán Shì)</v>
      </c>
    </row>
    <row r="1610" spans="1:16" hidden="1" x14ac:dyDescent="0.25">
      <c r="A1610" t="s">
        <v>858</v>
      </c>
      <c r="B1610" t="str">
        <f>IF(COUNTIF(A:A,A1610)&gt;1,_xlfn.CONCAT(A1610," (",N1610,")"),A1610)</f>
        <v>Yánshí Zhèn</v>
      </c>
      <c r="C1610" t="str">
        <f>IF(COUNTIF(B:B,B1610)&gt;1,_xlfn.CONCAT(A1610," (",M1610,")"),B1610)</f>
        <v>Yánshí Zhèn</v>
      </c>
      <c r="D1610" t="s">
        <v>859</v>
      </c>
      <c r="E1610" t="s">
        <v>13</v>
      </c>
      <c r="F1610" t="str">
        <f>_xlfn.CONCAT(D1610,", ",H1610,", ",I1610,", ","山东省")</f>
        <v>闫什镇, 鄄城县, 菏泽市, 山东省</v>
      </c>
      <c r="G1610">
        <v>49418</v>
      </c>
      <c r="H1610" t="s">
        <v>3667</v>
      </c>
      <c r="I1610" t="s">
        <v>3662</v>
      </c>
      <c r="J1610">
        <f>VLOOKUP(F1610,[1]!china_towns_second__2[[Column1]:[Y]],3,FALSE)</f>
        <v>35.451631404575998</v>
      </c>
      <c r="K1610">
        <f>VLOOKUP(F1610,[1]!china_towns_second__2[[Column1]:[Y]],2,FALSE)</f>
        <v>115.6502624</v>
      </c>
      <c r="L1610" t="s">
        <v>6435</v>
      </c>
      <c r="M1610" t="str">
        <f>VLOOKUP(H1610,CHOOSE({1,2},Table17[Native],Table17[Name]),2,0)</f>
        <v>Juànchéng Xiàn</v>
      </c>
      <c r="N1610" s="15" t="str">
        <f>VLOOKUP(I1610,CHOOSE({1,2},Table17[Native],Table17[Name]),2,0)</f>
        <v>Hézé Shì</v>
      </c>
      <c r="O1610" s="15" t="str">
        <f t="shared" si="50"/>
        <v>Yanshi Zhen (Hézé Shì)</v>
      </c>
      <c r="P1610" s="15" t="str">
        <f t="shared" si="51"/>
        <v>Yanshi Zhen (Hézé Shì)</v>
      </c>
    </row>
    <row r="1611" spans="1:16" hidden="1" x14ac:dyDescent="0.25">
      <c r="A1611" t="s">
        <v>1756</v>
      </c>
      <c r="B1611" t="str">
        <f>IF(COUNTIF(A:A,A1611)&gt;1,_xlfn.CONCAT(A1611," (",N1611,")"),A1611)</f>
        <v>Yánsì Jiēdào</v>
      </c>
      <c r="C1611" t="str">
        <f>IF(COUNTIF(B:B,B1611)&gt;1,_xlfn.CONCAT(A1611," (",M1611,")"),B1611)</f>
        <v>Yánsì Jiēdào</v>
      </c>
      <c r="D1611" t="s">
        <v>1757</v>
      </c>
      <c r="E1611" t="s">
        <v>7</v>
      </c>
      <c r="F1611" t="str">
        <f>_xlfn.CONCAT(D1611,", ",H1611,", ",I1611,", ","山东省")</f>
        <v>闫寺街道, 东昌府区, 聊城市, 山东省</v>
      </c>
      <c r="G1611">
        <v>44746</v>
      </c>
      <c r="H1611" t="s">
        <v>3702</v>
      </c>
      <c r="I1611" t="s">
        <v>3700</v>
      </c>
      <c r="J1611" t="e">
        <f>VLOOKUP(F1611,[1]!china_towns_second__2[[Column1]:[Y]],3,FALSE)</f>
        <v>#N/A</v>
      </c>
      <c r="K1611" t="e">
        <f>VLOOKUP(F1611,[1]!china_towns_second__2[[Column1]:[Y]],2,FALSE)</f>
        <v>#N/A</v>
      </c>
      <c r="L1611" t="s">
        <v>6436</v>
      </c>
      <c r="M1611" t="str">
        <f>VLOOKUP(H1611,CHOOSE({1,2},Table17[Native],Table17[Name]),2,0)</f>
        <v>Dōngchāngfŭ Qū</v>
      </c>
      <c r="N1611" s="15" t="str">
        <f>VLOOKUP(I1611,CHOOSE({1,2},Table17[Native],Table17[Name]),2,0)</f>
        <v>Liáochéng Shì</v>
      </c>
      <c r="O1611" s="15" t="str">
        <f t="shared" si="50"/>
        <v>Yansi Jiedao (Liáochéng Shì)</v>
      </c>
      <c r="P1611" s="15" t="str">
        <f t="shared" si="51"/>
        <v>Yansi Jiedao (Liáochéng Shì)</v>
      </c>
    </row>
    <row r="1612" spans="1:16" hidden="1" x14ac:dyDescent="0.25">
      <c r="A1612" t="s">
        <v>1758</v>
      </c>
      <c r="B1612" t="str">
        <f>IF(COUNTIF(A:A,A1612)&gt;1,_xlfn.CONCAT(A1612," (",N1612,")"),A1612)</f>
        <v>Yàntă Jiēdào</v>
      </c>
      <c r="C1612" t="str">
        <f>IF(COUNTIF(B:B,B1612)&gt;1,_xlfn.CONCAT(A1612," (",M1612,")"),B1612)</f>
        <v>Yàntă Jiēdào</v>
      </c>
      <c r="D1612" t="s">
        <v>1759</v>
      </c>
      <c r="E1612" t="s">
        <v>7</v>
      </c>
      <c r="F1612" t="str">
        <f>_xlfn.CONCAT(D1612,", ",H1612,", ",I1612,", ","山东省")</f>
        <v>燕塔街道, 莘县, 聊城市, 山东省</v>
      </c>
      <c r="G1612">
        <v>69511</v>
      </c>
      <c r="H1612" t="s">
        <v>3707</v>
      </c>
      <c r="I1612" t="s">
        <v>3700</v>
      </c>
      <c r="J1612">
        <f>VLOOKUP(F1612,[1]!china_towns_second__2[[Column1]:[Y]],3,FALSE)</f>
        <v>36.237789580414699</v>
      </c>
      <c r="K1612">
        <f>VLOOKUP(F1612,[1]!china_towns_second__2[[Column1]:[Y]],2,FALSE)</f>
        <v>115.62237039999999</v>
      </c>
      <c r="L1612" t="s">
        <v>6437</v>
      </c>
      <c r="M1612" t="str">
        <f>VLOOKUP(H1612,CHOOSE({1,2},Table17[Native],Table17[Name]),2,0)</f>
        <v>Shēn Xiàn</v>
      </c>
      <c r="N1612" s="15" t="str">
        <f>VLOOKUP(I1612,CHOOSE({1,2},Table17[Native],Table17[Name]),2,0)</f>
        <v>Liáochéng Shì</v>
      </c>
      <c r="O1612" s="15" t="str">
        <f t="shared" si="50"/>
        <v>Yanta Jiedao (Liáochéng Shì)</v>
      </c>
      <c r="P1612" s="15" t="str">
        <f t="shared" si="51"/>
        <v>Yanta Jiedao (Liáochéng Shì)</v>
      </c>
    </row>
    <row r="1613" spans="1:16" hidden="1" x14ac:dyDescent="0.25">
      <c r="A1613" t="s">
        <v>567</v>
      </c>
      <c r="B1613" t="str">
        <f>IF(COUNTIF(A:A,A1613)&gt;1,_xlfn.CONCAT(A1613," (",N1613,")"),A1613)</f>
        <v>Yánwō Zhèn</v>
      </c>
      <c r="C1613" t="str">
        <f>IF(COUNTIF(B:B,B1613)&gt;1,_xlfn.CONCAT(A1613," (",M1613,")"),B1613)</f>
        <v>Yánwō Zhèn</v>
      </c>
      <c r="D1613" t="s">
        <v>568</v>
      </c>
      <c r="E1613" t="s">
        <v>13</v>
      </c>
      <c r="F1613" t="str">
        <f>_xlfn.CONCAT(D1613,", ",H1613,", ",I1613,", ","山东省")</f>
        <v>盐窝镇, 利津县, 东营市, 山东省</v>
      </c>
      <c r="G1613">
        <v>68554</v>
      </c>
      <c r="H1613" t="s">
        <v>3660</v>
      </c>
      <c r="I1613" t="s">
        <v>3655</v>
      </c>
      <c r="J1613">
        <f>VLOOKUP(F1613,[1]!china_towns_second__2[[Column1]:[Y]],3,FALSE)</f>
        <v>37.688575765559399</v>
      </c>
      <c r="K1613">
        <f>VLOOKUP(F1613,[1]!china_towns_second__2[[Column1]:[Y]],2,FALSE)</f>
        <v>118.3706851</v>
      </c>
      <c r="L1613" t="s">
        <v>6438</v>
      </c>
      <c r="M1613" t="str">
        <f>VLOOKUP(H1613,CHOOSE({1,2},Table17[Native],Table17[Name]),2,0)</f>
        <v>Lìjīn Xiàn</v>
      </c>
      <c r="N1613" s="15" t="str">
        <f>VLOOKUP(I1613,CHOOSE({1,2},Table17[Native],Table17[Name]),2,0)</f>
        <v>Dōngyíng Shì</v>
      </c>
      <c r="O1613" s="15" t="str">
        <f t="shared" si="50"/>
        <v>Yanwo Zhen (Dōngyíng Shì)</v>
      </c>
      <c r="P1613" s="15" t="str">
        <f t="shared" si="51"/>
        <v>Yanwo Zhen (Dōngyíng Shì)</v>
      </c>
    </row>
    <row r="1614" spans="1:16" hidden="1" x14ac:dyDescent="0.25">
      <c r="A1614" t="s">
        <v>425</v>
      </c>
      <c r="B1614" t="str">
        <f>IF(COUNTIF(A:A,A1614)&gt;1,_xlfn.CONCAT(A1614," (",N1614,")"),A1614)</f>
        <v>Yánwù Xiāng</v>
      </c>
      <c r="C1614" t="str">
        <f>IF(COUNTIF(B:B,B1614)&gt;1,_xlfn.CONCAT(A1614," (",M1614,")"),B1614)</f>
        <v>Yánwù Xiāng</v>
      </c>
      <c r="D1614" t="s">
        <v>426</v>
      </c>
      <c r="E1614" t="s">
        <v>61</v>
      </c>
      <c r="F1614" t="str">
        <f>_xlfn.CONCAT(D1614,", ",H1614,", ",I1614,", ","山东省")</f>
        <v>严务乡, 庆云县, 德州市, 山东省</v>
      </c>
      <c r="G1614">
        <v>23400</v>
      </c>
      <c r="H1614" t="s">
        <v>3650</v>
      </c>
      <c r="I1614" t="s">
        <v>3642</v>
      </c>
      <c r="J1614" t="e">
        <f>VLOOKUP(F1614,[1]!china_towns_second__2[[Column1]:[Y]],3,FALSE)</f>
        <v>#N/A</v>
      </c>
      <c r="K1614" t="e">
        <f>VLOOKUP(F1614,[1]!china_towns_second__2[[Column1]:[Y]],2,FALSE)</f>
        <v>#N/A</v>
      </c>
      <c r="L1614" t="s">
        <v>6439</v>
      </c>
      <c r="M1614" t="str">
        <f>VLOOKUP(H1614,CHOOSE({1,2},Table17[Native],Table17[Name]),2,0)</f>
        <v>Qìngyún Xiàn</v>
      </c>
      <c r="N1614" s="15" t="str">
        <f>VLOOKUP(I1614,CHOOSE({1,2},Table17[Native],Table17[Name]),2,0)</f>
        <v>Dézhōu Shì</v>
      </c>
      <c r="O1614" s="15" t="str">
        <f t="shared" si="50"/>
        <v>Yanwu Xiang (Dézhōu Shì)</v>
      </c>
      <c r="P1614" s="15" t="str">
        <f t="shared" si="51"/>
        <v>Yanwu Xiang (Dézhōu Shì)</v>
      </c>
    </row>
    <row r="1615" spans="1:16" hidden="1" x14ac:dyDescent="0.25">
      <c r="A1615" t="s">
        <v>3607</v>
      </c>
      <c r="B1615" t="str">
        <f>IF(COUNTIF(A:A,A1615)&gt;1,_xlfn.CONCAT(A1615," (",N1615,")"),A1615)</f>
        <v>Yànyá Zhèn</v>
      </c>
      <c r="C1615" t="str">
        <f>IF(COUNTIF(B:B,B1615)&gt;1,_xlfn.CONCAT(A1615," (",M1615,")"),B1615)</f>
        <v>Yànyá Zhèn</v>
      </c>
      <c r="D1615" t="s">
        <v>3608</v>
      </c>
      <c r="E1615" t="s">
        <v>13</v>
      </c>
      <c r="F1615" t="str">
        <f>_xlfn.CONCAT(D1615,", ",H1615,", ",I1615,", ","山东省")</f>
        <v>燕崖镇, 沂源县, 淄博市, 山东省</v>
      </c>
      <c r="G1615">
        <v>27188</v>
      </c>
      <c r="H1615" t="s">
        <v>3796</v>
      </c>
      <c r="I1615" t="s">
        <v>3791</v>
      </c>
      <c r="J1615">
        <f>VLOOKUP(F1615,[1]!china_towns_second__2[[Column1]:[Y]],3,FALSE)</f>
        <v>36.098529475452999</v>
      </c>
      <c r="K1615">
        <f>VLOOKUP(F1615,[1]!china_towns_second__2[[Column1]:[Y]],2,FALSE)</f>
        <v>118.18118800000001</v>
      </c>
      <c r="L1615" t="s">
        <v>6440</v>
      </c>
      <c r="M1615" t="str">
        <f>VLOOKUP(H1615,CHOOSE({1,2},Table17[Native],Table17[Name]),2,0)</f>
        <v>Yíyuán Xiàn</v>
      </c>
      <c r="N1615" s="15" t="str">
        <f>VLOOKUP(I1615,CHOOSE({1,2},Table17[Native],Table17[Name]),2,0)</f>
        <v>Zībó Shì</v>
      </c>
      <c r="O1615" s="15" t="str">
        <f t="shared" si="50"/>
        <v>Yanya Zhen (Zībó Shì)</v>
      </c>
      <c r="P1615" s="15" t="str">
        <f t="shared" si="51"/>
        <v>Yanya Zhen (Zībó Shì)</v>
      </c>
    </row>
    <row r="1616" spans="1:16" hidden="1" x14ac:dyDescent="0.25">
      <c r="A1616" t="s">
        <v>1190</v>
      </c>
      <c r="B1616" t="str">
        <f>IF(COUNTIF(A:A,A1616)&gt;1,_xlfn.CONCAT(A1616," (",N1616,")"),A1616)</f>
        <v>Yánzhuāng Jiēdào (Jìnán Shì)</v>
      </c>
      <c r="C1616" t="str">
        <f>IF(COUNTIF(B:B,B1616)&gt;1,_xlfn.CONCAT(A1616," (",M1616,")"),B1616)</f>
        <v>Yánzhuāng Jiēdào (Jìnán Shì)</v>
      </c>
      <c r="D1616" t="s">
        <v>1191</v>
      </c>
      <c r="E1616" t="s">
        <v>7</v>
      </c>
      <c r="F1616" t="str">
        <f>_xlfn.CONCAT(D1616,", ",H1616,", ",I1616,", ","山东省")</f>
        <v>颜庄街道, 钢城区, 济南市, 山东省</v>
      </c>
      <c r="G1616">
        <v>55022</v>
      </c>
      <c r="H1616" t="s">
        <v>3675</v>
      </c>
      <c r="I1616" t="s">
        <v>3673</v>
      </c>
      <c r="J1616" t="e">
        <f>VLOOKUP(F1616,[1]!china_towns_second__2[[Column1]:[Y]],3,FALSE)</f>
        <v>#N/A</v>
      </c>
      <c r="K1616" t="e">
        <f>VLOOKUP(F1616,[1]!china_towns_second__2[[Column1]:[Y]],2,FALSE)</f>
        <v>#N/A</v>
      </c>
      <c r="L1616" t="s">
        <v>6441</v>
      </c>
      <c r="M1616" t="str">
        <f>VLOOKUP(H1616,CHOOSE({1,2},Table17[Native],Table17[Name]),2,0)</f>
        <v>Gāngchéng Qū</v>
      </c>
      <c r="N1616" s="15" t="str">
        <f>VLOOKUP(I1616,CHOOSE({1,2},Table17[Native],Table17[Name]),2,0)</f>
        <v>Jìnán Shì</v>
      </c>
      <c r="O1616" s="15" t="str">
        <f t="shared" si="50"/>
        <v>Yanzhuang Jiedao (Jinan Shi) (Jìnán Shì)</v>
      </c>
      <c r="P1616" s="15" t="str">
        <f t="shared" si="51"/>
        <v>Yanzhuang Jiedao (Jinan Shi) (Jìnán Shì)</v>
      </c>
    </row>
    <row r="1617" spans="1:16" hidden="1" x14ac:dyDescent="0.25">
      <c r="A1617" t="s">
        <v>1190</v>
      </c>
      <c r="B1617" t="str">
        <f>IF(COUNTIF(A:A,A1617)&gt;1,_xlfn.CONCAT(A1617," (",N1617,")"),A1617)</f>
        <v>Yánzhuāng Jiēdào (Rìzhào Shì)</v>
      </c>
      <c r="C1617" t="str">
        <f>IF(COUNTIF(B:B,B1617)&gt;1,_xlfn.CONCAT(A1617," (",M1617,")"),B1617)</f>
        <v>Yánzhuāng Jiēdào (Rìzhào Shì)</v>
      </c>
      <c r="D1617" t="s">
        <v>2484</v>
      </c>
      <c r="E1617" t="s">
        <v>7</v>
      </c>
      <c r="F1617" t="str">
        <f>_xlfn.CONCAT(D1617,", ",H1617,", ",I1617,", ","山东省")</f>
        <v>阎庄街道, 莒县, 日照市, 山东省</v>
      </c>
      <c r="G1617">
        <v>36041</v>
      </c>
      <c r="H1617" t="s">
        <v>3739</v>
      </c>
      <c r="I1617" t="s">
        <v>3736</v>
      </c>
      <c r="J1617" t="e">
        <f>VLOOKUP(F1617,[1]!china_towns_second__2[[Column1]:[Y]],3,FALSE)</f>
        <v>#N/A</v>
      </c>
      <c r="K1617" t="e">
        <f>VLOOKUP(F1617,[1]!china_towns_second__2[[Column1]:[Y]],2,FALSE)</f>
        <v>#N/A</v>
      </c>
      <c r="L1617" t="s">
        <v>6442</v>
      </c>
      <c r="M1617" t="str">
        <f>VLOOKUP(H1617,CHOOSE({1,2},Table17[Native],Table17[Name]),2,0)</f>
        <v>Jŭ Xiàn</v>
      </c>
      <c r="N1617" s="15" t="str">
        <f>VLOOKUP(I1617,CHOOSE({1,2},Table17[Native],Table17[Name]),2,0)</f>
        <v>Rìzhào Shì</v>
      </c>
      <c r="O1617" s="15" t="str">
        <f t="shared" si="50"/>
        <v>Yanzhuang Jiedao (Rizhao Shi) (Rìzhào Shì)</v>
      </c>
      <c r="P1617" s="15" t="str">
        <f t="shared" si="51"/>
        <v>Yanzhuang Jiedao (Rizhao Shi) (Rìzhào Shì)</v>
      </c>
    </row>
    <row r="1618" spans="1:16" hidden="1" x14ac:dyDescent="0.25">
      <c r="A1618" t="s">
        <v>1760</v>
      </c>
      <c r="B1618" t="str">
        <f>IF(COUNTIF(A:A,A1618)&gt;1,_xlfn.CONCAT(A1618," (",N1618,")"),A1618)</f>
        <v>Yānzhuāng Jiēdào</v>
      </c>
      <c r="C1618" t="str">
        <f>IF(COUNTIF(B:B,B1618)&gt;1,_xlfn.CONCAT(A1618," (",M1618,")"),B1618)</f>
        <v>Yānzhuāng Jiēdào</v>
      </c>
      <c r="D1618" t="s">
        <v>1761</v>
      </c>
      <c r="E1618" t="s">
        <v>7</v>
      </c>
      <c r="F1618" t="str">
        <f>_xlfn.CONCAT(D1618,", ",H1618,", ",I1618,", ","山东省")</f>
        <v>烟庄街道, 冠县, 聊城市, 山东省</v>
      </c>
      <c r="G1618">
        <v>39493</v>
      </c>
      <c r="H1618" t="s">
        <v>3705</v>
      </c>
      <c r="I1618" t="s">
        <v>3700</v>
      </c>
      <c r="J1618">
        <f>VLOOKUP(F1618,[1]!china_towns_second__2[[Column1]:[Y]],3,FALSE)</f>
        <v>36.494821038416397</v>
      </c>
      <c r="K1618">
        <f>VLOOKUP(F1618,[1]!china_towns_second__2[[Column1]:[Y]],2,FALSE)</f>
        <v>115.5146786</v>
      </c>
      <c r="L1618" t="s">
        <v>6443</v>
      </c>
      <c r="M1618" t="str">
        <f>VLOOKUP(H1618,CHOOSE({1,2},Table17[Native],Table17[Name]),2,0)</f>
        <v>Guān Xiàn</v>
      </c>
      <c r="N1618" s="15" t="str">
        <f>VLOOKUP(I1618,CHOOSE({1,2},Table17[Native],Table17[Name]),2,0)</f>
        <v>Liáochéng Shì</v>
      </c>
      <c r="O1618" s="15" t="str">
        <f t="shared" si="50"/>
        <v>Yanzhuang Jiedao (Liáochéng Shì)</v>
      </c>
      <c r="P1618" s="15" t="str">
        <f t="shared" si="51"/>
        <v>Yanzhuang Jiedao (Liáochéng Shì)</v>
      </c>
    </row>
    <row r="1619" spans="1:16" hidden="1" x14ac:dyDescent="0.25">
      <c r="A1619" t="s">
        <v>1494</v>
      </c>
      <c r="B1619" t="str">
        <f>IF(COUNTIF(A:A,A1619)&gt;1,_xlfn.CONCAT(A1619," (",N1619,")"),A1619)</f>
        <v>Yáocūn Zhèn</v>
      </c>
      <c r="C1619" t="str">
        <f>IF(COUNTIF(B:B,B1619)&gt;1,_xlfn.CONCAT(A1619," (",M1619,")"),B1619)</f>
        <v>Yáocūn Zhèn</v>
      </c>
      <c r="D1619" t="s">
        <v>1495</v>
      </c>
      <c r="E1619" t="s">
        <v>13</v>
      </c>
      <c r="F1619" t="str">
        <f>_xlfn.CONCAT(D1619,", ",H1619,", ",I1619,", ","山东省")</f>
        <v>姚村镇, 曲阜市, 济宁市, 山东省</v>
      </c>
      <c r="G1619">
        <v>39035</v>
      </c>
      <c r="H1619" t="s">
        <v>3691</v>
      </c>
      <c r="I1619" t="s">
        <v>3687</v>
      </c>
      <c r="J1619">
        <f>VLOOKUP(F1619,[1]!china_towns_second__2[[Column1]:[Y]],3,FALSE)</f>
        <v>35.662406522481902</v>
      </c>
      <c r="K1619">
        <f>VLOOKUP(F1619,[1]!china_towns_second__2[[Column1]:[Y]],2,FALSE)</f>
        <v>116.91263259999999</v>
      </c>
      <c r="L1619" t="s">
        <v>6444</v>
      </c>
      <c r="M1619" t="str">
        <f>VLOOKUP(H1619,CHOOSE({1,2},Table17[Native],Table17[Name]),2,0)</f>
        <v>Qŭfù Shì</v>
      </c>
      <c r="N1619" s="15" t="str">
        <f>VLOOKUP(I1619,CHOOSE({1,2},Table17[Native],Table17[Name]),2,0)</f>
        <v>Jìníng Shì</v>
      </c>
      <c r="O1619" s="15" t="str">
        <f t="shared" si="50"/>
        <v>Yaocun Zhen (Jìníng Shì)</v>
      </c>
      <c r="P1619" s="15" t="str">
        <f t="shared" si="51"/>
        <v>Yaocun Zhen (Jìníng Shì)</v>
      </c>
    </row>
    <row r="1620" spans="1:16" hidden="1" x14ac:dyDescent="0.25">
      <c r="A1620" t="s">
        <v>1192</v>
      </c>
      <c r="B1620" t="str">
        <f>IF(COUNTIF(A:A,A1620)&gt;1,_xlfn.CONCAT(A1620," (",N1620,")"),A1620)</f>
        <v>Yáojiā Jiēdào</v>
      </c>
      <c r="C1620" t="str">
        <f>IF(COUNTIF(B:B,B1620)&gt;1,_xlfn.CONCAT(A1620," (",M1620,")"),B1620)</f>
        <v>Yáojiā Jiēdào</v>
      </c>
      <c r="D1620" t="s">
        <v>1193</v>
      </c>
      <c r="E1620" t="s">
        <v>7</v>
      </c>
      <c r="F1620" t="str">
        <f>_xlfn.CONCAT(D1620,", ",H1620,", ",I1620,", ","山东省")</f>
        <v>姚家街道, 历下区, 济南市, 山东省</v>
      </c>
      <c r="G1620">
        <v>162929</v>
      </c>
      <c r="H1620" t="s">
        <v>3680</v>
      </c>
      <c r="I1620" t="s">
        <v>3673</v>
      </c>
      <c r="J1620">
        <f>VLOOKUP(F1620,[1]!china_towns_second__2[[Column1]:[Y]],3,FALSE)</f>
        <v>36.657629641108301</v>
      </c>
      <c r="K1620">
        <f>VLOOKUP(F1620,[1]!china_towns_second__2[[Column1]:[Y]],2,FALSE)</f>
        <v>117.08128170000001</v>
      </c>
      <c r="L1620" t="s">
        <v>6445</v>
      </c>
      <c r="M1620" t="str">
        <f>VLOOKUP(H1620,CHOOSE({1,2},Table17[Native],Table17[Name]),2,0)</f>
        <v>Lìxià Qū</v>
      </c>
      <c r="N1620" s="15" t="str">
        <f>VLOOKUP(I1620,CHOOSE({1,2},Table17[Native],Table17[Name]),2,0)</f>
        <v>Jìnán Shì</v>
      </c>
      <c r="O1620" s="15" t="str">
        <f t="shared" si="50"/>
        <v>Yaojia Jiedao (Jìnán Shì)</v>
      </c>
      <c r="P1620" s="15" t="str">
        <f t="shared" si="51"/>
        <v>Yaojia Jiedao (Jìnán Shì)</v>
      </c>
    </row>
    <row r="1621" spans="1:16" hidden="1" x14ac:dyDescent="0.25">
      <c r="A1621" t="s">
        <v>1194</v>
      </c>
      <c r="B1621" t="str">
        <f>IF(COUNTIF(A:A,A1621)&gt;1,_xlfn.CONCAT(A1621," (",N1621,")"),A1621)</f>
        <v>Yáoqiáng Jiēdào</v>
      </c>
      <c r="C1621" t="str">
        <f>IF(COUNTIF(B:B,B1621)&gt;1,_xlfn.CONCAT(A1621," (",M1621,")"),B1621)</f>
        <v>Yáoqiáng Jiēdào</v>
      </c>
      <c r="D1621" t="s">
        <v>1195</v>
      </c>
      <c r="E1621" t="s">
        <v>7</v>
      </c>
      <c r="F1621" t="str">
        <f>_xlfn.CONCAT(D1621,", ",H1621,", ",I1621,", ","山东省")</f>
        <v>遥墙街道, 历城区, 济南市, 山东省</v>
      </c>
      <c r="G1621">
        <v>25732</v>
      </c>
      <c r="H1621" t="s">
        <v>3679</v>
      </c>
      <c r="I1621" t="s">
        <v>3673</v>
      </c>
      <c r="J1621">
        <f>VLOOKUP(F1621,[1]!china_towns_second__2[[Column1]:[Y]],3,FALSE)</f>
        <v>36.835760475894098</v>
      </c>
      <c r="K1621">
        <f>VLOOKUP(F1621,[1]!china_towns_second__2[[Column1]:[Y]],2,FALSE)</f>
        <v>117.1660921</v>
      </c>
      <c r="L1621" t="s">
        <v>6446</v>
      </c>
      <c r="M1621" t="str">
        <f>VLOOKUP(H1621,CHOOSE({1,2},Table17[Native],Table17[Name]),2,0)</f>
        <v>Lìchéng Qū</v>
      </c>
      <c r="N1621" s="15" t="str">
        <f>VLOOKUP(I1621,CHOOSE({1,2},Table17[Native],Table17[Name]),2,0)</f>
        <v>Jìnán Shì</v>
      </c>
      <c r="O1621" s="15" t="str">
        <f t="shared" si="50"/>
        <v>Yaoqiang Jiedao (Jìnán Shì)</v>
      </c>
      <c r="P1621" s="15" t="str">
        <f t="shared" si="51"/>
        <v>Yaoqiang Jiedao (Jìnán Shì)</v>
      </c>
    </row>
    <row r="1622" spans="1:16" hidden="1" x14ac:dyDescent="0.25">
      <c r="A1622" t="s">
        <v>1196</v>
      </c>
      <c r="B1622" t="str">
        <f>IF(COUNTIF(A:A,A1622)&gt;1,_xlfn.CONCAT(A1622," (",N1622,")"),A1622)</f>
        <v>Yàoshān Jiēdào</v>
      </c>
      <c r="C1622" t="str">
        <f>IF(COUNTIF(B:B,B1622)&gt;1,_xlfn.CONCAT(A1622," (",M1622,")"),B1622)</f>
        <v>Yàoshān Jiēdào</v>
      </c>
      <c r="D1622" t="s">
        <v>1197</v>
      </c>
      <c r="E1622" t="s">
        <v>7</v>
      </c>
      <c r="F1622" t="str">
        <f>_xlfn.CONCAT(D1622,", ",H1622,", ",I1622,", ","山东省")</f>
        <v>药山街道, 天桥区, 济南市, 山东省</v>
      </c>
      <c r="G1622">
        <v>61504</v>
      </c>
      <c r="H1622" t="s">
        <v>3684</v>
      </c>
      <c r="I1622" t="s">
        <v>3673</v>
      </c>
      <c r="J1622">
        <f>VLOOKUP(F1622,[1]!china_towns_second__2[[Column1]:[Y]],3,FALSE)</f>
        <v>36.715816085774797</v>
      </c>
      <c r="K1622">
        <f>VLOOKUP(F1622,[1]!china_towns_second__2[[Column1]:[Y]],2,FALSE)</f>
        <v>116.9475884</v>
      </c>
      <c r="L1622" t="s">
        <v>6447</v>
      </c>
      <c r="M1622" t="str">
        <f>VLOOKUP(H1622,CHOOSE({1,2},Table17[Native],Table17[Name]),2,0)</f>
        <v>Tiānqiáo Qū</v>
      </c>
      <c r="N1622" s="15" t="str">
        <f>VLOOKUP(I1622,CHOOSE({1,2},Table17[Native],Table17[Name]),2,0)</f>
        <v>Jìnán Shì</v>
      </c>
      <c r="O1622" s="15" t="str">
        <f t="shared" si="50"/>
        <v>Yaoshan Jiedao (Jìnán Shì)</v>
      </c>
      <c r="P1622" s="15" t="str">
        <f t="shared" si="51"/>
        <v>Yaoshan Jiedao (Jìnán Shì)</v>
      </c>
    </row>
    <row r="1623" spans="1:16" hidden="1" x14ac:dyDescent="0.25">
      <c r="A1623" t="s">
        <v>1762</v>
      </c>
      <c r="B1623" t="str">
        <f>IF(COUNTIF(A:A,A1623)&gt;1,_xlfn.CONCAT(A1623," (",N1623,")"),A1623)</f>
        <v>Yáozhài Zhèn</v>
      </c>
      <c r="C1623" t="str">
        <f>IF(COUNTIF(B:B,B1623)&gt;1,_xlfn.CONCAT(A1623," (",M1623,")"),B1623)</f>
        <v>Yáozhài Zhèn</v>
      </c>
      <c r="D1623" t="s">
        <v>1763</v>
      </c>
      <c r="E1623" t="s">
        <v>13</v>
      </c>
      <c r="F1623" t="str">
        <f>_xlfn.CONCAT(D1623,", ",H1623,", ",I1623,", ","山东省")</f>
        <v>姚寨镇, 东阿县, 聊城市, 山东省</v>
      </c>
      <c r="G1623">
        <v>28253</v>
      </c>
      <c r="H1623" t="s">
        <v>3703</v>
      </c>
      <c r="I1623" t="s">
        <v>3700</v>
      </c>
      <c r="J1623">
        <f>VLOOKUP(F1623,[1]!china_towns_second__2[[Column1]:[Y]],3,FALSE)</f>
        <v>36.387777836132301</v>
      </c>
      <c r="K1623">
        <f>VLOOKUP(F1623,[1]!china_towns_second__2[[Column1]:[Y]],2,FALSE)</f>
        <v>116.360578</v>
      </c>
      <c r="L1623" t="s">
        <v>6448</v>
      </c>
      <c r="M1623" t="str">
        <f>VLOOKUP(H1623,CHOOSE({1,2},Table17[Native],Table17[Name]),2,0)</f>
        <v>Dōng'ē Xiàn</v>
      </c>
      <c r="N1623" s="15" t="str">
        <f>VLOOKUP(I1623,CHOOSE({1,2},Table17[Native],Table17[Name]),2,0)</f>
        <v>Liáochéng Shì</v>
      </c>
      <c r="O1623" s="15" t="str">
        <f t="shared" si="50"/>
        <v>Yaozhai Zhen (Liáochéng Shì)</v>
      </c>
      <c r="P1623" s="15" t="str">
        <f t="shared" si="51"/>
        <v>Yaozhai Zhen (Liáochéng Shì)</v>
      </c>
    </row>
    <row r="1624" spans="1:16" hidden="1" x14ac:dyDescent="0.25">
      <c r="A1624" t="s">
        <v>427</v>
      </c>
      <c r="B1624" t="str">
        <f>IF(COUNTIF(A:A,A1624)&gt;1,_xlfn.CONCAT(A1624," (",N1624,")"),A1624)</f>
        <v>Yāozhàn Zhèn</v>
      </c>
      <c r="C1624" t="str">
        <f>IF(COUNTIF(B:B,B1624)&gt;1,_xlfn.CONCAT(A1624," (",M1624,")"),B1624)</f>
        <v>Yāozhàn Zhèn</v>
      </c>
      <c r="D1624" t="s">
        <v>428</v>
      </c>
      <c r="E1624" t="s">
        <v>13</v>
      </c>
      <c r="F1624" t="str">
        <f>_xlfn.CONCAT(D1624,", ",H1624,", ",I1624,", ","山东省")</f>
        <v>腰站镇, 平原县, 德州市, 山东省</v>
      </c>
      <c r="G1624">
        <v>26420</v>
      </c>
      <c r="H1624" t="s">
        <v>3648</v>
      </c>
      <c r="I1624" t="s">
        <v>3642</v>
      </c>
      <c r="J1624">
        <f>VLOOKUP(F1624,[1]!china_towns_second__2[[Column1]:[Y]],3,FALSE)</f>
        <v>37.047871829791603</v>
      </c>
      <c r="K1624">
        <f>VLOOKUP(F1624,[1]!china_towns_second__2[[Column1]:[Y]],2,FALSE)</f>
        <v>116.2855624</v>
      </c>
      <c r="L1624" t="s">
        <v>6449</v>
      </c>
      <c r="M1624" t="str">
        <f>VLOOKUP(H1624,CHOOSE({1,2},Table17[Native],Table17[Name]),2,0)</f>
        <v>Píngyuán Xiàn</v>
      </c>
      <c r="N1624" s="15" t="str">
        <f>VLOOKUP(I1624,CHOOSE({1,2},Table17[Native],Table17[Name]),2,0)</f>
        <v>Dézhōu Shì</v>
      </c>
      <c r="O1624" s="15" t="str">
        <f t="shared" si="50"/>
        <v>Yaozhan Zhen (Dézhōu Shì)</v>
      </c>
      <c r="P1624" s="15" t="str">
        <f t="shared" si="51"/>
        <v>Yaozhan Zhen (Dézhōu Shì)</v>
      </c>
    </row>
    <row r="1625" spans="1:16" hidden="1" x14ac:dyDescent="0.25">
      <c r="A1625" t="s">
        <v>3012</v>
      </c>
      <c r="B1625" t="str">
        <f>IF(COUNTIF(A:A,A1625)&gt;1,_xlfn.CONCAT(A1625," (",N1625,")"),A1625)</f>
        <v>Yátóu Jiēdào</v>
      </c>
      <c r="C1625" t="str">
        <f>IF(COUNTIF(B:B,B1625)&gt;1,_xlfn.CONCAT(A1625," (",M1625,")"),B1625)</f>
        <v>Yátóu Jiēdào</v>
      </c>
      <c r="D1625" t="s">
        <v>3013</v>
      </c>
      <c r="E1625" t="s">
        <v>7</v>
      </c>
      <c r="F1625" t="str">
        <f>_xlfn.CONCAT(D1625,", ",H1625,", ",I1625,", ","山东省")</f>
        <v>崖头街道, 荣成市, 威海市, 山东省</v>
      </c>
      <c r="G1625">
        <v>139993</v>
      </c>
      <c r="H1625" t="s">
        <v>3767</v>
      </c>
      <c r="I1625" t="s">
        <v>3765</v>
      </c>
      <c r="J1625">
        <f>VLOOKUP(F1625,[1]!china_towns_second__2[[Column1]:[Y]],3,FALSE)</f>
        <v>37.155463676508496</v>
      </c>
      <c r="K1625">
        <f>VLOOKUP(F1625,[1]!china_towns_second__2[[Column1]:[Y]],2,FALSE)</f>
        <v>122.4484307</v>
      </c>
      <c r="L1625" t="s">
        <v>6450</v>
      </c>
      <c r="M1625" t="str">
        <f>VLOOKUP(H1625,CHOOSE({1,2},Table17[Native],Table17[Name]),2,0)</f>
        <v>Róngchéng Shì</v>
      </c>
      <c r="N1625" s="15" t="str">
        <f>VLOOKUP(I1625,CHOOSE({1,2},Table17[Native],Table17[Name]),2,0)</f>
        <v>Wēihăi Shì</v>
      </c>
      <c r="O1625" s="15" t="str">
        <f t="shared" si="50"/>
        <v>Yatou Jiedao (Wēihăi Shì)</v>
      </c>
      <c r="P1625" s="15" t="str">
        <f t="shared" si="51"/>
        <v>Yatou Jiedao (Wēihăi Shì)</v>
      </c>
    </row>
    <row r="1626" spans="1:16" hidden="1" x14ac:dyDescent="0.25">
      <c r="A1626" t="s">
        <v>3014</v>
      </c>
      <c r="B1626" t="str">
        <f>IF(COUNTIF(A:A,A1626)&gt;1,_xlfn.CONCAT(A1626," (",N1626,")"),A1626)</f>
        <v>Yáxī Zhèn</v>
      </c>
      <c r="C1626" t="str">
        <f>IF(COUNTIF(B:B,B1626)&gt;1,_xlfn.CONCAT(A1626," (",M1626,")"),B1626)</f>
        <v>Yáxī Zhèn</v>
      </c>
      <c r="D1626" t="s">
        <v>3015</v>
      </c>
      <c r="E1626" t="s">
        <v>13</v>
      </c>
      <c r="F1626" t="str">
        <f>_xlfn.CONCAT(D1626,", ",H1626,", ",I1626,", ","山东省")</f>
        <v>崖西镇, 荣成市, 威海市, 山东省</v>
      </c>
      <c r="G1626">
        <v>17575</v>
      </c>
      <c r="H1626" t="s">
        <v>3767</v>
      </c>
      <c r="I1626" t="s">
        <v>3765</v>
      </c>
      <c r="J1626">
        <f>VLOOKUP(F1626,[1]!china_towns_second__2[[Column1]:[Y]],3,FALSE)</f>
        <v>37.255796410475703</v>
      </c>
      <c r="K1626">
        <f>VLOOKUP(F1626,[1]!china_towns_second__2[[Column1]:[Y]],2,FALSE)</f>
        <v>122.362663</v>
      </c>
      <c r="L1626" t="s">
        <v>6451</v>
      </c>
      <c r="M1626" t="str">
        <f>VLOOKUP(H1626,CHOOSE({1,2},Table17[Native],Table17[Name]),2,0)</f>
        <v>Róngchéng Shì</v>
      </c>
      <c r="N1626" s="15" t="str">
        <f>VLOOKUP(I1626,CHOOSE({1,2},Table17[Native],Table17[Name]),2,0)</f>
        <v>Wēihăi Shì</v>
      </c>
      <c r="O1626" s="15" t="str">
        <f t="shared" si="50"/>
        <v>Yaxi Zhen (Wēihăi Shì)</v>
      </c>
      <c r="P1626" s="15" t="str">
        <f t="shared" si="51"/>
        <v>Yaxi Zhen (Wēihăi Shì)</v>
      </c>
    </row>
    <row r="1627" spans="1:16" hidden="1" x14ac:dyDescent="0.25">
      <c r="A1627" t="s">
        <v>3016</v>
      </c>
      <c r="B1627" t="str">
        <f>IF(COUNTIF(A:A,A1627)&gt;1,_xlfn.CONCAT(A1627," (",N1627,")"),A1627)</f>
        <v>Yázi Zhèn</v>
      </c>
      <c r="C1627" t="str">
        <f>IF(COUNTIF(B:B,B1627)&gt;1,_xlfn.CONCAT(A1627," (",M1627,")"),B1627)</f>
        <v>Yázi Zhèn</v>
      </c>
      <c r="D1627" t="s">
        <v>3017</v>
      </c>
      <c r="E1627" t="s">
        <v>13</v>
      </c>
      <c r="F1627" t="str">
        <f>_xlfn.CONCAT(D1627,", ",H1627,", ",I1627,", ","山东省")</f>
        <v>崖子镇, 乳山市, 威海市, 山东省</v>
      </c>
      <c r="G1627">
        <v>37165</v>
      </c>
      <c r="H1627" t="s">
        <v>3768</v>
      </c>
      <c r="I1627" t="s">
        <v>3765</v>
      </c>
      <c r="J1627">
        <f>VLOOKUP(F1627,[1]!china_towns_second__2[[Column1]:[Y]],3,FALSE)</f>
        <v>37.067117459714801</v>
      </c>
      <c r="K1627">
        <f>VLOOKUP(F1627,[1]!china_towns_second__2[[Column1]:[Y]],2,FALSE)</f>
        <v>121.2847022</v>
      </c>
      <c r="L1627" t="s">
        <v>6452</v>
      </c>
      <c r="M1627" t="str">
        <f>VLOOKUP(H1627,CHOOSE({1,2},Table17[Native],Table17[Name]),2,0)</f>
        <v>Rŭshān Shì</v>
      </c>
      <c r="N1627" s="15" t="str">
        <f>VLOOKUP(I1627,CHOOSE({1,2},Table17[Native],Table17[Name]),2,0)</f>
        <v>Wēihăi Shì</v>
      </c>
      <c r="O1627" s="15" t="str">
        <f t="shared" si="50"/>
        <v>Yazi Zhen (Wēihăi Shì)</v>
      </c>
      <c r="P1627" s="15" t="str">
        <f t="shared" si="51"/>
        <v>Yazi Zhen (Wēihăi Shì)</v>
      </c>
    </row>
    <row r="1628" spans="1:16" hidden="1" x14ac:dyDescent="0.25">
      <c r="A1628" t="s">
        <v>2058</v>
      </c>
      <c r="B1628" t="str">
        <f>IF(COUNTIF(A:A,A1628)&gt;1,_xlfn.CONCAT(A1628," (",N1628,")"),A1628)</f>
        <v>Yĕdiàn Zhèn</v>
      </c>
      <c r="C1628" t="str">
        <f>IF(COUNTIF(B:B,B1628)&gt;1,_xlfn.CONCAT(A1628," (",M1628,")"),B1628)</f>
        <v>Yĕdiàn Zhèn</v>
      </c>
      <c r="D1628" t="s">
        <v>2059</v>
      </c>
      <c r="E1628" t="s">
        <v>13</v>
      </c>
      <c r="F1628" t="str">
        <f>_xlfn.CONCAT(D1628,", ",H1628,", ",I1628,", ","山东省")</f>
        <v>野店镇, 蒙阴县, 临沂市, 山东省</v>
      </c>
      <c r="G1628">
        <v>30130</v>
      </c>
      <c r="H1628" t="s">
        <v>3718</v>
      </c>
      <c r="I1628" t="s">
        <v>3710</v>
      </c>
      <c r="J1628">
        <f>VLOOKUP(F1628,[1]!china_towns_second__2[[Column1]:[Y]],3,FALSE)</f>
        <v>35.8864342873295</v>
      </c>
      <c r="K1628">
        <f>VLOOKUP(F1628,[1]!china_towns_second__2[[Column1]:[Y]],2,FALSE)</f>
        <v>118.0638589</v>
      </c>
      <c r="L1628" t="s">
        <v>6453</v>
      </c>
      <c r="M1628" t="str">
        <f>VLOOKUP(H1628,CHOOSE({1,2},Table17[Native],Table17[Name]),2,0)</f>
        <v>Mĕngyīn Xiàn</v>
      </c>
      <c r="N1628" s="15" t="str">
        <f>VLOOKUP(I1628,CHOOSE({1,2},Table17[Native],Table17[Name]),2,0)</f>
        <v>Línyí Shì</v>
      </c>
      <c r="O1628" s="15" t="str">
        <f t="shared" si="50"/>
        <v>Yedian Zhen (Línyí Shì)</v>
      </c>
      <c r="P1628" s="15" t="str">
        <f t="shared" si="51"/>
        <v>Yedian Zhen (Línyí Shì)</v>
      </c>
    </row>
    <row r="1629" spans="1:16" hidden="1" x14ac:dyDescent="0.25">
      <c r="A1629" t="s">
        <v>2875</v>
      </c>
      <c r="B1629" t="str">
        <f>IF(COUNTIF(A:A,A1629)&gt;1,_xlfn.CONCAT(A1629," (",N1629,")"),A1629)</f>
        <v>Yĕyuán Jiēdào</v>
      </c>
      <c r="C1629" t="str">
        <f>IF(COUNTIF(B:B,B1629)&gt;1,_xlfn.CONCAT(A1629," (",M1629,")"),B1629)</f>
        <v>Yĕyuán Jiēdào</v>
      </c>
      <c r="D1629" t="s">
        <v>2876</v>
      </c>
      <c r="E1629" t="s">
        <v>7</v>
      </c>
      <c r="F1629" t="str">
        <f>_xlfn.CONCAT(D1629,", ",H1629,", ",I1629,", ","山东省")</f>
        <v>冶源街道, 临朐县, 潍坊市, 山东省</v>
      </c>
      <c r="G1629">
        <v>97936</v>
      </c>
      <c r="H1629" t="s">
        <v>3759</v>
      </c>
      <c r="I1629" t="s">
        <v>3751</v>
      </c>
      <c r="J1629" t="e">
        <f>VLOOKUP(F1629,[1]!china_towns_second__2[[Column1]:[Y]],3,FALSE)</f>
        <v>#N/A</v>
      </c>
      <c r="K1629" t="e">
        <f>VLOOKUP(F1629,[1]!china_towns_second__2[[Column1]:[Y]],2,FALSE)</f>
        <v>#N/A</v>
      </c>
      <c r="L1629" t="s">
        <v>6454</v>
      </c>
      <c r="M1629" t="str">
        <f>VLOOKUP(H1629,CHOOSE({1,2},Table17[Native],Table17[Name]),2,0)</f>
        <v>Línqú Xiàn</v>
      </c>
      <c r="N1629" s="15" t="str">
        <f>VLOOKUP(I1629,CHOOSE({1,2},Table17[Native],Table17[Name]),2,0)</f>
        <v>Wéifāng Shì</v>
      </c>
      <c r="O1629" s="15" t="str">
        <f t="shared" si="50"/>
        <v>Yeyuan Jiedao (Wéifāng Shì)</v>
      </c>
      <c r="P1629" s="15" t="str">
        <f t="shared" si="51"/>
        <v>Yeyuan Jiedao (Wéifāng Shì)</v>
      </c>
    </row>
    <row r="1630" spans="1:16" hidden="1" x14ac:dyDescent="0.25">
      <c r="A1630" t="s">
        <v>2060</v>
      </c>
      <c r="B1630" t="str">
        <f>IF(COUNTIF(A:A,A1630)&gt;1,_xlfn.CONCAT(A1630," (",N1630,")"),A1630)</f>
        <v>Yíchéng Jiēdào</v>
      </c>
      <c r="C1630" t="str">
        <f>IF(COUNTIF(B:B,B1630)&gt;1,_xlfn.CONCAT(A1630," (",M1630,")"),B1630)</f>
        <v>Yíchéng Jiēdào</v>
      </c>
      <c r="D1630" t="s">
        <v>2061</v>
      </c>
      <c r="E1630" t="s">
        <v>7</v>
      </c>
      <c r="F1630" t="str">
        <f>_xlfn.CONCAT(D1630,", ",H1630,", ",I1630,", ","山东省")</f>
        <v>沂城街道, 沂水县, 临沂市, 山东省</v>
      </c>
      <c r="G1630">
        <v>175535</v>
      </c>
      <c r="H1630" t="s">
        <v>3722</v>
      </c>
      <c r="I1630" t="s">
        <v>3710</v>
      </c>
      <c r="J1630">
        <f>VLOOKUP(F1630,[1]!china_towns_second__2[[Column1]:[Y]],3,FALSE)</f>
        <v>35.8423151514897</v>
      </c>
      <c r="K1630">
        <f>VLOOKUP(F1630,[1]!china_towns_second__2[[Column1]:[Y]],2,FALSE)</f>
        <v>118.6257359</v>
      </c>
      <c r="L1630" t="s">
        <v>6455</v>
      </c>
      <c r="M1630" t="str">
        <f>VLOOKUP(H1630,CHOOSE({1,2},Table17[Native],Table17[Name]),2,0)</f>
        <v>Yíshuĭ Xiàn</v>
      </c>
      <c r="N1630" s="15" t="str">
        <f>VLOOKUP(I1630,CHOOSE({1,2},Table17[Native],Table17[Name]),2,0)</f>
        <v>Línyí Shì</v>
      </c>
      <c r="O1630" s="15" t="str">
        <f t="shared" si="50"/>
        <v>Yicheng Jiedao (Línyí Shì)</v>
      </c>
      <c r="P1630" s="15" t="str">
        <f t="shared" si="51"/>
        <v>Yicheng Jiedao (Línyí Shì)</v>
      </c>
    </row>
    <row r="1631" spans="1:16" hidden="1" x14ac:dyDescent="0.25">
      <c r="A1631" t="s">
        <v>3310</v>
      </c>
      <c r="B1631" t="str">
        <f>IF(COUNTIF(A:A,A1631)&gt;1,_xlfn.CONCAT(A1631," (",N1631,")"),A1631)</f>
        <v>Yìdào Zhèn</v>
      </c>
      <c r="C1631" t="str">
        <f>IF(COUNTIF(B:B,B1631)&gt;1,_xlfn.CONCAT(A1631," (",M1631,")"),B1631)</f>
        <v>Yìdào Zhèn</v>
      </c>
      <c r="D1631" t="s">
        <v>3311</v>
      </c>
      <c r="E1631" t="s">
        <v>13</v>
      </c>
      <c r="F1631" t="str">
        <f>_xlfn.CONCAT(D1631,", ",H1631,", ",I1631,", ","山东省")</f>
        <v>驿道镇, 莱州市, 烟台市, 山东省</v>
      </c>
      <c r="G1631">
        <v>46682</v>
      </c>
      <c r="H1631" t="s">
        <v>3776</v>
      </c>
      <c r="I1631" t="s">
        <v>3771</v>
      </c>
      <c r="J1631">
        <f>VLOOKUP(F1631,[1]!china_towns_second__2[[Column1]:[Y]],3,FALSE)</f>
        <v>37.231529280856897</v>
      </c>
      <c r="K1631">
        <f>VLOOKUP(F1631,[1]!china_towns_second__2[[Column1]:[Y]],2,FALSE)</f>
        <v>120.1983451</v>
      </c>
      <c r="L1631" t="s">
        <v>6456</v>
      </c>
      <c r="M1631" t="str">
        <f>VLOOKUP(H1631,CHOOSE({1,2},Table17[Native],Table17[Name]),2,0)</f>
        <v>Láizhōu Shì</v>
      </c>
      <c r="N1631" s="15" t="str">
        <f>VLOOKUP(I1631,CHOOSE({1,2},Table17[Native],Table17[Name]),2,0)</f>
        <v>Yāntái Shì</v>
      </c>
      <c r="O1631" s="15" t="str">
        <f t="shared" si="50"/>
        <v>Yidao Zhen (Yāntái Shì)</v>
      </c>
      <c r="P1631" s="15" t="str">
        <f t="shared" si="51"/>
        <v>Yidao Zhen (Yāntái Shì)</v>
      </c>
    </row>
    <row r="1632" spans="1:16" hidden="1" x14ac:dyDescent="0.25">
      <c r="A1632" t="s">
        <v>2877</v>
      </c>
      <c r="B1632" t="str">
        <f>IF(COUNTIF(A:A,A1632)&gt;1,_xlfn.CONCAT(A1632," (",N1632,")"),A1632)</f>
        <v>Yìdū Jiēdào</v>
      </c>
      <c r="C1632" t="str">
        <f>IF(COUNTIF(B:B,B1632)&gt;1,_xlfn.CONCAT(A1632," (",M1632,")"),B1632)</f>
        <v>Yìdū Jiēdào</v>
      </c>
      <c r="D1632" t="s">
        <v>2878</v>
      </c>
      <c r="E1632" t="s">
        <v>7</v>
      </c>
      <c r="F1632" t="str">
        <f>_xlfn.CONCAT(D1632,", ",H1632,", ",I1632,", ","山东省")</f>
        <v>益都街道, 青州市, 潍坊市, 山东省</v>
      </c>
      <c r="G1632">
        <v>105070</v>
      </c>
      <c r="H1632" t="s">
        <v>3760</v>
      </c>
      <c r="I1632" t="s">
        <v>3751</v>
      </c>
      <c r="J1632">
        <f>VLOOKUP(F1632,[1]!china_towns_second__2[[Column1]:[Y]],3,FALSE)</f>
        <v>36.755690920854903</v>
      </c>
      <c r="K1632">
        <f>VLOOKUP(F1632,[1]!china_towns_second__2[[Column1]:[Y]],2,FALSE)</f>
        <v>118.4480251</v>
      </c>
      <c r="L1632" t="s">
        <v>6457</v>
      </c>
      <c r="M1632" t="str">
        <f>VLOOKUP(H1632,CHOOSE({1,2},Table17[Native],Table17[Name]),2,0)</f>
        <v>Qīngzhōu Shì</v>
      </c>
      <c r="N1632" s="15" t="str">
        <f>VLOOKUP(I1632,CHOOSE({1,2},Table17[Native],Table17[Name]),2,0)</f>
        <v>Wéifāng Shì</v>
      </c>
      <c r="O1632" s="15" t="str">
        <f t="shared" si="50"/>
        <v>Yidu Jiedao (Wéifāng Shì)</v>
      </c>
      <c r="P1632" s="15" t="str">
        <f t="shared" si="51"/>
        <v>Yidu Jiedao (Wéifāng Shì)</v>
      </c>
    </row>
    <row r="1633" spans="1:16" hidden="1" x14ac:dyDescent="0.25">
      <c r="A1633" t="s">
        <v>429</v>
      </c>
      <c r="B1633" t="str">
        <f>IF(COUNTIF(A:A,A1633)&gt;1,_xlfn.CONCAT(A1633," (",N1633,")"),A1633)</f>
        <v>Yìdùkŏu Zhèn</v>
      </c>
      <c r="C1633" t="str">
        <f>IF(COUNTIF(B:B,B1633)&gt;1,_xlfn.CONCAT(A1633," (",M1633,")"),B1633)</f>
        <v>Yìdùkŏu Zhèn</v>
      </c>
      <c r="D1633" t="s">
        <v>430</v>
      </c>
      <c r="E1633" t="s">
        <v>13</v>
      </c>
      <c r="F1633" t="str">
        <f>_xlfn.CONCAT(D1633,", ",H1633,", ",I1633,", ","山东省")</f>
        <v>义渡口镇, 陵城区, 德州市, 山东省</v>
      </c>
      <c r="G1633">
        <v>33437</v>
      </c>
      <c r="H1633" t="s">
        <v>3645</v>
      </c>
      <c r="I1633" t="s">
        <v>3642</v>
      </c>
      <c r="J1633">
        <f>VLOOKUP(F1633,[1]!china_towns_second__2[[Column1]:[Y]],3,FALSE)</f>
        <v>37.483068268917201</v>
      </c>
      <c r="K1633">
        <f>VLOOKUP(F1633,[1]!china_towns_second__2[[Column1]:[Y]],2,FALSE)</f>
        <v>116.7632404</v>
      </c>
      <c r="L1633" t="s">
        <v>6458</v>
      </c>
      <c r="M1633" t="str">
        <f>VLOOKUP(H1633,CHOOSE({1,2},Table17[Native],Table17[Name]),2,0)</f>
        <v>Língchéng Qū</v>
      </c>
      <c r="N1633" s="15" t="str">
        <f>VLOOKUP(I1633,CHOOSE({1,2},Table17[Native],Table17[Name]),2,0)</f>
        <v>Dézhōu Shì</v>
      </c>
      <c r="O1633" s="15" t="str">
        <f t="shared" si="50"/>
        <v>Yidukou Zhen (Dézhōu Shì)</v>
      </c>
      <c r="P1633" s="15" t="str">
        <f t="shared" si="51"/>
        <v>Yidukou Zhen (Dézhōu Shì)</v>
      </c>
    </row>
    <row r="1634" spans="1:16" hidden="1" x14ac:dyDescent="0.25">
      <c r="A1634" t="s">
        <v>2351</v>
      </c>
      <c r="B1634" t="str">
        <f>IF(COUNTIF(A:A,A1634)&gt;1,_xlfn.CONCAT(A1634," (",N1634,")"),A1634)</f>
        <v>Yífēngdiàn Zhèn [incl. Qījí Zhèn]</v>
      </c>
      <c r="C1634" t="str">
        <f>IF(COUNTIF(B:B,B1634)&gt;1,_xlfn.CONCAT(A1634," (",M1634,")"),B1634)</f>
        <v>Yífēngdiàn Zhèn [incl. Qījí Zhèn]</v>
      </c>
      <c r="D1634" t="s">
        <v>2352</v>
      </c>
      <c r="E1634" t="s">
        <v>13</v>
      </c>
      <c r="F1634" t="str">
        <f>_xlfn.CONCAT(D1634,", ",H1634,", ",I1634,", ","山东省")</f>
        <v>移风店镇, 即墨区, 青岛市, 山东省</v>
      </c>
      <c r="G1634">
        <v>79813</v>
      </c>
      <c r="H1634" t="s">
        <v>3728</v>
      </c>
      <c r="I1634" t="s">
        <v>3724</v>
      </c>
      <c r="J1634">
        <f>VLOOKUP(F1634,[1]!china_towns_second__2[[Column1]:[Y]],3,FALSE)</f>
        <v>36.518094877915701</v>
      </c>
      <c r="K1634">
        <f>VLOOKUP(F1634,[1]!china_towns_second__2[[Column1]:[Y]],2,FALSE)</f>
        <v>120.2189518</v>
      </c>
      <c r="L1634" t="s">
        <v>6459</v>
      </c>
      <c r="M1634" t="str">
        <f>VLOOKUP(H1634,CHOOSE({1,2},Table17[Native],Table17[Name]),2,0)</f>
        <v>Jímò Qū</v>
      </c>
      <c r="N1634" s="15" t="str">
        <f>VLOOKUP(I1634,CHOOSE({1,2},Table17[Native],Table17[Name]),2,0)</f>
        <v>Qīngdăo Shì</v>
      </c>
      <c r="O1634" s="15" t="str">
        <f t="shared" si="50"/>
        <v>Yifengdian Zhen [incl. Qiji Zhen] (Qīngdăo Shì)</v>
      </c>
      <c r="P1634" s="15" t="str">
        <f t="shared" si="51"/>
        <v>Yifengdian Zhen [incl. Qiji Zhen] (Qīngdăo Shì)</v>
      </c>
    </row>
    <row r="1635" spans="1:16" hidden="1" x14ac:dyDescent="0.25">
      <c r="A1635" t="s">
        <v>569</v>
      </c>
      <c r="B1635" t="str">
        <f>IF(COUNTIF(A:A,A1635)&gt;1,_xlfn.CONCAT(A1635," (",N1635,")"),A1635)</f>
        <v>Yìhé Zhèn</v>
      </c>
      <c r="C1635" t="str">
        <f>IF(COUNTIF(B:B,B1635)&gt;1,_xlfn.CONCAT(A1635," (",M1635,")"),B1635)</f>
        <v>Yìhé Zhèn</v>
      </c>
      <c r="D1635" t="s">
        <v>570</v>
      </c>
      <c r="E1635" t="s">
        <v>13</v>
      </c>
      <c r="F1635" t="str">
        <f>_xlfn.CONCAT(D1635,", ",H1635,", ",I1635,", ","山东省")</f>
        <v>义和镇, 河口区, 东营市, 山东省</v>
      </c>
      <c r="G1635">
        <v>20315</v>
      </c>
      <c r="H1635" t="s">
        <v>3658</v>
      </c>
      <c r="I1635" t="s">
        <v>3655</v>
      </c>
      <c r="J1635">
        <f>VLOOKUP(F1635,[1]!china_towns_second__2[[Column1]:[Y]],3,FALSE)</f>
        <v>37.878856534088897</v>
      </c>
      <c r="K1635">
        <f>VLOOKUP(F1635,[1]!china_towns_second__2[[Column1]:[Y]],2,FALSE)</f>
        <v>118.3702253</v>
      </c>
      <c r="L1635" t="s">
        <v>6460</v>
      </c>
      <c r="M1635" t="str">
        <f>VLOOKUP(H1635,CHOOSE({1,2},Table17[Native],Table17[Name]),2,0)</f>
        <v>Hékŏu Qū</v>
      </c>
      <c r="N1635" s="15" t="str">
        <f>VLOOKUP(I1635,CHOOSE({1,2},Table17[Native],Table17[Name]),2,0)</f>
        <v>Dōngyíng Shì</v>
      </c>
      <c r="O1635" s="15" t="str">
        <f t="shared" si="50"/>
        <v>Yihe Zhen (Dōngyíng Shì)</v>
      </c>
      <c r="P1635" s="15" t="str">
        <f t="shared" si="51"/>
        <v>Yihe Zhen (Dōngyíng Shì)</v>
      </c>
    </row>
    <row r="1636" spans="1:16" hidden="1" x14ac:dyDescent="0.25">
      <c r="A1636" t="s">
        <v>431</v>
      </c>
      <c r="B1636" t="str">
        <f>IF(COUNTIF(A:A,A1636)&gt;1,_xlfn.CONCAT(A1636," (",N1636,")"),A1636)</f>
        <v>Yínchéng Jiēdào</v>
      </c>
      <c r="C1636" t="str">
        <f>IF(COUNTIF(B:B,B1636)&gt;1,_xlfn.CONCAT(A1636," (",M1636,")"),B1636)</f>
        <v>Yínchéng Jiēdào</v>
      </c>
      <c r="D1636" t="s">
        <v>432</v>
      </c>
      <c r="E1636" t="s">
        <v>7</v>
      </c>
      <c r="F1636" t="str">
        <f>_xlfn.CONCAT(D1636,", ",H1636,", ",I1636,", ","山东省")</f>
        <v>银城街道, 夏津县, 德州市, 山东省</v>
      </c>
      <c r="G1636">
        <v>83990</v>
      </c>
      <c r="H1636" t="s">
        <v>3652</v>
      </c>
      <c r="I1636" t="s">
        <v>3642</v>
      </c>
      <c r="J1636">
        <f>VLOOKUP(F1636,[1]!china_towns_second__2[[Column1]:[Y]],3,FALSE)</f>
        <v>36.9616267580654</v>
      </c>
      <c r="K1636">
        <f>VLOOKUP(F1636,[1]!china_towns_second__2[[Column1]:[Y]],2,FALSE)</f>
        <v>116.0482605</v>
      </c>
      <c r="L1636" t="s">
        <v>6461</v>
      </c>
      <c r="M1636" t="str">
        <f>VLOOKUP(H1636,CHOOSE({1,2},Table17[Native],Table17[Name]),2,0)</f>
        <v>Xiàjīn Xiàn</v>
      </c>
      <c r="N1636" s="15" t="str">
        <f>VLOOKUP(I1636,CHOOSE({1,2},Table17[Native],Table17[Name]),2,0)</f>
        <v>Dézhōu Shì</v>
      </c>
      <c r="O1636" s="15" t="str">
        <f t="shared" si="50"/>
        <v>Yincheng Jiedao (Dézhōu Shì)</v>
      </c>
      <c r="P1636" s="15" t="str">
        <f t="shared" si="51"/>
        <v>Yincheng Jiedao (Dézhōu Shì)</v>
      </c>
    </row>
    <row r="1637" spans="1:16" hidden="1" x14ac:dyDescent="0.25">
      <c r="A1637" t="s">
        <v>2353</v>
      </c>
      <c r="B1637" t="str">
        <f>IF(COUNTIF(A:A,A1637)&gt;1,_xlfn.CONCAT(A1637," (",N1637,")"),A1637)</f>
        <v>Yínghăi Jiēdào</v>
      </c>
      <c r="C1637" t="str">
        <f>IF(COUNTIF(B:B,B1637)&gt;1,_xlfn.CONCAT(A1637," (",M1637,")"),B1637)</f>
        <v>Yínghăi Jiēdào</v>
      </c>
      <c r="D1637" t="s">
        <v>2354</v>
      </c>
      <c r="E1637" t="s">
        <v>7</v>
      </c>
      <c r="F1637" t="str">
        <f>_xlfn.CONCAT(D1637,", ",H1637,", ",I1637,", ","山东省")</f>
        <v>营海街道, 胶州市, 青岛市, 山东省</v>
      </c>
      <c r="G1637">
        <v>37644</v>
      </c>
      <c r="H1637" t="s">
        <v>3727</v>
      </c>
      <c r="I1637" t="s">
        <v>3724</v>
      </c>
      <c r="J1637" t="e">
        <f>VLOOKUP(F1637,[1]!china_towns_second__2[[Column1]:[Y]],3,FALSE)</f>
        <v>#N/A</v>
      </c>
      <c r="K1637" t="e">
        <f>VLOOKUP(F1637,[1]!china_towns_second__2[[Column1]:[Y]],2,FALSE)</f>
        <v>#N/A</v>
      </c>
      <c r="L1637" t="s">
        <v>6462</v>
      </c>
      <c r="M1637" t="str">
        <f>VLOOKUP(H1637,CHOOSE({1,2},Table17[Native],Table17[Name]),2,0)</f>
        <v>Jiāozhōu Shì</v>
      </c>
      <c r="N1637" s="15" t="str">
        <f>VLOOKUP(I1637,CHOOSE({1,2},Table17[Native],Table17[Name]),2,0)</f>
        <v>Qīngdăo Shì</v>
      </c>
      <c r="O1637" s="15" t="str">
        <f t="shared" si="50"/>
        <v>Yinghai Jiedao (Qīngdăo Shì)</v>
      </c>
      <c r="P1637" s="15" t="str">
        <f t="shared" si="51"/>
        <v>Yinghai Jiedao (Qīngdăo Shì)</v>
      </c>
    </row>
    <row r="1638" spans="1:16" hidden="1" x14ac:dyDescent="0.25">
      <c r="A1638" t="s">
        <v>860</v>
      </c>
      <c r="B1638" t="str">
        <f>IF(COUNTIF(A:A,A1638)&gt;1,_xlfn.CONCAT(A1638," (",N1638,")"),A1638)</f>
        <v>Yínglĭ Zhèn (Hézé Shì)</v>
      </c>
      <c r="C1638" t="str">
        <f>IF(COUNTIF(B:B,B1638)&gt;1,_xlfn.CONCAT(A1638," (",M1638,")"),B1638)</f>
        <v>Yínglĭ Zhèn (Hézé Shì)</v>
      </c>
      <c r="D1638" t="s">
        <v>861</v>
      </c>
      <c r="E1638" t="s">
        <v>13</v>
      </c>
      <c r="F1638" t="str">
        <f>_xlfn.CONCAT(D1638,", ",H1638,", ",I1638,", ","山东省")</f>
        <v>营里镇, 巨野县, 菏泽市, 山东省</v>
      </c>
      <c r="G1638">
        <v>33448</v>
      </c>
      <c r="H1638" t="s">
        <v>3668</v>
      </c>
      <c r="I1638" t="s">
        <v>3662</v>
      </c>
      <c r="J1638">
        <f>VLOOKUP(F1638,[1]!china_towns_second__2[[Column1]:[Y]],3,FALSE)</f>
        <v>35.1496560839065</v>
      </c>
      <c r="K1638">
        <f>VLOOKUP(F1638,[1]!china_towns_second__2[[Column1]:[Y]],2,FALSE)</f>
        <v>116.0474081</v>
      </c>
      <c r="L1638" t="s">
        <v>6463</v>
      </c>
      <c r="M1638" t="str">
        <f>VLOOKUP(H1638,CHOOSE({1,2},Table17[Native],Table17[Name]),2,0)</f>
        <v>Jùyĕ Xiàn</v>
      </c>
      <c r="N1638" s="15" t="str">
        <f>VLOOKUP(I1638,CHOOSE({1,2},Table17[Native],Table17[Name]),2,0)</f>
        <v>Hézé Shì</v>
      </c>
      <c r="O1638" s="15" t="str">
        <f t="shared" si="50"/>
        <v>Yingli Zhen (Heze Shi) (Hézé Shì)</v>
      </c>
      <c r="P1638" s="15" t="str">
        <f t="shared" si="51"/>
        <v>Yingli Zhen (Heze Shi) (Hézé Shì)</v>
      </c>
    </row>
    <row r="1639" spans="1:16" hidden="1" x14ac:dyDescent="0.25">
      <c r="A1639" t="s">
        <v>860</v>
      </c>
      <c r="B1639" t="str">
        <f>IF(COUNTIF(A:A,A1639)&gt;1,_xlfn.CONCAT(A1639," (",N1639,")"),A1639)</f>
        <v>Yínglĭ Zhèn (Wéifāng Shì)</v>
      </c>
      <c r="C1639" t="str">
        <f>IF(COUNTIF(B:B,B1639)&gt;1,_xlfn.CONCAT(A1639," (",M1639,")"),B1639)</f>
        <v>Yínglĭ Zhèn (Wéifāng Shì)</v>
      </c>
      <c r="D1639" t="s">
        <v>861</v>
      </c>
      <c r="E1639" t="s">
        <v>13</v>
      </c>
      <c r="F1639" t="str">
        <f>_xlfn.CONCAT(D1639,", ",H1639,", ",I1639,", ","山东省")</f>
        <v>营里镇, 寿光市, 潍坊市, 山东省</v>
      </c>
      <c r="G1639">
        <v>57091</v>
      </c>
      <c r="H1639" t="s">
        <v>3761</v>
      </c>
      <c r="I1639" t="s">
        <v>3751</v>
      </c>
      <c r="J1639">
        <f>VLOOKUP(F1639,[1]!china_towns_second__2[[Column1]:[Y]],3,FALSE)</f>
        <v>37.081676462454702</v>
      </c>
      <c r="K1639">
        <f>VLOOKUP(F1639,[1]!china_towns_second__2[[Column1]:[Y]],2,FALSE)</f>
        <v>118.8522473</v>
      </c>
      <c r="L1639" t="s">
        <v>6464</v>
      </c>
      <c r="M1639" t="str">
        <f>VLOOKUP(H1639,CHOOSE({1,2},Table17[Native],Table17[Name]),2,0)</f>
        <v>Shòuguāng Shì</v>
      </c>
      <c r="N1639" s="15" t="str">
        <f>VLOOKUP(I1639,CHOOSE({1,2},Table17[Native],Table17[Name]),2,0)</f>
        <v>Wéifāng Shì</v>
      </c>
      <c r="O1639" s="15" t="str">
        <f t="shared" si="50"/>
        <v>Yingli Zhen (Weifang Shi) (Wéifāng Shì)</v>
      </c>
      <c r="P1639" s="15" t="str">
        <f t="shared" si="51"/>
        <v>Yingli Zhen (Weifang Shi) (Wéifāng Shì)</v>
      </c>
    </row>
    <row r="1640" spans="1:16" hidden="1" x14ac:dyDescent="0.25">
      <c r="A1640" t="s">
        <v>2879</v>
      </c>
      <c r="B1640" t="str">
        <f>IF(COUNTIF(A:A,A1640)&gt;1,_xlfn.CONCAT(A1640," (",N1640,")"),A1640)</f>
        <v>Yíngqiū Zhèn</v>
      </c>
      <c r="C1640" t="str">
        <f>IF(COUNTIF(B:B,B1640)&gt;1,_xlfn.CONCAT(A1640," (",M1640,")"),B1640)</f>
        <v>Yíngqiū Zhèn</v>
      </c>
      <c r="D1640" t="s">
        <v>2880</v>
      </c>
      <c r="E1640" t="s">
        <v>13</v>
      </c>
      <c r="F1640" t="str">
        <f>_xlfn.CONCAT(D1640,", ",H1640,", ",I1640,", ","山东省")</f>
        <v>营丘镇, 昌乐县, 潍坊市, 山东省</v>
      </c>
      <c r="G1640">
        <v>92564</v>
      </c>
      <c r="H1640" t="s">
        <v>3753</v>
      </c>
      <c r="I1640" t="s">
        <v>3751</v>
      </c>
      <c r="J1640">
        <f>VLOOKUP(F1640,[1]!china_towns_second__2[[Column1]:[Y]],3,FALSE)</f>
        <v>36.522693490034698</v>
      </c>
      <c r="K1640">
        <f>VLOOKUP(F1640,[1]!china_towns_second__2[[Column1]:[Y]],2,FALSE)</f>
        <v>119.0430274</v>
      </c>
      <c r="L1640" t="s">
        <v>6465</v>
      </c>
      <c r="M1640" t="str">
        <f>VLOOKUP(H1640,CHOOSE({1,2},Table17[Native],Table17[Name]),2,0)</f>
        <v>Chānglè Xiàn</v>
      </c>
      <c r="N1640" s="15" t="str">
        <f>VLOOKUP(I1640,CHOOSE({1,2},Table17[Native],Table17[Name]),2,0)</f>
        <v>Wéifāng Shì</v>
      </c>
      <c r="O1640" s="15" t="str">
        <f t="shared" si="50"/>
        <v>Yingqiu Zhen (Wéifāng Shì)</v>
      </c>
      <c r="P1640" s="15" t="str">
        <f t="shared" si="51"/>
        <v>Yingqiu Zhen (Wéifāng Shì)</v>
      </c>
    </row>
    <row r="1641" spans="1:16" hidden="1" x14ac:dyDescent="0.25">
      <c r="A1641" t="s">
        <v>1198</v>
      </c>
      <c r="B1641" t="str">
        <f>IF(COUNTIF(A:A,A1641)&gt;1,_xlfn.CONCAT(A1641," (",N1641,")"),A1641)</f>
        <v>Yíngshìjiē Jiēdào</v>
      </c>
      <c r="C1641" t="str">
        <f>IF(COUNTIF(B:B,B1641)&gt;1,_xlfn.CONCAT(A1641," (",M1641,")"),B1641)</f>
        <v>Yíngshìjiē Jiēdào</v>
      </c>
      <c r="D1641" t="s">
        <v>1199</v>
      </c>
      <c r="E1641" t="s">
        <v>7</v>
      </c>
      <c r="F1641" t="str">
        <f>_xlfn.CONCAT(D1641,", ",H1641,", ",I1641,", ","山东省")</f>
        <v>营市街街道, 槐荫区, 济南市, 山东省</v>
      </c>
      <c r="G1641">
        <v>27681</v>
      </c>
      <c r="H1641" t="s">
        <v>3676</v>
      </c>
      <c r="I1641" t="s">
        <v>3673</v>
      </c>
      <c r="J1641">
        <f>VLOOKUP(F1641,[1]!china_towns_second__2[[Column1]:[Y]],3,FALSE)</f>
        <v>36.653584968688001</v>
      </c>
      <c r="K1641">
        <f>VLOOKUP(F1641,[1]!china_towns_second__2[[Column1]:[Y]],2,FALSE)</f>
        <v>116.951204</v>
      </c>
      <c r="L1641" t="s">
        <v>6466</v>
      </c>
      <c r="M1641" t="str">
        <f>VLOOKUP(H1641,CHOOSE({1,2},Table17[Native],Table17[Name]),2,0)</f>
        <v>Huáiyìn Qū</v>
      </c>
      <c r="N1641" s="15" t="str">
        <f>VLOOKUP(I1641,CHOOSE({1,2},Table17[Native],Table17[Name]),2,0)</f>
        <v>Jìnán Shì</v>
      </c>
      <c r="O1641" s="15" t="str">
        <f t="shared" si="50"/>
        <v>Yingshijie Jiedao (Jìnán Shì)</v>
      </c>
      <c r="P1641" s="15" t="str">
        <f t="shared" si="51"/>
        <v>Yingshijie Jiedao (Jìnán Shì)</v>
      </c>
    </row>
    <row r="1642" spans="1:16" hidden="1" x14ac:dyDescent="0.25">
      <c r="A1642" t="s">
        <v>1764</v>
      </c>
      <c r="B1642" t="str">
        <f>IF(COUNTIF(A:A,A1642)&gt;1,_xlfn.CONCAT(A1642," (",N1642,")"),A1642)</f>
        <v>Yīngtáoyuán Zhèn</v>
      </c>
      <c r="C1642" t="str">
        <f>IF(COUNTIF(B:B,B1642)&gt;1,_xlfn.CONCAT(A1642," (",M1642,")"),B1642)</f>
        <v>Yīngtáoyuán Zhèn</v>
      </c>
      <c r="D1642" t="s">
        <v>1765</v>
      </c>
      <c r="E1642" t="s">
        <v>13</v>
      </c>
      <c r="F1642" t="str">
        <f>_xlfn.CONCAT(D1642,", ",H1642,", ",I1642,", ","山东省")</f>
        <v>樱桃园镇, 莘县, 聊城市, 山东省</v>
      </c>
      <c r="G1642">
        <v>56932</v>
      </c>
      <c r="H1642" t="s">
        <v>3707</v>
      </c>
      <c r="I1642" t="s">
        <v>3700</v>
      </c>
      <c r="J1642">
        <f>VLOOKUP(F1642,[1]!china_towns_second__2[[Column1]:[Y]],3,FALSE)</f>
        <v>35.9208090440777</v>
      </c>
      <c r="K1642">
        <f>VLOOKUP(F1642,[1]!china_towns_second__2[[Column1]:[Y]],2,FALSE)</f>
        <v>115.4945336</v>
      </c>
      <c r="L1642" t="s">
        <v>6467</v>
      </c>
      <c r="M1642" t="str">
        <f>VLOOKUP(H1642,CHOOSE({1,2},Table17[Native],Table17[Name]),2,0)</f>
        <v>Shēn Xiàn</v>
      </c>
      <c r="N1642" s="15" t="str">
        <f>VLOOKUP(I1642,CHOOSE({1,2},Table17[Native],Table17[Name]),2,0)</f>
        <v>Liáochéng Shì</v>
      </c>
      <c r="O1642" s="15" t="str">
        <f t="shared" si="50"/>
        <v>Yingtaoyuan Zhen (Liáochéng Shì)</v>
      </c>
      <c r="P1642" s="15" t="str">
        <f t="shared" si="51"/>
        <v>Yingtaoyuan Zhen (Liáochéng Shì)</v>
      </c>
    </row>
    <row r="1643" spans="1:16" hidden="1" x14ac:dyDescent="0.25">
      <c r="A1643" t="s">
        <v>1766</v>
      </c>
      <c r="B1643" t="str">
        <f>IF(COUNTIF(A:A,A1643)&gt;1,_xlfn.CONCAT(A1643," (",N1643,")"),A1643)</f>
        <v>Yĭnjí Zhèn</v>
      </c>
      <c r="C1643" t="str">
        <f>IF(COUNTIF(B:B,B1643)&gt;1,_xlfn.CONCAT(A1643," (",M1643,")"),B1643)</f>
        <v>Yĭnjí Zhèn</v>
      </c>
      <c r="D1643" t="s">
        <v>1767</v>
      </c>
      <c r="E1643" t="s">
        <v>13</v>
      </c>
      <c r="F1643" t="str">
        <f>_xlfn.CONCAT(D1643,", ",H1643,", ",I1643,", ","山东省")</f>
        <v>尹集镇, 高唐县, 聊城市, 山东省</v>
      </c>
      <c r="G1643">
        <v>31154</v>
      </c>
      <c r="H1643" t="s">
        <v>3704</v>
      </c>
      <c r="I1643" t="s">
        <v>3700</v>
      </c>
      <c r="J1643">
        <f>VLOOKUP(F1643,[1]!china_towns_second__2[[Column1]:[Y]],3,FALSE)</f>
        <v>36.918538422387201</v>
      </c>
      <c r="K1643">
        <f>VLOOKUP(F1643,[1]!china_towns_second__2[[Column1]:[Y]],2,FALSE)</f>
        <v>116.32570990000001</v>
      </c>
      <c r="L1643" t="s">
        <v>6468</v>
      </c>
      <c r="M1643" t="str">
        <f>VLOOKUP(H1643,CHOOSE({1,2},Table17[Native],Table17[Name]),2,0)</f>
        <v>Gāotáng Xiàn</v>
      </c>
      <c r="N1643" s="15" t="str">
        <f>VLOOKUP(I1643,CHOOSE({1,2},Table17[Native],Table17[Name]),2,0)</f>
        <v>Liáochéng Shì</v>
      </c>
      <c r="O1643" s="15" t="str">
        <f t="shared" si="50"/>
        <v>Yinji Zhen (Liáochéng Shì)</v>
      </c>
      <c r="P1643" s="15" t="str">
        <f t="shared" si="51"/>
        <v>Yinji Zhen (Liáochéng Shì)</v>
      </c>
    </row>
    <row r="1644" spans="1:16" hidden="1" x14ac:dyDescent="0.25">
      <c r="A1644" t="s">
        <v>862</v>
      </c>
      <c r="B1644" t="str">
        <f>IF(COUNTIF(A:A,A1644)&gt;1,_xlfn.CONCAT(A1644," (",N1644,")"),A1644)</f>
        <v>Yĭnmă Zhèn (Hézé Shì)</v>
      </c>
      <c r="C1644" t="str">
        <f>IF(COUNTIF(B:B,B1644)&gt;1,_xlfn.CONCAT(A1644," (",M1644,")"),B1644)</f>
        <v>Yĭnmă Zhèn (Hézé Shì)</v>
      </c>
      <c r="D1644" t="s">
        <v>863</v>
      </c>
      <c r="E1644" t="s">
        <v>13</v>
      </c>
      <c r="F1644" t="str">
        <f>_xlfn.CONCAT(D1644,", ",H1644,", ",I1644,", ","山东省")</f>
        <v>引马镇, 鄄城县, 菏泽市, 山东省</v>
      </c>
      <c r="G1644">
        <v>27608</v>
      </c>
      <c r="H1644" t="s">
        <v>3667</v>
      </c>
      <c r="I1644" t="s">
        <v>3662</v>
      </c>
      <c r="J1644">
        <f>VLOOKUP(F1644,[1]!china_towns_second__2[[Column1]:[Y]],3,FALSE)</f>
        <v>35.506825011152799</v>
      </c>
      <c r="K1644">
        <f>VLOOKUP(F1644,[1]!china_towns_second__2[[Column1]:[Y]],2,FALSE)</f>
        <v>115.6212668</v>
      </c>
      <c r="L1644" t="s">
        <v>6469</v>
      </c>
      <c r="M1644" t="str">
        <f>VLOOKUP(H1644,CHOOSE({1,2},Table17[Native],Table17[Name]),2,0)</f>
        <v>Juànchéng Xiàn</v>
      </c>
      <c r="N1644" s="15" t="str">
        <f>VLOOKUP(I1644,CHOOSE({1,2},Table17[Native],Table17[Name]),2,0)</f>
        <v>Hézé Shì</v>
      </c>
      <c r="O1644" s="15" t="str">
        <f t="shared" si="50"/>
        <v>Yinma Zhen (Heze Shi) (Hézé Shì)</v>
      </c>
      <c r="P1644" s="15" t="str">
        <f t="shared" si="51"/>
        <v>Yinma Zhen (Heze Shi) (Hézé Shì)</v>
      </c>
    </row>
    <row r="1645" spans="1:16" hidden="1" x14ac:dyDescent="0.25">
      <c r="A1645" t="s">
        <v>862</v>
      </c>
      <c r="B1645" t="str">
        <f>IF(COUNTIF(A:A,A1645)&gt;1,_xlfn.CONCAT(A1645," (",N1645,")"),A1645)</f>
        <v>Yĭnmă Zhèn (Wéifāng Shì)</v>
      </c>
      <c r="C1645" t="str">
        <f>IF(COUNTIF(B:B,B1645)&gt;1,_xlfn.CONCAT(A1645," (",M1645,")"),B1645)</f>
        <v>Yĭnmă Zhèn (Wéifāng Shì)</v>
      </c>
      <c r="D1645" t="s">
        <v>2881</v>
      </c>
      <c r="E1645" t="s">
        <v>13</v>
      </c>
      <c r="F1645" t="str">
        <f>_xlfn.CONCAT(D1645,", ",H1645,", ",I1645,", ","山东省")</f>
        <v>饮马镇, 昌邑市, 潍坊市, 山东省</v>
      </c>
      <c r="G1645">
        <v>83872</v>
      </c>
      <c r="H1645" t="s">
        <v>3754</v>
      </c>
      <c r="I1645" t="s">
        <v>3751</v>
      </c>
      <c r="J1645">
        <f>VLOOKUP(F1645,[1]!china_towns_second__2[[Column1]:[Y]],3,FALSE)</f>
        <v>36.696207620995999</v>
      </c>
      <c r="K1645">
        <f>VLOOKUP(F1645,[1]!china_towns_second__2[[Column1]:[Y]],2,FALSE)</f>
        <v>119.4742533</v>
      </c>
      <c r="L1645" t="s">
        <v>6470</v>
      </c>
      <c r="M1645" t="str">
        <f>VLOOKUP(H1645,CHOOSE({1,2},Table17[Native],Table17[Name]),2,0)</f>
        <v>Chāngyì Shì</v>
      </c>
      <c r="N1645" s="15" t="str">
        <f>VLOOKUP(I1645,CHOOSE({1,2},Table17[Native],Table17[Name]),2,0)</f>
        <v>Wéifāng Shì</v>
      </c>
      <c r="O1645" s="15" t="str">
        <f t="shared" si="50"/>
        <v>Yinma Zhen (Weifang Shi) (Wéifāng Shì)</v>
      </c>
      <c r="P1645" s="15" t="str">
        <f t="shared" si="51"/>
        <v>Yinma Zhen (Weifang Shi) (Wéifāng Shì)</v>
      </c>
    </row>
    <row r="1646" spans="1:16" hidden="1" x14ac:dyDescent="0.25">
      <c r="A1646" t="s">
        <v>3446</v>
      </c>
      <c r="B1646" t="str">
        <f>IF(COUNTIF(A:A,A1646)&gt;1,_xlfn.CONCAT(A1646," (",N1646,")"),A1646)</f>
        <v>Yīnpíng Zhèn</v>
      </c>
      <c r="C1646" t="str">
        <f>IF(COUNTIF(B:B,B1646)&gt;1,_xlfn.CONCAT(A1646," (",M1646,")"),B1646)</f>
        <v>Yīnpíng Zhèn</v>
      </c>
      <c r="D1646" t="s">
        <v>3447</v>
      </c>
      <c r="E1646" t="s">
        <v>13</v>
      </c>
      <c r="F1646" t="str">
        <f>_xlfn.CONCAT(D1646,", ",H1646,", ",I1646,", ","山东省")</f>
        <v>阴平镇, 峄城区, 枣庄市, 山东省</v>
      </c>
      <c r="G1646">
        <v>47634</v>
      </c>
      <c r="H1646" t="s">
        <v>3789</v>
      </c>
      <c r="I1646" t="s">
        <v>3784</v>
      </c>
      <c r="J1646">
        <f>VLOOKUP(F1646,[1]!china_towns_second__2[[Column1]:[Y]],3,FALSE)</f>
        <v>34.673857658685399</v>
      </c>
      <c r="K1646">
        <f>VLOOKUP(F1646,[1]!china_towns_second__2[[Column1]:[Y]],2,FALSE)</f>
        <v>117.506687</v>
      </c>
      <c r="L1646" t="s">
        <v>6471</v>
      </c>
      <c r="M1646" t="str">
        <f>VLOOKUP(H1646,CHOOSE({1,2},Table17[Native],Table17[Name]),2,0)</f>
        <v>Yìchéng Qū</v>
      </c>
      <c r="N1646" s="15" t="str">
        <f>VLOOKUP(I1646,CHOOSE({1,2},Table17[Native],Table17[Name]),2,0)</f>
        <v>Zăozhuāng Shì</v>
      </c>
      <c r="O1646" s="15" t="str">
        <f t="shared" si="50"/>
        <v>Yinping Zhen (Zăozhuāng Shì)</v>
      </c>
      <c r="P1646" s="15" t="str">
        <f t="shared" si="51"/>
        <v>Yinping Zhen (Zăozhuāng Shì)</v>
      </c>
    </row>
    <row r="1647" spans="1:16" hidden="1" x14ac:dyDescent="0.25">
      <c r="A1647" t="s">
        <v>2062</v>
      </c>
      <c r="B1647" t="str">
        <f>IF(COUNTIF(A:A,A1647)&gt;1,_xlfn.CONCAT(A1647," (",N1647,")"),A1647)</f>
        <v>Yínquèshān Jiēdào</v>
      </c>
      <c r="C1647" t="str">
        <f>IF(COUNTIF(B:B,B1647)&gt;1,_xlfn.CONCAT(A1647," (",M1647,")"),B1647)</f>
        <v>Yínquèshān Jiēdào</v>
      </c>
      <c r="D1647" t="s">
        <v>2063</v>
      </c>
      <c r="E1647" t="s">
        <v>7</v>
      </c>
      <c r="F1647" t="str">
        <f>_xlfn.CONCAT(D1647,", ",H1647,", ",I1647,", ","山东省")</f>
        <v>银雀山街道, 兰山区, 临沂市, 山东省</v>
      </c>
      <c r="G1647">
        <v>175453</v>
      </c>
      <c r="H1647" t="s">
        <v>3715</v>
      </c>
      <c r="I1647" t="s">
        <v>3710</v>
      </c>
      <c r="J1647">
        <f>VLOOKUP(F1647,[1]!china_towns_second__2[[Column1]:[Y]],3,FALSE)</f>
        <v>35.056503237413501</v>
      </c>
      <c r="K1647">
        <f>VLOOKUP(F1647,[1]!china_towns_second__2[[Column1]:[Y]],2,FALSE)</f>
        <v>118.3003829</v>
      </c>
      <c r="L1647" t="s">
        <v>6472</v>
      </c>
      <c r="M1647" t="str">
        <f>VLOOKUP(H1647,CHOOSE({1,2},Table17[Native],Table17[Name]),2,0)</f>
        <v>Lánshān Qū</v>
      </c>
      <c r="N1647" s="15" t="str">
        <f>VLOOKUP(I1647,CHOOSE({1,2},Table17[Native],Table17[Name]),2,0)</f>
        <v>Línyí Shì</v>
      </c>
      <c r="O1647" s="15" t="str">
        <f t="shared" si="50"/>
        <v>Yinqueshan Jiedao (Línyí Shì)</v>
      </c>
      <c r="P1647" s="15" t="str">
        <f t="shared" si="51"/>
        <v>Yinqueshan Jiedao (Línyí Shì)</v>
      </c>
    </row>
    <row r="1648" spans="1:16" hidden="1" x14ac:dyDescent="0.25">
      <c r="A1648" t="s">
        <v>2653</v>
      </c>
      <c r="B1648" t="str">
        <f>IF(COUNTIF(A:A,A1648)&gt;1,_xlfn.CONCAT(A1648," (",N1648,")"),A1648)</f>
        <v>Yínshān Zhèn</v>
      </c>
      <c r="C1648" t="str">
        <f>IF(COUNTIF(B:B,B1648)&gt;1,_xlfn.CONCAT(A1648," (",M1648,")"),B1648)</f>
        <v>Yínshān Zhèn</v>
      </c>
      <c r="D1648" t="s">
        <v>2654</v>
      </c>
      <c r="E1648" t="s">
        <v>13</v>
      </c>
      <c r="F1648" t="str">
        <f>_xlfn.CONCAT(D1648,", ",H1648,", ",I1648,", ","山东省")</f>
        <v>银山镇, 东平县, 泰安市, 山东省</v>
      </c>
      <c r="G1648">
        <v>56196</v>
      </c>
      <c r="H1648" t="s">
        <v>3745</v>
      </c>
      <c r="I1648" t="s">
        <v>3743</v>
      </c>
      <c r="J1648">
        <f>VLOOKUP(F1648,[1]!china_towns_second__2[[Column1]:[Y]],3,FALSE)</f>
        <v>36.0385709618986</v>
      </c>
      <c r="K1648">
        <f>VLOOKUP(F1648,[1]!china_towns_second__2[[Column1]:[Y]],2,FALSE)</f>
        <v>116.1414054</v>
      </c>
      <c r="L1648" t="s">
        <v>6473</v>
      </c>
      <c r="M1648" t="str">
        <f>VLOOKUP(H1648,CHOOSE({1,2},Table17[Native],Table17[Name]),2,0)</f>
        <v>Dōngpíng Xiàn</v>
      </c>
      <c r="N1648" s="15" t="str">
        <f>VLOOKUP(I1648,CHOOSE({1,2},Table17[Native],Table17[Name]),2,0)</f>
        <v>Tài'ān Shì</v>
      </c>
      <c r="O1648" s="15" t="str">
        <f t="shared" si="50"/>
        <v>Yinshan Zhen (Tài'ān Shì)</v>
      </c>
      <c r="P1648" s="15" t="str">
        <f t="shared" si="51"/>
        <v>Yinshan Zhen (Tài'ān Shì)</v>
      </c>
    </row>
    <row r="1649" spans="1:16" hidden="1" x14ac:dyDescent="0.25">
      <c r="A1649" t="s">
        <v>1496</v>
      </c>
      <c r="B1649" t="str">
        <f>IF(COUNTIF(A:A,A1649)&gt;1,_xlfn.CONCAT(A1649," (",N1649,")"),A1649)</f>
        <v>Yínsì Zhèn</v>
      </c>
      <c r="C1649" t="str">
        <f>IF(COUNTIF(B:B,B1649)&gt;1,_xlfn.CONCAT(A1649," (",M1649,")"),B1649)</f>
        <v>Yínsì Zhèn</v>
      </c>
      <c r="D1649" t="s">
        <v>1497</v>
      </c>
      <c r="E1649" t="s">
        <v>13</v>
      </c>
      <c r="F1649" t="str">
        <f>_xlfn.CONCAT(D1649,", ",H1649,", ",I1649,", ","山东省")</f>
        <v>寅寺镇, 汶上县, 济宁市, 山东省</v>
      </c>
      <c r="G1649">
        <v>42508</v>
      </c>
      <c r="H1649" t="s">
        <v>3695</v>
      </c>
      <c r="I1649" t="s">
        <v>3687</v>
      </c>
      <c r="J1649">
        <f>VLOOKUP(F1649,[1]!china_towns_second__2[[Column1]:[Y]],3,FALSE)</f>
        <v>35.734062588518299</v>
      </c>
      <c r="K1649">
        <f>VLOOKUP(F1649,[1]!china_towns_second__2[[Column1]:[Y]],2,FALSE)</f>
        <v>116.391504</v>
      </c>
      <c r="L1649" t="s">
        <v>6474</v>
      </c>
      <c r="M1649" t="str">
        <f>VLOOKUP(H1649,CHOOSE({1,2},Table17[Native],Table17[Name]),2,0)</f>
        <v>Wènshàng Xiàn</v>
      </c>
      <c r="N1649" s="15" t="str">
        <f>VLOOKUP(I1649,CHOOSE({1,2},Table17[Native],Table17[Name]),2,0)</f>
        <v>Jìníng Shì</v>
      </c>
      <c r="O1649" s="15" t="str">
        <f t="shared" si="50"/>
        <v>Yinsi Zhen (Jìníng Shì)</v>
      </c>
      <c r="P1649" s="15" t="str">
        <f t="shared" si="51"/>
        <v>Yinsi Zhen (Jìníng Shì)</v>
      </c>
    </row>
    <row r="1650" spans="1:16" hidden="1" x14ac:dyDescent="0.25">
      <c r="A1650" t="s">
        <v>1200</v>
      </c>
      <c r="B1650" t="str">
        <f>IF(COUNTIF(A:A,A1650)&gt;1,_xlfn.CONCAT(A1650," (",N1650,")"),A1650)</f>
        <v>Yīnxiàng Zhèn</v>
      </c>
      <c r="C1650" t="str">
        <f>IF(COUNTIF(B:B,B1650)&gt;1,_xlfn.CONCAT(A1650," (",M1650,")"),B1650)</f>
        <v>Yīnxiàng Zhèn</v>
      </c>
      <c r="D1650" t="s">
        <v>1201</v>
      </c>
      <c r="E1650" t="s">
        <v>13</v>
      </c>
      <c r="F1650" t="str">
        <f>_xlfn.CONCAT(D1650,", ",H1650,", ",I1650,", ","山东省")</f>
        <v>殷巷镇, 商河县, 济南市, 山东省</v>
      </c>
      <c r="G1650">
        <v>50779</v>
      </c>
      <c r="H1650" t="s">
        <v>3682</v>
      </c>
      <c r="I1650" t="s">
        <v>3673</v>
      </c>
      <c r="J1650">
        <f>VLOOKUP(F1650,[1]!china_towns_second__2[[Column1]:[Y]],3,FALSE)</f>
        <v>37.419527520550503</v>
      </c>
      <c r="K1650">
        <f>VLOOKUP(F1650,[1]!china_towns_second__2[[Column1]:[Y]],2,FALSE)</f>
        <v>117.1476435</v>
      </c>
      <c r="L1650" t="s">
        <v>6475</v>
      </c>
      <c r="M1650" t="str">
        <f>VLOOKUP(H1650,CHOOSE({1,2},Table17[Native],Table17[Name]),2,0)</f>
        <v>Shānghé Xiàn</v>
      </c>
      <c r="N1650" s="15" t="str">
        <f>VLOOKUP(I1650,CHOOSE({1,2},Table17[Native],Table17[Name]),2,0)</f>
        <v>Jìnán Shì</v>
      </c>
      <c r="O1650" s="15" t="str">
        <f t="shared" si="50"/>
        <v>Yinxiang Zhen (Jìnán Shì)</v>
      </c>
      <c r="P1650" s="15" t="str">
        <f t="shared" si="51"/>
        <v>Yinxiang Zhen (Jìnán Shì)</v>
      </c>
    </row>
    <row r="1651" spans="1:16" hidden="1" x14ac:dyDescent="0.25">
      <c r="A1651" t="s">
        <v>2355</v>
      </c>
      <c r="B1651" t="str">
        <f>IF(COUNTIF(A:A,A1651)&gt;1,_xlfn.CONCAT(A1651," (",N1651,")"),A1651)</f>
        <v>Yĭnzhū Jiēdào</v>
      </c>
      <c r="C1651" t="str">
        <f>IF(COUNTIF(B:B,B1651)&gt;1,_xlfn.CONCAT(A1651," (",M1651,")"),B1651)</f>
        <v>Yĭnzhū Jiēdào</v>
      </c>
      <c r="D1651" t="s">
        <v>2356</v>
      </c>
      <c r="E1651" t="s">
        <v>7</v>
      </c>
      <c r="F1651" t="str">
        <f>_xlfn.CONCAT(D1651,", ",H1651,", ",I1651,", ","山东省")</f>
        <v>隐珠街道, 黄岛区, 青岛市, 山东省</v>
      </c>
      <c r="G1651">
        <v>119982</v>
      </c>
      <c r="H1651" t="s">
        <v>3726</v>
      </c>
      <c r="I1651" t="s">
        <v>3724</v>
      </c>
      <c r="J1651">
        <f>VLOOKUP(F1651,[1]!china_towns_second__2[[Column1]:[Y]],3,FALSE)</f>
        <v>35.914777442575797</v>
      </c>
      <c r="K1651">
        <f>VLOOKUP(F1651,[1]!china_towns_second__2[[Column1]:[Y]],2,FALSE)</f>
        <v>120.0262766</v>
      </c>
      <c r="L1651" t="s">
        <v>6476</v>
      </c>
      <c r="M1651" t="str">
        <f>VLOOKUP(H1651,CHOOSE({1,2},Table17[Native],Table17[Name]),2,0)</f>
        <v>Huángdăo Qū</v>
      </c>
      <c r="N1651" s="15" t="str">
        <f>VLOOKUP(I1651,CHOOSE({1,2},Table17[Native],Table17[Name]),2,0)</f>
        <v>Qīngdăo Shì</v>
      </c>
      <c r="O1651" s="15" t="str">
        <f t="shared" si="50"/>
        <v>Yinzhu Jiedao (Qīngdăo Shì)</v>
      </c>
      <c r="P1651" s="15" t="str">
        <f t="shared" si="51"/>
        <v>Yinzhu Jiedao (Qīngdăo Shì)</v>
      </c>
    </row>
    <row r="1652" spans="1:16" hidden="1" x14ac:dyDescent="0.25">
      <c r="A1652" t="s">
        <v>3018</v>
      </c>
      <c r="B1652" t="str">
        <f>IF(COUNTIF(A:A,A1652)&gt;1,_xlfn.CONCAT(A1652," (",N1652,")"),A1652)</f>
        <v>Yìnzi Zhèn</v>
      </c>
      <c r="C1652" t="str">
        <f>IF(COUNTIF(B:B,B1652)&gt;1,_xlfn.CONCAT(A1652," (",M1652,")"),B1652)</f>
        <v>Yìnzi Zhèn</v>
      </c>
      <c r="D1652" t="s">
        <v>3019</v>
      </c>
      <c r="E1652" t="s">
        <v>13</v>
      </c>
      <c r="F1652" t="str">
        <f>_xlfn.CONCAT(D1652,", ",H1652,", ",I1652,", ","山东省")</f>
        <v>荫子镇, 荣成市, 威海市, 山东省</v>
      </c>
      <c r="G1652">
        <v>11914</v>
      </c>
      <c r="H1652" t="s">
        <v>3767</v>
      </c>
      <c r="I1652" t="s">
        <v>3765</v>
      </c>
      <c r="J1652">
        <f>VLOOKUP(F1652,[1]!china_towns_second__2[[Column1]:[Y]],3,FALSE)</f>
        <v>37.216252230626601</v>
      </c>
      <c r="K1652">
        <f>VLOOKUP(F1652,[1]!china_towns_second__2[[Column1]:[Y]],2,FALSE)</f>
        <v>122.3145842</v>
      </c>
      <c r="L1652" t="s">
        <v>6477</v>
      </c>
      <c r="M1652" t="str">
        <f>VLOOKUP(H1652,CHOOSE({1,2},Table17[Native],Table17[Name]),2,0)</f>
        <v>Róngchéng Shì</v>
      </c>
      <c r="N1652" s="15" t="str">
        <f>VLOOKUP(I1652,CHOOSE({1,2},Table17[Native],Table17[Name]),2,0)</f>
        <v>Wēihăi Shì</v>
      </c>
      <c r="O1652" s="15" t="str">
        <f t="shared" si="50"/>
        <v>Yinzi Zhen (Wēihăi Shì)</v>
      </c>
      <c r="P1652" s="15" t="str">
        <f t="shared" si="51"/>
        <v>Yinzi Zhen (Wēihăi Shì)</v>
      </c>
    </row>
    <row r="1653" spans="1:16" hidden="1" x14ac:dyDescent="0.25">
      <c r="A1653" t="s">
        <v>1498</v>
      </c>
      <c r="B1653" t="str">
        <f>IF(COUNTIF(A:A,A1653)&gt;1,_xlfn.CONCAT(A1653," (",N1653,")"),A1653)</f>
        <v>Yìqiáo Zhèn</v>
      </c>
      <c r="C1653" t="str">
        <f>IF(COUNTIF(B:B,B1653)&gt;1,_xlfn.CONCAT(A1653," (",M1653,")"),B1653)</f>
        <v>Yìqiáo Zhèn</v>
      </c>
      <c r="D1653" t="s">
        <v>1499</v>
      </c>
      <c r="E1653" t="s">
        <v>13</v>
      </c>
      <c r="F1653" t="str">
        <f>_xlfn.CONCAT(D1653,", ",H1653,", ",I1653,", ","山东省")</f>
        <v>义桥镇, 汶上县, 济宁市, 山东省</v>
      </c>
      <c r="G1653">
        <v>40865</v>
      </c>
      <c r="H1653" t="s">
        <v>3695</v>
      </c>
      <c r="I1653" t="s">
        <v>3687</v>
      </c>
      <c r="J1653">
        <f>VLOOKUP(F1653,[1]!china_towns_second__2[[Column1]:[Y]],3,FALSE)</f>
        <v>35.6595325680793</v>
      </c>
      <c r="K1653">
        <f>VLOOKUP(F1653,[1]!china_towns_second__2[[Column1]:[Y]],2,FALSE)</f>
        <v>116.5711766</v>
      </c>
      <c r="L1653" t="s">
        <v>6478</v>
      </c>
      <c r="M1653" t="str">
        <f>VLOOKUP(H1653,CHOOSE({1,2},Table17[Native],Table17[Name]),2,0)</f>
        <v>Wènshàng Xiàn</v>
      </c>
      <c r="N1653" s="15" t="str">
        <f>VLOOKUP(I1653,CHOOSE({1,2},Table17[Native],Table17[Name]),2,0)</f>
        <v>Jìníng Shì</v>
      </c>
      <c r="O1653" s="15" t="str">
        <f t="shared" si="50"/>
        <v>Yiqiao Zhen (Jìníng Shì)</v>
      </c>
      <c r="P1653" s="15" t="str">
        <f t="shared" si="51"/>
        <v>Yiqiao Zhen (Jìníng Shì)</v>
      </c>
    </row>
    <row r="1654" spans="1:16" hidden="1" x14ac:dyDescent="0.25">
      <c r="A1654" t="s">
        <v>1500</v>
      </c>
      <c r="B1654" t="str">
        <f>IF(COUNTIF(A:A,A1654)&gt;1,_xlfn.CONCAT(A1654," (",N1654,")"),A1654)</f>
        <v>Yìshān Zhèn</v>
      </c>
      <c r="C1654" t="str">
        <f>IF(COUNTIF(B:B,B1654)&gt;1,_xlfn.CONCAT(A1654," (",M1654,")"),B1654)</f>
        <v>Yìshān Zhèn</v>
      </c>
      <c r="D1654" t="s">
        <v>1501</v>
      </c>
      <c r="E1654" t="s">
        <v>13</v>
      </c>
      <c r="F1654" t="str">
        <f>_xlfn.CONCAT(D1654,", ",H1654,", ",I1654,", ","山东省")</f>
        <v>峄山镇, 邹城市, 济宁市, 山东省</v>
      </c>
      <c r="G1654">
        <v>47720</v>
      </c>
      <c r="H1654" t="s">
        <v>3698</v>
      </c>
      <c r="I1654" t="s">
        <v>3687</v>
      </c>
      <c r="J1654">
        <f>VLOOKUP(F1654,[1]!china_towns_second__2[[Column1]:[Y]],3,FALSE)</f>
        <v>35.313728929291997</v>
      </c>
      <c r="K1654">
        <f>VLOOKUP(F1654,[1]!china_towns_second__2[[Column1]:[Y]],2,FALSE)</f>
        <v>117.0175067</v>
      </c>
      <c r="L1654" t="s">
        <v>6479</v>
      </c>
      <c r="M1654" t="str">
        <f>VLOOKUP(H1654,CHOOSE({1,2},Table17[Native],Table17[Name]),2,0)</f>
        <v>Zōuchéng Shì</v>
      </c>
      <c r="N1654" s="15" t="str">
        <f>VLOOKUP(I1654,CHOOSE({1,2},Table17[Native],Table17[Name]),2,0)</f>
        <v>Jìníng Shì</v>
      </c>
      <c r="O1654" s="15" t="str">
        <f t="shared" si="50"/>
        <v>Yishan Zhen (Jìníng Shì)</v>
      </c>
      <c r="P1654" s="15" t="str">
        <f t="shared" si="51"/>
        <v>Yishan Zhen (Jìníng Shì)</v>
      </c>
    </row>
    <row r="1655" spans="1:16" hidden="1" x14ac:dyDescent="0.25">
      <c r="A1655" t="s">
        <v>2066</v>
      </c>
      <c r="B1655" t="str">
        <f>IF(COUNTIF(A:A,A1655)&gt;1,_xlfn.CONCAT(A1655," (",N1655,")"),A1655)</f>
        <v>Yítáng Zhèn</v>
      </c>
      <c r="C1655" t="str">
        <f>IF(COUNTIF(B:B,B1655)&gt;1,_xlfn.CONCAT(A1655," (",M1655,")"),B1655)</f>
        <v>Yítáng Zhèn</v>
      </c>
      <c r="D1655" t="s">
        <v>2067</v>
      </c>
      <c r="E1655" t="s">
        <v>13</v>
      </c>
      <c r="F1655" t="str">
        <f>_xlfn.CONCAT(D1655,", ",H1655,", ",I1655,", ","山东省")</f>
        <v>沂堂镇, 罗庄区, 临沂市, 山东省</v>
      </c>
      <c r="G1655">
        <v>47697</v>
      </c>
      <c r="H1655" t="s">
        <v>3717</v>
      </c>
      <c r="I1655" t="s">
        <v>3710</v>
      </c>
      <c r="J1655">
        <f>VLOOKUP(F1655,[1]!china_towns_second__2[[Column1]:[Y]],3,FALSE)</f>
        <v>34.951218317598702</v>
      </c>
      <c r="K1655">
        <f>VLOOKUP(F1655,[1]!china_towns_second__2[[Column1]:[Y]],2,FALSE)</f>
        <v>118.1539531</v>
      </c>
      <c r="L1655" t="s">
        <v>6480</v>
      </c>
      <c r="M1655" t="str">
        <f>VLOOKUP(H1655,CHOOSE({1,2},Table17[Native],Table17[Name]),2,0)</f>
        <v>Luózhuāng Qū</v>
      </c>
      <c r="N1655" s="15" t="str">
        <f>VLOOKUP(I1655,CHOOSE({1,2},Table17[Native],Table17[Name]),2,0)</f>
        <v>Línyí Shì</v>
      </c>
      <c r="O1655" s="15" t="str">
        <f t="shared" si="50"/>
        <v>Yitang Zhen (Línyí Shì)</v>
      </c>
      <c r="P1655" s="15" t="str">
        <f t="shared" si="51"/>
        <v>Yitang Zhen (Línyí Shì)</v>
      </c>
    </row>
    <row r="1656" spans="1:16" hidden="1" x14ac:dyDescent="0.25">
      <c r="A1656" t="s">
        <v>2064</v>
      </c>
      <c r="B1656" t="str">
        <f>IF(COUNTIF(A:A,A1656)&gt;1,_xlfn.CONCAT(A1656," (",N1656,")"),A1656)</f>
        <v>Yìtáng Zhèn [incl. Zhūbăo Zhèn]</v>
      </c>
      <c r="C1656" t="str">
        <f>IF(COUNTIF(B:B,B1656)&gt;1,_xlfn.CONCAT(A1656," (",M1656,")"),B1656)</f>
        <v>Yìtáng Zhèn [incl. Zhūbăo Zhèn]</v>
      </c>
      <c r="D1656" t="s">
        <v>2065</v>
      </c>
      <c r="E1656" t="s">
        <v>13</v>
      </c>
      <c r="F1656" t="str">
        <f>_xlfn.CONCAT(D1656,", ",H1656,", ",I1656,", ","山东省")</f>
        <v>义堂镇, 兰山区, 临沂市, 山东省</v>
      </c>
      <c r="G1656">
        <v>135627</v>
      </c>
      <c r="H1656" t="s">
        <v>3715</v>
      </c>
      <c r="I1656" t="s">
        <v>3710</v>
      </c>
      <c r="J1656">
        <f>VLOOKUP(F1656,[1]!china_towns_second__2[[Column1]:[Y]],3,FALSE)</f>
        <v>35.150074444354701</v>
      </c>
      <c r="K1656">
        <f>VLOOKUP(F1656,[1]!china_towns_second__2[[Column1]:[Y]],2,FALSE)</f>
        <v>118.19917340000001</v>
      </c>
      <c r="L1656" t="s">
        <v>6481</v>
      </c>
      <c r="M1656" t="str">
        <f>VLOOKUP(H1656,CHOOSE({1,2},Table17[Native],Table17[Name]),2,0)</f>
        <v>Lánshān Qū</v>
      </c>
      <c r="N1656" s="15" t="str">
        <f>VLOOKUP(I1656,CHOOSE({1,2},Table17[Native],Table17[Name]),2,0)</f>
        <v>Línyí Shì</v>
      </c>
      <c r="O1656" s="15" t="str">
        <f t="shared" si="50"/>
        <v>Yitang Zhen [incl. Zhubao Zhen] (Línyí Shì)</v>
      </c>
      <c r="P1656" s="15" t="str">
        <f t="shared" si="51"/>
        <v>Yitang Zhen [incl. Zhubao Zhen] (Línyí Shì)</v>
      </c>
    </row>
    <row r="1657" spans="1:16" hidden="1" x14ac:dyDescent="0.25">
      <c r="A1657" t="s">
        <v>2068</v>
      </c>
      <c r="B1657" t="str">
        <f>IF(COUNTIF(A:A,A1657)&gt;1,_xlfn.CONCAT(A1657," (",N1657,")"),A1657)</f>
        <v>Yīwèn Zhèn</v>
      </c>
      <c r="C1657" t="str">
        <f>IF(COUNTIF(B:B,B1657)&gt;1,_xlfn.CONCAT(A1657," (",M1657,")"),B1657)</f>
        <v>Yīwèn Zhèn</v>
      </c>
      <c r="D1657" t="s">
        <v>2069</v>
      </c>
      <c r="E1657" t="s">
        <v>13</v>
      </c>
      <c r="F1657" t="str">
        <f>_xlfn.CONCAT(D1657,", ",H1657,", ",I1657,", ","山东省")</f>
        <v>依汶镇, 沂南县, 临沂市, 山东省</v>
      </c>
      <c r="G1657">
        <v>41137</v>
      </c>
      <c r="H1657" t="s">
        <v>3721</v>
      </c>
      <c r="I1657" t="s">
        <v>3710</v>
      </c>
      <c r="J1657">
        <f>VLOOKUP(F1657,[1]!china_towns_second__2[[Column1]:[Y]],3,FALSE)</f>
        <v>35.608225787310303</v>
      </c>
      <c r="K1657">
        <f>VLOOKUP(F1657,[1]!china_towns_second__2[[Column1]:[Y]],2,FALSE)</f>
        <v>118.3432973</v>
      </c>
      <c r="L1657" t="s">
        <v>6482</v>
      </c>
      <c r="M1657" t="str">
        <f>VLOOKUP(H1657,CHOOSE({1,2},Table17[Native],Table17[Name]),2,0)</f>
        <v>Yínán Xiàn</v>
      </c>
      <c r="N1657" s="15" t="str">
        <f>VLOOKUP(I1657,CHOOSE({1,2},Table17[Native],Table17[Name]),2,0)</f>
        <v>Línyí Shì</v>
      </c>
      <c r="O1657" s="15" t="str">
        <f t="shared" si="50"/>
        <v>Yiwen Zhen (Línyí Shì)</v>
      </c>
      <c r="P1657" s="15" t="str">
        <f t="shared" si="51"/>
        <v>Yiwen Zhen (Línyí Shì)</v>
      </c>
    </row>
    <row r="1658" spans="1:16" hidden="1" x14ac:dyDescent="0.25">
      <c r="A1658" t="s">
        <v>2655</v>
      </c>
      <c r="B1658" t="str">
        <f>IF(COUNTIF(A:A,A1658)&gt;1,_xlfn.CONCAT(A1658," (",N1658,")"),A1658)</f>
        <v>Yíyáng Jiēdào</v>
      </c>
      <c r="C1658" t="str">
        <f>IF(COUNTIF(B:B,B1658)&gt;1,_xlfn.CONCAT(A1658," (",M1658,")"),B1658)</f>
        <v>Yíyáng Jiēdào</v>
      </c>
      <c r="D1658" t="s">
        <v>2656</v>
      </c>
      <c r="E1658" t="s">
        <v>7</v>
      </c>
      <c r="F1658" t="str">
        <f>_xlfn.CONCAT(D1658,", ",H1658,", ",I1658,", ","山东省")</f>
        <v>仪阳街道, 肥城市, 泰安市, 山东省</v>
      </c>
      <c r="G1658">
        <v>45362</v>
      </c>
      <c r="H1658" t="s">
        <v>3746</v>
      </c>
      <c r="I1658" t="s">
        <v>3743</v>
      </c>
      <c r="J1658" t="e">
        <f>VLOOKUP(F1658,[1]!china_towns_second__2[[Column1]:[Y]],3,FALSE)</f>
        <v>#N/A</v>
      </c>
      <c r="K1658" t="e">
        <f>VLOOKUP(F1658,[1]!china_towns_second__2[[Column1]:[Y]],2,FALSE)</f>
        <v>#N/A</v>
      </c>
      <c r="L1658" t="s">
        <v>6483</v>
      </c>
      <c r="M1658" t="str">
        <f>VLOOKUP(H1658,CHOOSE({1,2},Table17[Native],Table17[Name]),2,0)</f>
        <v>Féichéng Shì</v>
      </c>
      <c r="N1658" s="15" t="str">
        <f>VLOOKUP(I1658,CHOOSE({1,2},Table17[Native],Table17[Name]),2,0)</f>
        <v>Tài'ān Shì</v>
      </c>
      <c r="O1658" s="15" t="str">
        <f t="shared" si="50"/>
        <v>Yiyang Jiedao (Tài'ān Shì)</v>
      </c>
      <c r="P1658" s="15" t="str">
        <f t="shared" si="51"/>
        <v>Yiyang Jiedao (Tài'ān Shì)</v>
      </c>
    </row>
    <row r="1659" spans="1:16" hidden="1" x14ac:dyDescent="0.25">
      <c r="A1659" t="s">
        <v>3020</v>
      </c>
      <c r="B1659" t="str">
        <f>IF(COUNTIF(A:A,A1659)&gt;1,_xlfn.CONCAT(A1659," (",N1659,")"),A1659)</f>
        <v>Yíyuán Jiēdào</v>
      </c>
      <c r="C1659" t="str">
        <f>IF(COUNTIF(B:B,B1659)&gt;1,_xlfn.CONCAT(A1659," (",M1659,")"),B1659)</f>
        <v>Yíyuán Jiēdào</v>
      </c>
      <c r="D1659" t="s">
        <v>3021</v>
      </c>
      <c r="E1659" t="s">
        <v>7</v>
      </c>
      <c r="F1659" t="str">
        <f>_xlfn.CONCAT(D1659,", ",H1659,", ",I1659,", ","山东省")</f>
        <v>怡园街道, 环翠区, 威海市, 山东省</v>
      </c>
      <c r="G1659">
        <v>142496</v>
      </c>
      <c r="H1659" t="s">
        <v>3766</v>
      </c>
      <c r="I1659" t="s">
        <v>3765</v>
      </c>
      <c r="J1659">
        <f>VLOOKUP(F1659,[1]!china_towns_second__2[[Column1]:[Y]],3,FALSE)</f>
        <v>37.519686204608803</v>
      </c>
      <c r="K1659">
        <f>VLOOKUP(F1659,[1]!china_towns_second__2[[Column1]:[Y]],2,FALSE)</f>
        <v>122.0524509</v>
      </c>
      <c r="L1659" t="s">
        <v>6484</v>
      </c>
      <c r="M1659" t="str">
        <f>VLOOKUP(H1659,CHOOSE({1,2},Table17[Native],Table17[Name]),2,0)</f>
        <v>Huáncuì Qū</v>
      </c>
      <c r="N1659" s="15" t="str">
        <f>VLOOKUP(I1659,CHOOSE({1,2},Table17[Native],Table17[Name]),2,0)</f>
        <v>Wēihăi Shì</v>
      </c>
      <c r="O1659" s="15" t="str">
        <f t="shared" si="50"/>
        <v>Yiyuan Jiedao (Wēihăi Shì)</v>
      </c>
      <c r="P1659" s="15" t="str">
        <f t="shared" si="51"/>
        <v>Yiyuan Jiedao (Wēihăi Shì)</v>
      </c>
    </row>
    <row r="1660" spans="1:16" hidden="1" x14ac:dyDescent="0.25">
      <c r="A1660" t="s">
        <v>3609</v>
      </c>
      <c r="B1660" t="str">
        <f>IF(COUNTIF(A:A,A1660)&gt;1,_xlfn.CONCAT(A1660," (",N1660,")"),A1660)</f>
        <v>Yŏng'ān Jiēdào</v>
      </c>
      <c r="C1660" t="str">
        <f>IF(COUNTIF(B:B,B1660)&gt;1,_xlfn.CONCAT(A1660," (",M1660,")"),B1660)</f>
        <v>Yŏng'ān Jiēdào</v>
      </c>
      <c r="D1660" t="s">
        <v>3610</v>
      </c>
      <c r="E1660" t="s">
        <v>7</v>
      </c>
      <c r="F1660" t="str">
        <f>_xlfn.CONCAT(D1660,", ",H1660,", ",I1660,", ","山东省")</f>
        <v>永安街道, 周村区, 淄博市, 山东省</v>
      </c>
      <c r="G1660">
        <v>40102</v>
      </c>
      <c r="H1660" t="s">
        <v>3798</v>
      </c>
      <c r="I1660" t="s">
        <v>3791</v>
      </c>
      <c r="J1660">
        <f>VLOOKUP(F1660,[1]!china_towns_second__2[[Column1]:[Y]],3,FALSE)</f>
        <v>36.811745490689397</v>
      </c>
      <c r="K1660">
        <f>VLOOKUP(F1660,[1]!china_towns_second__2[[Column1]:[Y]],2,FALSE)</f>
        <v>117.8284022</v>
      </c>
      <c r="L1660" t="s">
        <v>6485</v>
      </c>
      <c r="M1660" t="str">
        <f>VLOOKUP(H1660,CHOOSE({1,2},Table17[Native],Table17[Name]),2,0)</f>
        <v>Zhōucūn Qū</v>
      </c>
      <c r="N1660" s="15" t="str">
        <f>VLOOKUP(I1660,CHOOSE({1,2},Table17[Native],Table17[Name]),2,0)</f>
        <v>Zībó Shì</v>
      </c>
      <c r="O1660" s="15" t="str">
        <f t="shared" si="50"/>
        <v>Yong'an Jiedao (Zībó Shì)</v>
      </c>
      <c r="P1660" s="15" t="str">
        <f t="shared" si="51"/>
        <v>Yong'an Jiedao (Zībó Shì)</v>
      </c>
    </row>
    <row r="1661" spans="1:16" hidden="1" x14ac:dyDescent="0.25">
      <c r="A1661" t="s">
        <v>571</v>
      </c>
      <c r="B1661" t="str">
        <f>IF(COUNTIF(A:A,A1661)&gt;1,_xlfn.CONCAT(A1661," (",N1661,")"),A1661)</f>
        <v>Yŏng'ān Zhèn (Dōngyíng Shì)</v>
      </c>
      <c r="C1661" t="str">
        <f>IF(COUNTIF(B:B,B1661)&gt;1,_xlfn.CONCAT(A1661," (",M1661,")"),B1661)</f>
        <v>Yŏng'ān Zhèn (Dōngyíng Shì)</v>
      </c>
      <c r="D1661" t="s">
        <v>572</v>
      </c>
      <c r="E1661" t="s">
        <v>13</v>
      </c>
      <c r="F1661" t="str">
        <f>_xlfn.CONCAT(D1661,", ",H1661,", ",I1661,", ","山东省")</f>
        <v>永安镇, 垦利区, 东营市, 山东省</v>
      </c>
      <c r="G1661">
        <v>17436</v>
      </c>
      <c r="H1661" t="s">
        <v>3659</v>
      </c>
      <c r="I1661" t="s">
        <v>3655</v>
      </c>
      <c r="J1661">
        <f>VLOOKUP(F1661,[1]!china_towns_second__2[[Column1]:[Y]],3,FALSE)</f>
        <v>37.5664207698374</v>
      </c>
      <c r="K1661">
        <f>VLOOKUP(F1661,[1]!china_towns_second__2[[Column1]:[Y]],2,FALSE)</f>
        <v>118.7786256</v>
      </c>
      <c r="L1661" t="s">
        <v>6486</v>
      </c>
      <c r="M1661" t="str">
        <f>VLOOKUP(H1661,CHOOSE({1,2},Table17[Native],Table17[Name]),2,0)</f>
        <v>Kĕnlì Qū</v>
      </c>
      <c r="N1661" s="15" t="str">
        <f>VLOOKUP(I1661,CHOOSE({1,2},Table17[Native],Table17[Name]),2,0)</f>
        <v>Dōngyíng Shì</v>
      </c>
      <c r="O1661" s="15" t="str">
        <f t="shared" si="50"/>
        <v>Yong'an Zhen (Dongying Shi) (Dōngyíng Shì)</v>
      </c>
      <c r="P1661" s="15" t="str">
        <f t="shared" si="51"/>
        <v>Yong'an Zhen (Dongying Shi) (Dōngyíng Shì)</v>
      </c>
    </row>
    <row r="1662" spans="1:16" hidden="1" x14ac:dyDescent="0.25">
      <c r="A1662" t="s">
        <v>571</v>
      </c>
      <c r="B1662" t="str">
        <f>IF(COUNTIF(A:A,A1662)&gt;1,_xlfn.CONCAT(A1662," (",N1662,")"),A1662)</f>
        <v>Yŏng'ān Zhèn (Zăozhuāng Shì)</v>
      </c>
      <c r="C1662" t="str">
        <f>IF(COUNTIF(B:B,B1662)&gt;1,_xlfn.CONCAT(A1662," (",M1662,")"),B1662)</f>
        <v>Yŏng'ān Zhèn (Zăozhuāng Shì)</v>
      </c>
      <c r="D1662" t="s">
        <v>572</v>
      </c>
      <c r="E1662" t="s">
        <v>13</v>
      </c>
      <c r="F1662" t="str">
        <f>_xlfn.CONCAT(D1662,", ",H1662,", ",I1662,", ","山东省")</f>
        <v>永安镇, 市中区, 枣庄市, 山东省</v>
      </c>
      <c r="G1662">
        <v>49422</v>
      </c>
      <c r="H1662" t="s">
        <v>3683</v>
      </c>
      <c r="I1662" t="s">
        <v>3784</v>
      </c>
      <c r="J1662">
        <f>VLOOKUP(F1662,[1]!china_towns_second__2[[Column1]:[Y]],3,FALSE)</f>
        <v>34.815714590929502</v>
      </c>
      <c r="K1662">
        <f>VLOOKUP(F1662,[1]!china_towns_second__2[[Column1]:[Y]],2,FALSE)</f>
        <v>117.50506009999999</v>
      </c>
      <c r="L1662" t="s">
        <v>6487</v>
      </c>
      <c r="M1662" t="str">
        <f>VLOOKUP(H1662,CHOOSE({1,2},Table17[Native],Table17[Name]),2,0)</f>
        <v>Shìzhōng Qū</v>
      </c>
      <c r="N1662" s="15" t="str">
        <f>VLOOKUP(I1662,CHOOSE({1,2},Table17[Native],Table17[Name]),2,0)</f>
        <v>Zăozhuāng Shì</v>
      </c>
      <c r="O1662" s="15" t="str">
        <f t="shared" si="50"/>
        <v>Yong'an Zhen (Zaozhuang Shi) (Zăozhuāng Shì)</v>
      </c>
      <c r="P1662" s="15" t="str">
        <f t="shared" si="51"/>
        <v>Yong'an Zhen (Zaozhuang Shi) (Zăozhuāng Shì)</v>
      </c>
    </row>
    <row r="1663" spans="1:16" hidden="1" x14ac:dyDescent="0.25">
      <c r="A1663" t="s">
        <v>3312</v>
      </c>
      <c r="B1663" t="str">
        <f>IF(COUNTIF(A:A,A1663)&gt;1,_xlfn.CONCAT(A1663," (",N1663,")"),A1663)</f>
        <v>Yŏng'ānlù Jiēdào</v>
      </c>
      <c r="C1663" t="str">
        <f>IF(COUNTIF(B:B,B1663)&gt;1,_xlfn.CONCAT(A1663," (",M1663,")"),B1663)</f>
        <v>Yŏng'ānlù Jiēdào</v>
      </c>
      <c r="D1663" t="s">
        <v>3313</v>
      </c>
      <c r="E1663" t="s">
        <v>7</v>
      </c>
      <c r="F1663" t="str">
        <f>_xlfn.CONCAT(D1663,", ",H1663,", ",I1663,", ","山东省")</f>
        <v>永安路街道, 莱州市, 烟台市, 山东省</v>
      </c>
      <c r="G1663">
        <v>55958</v>
      </c>
      <c r="H1663" t="s">
        <v>3776</v>
      </c>
      <c r="I1663" t="s">
        <v>3771</v>
      </c>
      <c r="J1663">
        <f>VLOOKUP(F1663,[1]!china_towns_second__2[[Column1]:[Y]],3,FALSE)</f>
        <v>37.194774889752402</v>
      </c>
      <c r="K1663">
        <f>VLOOKUP(F1663,[1]!china_towns_second__2[[Column1]:[Y]],2,FALSE)</f>
        <v>119.88725599999999</v>
      </c>
      <c r="L1663" t="s">
        <v>6488</v>
      </c>
      <c r="M1663" t="str">
        <f>VLOOKUP(H1663,CHOOSE({1,2},Table17[Native],Table17[Name]),2,0)</f>
        <v>Láizhōu Shì</v>
      </c>
      <c r="N1663" s="15" t="str">
        <f>VLOOKUP(I1663,CHOOSE({1,2},Table17[Native],Table17[Name]),2,0)</f>
        <v>Yāntái Shì</v>
      </c>
      <c r="O1663" s="15" t="str">
        <f t="shared" si="50"/>
        <v>Yong'anlu Jiedao (Yāntái Shì)</v>
      </c>
      <c r="P1663" s="15" t="str">
        <f t="shared" si="51"/>
        <v>Yong'anlu Jiedao (Yāntái Shì)</v>
      </c>
    </row>
    <row r="1664" spans="1:16" hidden="1" x14ac:dyDescent="0.25">
      <c r="A1664" t="s">
        <v>864</v>
      </c>
      <c r="B1664" t="str">
        <f>IF(COUNTIF(A:A,A1664)&gt;1,_xlfn.CONCAT(A1664," (",N1664,")"),A1664)</f>
        <v>Yŏngchāng Jiēdào</v>
      </c>
      <c r="C1664" t="str">
        <f>IF(COUNTIF(B:B,B1664)&gt;1,_xlfn.CONCAT(A1664," (",M1664,")"),B1664)</f>
        <v>Yŏngchāng Jiēdào</v>
      </c>
      <c r="D1664" t="s">
        <v>865</v>
      </c>
      <c r="E1664" t="s">
        <v>7</v>
      </c>
      <c r="F1664" t="str">
        <f>_xlfn.CONCAT(D1664,", ",H1664,", ",I1664,", ","山东省")</f>
        <v>永昌街道, 成武县, 菏泽市, 山东省</v>
      </c>
      <c r="G1664">
        <v>58572</v>
      </c>
      <c r="H1664" t="s">
        <v>3664</v>
      </c>
      <c r="I1664" t="s">
        <v>3662</v>
      </c>
      <c r="J1664">
        <f>VLOOKUP(F1664,[1]!china_towns_second__2[[Column1]:[Y]],3,FALSE)</f>
        <v>34.922820400958997</v>
      </c>
      <c r="K1664">
        <f>VLOOKUP(F1664,[1]!china_towns_second__2[[Column1]:[Y]],2,FALSE)</f>
        <v>115.9141563</v>
      </c>
      <c r="L1664" t="s">
        <v>6489</v>
      </c>
      <c r="M1664" t="str">
        <f>VLOOKUP(H1664,CHOOSE({1,2},Table17[Native],Table17[Name]),2,0)</f>
        <v>Chéngwŭ Xiàn</v>
      </c>
      <c r="N1664" s="15" t="str">
        <f>VLOOKUP(I1664,CHOOSE({1,2},Table17[Native],Table17[Name]),2,0)</f>
        <v>Hézé Shì</v>
      </c>
      <c r="O1664" s="15" t="str">
        <f t="shared" si="50"/>
        <v>Yongchang Jiedao (Hézé Shì)</v>
      </c>
      <c r="P1664" s="15" t="str">
        <f t="shared" si="51"/>
        <v>Yongchang Jiedao (Hézé Shì)</v>
      </c>
    </row>
    <row r="1665" spans="1:16" hidden="1" x14ac:dyDescent="0.25">
      <c r="A1665" t="s">
        <v>866</v>
      </c>
      <c r="B1665" t="str">
        <f>IF(COUNTIF(A:A,A1665)&gt;1,_xlfn.CONCAT(A1665," (",N1665,")"),A1665)</f>
        <v>Yŏngfēng Jiēdào</v>
      </c>
      <c r="C1665" t="str">
        <f>IF(COUNTIF(B:B,B1665)&gt;1,_xlfn.CONCAT(A1665," (",M1665,")"),B1665)</f>
        <v>Yŏngfēng Jiēdào</v>
      </c>
      <c r="D1665" t="s">
        <v>867</v>
      </c>
      <c r="E1665" t="s">
        <v>7</v>
      </c>
      <c r="F1665" t="str">
        <f>_xlfn.CONCAT(D1665,", ",H1665,", ",I1665,", ","山东省")</f>
        <v>永丰街道, 巨野县, 菏泽市, 山东省</v>
      </c>
      <c r="G1665">
        <v>92118</v>
      </c>
      <c r="H1665" t="s">
        <v>3668</v>
      </c>
      <c r="I1665" t="s">
        <v>3662</v>
      </c>
      <c r="J1665">
        <f>VLOOKUP(F1665,[1]!china_towns_second__2[[Column1]:[Y]],3,FALSE)</f>
        <v>35.363085379134297</v>
      </c>
      <c r="K1665">
        <f>VLOOKUP(F1665,[1]!china_towns_second__2[[Column1]:[Y]],2,FALSE)</f>
        <v>116.0607313</v>
      </c>
      <c r="L1665" t="s">
        <v>6490</v>
      </c>
      <c r="M1665" t="str">
        <f>VLOOKUP(H1665,CHOOSE({1,2},Table17[Native],Table17[Name]),2,0)</f>
        <v>Jùyĕ Xiàn</v>
      </c>
      <c r="N1665" s="15" t="str">
        <f>VLOOKUP(I1665,CHOOSE({1,2},Table17[Native],Table17[Name]),2,0)</f>
        <v>Hézé Shì</v>
      </c>
      <c r="O1665" s="15" t="str">
        <f t="shared" si="50"/>
        <v>Yongfeng Jiedao (Hézé Shì)</v>
      </c>
      <c r="P1665" s="15" t="str">
        <f t="shared" si="51"/>
        <v>Yongfeng Jiedao (Hézé Shì)</v>
      </c>
    </row>
    <row r="1666" spans="1:16" hidden="1" x14ac:dyDescent="0.25">
      <c r="A1666" t="s">
        <v>2357</v>
      </c>
      <c r="B1666" t="str">
        <f>IF(COUNTIF(A:A,A1666)&gt;1,_xlfn.CONCAT(A1666," (",N1666,")"),A1666)</f>
        <v>Yŏngqīnglù Jiēdào</v>
      </c>
      <c r="C1666" t="str">
        <f>IF(COUNTIF(B:B,B1666)&gt;1,_xlfn.CONCAT(A1666," (",M1666,")"),B1666)</f>
        <v>Yŏngqīnglù Jiēdào</v>
      </c>
      <c r="D1666" t="s">
        <v>2358</v>
      </c>
      <c r="E1666" t="s">
        <v>7</v>
      </c>
      <c r="F1666" t="str">
        <f>_xlfn.CONCAT(D1666,", ",H1666,", ",I1666,", ","山东省")</f>
        <v>永清路街道, 李沧区, 青岛市, 山东省</v>
      </c>
      <c r="G1666">
        <v>44515</v>
      </c>
      <c r="H1666" t="s">
        <v>3731</v>
      </c>
      <c r="I1666" t="s">
        <v>3724</v>
      </c>
      <c r="J1666">
        <f>VLOOKUP(F1666,[1]!china_towns_second__2[[Column1]:[Y]],3,FALSE)</f>
        <v>36.1793069026591</v>
      </c>
      <c r="K1666">
        <f>VLOOKUP(F1666,[1]!china_towns_second__2[[Column1]:[Y]],2,FALSE)</f>
        <v>120.39596450000001</v>
      </c>
      <c r="L1666" t="s">
        <v>6491</v>
      </c>
      <c r="M1666" t="str">
        <f>VLOOKUP(H1666,CHOOSE({1,2},Table17[Native],Table17[Name]),2,0)</f>
        <v>Lĭcāng Qū</v>
      </c>
      <c r="N1666" s="15" t="str">
        <f>VLOOKUP(I1666,CHOOSE({1,2},Table17[Native],Table17[Name]),2,0)</f>
        <v>Qīngdăo Shì</v>
      </c>
      <c r="O1666" s="15" t="str">
        <f t="shared" ref="O1666:O1729" si="52">_xlfn.CONCAT(L1666," (",N1666,")")</f>
        <v>Yongqinglu Jiedao (Qīngdăo Shì)</v>
      </c>
      <c r="P1666" s="15" t="str">
        <f t="shared" ref="P1666:P1729" si="53">IF(COUNTIF(O:O,O1666)&gt;1,_xlfn.CONCAT(L1666," (",M1666,")"),O1666)</f>
        <v>Yongqinglu Jiedao (Qīngdăo Shì)</v>
      </c>
    </row>
    <row r="1667" spans="1:16" hidden="1" x14ac:dyDescent="0.25">
      <c r="A1667" t="s">
        <v>2070</v>
      </c>
      <c r="B1667" t="str">
        <f>IF(COUNTIF(A:A,A1667)&gt;1,_xlfn.CONCAT(A1667," (",N1667,")"),A1667)</f>
        <v>Yuàndōngtóu Zhèn</v>
      </c>
      <c r="C1667" t="str">
        <f>IF(COUNTIF(B:B,B1667)&gt;1,_xlfn.CONCAT(A1667," (",M1667,")"),B1667)</f>
        <v>Yuàndōngtóu Zhèn</v>
      </c>
      <c r="D1667" t="s">
        <v>2071</v>
      </c>
      <c r="E1667" t="s">
        <v>13</v>
      </c>
      <c r="F1667" t="str">
        <f>_xlfn.CONCAT(D1667,", ",H1667,", ",I1667,", ","山东省")</f>
        <v>院东头镇, 沂水县, 临沂市, 山东省</v>
      </c>
      <c r="G1667">
        <v>23132</v>
      </c>
      <c r="H1667" t="s">
        <v>3722</v>
      </c>
      <c r="I1667" t="s">
        <v>3710</v>
      </c>
      <c r="J1667">
        <f>VLOOKUP(F1667,[1]!china_towns_second__2[[Column1]:[Y]],3,FALSE)</f>
        <v>35.727187177052699</v>
      </c>
      <c r="K1667">
        <f>VLOOKUP(F1667,[1]!china_towns_second__2[[Column1]:[Y]],2,FALSE)</f>
        <v>118.4078444</v>
      </c>
      <c r="L1667" t="s">
        <v>6492</v>
      </c>
      <c r="M1667" t="str">
        <f>VLOOKUP(H1667,CHOOSE({1,2},Table17[Native],Table17[Name]),2,0)</f>
        <v>Yíshuĭ Xiàn</v>
      </c>
      <c r="N1667" s="15" t="str">
        <f>VLOOKUP(I1667,CHOOSE({1,2},Table17[Native],Table17[Name]),2,0)</f>
        <v>Línyí Shì</v>
      </c>
      <c r="O1667" s="15" t="str">
        <f t="shared" si="52"/>
        <v>Yuandongtou Zhen (Línyí Shì)</v>
      </c>
      <c r="P1667" s="15" t="str">
        <f t="shared" si="53"/>
        <v>Yuandongtou Zhen (Línyí Shì)</v>
      </c>
    </row>
    <row r="1668" spans="1:16" hidden="1" x14ac:dyDescent="0.25">
      <c r="A1668" t="s">
        <v>3314</v>
      </c>
      <c r="B1668" t="str">
        <f>IF(COUNTIF(A:A,A1668)&gt;1,_xlfn.CONCAT(A1668," (",N1668,")"),A1668)</f>
        <v>Yuàngézhuāng Jiēdào</v>
      </c>
      <c r="C1668" t="str">
        <f>IF(COUNTIF(B:B,B1668)&gt;1,_xlfn.CONCAT(A1668," (",M1668,")"),B1668)</f>
        <v>Yuàngézhuāng Jiēdào</v>
      </c>
      <c r="D1668" t="s">
        <v>3315</v>
      </c>
      <c r="E1668" t="s">
        <v>7</v>
      </c>
      <c r="F1668" t="str">
        <f>_xlfn.CONCAT(D1668,", ",H1668,", ",I1668,", ","山东省")</f>
        <v>院格庄街道, 莱山区, 烟台市, 山东省</v>
      </c>
      <c r="G1668">
        <v>16200</v>
      </c>
      <c r="H1668" t="s">
        <v>3774</v>
      </c>
      <c r="I1668" t="s">
        <v>3771</v>
      </c>
      <c r="J1668">
        <f>VLOOKUP(F1668,[1]!china_towns_second__2[[Column1]:[Y]],3,FALSE)</f>
        <v>37.296362581668298</v>
      </c>
      <c r="K1668">
        <f>VLOOKUP(F1668,[1]!china_towns_second__2[[Column1]:[Y]],2,FALSE)</f>
        <v>121.3732715</v>
      </c>
      <c r="L1668" t="s">
        <v>6493</v>
      </c>
      <c r="M1668" t="str">
        <f>VLOOKUP(H1668,CHOOSE({1,2},Table17[Native],Table17[Name]),2,0)</f>
        <v>Láishān Qū</v>
      </c>
      <c r="N1668" s="15" t="str">
        <f>VLOOKUP(I1668,CHOOSE({1,2},Table17[Native],Table17[Name]),2,0)</f>
        <v>Yāntái Shì</v>
      </c>
      <c r="O1668" s="15" t="str">
        <f t="shared" si="52"/>
        <v>Yuangezhuang Jiedao (Yāntái Shì)</v>
      </c>
      <c r="P1668" s="15" t="str">
        <f t="shared" si="53"/>
        <v>Yuangezhuang Jiedao (Yāntái Shì)</v>
      </c>
    </row>
    <row r="1669" spans="1:16" hidden="1" x14ac:dyDescent="0.25">
      <c r="A1669" t="s">
        <v>433</v>
      </c>
      <c r="B1669" t="str">
        <f>IF(COUNTIF(A:A,A1669)&gt;1,_xlfn.CONCAT(A1669," (",N1669,")"),A1669)</f>
        <v>Yuánqiáo Zhèn</v>
      </c>
      <c r="C1669" t="str">
        <f>IF(COUNTIF(B:B,B1669)&gt;1,_xlfn.CONCAT(A1669," (",M1669,")"),B1669)</f>
        <v>Yuánqiáo Zhèn</v>
      </c>
      <c r="D1669" t="s">
        <v>434</v>
      </c>
      <c r="E1669" t="s">
        <v>13</v>
      </c>
      <c r="F1669" t="str">
        <f>_xlfn.CONCAT(D1669,", ",H1669,", ",I1669,", ","山东省")</f>
        <v>袁桥镇, 德城区, 德州市, 山东省</v>
      </c>
      <c r="G1669">
        <v>20589</v>
      </c>
      <c r="H1669" t="s">
        <v>3643</v>
      </c>
      <c r="I1669" t="s">
        <v>3642</v>
      </c>
      <c r="J1669">
        <f>VLOOKUP(F1669,[1]!china_towns_second__2[[Column1]:[Y]],3,FALSE)</f>
        <v>37.426954722030203</v>
      </c>
      <c r="K1669">
        <f>VLOOKUP(F1669,[1]!china_towns_second__2[[Column1]:[Y]],2,FALSE)</f>
        <v>116.43786950000001</v>
      </c>
      <c r="L1669" t="s">
        <v>6494</v>
      </c>
      <c r="M1669" t="str">
        <f>VLOOKUP(H1669,CHOOSE({1,2},Table17[Native],Table17[Name]),2,0)</f>
        <v>Déchéng Qū</v>
      </c>
      <c r="N1669" s="15" t="str">
        <f>VLOOKUP(I1669,CHOOSE({1,2},Table17[Native],Table17[Name]),2,0)</f>
        <v>Dézhōu Shì</v>
      </c>
      <c r="O1669" s="15" t="str">
        <f t="shared" si="52"/>
        <v>Yuanqiao Zhen (Dézhōu Shì)</v>
      </c>
      <c r="P1669" s="15" t="str">
        <f t="shared" si="53"/>
        <v>Yuanqiao Zhen (Dézhōu Shì)</v>
      </c>
    </row>
    <row r="1670" spans="1:16" hidden="1" x14ac:dyDescent="0.25">
      <c r="A1670" t="s">
        <v>3611</v>
      </c>
      <c r="B1670" t="str">
        <f>IF(COUNTIF(A:A,A1670)&gt;1,_xlfn.CONCAT(A1670," (",N1670,")"),A1670)</f>
        <v>Yuánquán Zhèn [incl. Gùshān Zhèn]</v>
      </c>
      <c r="C1670" t="str">
        <f>IF(COUNTIF(B:B,B1670)&gt;1,_xlfn.CONCAT(A1670," (",M1670,")"),B1670)</f>
        <v>Yuánquán Zhèn [incl. Gùshān Zhèn]</v>
      </c>
      <c r="D1670" t="s">
        <v>3612</v>
      </c>
      <c r="E1670" t="s">
        <v>13</v>
      </c>
      <c r="F1670" t="str">
        <f>_xlfn.CONCAT(D1670,", ",H1670,", ",I1670,", ","山东省")</f>
        <v>源泉镇, 博山区, 淄博市, 山东省</v>
      </c>
      <c r="G1670">
        <v>31485</v>
      </c>
      <c r="H1670" t="s">
        <v>3792</v>
      </c>
      <c r="I1670" t="s">
        <v>3791</v>
      </c>
      <c r="J1670">
        <f>VLOOKUP(F1670,[1]!china_towns_second__2[[Column1]:[Y]],3,FALSE)</f>
        <v>36.422913712473303</v>
      </c>
      <c r="K1670">
        <f>VLOOKUP(F1670,[1]!china_towns_second__2[[Column1]:[Y]],2,FALSE)</f>
        <v>118.02741229999999</v>
      </c>
      <c r="L1670" t="s">
        <v>6495</v>
      </c>
      <c r="M1670" t="str">
        <f>VLOOKUP(H1670,CHOOSE({1,2},Table17[Native],Table17[Name]),2,0)</f>
        <v>Bóshān Qū</v>
      </c>
      <c r="N1670" s="15" t="str">
        <f>VLOOKUP(I1670,CHOOSE({1,2},Table17[Native],Table17[Name]),2,0)</f>
        <v>Zībó Shì</v>
      </c>
      <c r="O1670" s="15" t="str">
        <f t="shared" si="52"/>
        <v>Yuanquan Zhen [incl. Gushan Zhen] (Zībó Shì)</v>
      </c>
      <c r="P1670" s="15" t="str">
        <f t="shared" si="53"/>
        <v>Yuanquan Zhen [incl. Gushan Zhen] (Zībó Shì)</v>
      </c>
    </row>
    <row r="1671" spans="1:16" hidden="1" x14ac:dyDescent="0.25">
      <c r="A1671" t="s">
        <v>2359</v>
      </c>
      <c r="B1671" t="str">
        <f>IF(COUNTIF(A:A,A1671)&gt;1,_xlfn.CONCAT(A1671," (",N1671,")"),A1671)</f>
        <v>Yuànshàng Zhèn [incl. Wŭbèi Zhèn]</v>
      </c>
      <c r="C1671" t="str">
        <f>IF(COUNTIF(B:B,B1671)&gt;1,_xlfn.CONCAT(A1671," (",M1671,")"),B1671)</f>
        <v>Yuànshàng Zhèn [incl. Wŭbèi Zhèn]</v>
      </c>
      <c r="D1671" t="s">
        <v>2360</v>
      </c>
      <c r="E1671" t="s">
        <v>13</v>
      </c>
      <c r="F1671" t="str">
        <f>_xlfn.CONCAT(D1671,", ",H1671,", ",I1671,", ","山东省")</f>
        <v>院上镇, 莱西市, 青岛市, 山东省</v>
      </c>
      <c r="G1671">
        <v>74253</v>
      </c>
      <c r="H1671" t="s">
        <v>3729</v>
      </c>
      <c r="I1671" t="s">
        <v>3724</v>
      </c>
      <c r="J1671">
        <f>VLOOKUP(F1671,[1]!china_towns_second__2[[Column1]:[Y]],3,FALSE)</f>
        <v>36.8007035717959</v>
      </c>
      <c r="K1671">
        <f>VLOOKUP(F1671,[1]!china_towns_second__2[[Column1]:[Y]],2,FALSE)</f>
        <v>120.31823350000001</v>
      </c>
      <c r="L1671" t="s">
        <v>6496</v>
      </c>
      <c r="M1671" t="str">
        <f>VLOOKUP(H1671,CHOOSE({1,2},Table17[Native],Table17[Name]),2,0)</f>
        <v>Láixī Shì</v>
      </c>
      <c r="N1671" s="15" t="str">
        <f>VLOOKUP(I1671,CHOOSE({1,2},Table17[Native],Table17[Name]),2,0)</f>
        <v>Qīngdăo Shì</v>
      </c>
      <c r="O1671" s="15" t="str">
        <f t="shared" si="52"/>
        <v>Yuanshang Zhen [incl. Wubei Zhen] (Qīngdăo Shì)</v>
      </c>
      <c r="P1671" s="15" t="str">
        <f t="shared" si="53"/>
        <v>Yuanshang Zhen [incl. Wubei Zhen] (Qīngdăo Shì)</v>
      </c>
    </row>
    <row r="1672" spans="1:16" hidden="1" x14ac:dyDescent="0.25">
      <c r="A1672" t="s">
        <v>868</v>
      </c>
      <c r="B1672" t="str">
        <f>IF(COUNTIF(A:A,A1672)&gt;1,_xlfn.CONCAT(A1672," (",N1672,")"),A1672)</f>
        <v>Yuányì Jiēdào</v>
      </c>
      <c r="C1672" t="str">
        <f>IF(COUNTIF(B:B,B1672)&gt;1,_xlfn.CONCAT(A1672," (",M1672,")"),B1672)</f>
        <v>Yuányì Jiēdào</v>
      </c>
      <c r="D1672" t="s">
        <v>869</v>
      </c>
      <c r="E1672" t="s">
        <v>7</v>
      </c>
      <c r="F1672" t="str">
        <f>_xlfn.CONCAT(D1672,", ",H1672,", ",I1672,", ","山东省")</f>
        <v>园艺街道, 单县, 菏泽市, 山东省</v>
      </c>
      <c r="G1672">
        <v>44809</v>
      </c>
      <c r="H1672" t="s">
        <v>3670</v>
      </c>
      <c r="I1672" t="s">
        <v>3662</v>
      </c>
      <c r="J1672">
        <f>VLOOKUP(F1672,[1]!china_towns_second__2[[Column1]:[Y]],3,FALSE)</f>
        <v>34.786299684803197</v>
      </c>
      <c r="K1672">
        <f>VLOOKUP(F1672,[1]!china_towns_second__2[[Column1]:[Y]],2,FALSE)</f>
        <v>116.1195397</v>
      </c>
      <c r="L1672" t="s">
        <v>6497</v>
      </c>
      <c r="M1672" t="str">
        <f>VLOOKUP(H1672,CHOOSE({1,2},Table17[Native],Table17[Name]),2,0)</f>
        <v>Shàn Xiàn</v>
      </c>
      <c r="N1672" s="15" t="str">
        <f>VLOOKUP(I1672,CHOOSE({1,2},Table17[Native],Table17[Name]),2,0)</f>
        <v>Hézé Shì</v>
      </c>
      <c r="O1672" s="15" t="str">
        <f t="shared" si="52"/>
        <v>Yuanyi Jiedao (Hézé Shì)</v>
      </c>
      <c r="P1672" s="15" t="str">
        <f t="shared" si="53"/>
        <v>Yuanyi Jiedao (Hézé Shì)</v>
      </c>
    </row>
    <row r="1673" spans="1:16" hidden="1" x14ac:dyDescent="0.25">
      <c r="A1673" t="s">
        <v>1502</v>
      </c>
      <c r="B1673" t="str">
        <f>IF(COUNTIF(A:A,A1673)&gt;1,_xlfn.CONCAT(A1673," (",N1673,")"),A1673)</f>
        <v>Yuànzhuāng Zhèn</v>
      </c>
      <c r="C1673" t="str">
        <f>IF(COUNTIF(B:B,B1673)&gt;1,_xlfn.CONCAT(A1673," (",M1673,")"),B1673)</f>
        <v>Yuànzhuāng Zhèn</v>
      </c>
      <c r="D1673" t="s">
        <v>1503</v>
      </c>
      <c r="E1673" t="s">
        <v>13</v>
      </c>
      <c r="F1673" t="str">
        <f>_xlfn.CONCAT(D1673,", ",H1673,", ",I1673,", ","山东省")</f>
        <v>苑庄镇, 汶上县, 济宁市, 山东省</v>
      </c>
      <c r="G1673">
        <v>31229</v>
      </c>
      <c r="H1673" t="s">
        <v>3695</v>
      </c>
      <c r="I1673" t="s">
        <v>3687</v>
      </c>
      <c r="J1673">
        <f>VLOOKUP(F1673,[1]!china_towns_second__2[[Column1]:[Y]],3,FALSE)</f>
        <v>35.743053771004497</v>
      </c>
      <c r="K1673">
        <f>VLOOKUP(F1673,[1]!china_towns_second__2[[Column1]:[Y]],2,FALSE)</f>
        <v>116.5705863</v>
      </c>
      <c r="L1673" t="s">
        <v>6498</v>
      </c>
      <c r="M1673" t="str">
        <f>VLOOKUP(H1673,CHOOSE({1,2},Table17[Native],Table17[Name]),2,0)</f>
        <v>Wènshàng Xiàn</v>
      </c>
      <c r="N1673" s="15" t="str">
        <f>VLOOKUP(I1673,CHOOSE({1,2},Table17[Native],Table17[Name]),2,0)</f>
        <v>Jìníng Shì</v>
      </c>
      <c r="O1673" s="15" t="str">
        <f t="shared" si="52"/>
        <v>Yuanzhuang Zhen (Jìníng Shì)</v>
      </c>
      <c r="P1673" s="15" t="str">
        <f t="shared" si="53"/>
        <v>Yuanzhuang Zhen (Jìníng Shì)</v>
      </c>
    </row>
    <row r="1674" spans="1:16" x14ac:dyDescent="0.25">
      <c r="A1674" t="s">
        <v>1504</v>
      </c>
      <c r="B1674" t="str">
        <f>IF(COUNTIF(A:A,A1674)&gt;1,_xlfn.CONCAT(A1674," (",N1674,")"),A1674)</f>
        <v>Yúchéng Zhèn</v>
      </c>
      <c r="C1674" t="str">
        <f>IF(COUNTIF(B:B,B1674)&gt;1,_xlfn.CONCAT(A1674," (",M1674,")"),B1674)</f>
        <v>Yúchéng Zhèn</v>
      </c>
      <c r="D1674" t="s">
        <v>1505</v>
      </c>
      <c r="E1674" t="s">
        <v>13</v>
      </c>
      <c r="F1674" t="str">
        <f>_xlfn.CONCAT(D1674,", ",H1674,", ",I1674,", ","山东省")</f>
        <v>鱼城镇, 鱼台县, 济宁市, 山东省</v>
      </c>
      <c r="G1674">
        <v>38985</v>
      </c>
      <c r="H1674" t="s">
        <v>3697</v>
      </c>
      <c r="I1674" t="s">
        <v>3687</v>
      </c>
      <c r="J1674">
        <f>VLOOKUP(F1674,[1]!china_towns_second__2[[Column1]:[Y]],3,FALSE)</f>
        <v>34.935101358610098</v>
      </c>
      <c r="K1674">
        <f>VLOOKUP(F1674,[1]!china_towns_second__2[[Column1]:[Y]],2,FALSE)</f>
        <v>116.4715882</v>
      </c>
      <c r="L1674" t="s">
        <v>6499</v>
      </c>
      <c r="M1674" t="str">
        <f>VLOOKUP(H1674,CHOOSE({1,2},Table17[Native],Table17[Name]),2,0)</f>
        <v>Yútái Xiàn</v>
      </c>
      <c r="N1674" s="15" t="str">
        <f>VLOOKUP(I1674,CHOOSE({1,2},Table17[Native],Table17[Name]),2,0)</f>
        <v>Jìníng Shì</v>
      </c>
      <c r="O1674" s="15" t="str">
        <f t="shared" si="52"/>
        <v>Yucheng Zhen (Jìníng Shì)</v>
      </c>
      <c r="P1674" s="15" t="str">
        <f t="shared" si="53"/>
        <v>Yucheng Zhen (Jìníng Shì)</v>
      </c>
    </row>
    <row r="1675" spans="1:16" x14ac:dyDescent="0.25">
      <c r="A1675" t="s">
        <v>3613</v>
      </c>
      <c r="B1675" t="str">
        <f>IF(COUNTIF(A:A,A1675)&gt;1,_xlfn.CONCAT(A1675," (",N1675,")"),A1675)</f>
        <v>Yùchéng Zhèn</v>
      </c>
      <c r="C1675" t="str">
        <f>IF(COUNTIF(B:B,B1675)&gt;1,_xlfn.CONCAT(A1675," (",M1675,")"),B1675)</f>
        <v>Yùchéng Zhèn</v>
      </c>
      <c r="D1675" t="s">
        <v>3614</v>
      </c>
      <c r="E1675" t="s">
        <v>13</v>
      </c>
      <c r="F1675" t="str">
        <f>_xlfn.CONCAT(D1675,", ",H1675,", ",I1675,", ","山东省")</f>
        <v>域城镇, 博山区, 淄博市, 山东省</v>
      </c>
      <c r="G1675">
        <v>75988</v>
      </c>
      <c r="H1675" t="s">
        <v>3792</v>
      </c>
      <c r="I1675" t="s">
        <v>3791</v>
      </c>
      <c r="J1675">
        <f>VLOOKUP(F1675,[1]!china_towns_second__2[[Column1]:[Y]],3,FALSE)</f>
        <v>36.532935367144702</v>
      </c>
      <c r="K1675">
        <f>VLOOKUP(F1675,[1]!china_towns_second__2[[Column1]:[Y]],2,FALSE)</f>
        <v>117.7986324</v>
      </c>
      <c r="L1675" t="s">
        <v>6499</v>
      </c>
      <c r="M1675" t="str">
        <f>VLOOKUP(H1675,CHOOSE({1,2},Table17[Native],Table17[Name]),2,0)</f>
        <v>Bóshān Qū</v>
      </c>
      <c r="N1675" s="15" t="str">
        <f>VLOOKUP(I1675,CHOOSE({1,2},Table17[Native],Table17[Name]),2,0)</f>
        <v>Zībó Shì</v>
      </c>
      <c r="O1675" s="15" t="str">
        <f t="shared" si="52"/>
        <v>Yucheng Zhen (Zībó Shì)</v>
      </c>
      <c r="P1675" s="15" t="str">
        <f t="shared" si="53"/>
        <v>Yucheng Zhen (Zībó Shì)</v>
      </c>
    </row>
    <row r="1676" spans="1:16" hidden="1" x14ac:dyDescent="0.25">
      <c r="A1676" t="s">
        <v>2657</v>
      </c>
      <c r="B1676" t="str">
        <f>IF(COUNTIF(A:A,A1676)&gt;1,_xlfn.CONCAT(A1676," (",N1676,")"),A1676)</f>
        <v>Yŭcūn Zhèn</v>
      </c>
      <c r="C1676" t="str">
        <f>IF(COUNTIF(B:B,B1676)&gt;1,_xlfn.CONCAT(A1676," (",M1676,")"),B1676)</f>
        <v>Yŭcūn Zhèn</v>
      </c>
      <c r="D1676" t="s">
        <v>2658</v>
      </c>
      <c r="E1676" t="s">
        <v>13</v>
      </c>
      <c r="F1676" t="str">
        <f>_xlfn.CONCAT(D1676,", ",H1676,", ",I1676,", ","山东省")</f>
        <v>禹村镇, 新泰市, 泰安市, 山东省</v>
      </c>
      <c r="G1676">
        <v>48480</v>
      </c>
      <c r="H1676" t="s">
        <v>3749</v>
      </c>
      <c r="I1676" t="s">
        <v>3743</v>
      </c>
      <c r="J1676">
        <f>VLOOKUP(F1676,[1]!china_towns_second__2[[Column1]:[Y]],3,FALSE)</f>
        <v>35.816155435822701</v>
      </c>
      <c r="K1676">
        <f>VLOOKUP(F1676,[1]!china_towns_second__2[[Column1]:[Y]],2,FALSE)</f>
        <v>117.3880412</v>
      </c>
      <c r="L1676" t="s">
        <v>6500</v>
      </c>
      <c r="M1676" t="str">
        <f>VLOOKUP(H1676,CHOOSE({1,2},Table17[Native],Table17[Name]),2,0)</f>
        <v>Xīntài Shì</v>
      </c>
      <c r="N1676" s="15" t="str">
        <f>VLOOKUP(I1676,CHOOSE({1,2},Table17[Native],Table17[Name]),2,0)</f>
        <v>Tài'ān Shì</v>
      </c>
      <c r="O1676" s="15" t="str">
        <f t="shared" si="52"/>
        <v>Yucun Zhen (Tài'ān Shì)</v>
      </c>
      <c r="P1676" s="15" t="str">
        <f t="shared" si="53"/>
        <v>Yucun Zhen (Tài'ān Shì)</v>
      </c>
    </row>
    <row r="1677" spans="1:16" hidden="1" x14ac:dyDescent="0.25">
      <c r="A1677" t="s">
        <v>870</v>
      </c>
      <c r="B1677" t="str">
        <f>IF(COUNTIF(A:A,A1677)&gt;1,_xlfn.CONCAT(A1677," (",N1677,")"),A1677)</f>
        <v>Yuèchéng Jiēdào</v>
      </c>
      <c r="C1677" t="str">
        <f>IF(COUNTIF(B:B,B1677)&gt;1,_xlfn.CONCAT(A1677," (",M1677,")"),B1677)</f>
        <v>Yuèchéng Jiēdào</v>
      </c>
      <c r="D1677" t="s">
        <v>871</v>
      </c>
      <c r="E1677" t="s">
        <v>7</v>
      </c>
      <c r="F1677" t="str">
        <f>_xlfn.CONCAT(D1677,", ",H1677,", ",I1677,", ","山东省")</f>
        <v>岳程街道, 牡丹区, 菏泽市, 山东省</v>
      </c>
      <c r="G1677">
        <v>58944</v>
      </c>
      <c r="H1677" t="s">
        <v>3669</v>
      </c>
      <c r="I1677" t="s">
        <v>3662</v>
      </c>
      <c r="J1677">
        <f>VLOOKUP(F1677,[1]!china_towns_second__2[[Column1]:[Y]],3,FALSE)</f>
        <v>35.2516129478267</v>
      </c>
      <c r="K1677">
        <f>VLOOKUP(F1677,[1]!china_towns_second__2[[Column1]:[Y]],2,FALSE)</f>
        <v>115.56277300000001</v>
      </c>
      <c r="L1677" t="s">
        <v>6501</v>
      </c>
      <c r="M1677" t="str">
        <f>VLOOKUP(H1677,CHOOSE({1,2},Table17[Native],Table17[Name]),2,0)</f>
        <v>Mŭdān Qū</v>
      </c>
      <c r="N1677" s="15" t="str">
        <f>VLOOKUP(I1677,CHOOSE({1,2},Table17[Native],Table17[Name]),2,0)</f>
        <v>Hézé Shì</v>
      </c>
      <c r="O1677" s="15" t="str">
        <f t="shared" si="52"/>
        <v>Yuecheng Jiedao (Hézé Shì)</v>
      </c>
      <c r="P1677" s="15" t="str">
        <f t="shared" si="53"/>
        <v>Yuecheng Jiedao (Hézé Shì)</v>
      </c>
    </row>
    <row r="1678" spans="1:16" hidden="1" x14ac:dyDescent="0.25">
      <c r="A1678" t="s">
        <v>1506</v>
      </c>
      <c r="B1678" t="str">
        <f>IF(COUNTIF(A:A,A1678)&gt;1,_xlfn.CONCAT(A1678," (",N1678,")"),A1678)</f>
        <v>Yuèhé Jiēdào</v>
      </c>
      <c r="C1678" t="str">
        <f>IF(COUNTIF(B:B,B1678)&gt;1,_xlfn.CONCAT(A1678," (",M1678,")"),B1678)</f>
        <v>Yuèhé Jiēdào</v>
      </c>
      <c r="D1678" t="s">
        <v>1507</v>
      </c>
      <c r="E1678" t="s">
        <v>7</v>
      </c>
      <c r="F1678" t="str">
        <f>_xlfn.CONCAT(D1678,", ",H1678,", ",I1678,", ","山东省")</f>
        <v>越河街道, 任城区, 济宁市, 山东省</v>
      </c>
      <c r="G1678">
        <v>30602</v>
      </c>
      <c r="H1678" t="s">
        <v>3692</v>
      </c>
      <c r="I1678" t="s">
        <v>3687</v>
      </c>
      <c r="J1678">
        <f>VLOOKUP(F1678,[1]!china_towns_second__2[[Column1]:[Y]],3,FALSE)</f>
        <v>35.395590348770597</v>
      </c>
      <c r="K1678">
        <f>VLOOKUP(F1678,[1]!china_towns_second__2[[Column1]:[Y]],2,FALSE)</f>
        <v>116.579768</v>
      </c>
      <c r="L1678" t="s">
        <v>6502</v>
      </c>
      <c r="M1678" t="str">
        <f>VLOOKUP(H1678,CHOOSE({1,2},Table17[Native],Table17[Name]),2,0)</f>
        <v>Rènchéng Qū</v>
      </c>
      <c r="N1678" s="15" t="str">
        <f>VLOOKUP(I1678,CHOOSE({1,2},Table17[Native],Table17[Name]),2,0)</f>
        <v>Jìníng Shì</v>
      </c>
      <c r="O1678" s="15" t="str">
        <f t="shared" si="52"/>
        <v>Yuehe Jiedao (Jìníng Shì)</v>
      </c>
      <c r="P1678" s="15" t="str">
        <f t="shared" si="53"/>
        <v>Yuehe Jiedao (Jìníng Shì)</v>
      </c>
    </row>
    <row r="1679" spans="1:16" hidden="1" x14ac:dyDescent="0.25">
      <c r="A1679" t="s">
        <v>2659</v>
      </c>
      <c r="B1679" t="str">
        <f>IF(COUNTIF(A:A,A1679)&gt;1,_xlfn.CONCAT(A1679," (",N1679,")"),A1679)</f>
        <v>Yuèjiāzhuāng Xiāng</v>
      </c>
      <c r="C1679" t="str">
        <f>IF(COUNTIF(B:B,B1679)&gt;1,_xlfn.CONCAT(A1679," (",M1679,")"),B1679)</f>
        <v>Yuèjiāzhuāng Xiāng</v>
      </c>
      <c r="D1679" t="s">
        <v>2660</v>
      </c>
      <c r="E1679" t="s">
        <v>61</v>
      </c>
      <c r="F1679" t="str">
        <f>_xlfn.CONCAT(D1679,", ",H1679,", ",I1679,", ","山东省")</f>
        <v>岳家庄乡, 新泰市, 泰安市, 山东省</v>
      </c>
      <c r="G1679">
        <v>33565</v>
      </c>
      <c r="H1679" t="s">
        <v>3749</v>
      </c>
      <c r="I1679" t="s">
        <v>3743</v>
      </c>
      <c r="J1679" t="e">
        <f>VLOOKUP(F1679,[1]!china_towns_second__2[[Column1]:[Y]],3,FALSE)</f>
        <v>#N/A</v>
      </c>
      <c r="K1679" t="e">
        <f>VLOOKUP(F1679,[1]!china_towns_second__2[[Column1]:[Y]],2,FALSE)</f>
        <v>#N/A</v>
      </c>
      <c r="L1679" t="s">
        <v>6503</v>
      </c>
      <c r="M1679" t="str">
        <f>VLOOKUP(H1679,CHOOSE({1,2},Table17[Native],Table17[Name]),2,0)</f>
        <v>Xīntài Shì</v>
      </c>
      <c r="N1679" s="15" t="str">
        <f>VLOOKUP(I1679,CHOOSE({1,2},Table17[Native],Table17[Name]),2,0)</f>
        <v>Tài'ān Shì</v>
      </c>
      <c r="O1679" s="15" t="str">
        <f t="shared" si="52"/>
        <v>Yuejiazhuang Xiang (Tài'ān Shì)</v>
      </c>
      <c r="P1679" s="15" t="str">
        <f t="shared" si="53"/>
        <v>Yuejiazhuang Xiang (Tài'ān Shì)</v>
      </c>
    </row>
    <row r="1680" spans="1:16" hidden="1" x14ac:dyDescent="0.25">
      <c r="A1680" t="s">
        <v>3615</v>
      </c>
      <c r="B1680" t="str">
        <f>IF(COUNTIF(A:A,A1680)&gt;1,_xlfn.CONCAT(A1680," (",N1680,")"),A1680)</f>
        <v>Yuèzhuāng Zhèn</v>
      </c>
      <c r="C1680" t="str">
        <f>IF(COUNTIF(B:B,B1680)&gt;1,_xlfn.CONCAT(A1680," (",M1680,")"),B1680)</f>
        <v>Yuèzhuāng Zhèn</v>
      </c>
      <c r="D1680" t="s">
        <v>3616</v>
      </c>
      <c r="E1680" t="s">
        <v>13</v>
      </c>
      <c r="F1680" t="str">
        <f>_xlfn.CONCAT(D1680,", ",H1680,", ",I1680,", ","山东省")</f>
        <v>悦庄镇, 沂源县, 淄博市, 山东省</v>
      </c>
      <c r="G1680">
        <v>47893</v>
      </c>
      <c r="H1680" t="s">
        <v>3796</v>
      </c>
      <c r="I1680" t="s">
        <v>3791</v>
      </c>
      <c r="J1680">
        <f>VLOOKUP(F1680,[1]!china_towns_second__2[[Column1]:[Y]],3,FALSE)</f>
        <v>36.231240421041903</v>
      </c>
      <c r="K1680">
        <f>VLOOKUP(F1680,[1]!china_towns_second__2[[Column1]:[Y]],2,FALSE)</f>
        <v>118.27437980000001</v>
      </c>
      <c r="L1680" t="s">
        <v>6504</v>
      </c>
      <c r="M1680" t="str">
        <f>VLOOKUP(H1680,CHOOSE({1,2},Table17[Native],Table17[Name]),2,0)</f>
        <v>Yíyuán Xiàn</v>
      </c>
      <c r="N1680" s="15" t="str">
        <f>VLOOKUP(I1680,CHOOSE({1,2},Table17[Native],Table17[Name]),2,0)</f>
        <v>Zībó Shì</v>
      </c>
      <c r="O1680" s="15" t="str">
        <f t="shared" si="52"/>
        <v>Yuezhuang Zhen (Zībó Shì)</v>
      </c>
      <c r="P1680" s="15" t="str">
        <f t="shared" si="53"/>
        <v>Yuezhuang Zhen (Zībó Shì)</v>
      </c>
    </row>
    <row r="1681" spans="1:16" hidden="1" x14ac:dyDescent="0.25">
      <c r="A1681" t="s">
        <v>2882</v>
      </c>
      <c r="B1681" t="str">
        <f>IF(COUNTIF(A:A,A1681)&gt;1,_xlfn.CONCAT(A1681," (",N1681,")"),A1681)</f>
        <v>Yúhé Jiēdào</v>
      </c>
      <c r="C1681" t="str">
        <f>IF(COUNTIF(B:B,B1681)&gt;1,_xlfn.CONCAT(A1681," (",M1681,")"),B1681)</f>
        <v>Yúhé Jiēdào</v>
      </c>
      <c r="D1681" t="s">
        <v>2883</v>
      </c>
      <c r="E1681" t="s">
        <v>7</v>
      </c>
      <c r="F1681" t="str">
        <f>_xlfn.CONCAT(D1681,", ",H1681,", ",I1681,", ","山东省")</f>
        <v>于河街道, 潍城区, 潍坊市, 山东省</v>
      </c>
      <c r="G1681">
        <v>70818</v>
      </c>
      <c r="H1681" t="s">
        <v>3762</v>
      </c>
      <c r="I1681" t="s">
        <v>3751</v>
      </c>
      <c r="J1681">
        <f>VLOOKUP(F1681,[1]!china_towns_second__2[[Column1]:[Y]],3,FALSE)</f>
        <v>36.7423934064809</v>
      </c>
      <c r="K1681">
        <f>VLOOKUP(F1681,[1]!china_towns_second__2[[Column1]:[Y]],2,FALSE)</f>
        <v>118.9810493</v>
      </c>
      <c r="L1681" t="s">
        <v>6505</v>
      </c>
      <c r="M1681" t="str">
        <f>VLOOKUP(H1681,CHOOSE({1,2},Table17[Native],Table17[Name]),2,0)</f>
        <v>Wéichéng Qū</v>
      </c>
      <c r="N1681" s="15" t="str">
        <f>VLOOKUP(I1681,CHOOSE({1,2},Table17[Native],Table17[Name]),2,0)</f>
        <v>Wéifāng Shì</v>
      </c>
      <c r="O1681" s="15" t="str">
        <f t="shared" si="52"/>
        <v>Yuhe Jiedao (Wéifāng Shì)</v>
      </c>
      <c r="P1681" s="15" t="str">
        <f t="shared" si="53"/>
        <v>Yuhe Jiedao (Wéifāng Shì)</v>
      </c>
    </row>
    <row r="1682" spans="1:16" hidden="1" x14ac:dyDescent="0.25">
      <c r="A1682" t="s">
        <v>3316</v>
      </c>
      <c r="B1682" t="str">
        <f>IF(COUNTIF(A:A,A1682)&gt;1,_xlfn.CONCAT(A1682," (",N1682,")"),A1682)</f>
        <v>Yùhuángdĭng Jiēdào</v>
      </c>
      <c r="C1682" t="str">
        <f>IF(COUNTIF(B:B,B1682)&gt;1,_xlfn.CONCAT(A1682," (",M1682,")"),B1682)</f>
        <v>Yùhuángdĭng Jiēdào</v>
      </c>
      <c r="D1682" t="s">
        <v>3317</v>
      </c>
      <c r="E1682" t="s">
        <v>7</v>
      </c>
      <c r="F1682" t="str">
        <f>_xlfn.CONCAT(D1682,", ",H1682,", ",I1682,", ","山东省")</f>
        <v>毓璜顶街道, 芝罘区, 烟台市, 山东省</v>
      </c>
      <c r="G1682">
        <v>81998</v>
      </c>
      <c r="H1682" t="s">
        <v>3782</v>
      </c>
      <c r="I1682" t="s">
        <v>3771</v>
      </c>
      <c r="J1682">
        <f>VLOOKUP(F1682,[1]!china_towns_second__2[[Column1]:[Y]],3,FALSE)</f>
        <v>37.541679715624497</v>
      </c>
      <c r="K1682">
        <f>VLOOKUP(F1682,[1]!china_towns_second__2[[Column1]:[Y]],2,FALSE)</f>
        <v>121.38237669999999</v>
      </c>
      <c r="L1682" t="s">
        <v>6506</v>
      </c>
      <c r="M1682" t="str">
        <f>VLOOKUP(H1682,CHOOSE({1,2},Table17[Native],Table17[Name]),2,0)</f>
        <v>Zhīfú Qū</v>
      </c>
      <c r="N1682" s="15" t="str">
        <f>VLOOKUP(I1682,CHOOSE({1,2},Table17[Native],Table17[Name]),2,0)</f>
        <v>Yāntái Shì</v>
      </c>
      <c r="O1682" s="15" t="str">
        <f t="shared" si="52"/>
        <v>Yuhuangding Jiedao (Yāntái Shì)</v>
      </c>
      <c r="P1682" s="15" t="str">
        <f t="shared" si="53"/>
        <v>Yuhuangding Jiedao (Yāntái Shì)</v>
      </c>
    </row>
    <row r="1683" spans="1:16" hidden="1" x14ac:dyDescent="0.25">
      <c r="A1683" t="s">
        <v>872</v>
      </c>
      <c r="B1683" t="str">
        <f>IF(COUNTIF(A:A,A1683)&gt;1,_xlfn.CONCAT(A1683," (",N1683,")"),A1683)</f>
        <v>Yùhuángmiào Zhèn (Hézé Shì)</v>
      </c>
      <c r="C1683" t="str">
        <f>IF(COUNTIF(B:B,B1683)&gt;1,_xlfn.CONCAT(A1683," (",M1683,")"),B1683)</f>
        <v>Yùhuángmiào Zhèn (Hézé Shì)</v>
      </c>
      <c r="D1683" t="s">
        <v>873</v>
      </c>
      <c r="E1683" t="s">
        <v>13</v>
      </c>
      <c r="F1683" t="str">
        <f>_xlfn.CONCAT(D1683,", ",H1683,", ",I1683,", ","山东省")</f>
        <v>玉皇庙镇, 郓城县, 菏泽市, 山东省</v>
      </c>
      <c r="G1683">
        <v>46709</v>
      </c>
      <c r="H1683" t="s">
        <v>3671</v>
      </c>
      <c r="I1683" t="s">
        <v>3662</v>
      </c>
      <c r="J1683">
        <f>VLOOKUP(F1683,[1]!china_towns_second__2[[Column1]:[Y]],3,FALSE)</f>
        <v>35.6498020241308</v>
      </c>
      <c r="K1683">
        <f>VLOOKUP(F1683,[1]!china_towns_second__2[[Column1]:[Y]],2,FALSE)</f>
        <v>115.7997317</v>
      </c>
      <c r="L1683" t="s">
        <v>6507</v>
      </c>
      <c r="M1683" t="str">
        <f>VLOOKUP(H1683,CHOOSE({1,2},Table17[Native],Table17[Name]),2,0)</f>
        <v>Yùnchéng Xiàn</v>
      </c>
      <c r="N1683" s="15" t="str">
        <f>VLOOKUP(I1683,CHOOSE({1,2},Table17[Native],Table17[Name]),2,0)</f>
        <v>Hézé Shì</v>
      </c>
      <c r="O1683" s="15" t="str">
        <f t="shared" si="52"/>
        <v>Yuhuangmiao Zhen (Heze Shi) (Hézé Shì)</v>
      </c>
      <c r="P1683" s="15" t="str">
        <f t="shared" si="53"/>
        <v>Yuhuangmiao Zhen (Heze Shi) (Hézé Shì)</v>
      </c>
    </row>
    <row r="1684" spans="1:16" hidden="1" x14ac:dyDescent="0.25">
      <c r="A1684" t="s">
        <v>872</v>
      </c>
      <c r="B1684" t="str">
        <f>IF(COUNTIF(A:A,A1684)&gt;1,_xlfn.CONCAT(A1684," (",N1684,")"),A1684)</f>
        <v>Yùhuángmiào Zhèn (Jìnán Shì)</v>
      </c>
      <c r="C1684" t="str">
        <f>IF(COUNTIF(B:B,B1684)&gt;1,_xlfn.CONCAT(A1684," (",M1684,")"),B1684)</f>
        <v>Yùhuángmiào Zhèn (Jìnán Shì)</v>
      </c>
      <c r="D1684" t="s">
        <v>873</v>
      </c>
      <c r="E1684" t="s">
        <v>13</v>
      </c>
      <c r="F1684" t="str">
        <f>_xlfn.CONCAT(D1684,", ",H1684,", ",I1684,", ","山东省")</f>
        <v>玉皇庙镇, 商河县, 济南市, 山东省</v>
      </c>
      <c r="G1684">
        <v>59803</v>
      </c>
      <c r="H1684" t="s">
        <v>3682</v>
      </c>
      <c r="I1684" t="s">
        <v>3673</v>
      </c>
      <c r="J1684">
        <f>VLOOKUP(F1684,[1]!china_towns_second__2[[Column1]:[Y]],3,FALSE)</f>
        <v>37.179146573087998</v>
      </c>
      <c r="K1684">
        <f>VLOOKUP(F1684,[1]!china_towns_second__2[[Column1]:[Y]],2,FALSE)</f>
        <v>117.1196492</v>
      </c>
      <c r="L1684" t="s">
        <v>6508</v>
      </c>
      <c r="M1684" t="str">
        <f>VLOOKUP(H1684,CHOOSE({1,2},Table17[Native],Table17[Name]),2,0)</f>
        <v>Shānghé Xiàn</v>
      </c>
      <c r="N1684" s="15" t="str">
        <f>VLOOKUP(I1684,CHOOSE({1,2},Table17[Native],Table17[Name]),2,0)</f>
        <v>Jìnán Shì</v>
      </c>
      <c r="O1684" s="15" t="str">
        <f t="shared" si="52"/>
        <v>Yuhuangmiao Zhen (Jinan Shi) (Jìnán Shì)</v>
      </c>
      <c r="P1684" s="15" t="str">
        <f t="shared" si="53"/>
        <v>Yuhuangmiao Zhen (Jinan Shi) (Jìnán Shì)</v>
      </c>
    </row>
    <row r="1685" spans="1:16" hidden="1" x14ac:dyDescent="0.25">
      <c r="A1685" t="s">
        <v>435</v>
      </c>
      <c r="B1685" t="str">
        <f>IF(COUNTIF(A:A,A1685)&gt;1,_xlfn.CONCAT(A1685," (",N1685,")"),A1685)</f>
        <v>Yújí Xiāng</v>
      </c>
      <c r="C1685" t="str">
        <f>IF(COUNTIF(B:B,B1685)&gt;1,_xlfn.CONCAT(A1685," (",M1685,")"),B1685)</f>
        <v>Yújí Xiāng</v>
      </c>
      <c r="D1685" t="s">
        <v>436</v>
      </c>
      <c r="E1685" t="s">
        <v>61</v>
      </c>
      <c r="F1685" t="str">
        <f>_xlfn.CONCAT(D1685,", ",H1685,", ",I1685,", ","山东省")</f>
        <v>于集乡, 陵城区, 德州市, 山东省</v>
      </c>
      <c r="G1685">
        <v>21670</v>
      </c>
      <c r="H1685" t="s">
        <v>3645</v>
      </c>
      <c r="I1685" t="s">
        <v>3642</v>
      </c>
      <c r="J1685" t="e">
        <f>VLOOKUP(F1685,[1]!china_towns_second__2[[Column1]:[Y]],3,FALSE)</f>
        <v>#N/A</v>
      </c>
      <c r="K1685" t="e">
        <f>VLOOKUP(F1685,[1]!china_towns_second__2[[Column1]:[Y]],2,FALSE)</f>
        <v>#N/A</v>
      </c>
      <c r="L1685" t="s">
        <v>6509</v>
      </c>
      <c r="M1685" t="str">
        <f>VLOOKUP(H1685,CHOOSE({1,2},Table17[Native],Table17[Name]),2,0)</f>
        <v>Língchéng Qū</v>
      </c>
      <c r="N1685" s="15" t="str">
        <f>VLOOKUP(I1685,CHOOSE({1,2},Table17[Native],Table17[Name]),2,0)</f>
        <v>Dézhōu Shì</v>
      </c>
      <c r="O1685" s="15" t="str">
        <f t="shared" si="52"/>
        <v>Yuji Xiang (Dézhōu Shì)</v>
      </c>
      <c r="P1685" s="15" t="str">
        <f t="shared" si="53"/>
        <v>Yuji Xiang (Dézhōu Shì)</v>
      </c>
    </row>
    <row r="1686" spans="1:16" hidden="1" x14ac:dyDescent="0.25">
      <c r="A1686" t="s">
        <v>1768</v>
      </c>
      <c r="B1686" t="str">
        <f>IF(COUNTIF(A:A,A1686)&gt;1,_xlfn.CONCAT(A1686," (",N1686,")"),A1686)</f>
        <v>Yújí Zhèn</v>
      </c>
      <c r="C1686" t="str">
        <f>IF(COUNTIF(B:B,B1686)&gt;1,_xlfn.CONCAT(A1686," (",M1686,")"),B1686)</f>
        <v>Yújí Zhèn</v>
      </c>
      <c r="D1686" t="s">
        <v>1769</v>
      </c>
      <c r="E1686" t="s">
        <v>13</v>
      </c>
      <c r="F1686" t="str">
        <f>_xlfn.CONCAT(D1686,", ",H1686,", ",I1686,", ","山东省")</f>
        <v>于集镇, 东昌府区, 聊城市, 山东省</v>
      </c>
      <c r="G1686">
        <v>38154</v>
      </c>
      <c r="H1686" t="s">
        <v>3702</v>
      </c>
      <c r="I1686" t="s">
        <v>3700</v>
      </c>
      <c r="J1686">
        <f>VLOOKUP(F1686,[1]!china_towns_second__2[[Column1]:[Y]],3,FALSE)</f>
        <v>36.320290283379897</v>
      </c>
      <c r="K1686">
        <f>VLOOKUP(F1686,[1]!china_towns_second__2[[Column1]:[Y]],2,FALSE)</f>
        <v>116.055819</v>
      </c>
      <c r="L1686" t="s">
        <v>6510</v>
      </c>
      <c r="M1686" t="str">
        <f>VLOOKUP(H1686,CHOOSE({1,2},Table17[Native],Table17[Name]),2,0)</f>
        <v>Dōngchāngfŭ Qū</v>
      </c>
      <c r="N1686" s="15" t="str">
        <f>VLOOKUP(I1686,CHOOSE({1,2},Table17[Native],Table17[Name]),2,0)</f>
        <v>Liáochéng Shì</v>
      </c>
      <c r="O1686" s="15" t="str">
        <f t="shared" si="52"/>
        <v>Yuji Zhen (Liáochéng Shì)</v>
      </c>
      <c r="P1686" s="15" t="str">
        <f t="shared" si="53"/>
        <v>Yuji Zhen (Liáochéng Shì)</v>
      </c>
    </row>
    <row r="1687" spans="1:16" x14ac:dyDescent="0.25">
      <c r="A1687" t="s">
        <v>2485</v>
      </c>
      <c r="B1687" t="str">
        <f>IF(COUNTIF(A:A,A1687)&gt;1,_xlfn.CONCAT(A1687," (",N1687,")"),A1687)</f>
        <v>Yúlĭ Zhèn</v>
      </c>
      <c r="C1687" t="str">
        <f>IF(COUNTIF(B:B,B1687)&gt;1,_xlfn.CONCAT(A1687," (",M1687,")"),B1687)</f>
        <v>Yúlĭ Zhèn</v>
      </c>
      <c r="D1687" t="s">
        <v>2486</v>
      </c>
      <c r="E1687" t="s">
        <v>13</v>
      </c>
      <c r="F1687" t="str">
        <f>_xlfn.CONCAT(D1687,", ",H1687,", ",I1687,", ","山东省")</f>
        <v>于里镇, 五莲县, 日照市, 山东省</v>
      </c>
      <c r="G1687">
        <v>38679</v>
      </c>
      <c r="H1687" t="s">
        <v>3741</v>
      </c>
      <c r="I1687" t="s">
        <v>3736</v>
      </c>
      <c r="J1687">
        <f>VLOOKUP(F1687,[1]!china_towns_second__2[[Column1]:[Y]],3,FALSE)</f>
        <v>35.826287637398103</v>
      </c>
      <c r="K1687">
        <f>VLOOKUP(F1687,[1]!china_towns_second__2[[Column1]:[Y]],2,FALSE)</f>
        <v>119.0070237</v>
      </c>
      <c r="L1687" t="s">
        <v>6511</v>
      </c>
      <c r="M1687" t="str">
        <f>VLOOKUP(H1687,CHOOSE({1,2},Table17[Native],Table17[Name]),2,0)</f>
        <v>Wŭlián Xiàn</v>
      </c>
      <c r="N1687" s="15" t="str">
        <f>VLOOKUP(I1687,CHOOSE({1,2},Table17[Native],Table17[Name]),2,0)</f>
        <v>Rìzhào Shì</v>
      </c>
      <c r="O1687" s="15" t="str">
        <f t="shared" si="52"/>
        <v>Yuli Zhen (Rìzhào Shì)</v>
      </c>
      <c r="P1687" s="15" t="str">
        <f t="shared" si="53"/>
        <v>Yuli Zhen (Rìzhào Shì)</v>
      </c>
    </row>
    <row r="1688" spans="1:16" x14ac:dyDescent="0.25">
      <c r="A1688" t="s">
        <v>3022</v>
      </c>
      <c r="B1688" t="str">
        <f>IF(COUNTIF(A:A,A1688)&gt;1,_xlfn.CONCAT(A1688," (",N1688,")"),A1688)</f>
        <v>Yùlí Zhèn</v>
      </c>
      <c r="C1688" t="str">
        <f>IF(COUNTIF(B:B,B1688)&gt;1,_xlfn.CONCAT(A1688," (",M1688,")"),B1688)</f>
        <v>Yùlí Zhèn</v>
      </c>
      <c r="D1688" t="s">
        <v>3023</v>
      </c>
      <c r="E1688" t="s">
        <v>13</v>
      </c>
      <c r="F1688" t="str">
        <f>_xlfn.CONCAT(D1688,", ",H1688,", ",I1688,", ","山东省")</f>
        <v>育黎镇, 乳山市, 威海市, 山东省</v>
      </c>
      <c r="G1688">
        <v>27429</v>
      </c>
      <c r="H1688" t="s">
        <v>3768</v>
      </c>
      <c r="I1688" t="s">
        <v>3765</v>
      </c>
      <c r="J1688">
        <f>VLOOKUP(F1688,[1]!china_towns_second__2[[Column1]:[Y]],3,FALSE)</f>
        <v>37.004501935773398</v>
      </c>
      <c r="K1688">
        <f>VLOOKUP(F1688,[1]!china_towns_second__2[[Column1]:[Y]],2,FALSE)</f>
        <v>121.4248322</v>
      </c>
      <c r="L1688" t="s">
        <v>6511</v>
      </c>
      <c r="M1688" t="str">
        <f>VLOOKUP(H1688,CHOOSE({1,2},Table17[Native],Table17[Name]),2,0)</f>
        <v>Rŭshān Shì</v>
      </c>
      <c r="N1688" s="15" t="str">
        <f>VLOOKUP(I1688,CHOOSE({1,2},Table17[Native],Table17[Name]),2,0)</f>
        <v>Wēihăi Shì</v>
      </c>
      <c r="O1688" s="15" t="str">
        <f t="shared" si="52"/>
        <v>Yuli Zhen (Wēihăi Shì)</v>
      </c>
      <c r="P1688" s="15" t="str">
        <f t="shared" si="53"/>
        <v>Yuli Zhen (Wēihăi Shì)</v>
      </c>
    </row>
    <row r="1689" spans="1:16" hidden="1" x14ac:dyDescent="0.25">
      <c r="A1689" t="s">
        <v>3318</v>
      </c>
      <c r="B1689" t="str">
        <f>IF(COUNTIF(A:A,A1689)&gt;1,_xlfn.CONCAT(A1689," (",N1689,")"),A1689)</f>
        <v>Yùlíndiàn Zhèn</v>
      </c>
      <c r="C1689" t="str">
        <f>IF(COUNTIF(B:B,B1689)&gt;1,_xlfn.CONCAT(A1689," (",M1689,")"),B1689)</f>
        <v>Yùlíndiàn Zhèn</v>
      </c>
      <c r="D1689" t="s">
        <v>3319</v>
      </c>
      <c r="E1689" t="s">
        <v>13</v>
      </c>
      <c r="F1689" t="str">
        <f>_xlfn.CONCAT(D1689,", ",H1689,", ",I1689,", ","山东省")</f>
        <v>玉林店镇, 牟平区, 烟台市, 山东省</v>
      </c>
      <c r="G1689">
        <v>17909</v>
      </c>
      <c r="H1689" t="s">
        <v>3778</v>
      </c>
      <c r="I1689" t="s">
        <v>3771</v>
      </c>
      <c r="J1689">
        <f>VLOOKUP(F1689,[1]!china_towns_second__2[[Column1]:[Y]],3,FALSE)</f>
        <v>37.215131315628099</v>
      </c>
      <c r="K1689">
        <f>VLOOKUP(F1689,[1]!china_towns_second__2[[Column1]:[Y]],2,FALSE)</f>
        <v>121.6597718</v>
      </c>
      <c r="L1689" t="s">
        <v>6512</v>
      </c>
      <c r="M1689" t="str">
        <f>VLOOKUP(H1689,CHOOSE({1,2},Table17[Native],Table17[Name]),2,0)</f>
        <v>Mùpíng Qū</v>
      </c>
      <c r="N1689" s="15" t="str">
        <f>VLOOKUP(I1689,CHOOSE({1,2},Table17[Native],Table17[Name]),2,0)</f>
        <v>Yāntái Shì</v>
      </c>
      <c r="O1689" s="15" t="str">
        <f t="shared" si="52"/>
        <v>Yulindian Zhen (Yāntái Shì)</v>
      </c>
      <c r="P1689" s="15" t="str">
        <f t="shared" si="53"/>
        <v>Yulindian Zhen (Yāntái Shì)</v>
      </c>
    </row>
    <row r="1690" spans="1:16" hidden="1" x14ac:dyDescent="0.25">
      <c r="A1690" t="s">
        <v>437</v>
      </c>
      <c r="B1690" t="str">
        <f>IF(COUNTIF(A:A,A1690)&gt;1,_xlfn.CONCAT(A1690," (",N1690,")"),A1690)</f>
        <v>Yùnhé Jiēdào (Dézhōu Shì)</v>
      </c>
      <c r="C1690" t="str">
        <f>IF(COUNTIF(B:B,B1690)&gt;1,_xlfn.CONCAT(A1690," (",M1690,")"),B1690)</f>
        <v>Yùnhé Jiēdào (Dézhōu Shì)</v>
      </c>
      <c r="D1690" t="s">
        <v>438</v>
      </c>
      <c r="E1690" t="s">
        <v>7</v>
      </c>
      <c r="F1690" t="str">
        <f>_xlfn.CONCAT(D1690,", ",H1690,", ",I1690,", ","山东省")</f>
        <v>运河街道, 德城区, 德州市, 山东省</v>
      </c>
      <c r="G1690">
        <v>86765</v>
      </c>
      <c r="H1690" t="s">
        <v>3643</v>
      </c>
      <c r="I1690" t="s">
        <v>3642</v>
      </c>
      <c r="J1690">
        <f>VLOOKUP(F1690,[1]!china_towns_second__2[[Column1]:[Y]],3,FALSE)</f>
        <v>37.448910721198402</v>
      </c>
      <c r="K1690">
        <f>VLOOKUP(F1690,[1]!china_towns_second__2[[Column1]:[Y]],2,FALSE)</f>
        <v>116.2535635</v>
      </c>
      <c r="L1690" t="s">
        <v>6513</v>
      </c>
      <c r="M1690" t="str">
        <f>VLOOKUP(H1690,CHOOSE({1,2},Table17[Native],Table17[Name]),2,0)</f>
        <v>Déchéng Qū</v>
      </c>
      <c r="N1690" s="15" t="str">
        <f>VLOOKUP(I1690,CHOOSE({1,2},Table17[Native],Table17[Name]),2,0)</f>
        <v>Dézhōu Shì</v>
      </c>
      <c r="O1690" s="15" t="str">
        <f t="shared" si="52"/>
        <v>Yunhe Jiedao (Dezhou Shi) (Dézhōu Shì)</v>
      </c>
      <c r="P1690" s="15" t="str">
        <f t="shared" si="53"/>
        <v>Yunhe Jiedao (Dezhou Shi) (Dézhōu Shì)</v>
      </c>
    </row>
    <row r="1691" spans="1:16" hidden="1" x14ac:dyDescent="0.25">
      <c r="A1691" t="s">
        <v>437</v>
      </c>
      <c r="B1691" t="str">
        <f>IF(COUNTIF(A:A,A1691)&gt;1,_xlfn.CONCAT(A1691," (",N1691,")"),A1691)</f>
        <v>Yùnhé Jiēdào (Zăozhuāng Shì)</v>
      </c>
      <c r="C1691" t="str">
        <f>IF(COUNTIF(B:B,B1691)&gt;1,_xlfn.CONCAT(A1691," (",M1691,")"),B1691)</f>
        <v>Yùnhé Jiēdào (Zăozhuāng Shì)</v>
      </c>
      <c r="D1691" t="s">
        <v>438</v>
      </c>
      <c r="E1691" t="s">
        <v>7</v>
      </c>
      <c r="F1691" t="str">
        <f>_xlfn.CONCAT(D1691,", ",H1691,", ",I1691,", ","山东省")</f>
        <v>运河街道, 台儿庄区, 枣庄市, 山东省</v>
      </c>
      <c r="G1691">
        <v>42008</v>
      </c>
      <c r="H1691" t="s">
        <v>3786</v>
      </c>
      <c r="I1691" t="s">
        <v>3784</v>
      </c>
      <c r="J1691">
        <f>VLOOKUP(F1691,[1]!china_towns_second__2[[Column1]:[Y]],3,FALSE)</f>
        <v>34.554103100553597</v>
      </c>
      <c r="K1691">
        <f>VLOOKUP(F1691,[1]!china_towns_second__2[[Column1]:[Y]],2,FALSE)</f>
        <v>117.7358565</v>
      </c>
      <c r="L1691" t="s">
        <v>6514</v>
      </c>
      <c r="M1691" t="str">
        <f>VLOOKUP(H1691,CHOOSE({1,2},Table17[Native],Table17[Name]),2,0)</f>
        <v>Tái'érzhuāng Qū</v>
      </c>
      <c r="N1691" s="15" t="str">
        <f>VLOOKUP(I1691,CHOOSE({1,2},Table17[Native],Table17[Name]),2,0)</f>
        <v>Zăozhuāng Shì</v>
      </c>
      <c r="O1691" s="15" t="str">
        <f t="shared" si="52"/>
        <v>Yunhe Jiedao (Zaozhuang Shi) (Zăozhuāng Shì)</v>
      </c>
      <c r="P1691" s="15" t="str">
        <f t="shared" si="53"/>
        <v>Yunhe Jiedao (Zaozhuang Shi) (Zăozhuāng Shì)</v>
      </c>
    </row>
    <row r="1692" spans="1:16" hidden="1" x14ac:dyDescent="0.25">
      <c r="A1692" t="s">
        <v>439</v>
      </c>
      <c r="B1692" t="str">
        <f>IF(COUNTIF(A:A,A1692)&gt;1,_xlfn.CONCAT(A1692," (",N1692,")"),A1692)</f>
        <v>Yúnhóng Jiēdào</v>
      </c>
      <c r="C1692" t="str">
        <f>IF(COUNTIF(B:B,B1692)&gt;1,_xlfn.CONCAT(A1692," (",M1692,")"),B1692)</f>
        <v>Yúnhóng Jiēdào</v>
      </c>
      <c r="D1692" t="s">
        <v>440</v>
      </c>
      <c r="E1692" t="s">
        <v>7</v>
      </c>
      <c r="F1692" t="str">
        <f>_xlfn.CONCAT(D1692,", ",H1692,", ",I1692,", ","山东省")</f>
        <v>云红街道, 乐陵市, 德州市, 山东省</v>
      </c>
      <c r="G1692">
        <v>29424</v>
      </c>
      <c r="H1692" t="s">
        <v>3644</v>
      </c>
      <c r="I1692" t="s">
        <v>3642</v>
      </c>
      <c r="J1692">
        <f>VLOOKUP(F1692,[1]!china_towns_second__2[[Column1]:[Y]],3,FALSE)</f>
        <v>37.732162797047202</v>
      </c>
      <c r="K1692">
        <f>VLOOKUP(F1692,[1]!china_towns_second__2[[Column1]:[Y]],2,FALSE)</f>
        <v>117.26683</v>
      </c>
      <c r="L1692" t="s">
        <v>6515</v>
      </c>
      <c r="M1692" t="str">
        <f>VLOOKUP(H1692,CHOOSE({1,2},Table17[Native],Table17[Name]),2,0)</f>
        <v>Lèlíng Shì</v>
      </c>
      <c r="N1692" s="15" t="str">
        <f>VLOOKUP(I1692,CHOOSE({1,2},Table17[Native],Table17[Name]),2,0)</f>
        <v>Dézhōu Shì</v>
      </c>
      <c r="O1692" s="15" t="str">
        <f t="shared" si="52"/>
        <v>Yunhong Jiedao (Dézhōu Shì)</v>
      </c>
      <c r="P1692" s="15" t="str">
        <f t="shared" si="53"/>
        <v>Yunhong Jiedao (Dézhōu Shì)</v>
      </c>
    </row>
    <row r="1693" spans="1:16" hidden="1" x14ac:dyDescent="0.25">
      <c r="A1693" t="s">
        <v>2884</v>
      </c>
      <c r="B1693" t="str">
        <f>IF(COUNTIF(A:A,A1693)&gt;1,_xlfn.CONCAT(A1693," (",N1693,")"),A1693)</f>
        <v>Yúnménshān Jiēdào</v>
      </c>
      <c r="C1693" t="str">
        <f>IF(COUNTIF(B:B,B1693)&gt;1,_xlfn.CONCAT(A1693," (",M1693,")"),B1693)</f>
        <v>Yúnménshān Jiēdào</v>
      </c>
      <c r="D1693" t="s">
        <v>2885</v>
      </c>
      <c r="E1693" t="s">
        <v>7</v>
      </c>
      <c r="F1693" t="str">
        <f>_xlfn.CONCAT(D1693,", ",H1693,", ",I1693,", ","山东省")</f>
        <v>云门山街道, 青州市, 潍坊市, 山东省</v>
      </c>
      <c r="G1693">
        <v>103166</v>
      </c>
      <c r="H1693" t="s">
        <v>3760</v>
      </c>
      <c r="I1693" t="s">
        <v>3751</v>
      </c>
      <c r="J1693">
        <f>VLOOKUP(F1693,[1]!china_towns_second__2[[Column1]:[Y]],3,FALSE)</f>
        <v>36.651298942720501</v>
      </c>
      <c r="K1693">
        <f>VLOOKUP(F1693,[1]!china_towns_second__2[[Column1]:[Y]],2,FALSE)</f>
        <v>118.4808152</v>
      </c>
      <c r="L1693" t="s">
        <v>6516</v>
      </c>
      <c r="M1693" t="str">
        <f>VLOOKUP(H1693,CHOOSE({1,2},Table17[Native],Table17[Name]),2,0)</f>
        <v>Qīngzhōu Shì</v>
      </c>
      <c r="N1693" s="15" t="str">
        <f>VLOOKUP(I1693,CHOOSE({1,2},Table17[Native],Table17[Name]),2,0)</f>
        <v>Wéifāng Shì</v>
      </c>
      <c r="O1693" s="15" t="str">
        <f t="shared" si="52"/>
        <v>Yunmenshan Jiedao (Wéifāng Shì)</v>
      </c>
      <c r="P1693" s="15" t="str">
        <f t="shared" si="53"/>
        <v>Yunmenshan Jiedao (Wéifāng Shì)</v>
      </c>
    </row>
    <row r="1694" spans="1:16" hidden="1" x14ac:dyDescent="0.25">
      <c r="A1694" t="s">
        <v>2361</v>
      </c>
      <c r="B1694" t="str">
        <f>IF(COUNTIF(A:A,A1694)&gt;1,_xlfn.CONCAT(A1694," (",N1694,")"),A1694)</f>
        <v>Yúnnánlù Jiēdào</v>
      </c>
      <c r="C1694" t="str">
        <f>IF(COUNTIF(B:B,B1694)&gt;1,_xlfn.CONCAT(A1694," (",M1694,")"),B1694)</f>
        <v>Yúnnánlù Jiēdào</v>
      </c>
      <c r="D1694" t="s">
        <v>2362</v>
      </c>
      <c r="E1694" t="s">
        <v>7</v>
      </c>
      <c r="F1694" t="str">
        <f>_xlfn.CONCAT(D1694,", ",H1694,", ",I1694,", ","山东省")</f>
        <v>云南路街道, 市南区, 青岛市, 山东省</v>
      </c>
      <c r="G1694">
        <v>21825</v>
      </c>
      <c r="H1694" t="s">
        <v>3734</v>
      </c>
      <c r="I1694" t="s">
        <v>3724</v>
      </c>
      <c r="J1694">
        <f>VLOOKUP(F1694,[1]!china_towns_second__2[[Column1]:[Y]],3,FALSE)</f>
        <v>36.069298479124299</v>
      </c>
      <c r="K1694">
        <f>VLOOKUP(F1694,[1]!china_towns_second__2[[Column1]:[Y]],2,FALSE)</f>
        <v>120.3011494</v>
      </c>
      <c r="L1694" t="s">
        <v>6517</v>
      </c>
      <c r="M1694" t="str">
        <f>VLOOKUP(H1694,CHOOSE({1,2},Table17[Native],Table17[Name]),2,0)</f>
        <v>Shìnán Qū</v>
      </c>
      <c r="N1694" s="15" t="str">
        <f>VLOOKUP(I1694,CHOOSE({1,2},Table17[Native],Table17[Name]),2,0)</f>
        <v>Qīngdăo Shì</v>
      </c>
      <c r="O1694" s="15" t="str">
        <f t="shared" si="52"/>
        <v>Yunnanlu Jiedao (Qīngdăo Shì)</v>
      </c>
      <c r="P1694" s="15" t="str">
        <f t="shared" si="53"/>
        <v>Yunnanlu Jiedao (Qīngdăo Shì)</v>
      </c>
    </row>
    <row r="1695" spans="1:16" hidden="1" x14ac:dyDescent="0.25">
      <c r="A1695" t="s">
        <v>2363</v>
      </c>
      <c r="B1695" t="str">
        <f>IF(COUNTIF(A:A,A1695)&gt;1,_xlfn.CONCAT(A1695," (",N1695,")"),A1695)</f>
        <v>Yúnshān Zhèn</v>
      </c>
      <c r="C1695" t="str">
        <f>IF(COUNTIF(B:B,B1695)&gt;1,_xlfn.CONCAT(A1695," (",M1695,")"),B1695)</f>
        <v>Yúnshān Zhèn</v>
      </c>
      <c r="D1695" t="s">
        <v>2364</v>
      </c>
      <c r="E1695" t="s">
        <v>13</v>
      </c>
      <c r="F1695" t="str">
        <f>_xlfn.CONCAT(D1695,", ",H1695,", ",I1695,", ","山东省")</f>
        <v>云山镇, 平度市, 青岛市, 山东省</v>
      </c>
      <c r="G1695">
        <v>52249</v>
      </c>
      <c r="H1695" t="s">
        <v>3732</v>
      </c>
      <c r="I1695" t="s">
        <v>3724</v>
      </c>
      <c r="J1695">
        <f>VLOOKUP(F1695,[1]!china_towns_second__2[[Column1]:[Y]],3,FALSE)</f>
        <v>36.819548872544999</v>
      </c>
      <c r="K1695">
        <f>VLOOKUP(F1695,[1]!china_towns_second__2[[Column1]:[Y]],2,FALSE)</f>
        <v>120.1774996</v>
      </c>
      <c r="L1695" t="s">
        <v>6518</v>
      </c>
      <c r="M1695" t="str">
        <f>VLOOKUP(H1695,CHOOSE({1,2},Table17[Native],Table17[Name]),2,0)</f>
        <v>Píngdù Shì</v>
      </c>
      <c r="N1695" s="15" t="str">
        <f>VLOOKUP(I1695,CHOOSE({1,2},Table17[Native],Table17[Name]),2,0)</f>
        <v>Qīngdăo Shì</v>
      </c>
      <c r="O1695" s="15" t="str">
        <f t="shared" si="52"/>
        <v>Yunshan Zhen (Qīngdăo Shì)</v>
      </c>
      <c r="P1695" s="15" t="str">
        <f t="shared" si="53"/>
        <v>Yunshan Zhen (Qīngdăo Shì)</v>
      </c>
    </row>
    <row r="1696" spans="1:16" hidden="1" x14ac:dyDescent="0.25">
      <c r="A1696" t="s">
        <v>2365</v>
      </c>
      <c r="B1696" t="str">
        <f>IF(COUNTIF(A:A,A1696)&gt;1,_xlfn.CONCAT(A1696," (",N1696,")"),A1696)</f>
        <v>Yúnxī Jiēdào</v>
      </c>
      <c r="C1696" t="str">
        <f>IF(COUNTIF(B:B,B1696)&gt;1,_xlfn.CONCAT(A1696," (",M1696,")"),B1696)</f>
        <v>Yúnxī Jiēdào</v>
      </c>
      <c r="D1696" t="s">
        <v>2366</v>
      </c>
      <c r="E1696" t="s">
        <v>7</v>
      </c>
      <c r="F1696" t="str">
        <f>_xlfn.CONCAT(D1696,", ",H1696,", ",I1696,", ","山东省")</f>
        <v>云溪街道, 胶州市, 青岛市, 山东省</v>
      </c>
      <c r="G1696">
        <v>31677</v>
      </c>
      <c r="H1696" t="s">
        <v>3727</v>
      </c>
      <c r="I1696" t="s">
        <v>3724</v>
      </c>
      <c r="J1696" t="e">
        <f>VLOOKUP(F1696,[1]!china_towns_second__2[[Column1]:[Y]],3,FALSE)</f>
        <v>#N/A</v>
      </c>
      <c r="K1696" t="e">
        <f>VLOOKUP(F1696,[1]!china_towns_second__2[[Column1]:[Y]],2,FALSE)</f>
        <v>#N/A</v>
      </c>
      <c r="L1696" t="s">
        <v>6519</v>
      </c>
      <c r="M1696" t="str">
        <f>VLOOKUP(H1696,CHOOSE({1,2},Table17[Native],Table17[Name]),2,0)</f>
        <v>Jiāozhōu Shì</v>
      </c>
      <c r="N1696" s="15" t="str">
        <f>VLOOKUP(I1696,CHOOSE({1,2},Table17[Native],Table17[Name]),2,0)</f>
        <v>Qīngdăo Shì</v>
      </c>
      <c r="O1696" s="15" t="str">
        <f t="shared" si="52"/>
        <v>Yunxi Jiedao (Qīngdăo Shì)</v>
      </c>
      <c r="P1696" s="15" t="str">
        <f t="shared" si="53"/>
        <v>Yunxi Jiedao (Qīngdăo Shì)</v>
      </c>
    </row>
    <row r="1697" spans="1:16" hidden="1" x14ac:dyDescent="0.25">
      <c r="A1697" t="s">
        <v>874</v>
      </c>
      <c r="B1697" t="str">
        <f>IF(COUNTIF(A:A,A1697)&gt;1,_xlfn.CONCAT(A1697," (",N1697,")"),A1697)</f>
        <v>Yùnzhōu Jiēdào</v>
      </c>
      <c r="C1697" t="str">
        <f>IF(COUNTIF(B:B,B1697)&gt;1,_xlfn.CONCAT(A1697," (",M1697,")"),B1697)</f>
        <v>Yùnzhōu Jiēdào</v>
      </c>
      <c r="D1697" t="s">
        <v>875</v>
      </c>
      <c r="E1697" t="s">
        <v>7</v>
      </c>
      <c r="F1697" t="str">
        <f>_xlfn.CONCAT(D1697,", ",H1697,", ",I1697,", ","山东省")</f>
        <v>郓州街道, 郓城县, 菏泽市, 山东省</v>
      </c>
      <c r="G1697">
        <v>132736</v>
      </c>
      <c r="H1697" t="s">
        <v>3671</v>
      </c>
      <c r="I1697" t="s">
        <v>3662</v>
      </c>
      <c r="J1697">
        <f>VLOOKUP(F1697,[1]!china_towns_second__2[[Column1]:[Y]],3,FALSE)</f>
        <v>35.581471019440002</v>
      </c>
      <c r="K1697">
        <f>VLOOKUP(F1697,[1]!china_towns_second__2[[Column1]:[Y]],2,FALSE)</f>
        <v>115.9384867</v>
      </c>
      <c r="L1697" t="s">
        <v>6520</v>
      </c>
      <c r="M1697" t="str">
        <f>VLOOKUP(H1697,CHOOSE({1,2},Table17[Native],Table17[Name]),2,0)</f>
        <v>Yùnchéng Xiàn</v>
      </c>
      <c r="N1697" s="15" t="str">
        <f>VLOOKUP(I1697,CHOOSE({1,2},Table17[Native],Table17[Name]),2,0)</f>
        <v>Hézé Shì</v>
      </c>
      <c r="O1697" s="15" t="str">
        <f t="shared" si="52"/>
        <v>Yunzhou Jiedao (Hézé Shì)</v>
      </c>
      <c r="P1697" s="15" t="str">
        <f t="shared" si="53"/>
        <v>Yunzhou Jiedao (Hézé Shì)</v>
      </c>
    </row>
    <row r="1698" spans="1:16" hidden="1" x14ac:dyDescent="0.25">
      <c r="A1698" t="s">
        <v>1770</v>
      </c>
      <c r="B1698" t="str">
        <f>IF(COUNTIF(A:A,A1698)&gt;1,_xlfn.CONCAT(A1698," (",N1698,")"),A1698)</f>
        <v>Yúqiūhú Jiēdào</v>
      </c>
      <c r="C1698" t="str">
        <f>IF(COUNTIF(B:B,B1698)&gt;1,_xlfn.CONCAT(A1698," (",M1698,")"),B1698)</f>
        <v>Yúqiūhú Jiēdào</v>
      </c>
      <c r="D1698" t="s">
        <v>1771</v>
      </c>
      <c r="E1698" t="s">
        <v>7</v>
      </c>
      <c r="F1698" t="str">
        <f>_xlfn.CONCAT(D1698,", ",H1698,", ",I1698,", ","山东省")</f>
        <v>鱼邱湖街道, 高唐县, 聊城市, 山东省</v>
      </c>
      <c r="G1698">
        <v>69662</v>
      </c>
      <c r="H1698" t="s">
        <v>3704</v>
      </c>
      <c r="I1698" t="s">
        <v>3700</v>
      </c>
      <c r="J1698">
        <f>VLOOKUP(F1698,[1]!china_towns_second__2[[Column1]:[Y]],3,FALSE)</f>
        <v>36.8345143545966</v>
      </c>
      <c r="K1698">
        <f>VLOOKUP(F1698,[1]!china_towns_second__2[[Column1]:[Y]],2,FALSE)</f>
        <v>116.24835640000001</v>
      </c>
      <c r="L1698" t="s">
        <v>6521</v>
      </c>
      <c r="M1698" t="str">
        <f>VLOOKUP(H1698,CHOOSE({1,2},Table17[Native],Table17[Name]),2,0)</f>
        <v>Gāotáng Xiàn</v>
      </c>
      <c r="N1698" s="15" t="str">
        <f>VLOOKUP(I1698,CHOOSE({1,2},Table17[Native],Table17[Name]),2,0)</f>
        <v>Liáochéng Shì</v>
      </c>
      <c r="O1698" s="15" t="str">
        <f t="shared" si="52"/>
        <v>Yuqiuhu Jiedao (Liáochéng Shì)</v>
      </c>
      <c r="P1698" s="15" t="str">
        <f t="shared" si="53"/>
        <v>Yuqiuhu Jiedao (Liáochéng Shì)</v>
      </c>
    </row>
    <row r="1699" spans="1:16" hidden="1" x14ac:dyDescent="0.25">
      <c r="A1699" t="s">
        <v>1202</v>
      </c>
      <c r="B1699" t="str">
        <f>IF(COUNTIF(A:A,A1699)&gt;1,_xlfn.CONCAT(A1699," (",N1699,")"),A1699)</f>
        <v>Yúshān Jiēdào (Jìnán Shì)</v>
      </c>
      <c r="C1699" t="str">
        <f>IF(COUNTIF(B:B,B1699)&gt;1,_xlfn.CONCAT(A1699," (",M1699,")"),B1699)</f>
        <v>Yúshān Jiēdào (Jìnán Shì)</v>
      </c>
      <c r="D1699" t="s">
        <v>1203</v>
      </c>
      <c r="E1699" t="s">
        <v>7</v>
      </c>
      <c r="F1699" t="str">
        <f>_xlfn.CONCAT(D1699,", ",H1699,", ",I1699,", ","山东省")</f>
        <v>榆山街道, 平阴县, 济南市, 山东省</v>
      </c>
      <c r="G1699">
        <v>96094</v>
      </c>
      <c r="H1699" t="s">
        <v>3681</v>
      </c>
      <c r="I1699" t="s">
        <v>3673</v>
      </c>
      <c r="J1699">
        <f>VLOOKUP(F1699,[1]!china_towns_second__2[[Column1]:[Y]],3,FALSE)</f>
        <v>36.270797189485101</v>
      </c>
      <c r="K1699">
        <f>VLOOKUP(F1699,[1]!china_towns_second__2[[Column1]:[Y]],2,FALSE)</f>
        <v>116.4566351</v>
      </c>
      <c r="L1699" t="s">
        <v>6522</v>
      </c>
      <c r="M1699" t="str">
        <f>VLOOKUP(H1699,CHOOSE({1,2},Table17[Native],Table17[Name]),2,0)</f>
        <v>Píngyīn Xiàn</v>
      </c>
      <c r="N1699" s="15" t="str">
        <f>VLOOKUP(I1699,CHOOSE({1,2},Table17[Native],Table17[Name]),2,0)</f>
        <v>Jìnán Shì</v>
      </c>
      <c r="O1699" s="15" t="str">
        <f t="shared" si="52"/>
        <v>Yushan Jiedao (Jinan Shi) (Jìnán Shì)</v>
      </c>
      <c r="P1699" s="15" t="str">
        <f t="shared" si="53"/>
        <v>Yushan Jiedao (Jinan Shi) (Jìnán Shì)</v>
      </c>
    </row>
    <row r="1700" spans="1:16" hidden="1" x14ac:dyDescent="0.25">
      <c r="A1700" t="s">
        <v>1202</v>
      </c>
      <c r="B1700" t="str">
        <f>IF(COUNTIF(A:A,A1700)&gt;1,_xlfn.CONCAT(A1700," (",N1700,")"),A1700)</f>
        <v>Yúshān Jiēdào (Jìníng Shì)</v>
      </c>
      <c r="C1700" t="str">
        <f>IF(COUNTIF(B:B,B1700)&gt;1,_xlfn.CONCAT(A1700," (",M1700,")"),B1700)</f>
        <v>Yúshān Jiēdào (Jìníng Shì)</v>
      </c>
      <c r="D1700" t="s">
        <v>1508</v>
      </c>
      <c r="E1700" t="s">
        <v>7</v>
      </c>
      <c r="F1700" t="str">
        <f>_xlfn.CONCAT(D1700,", ",H1700,", ",I1700,", ","山东省")</f>
        <v>鱼山街道, 金乡县, 济宁市, 山东省</v>
      </c>
      <c r="G1700">
        <v>55984</v>
      </c>
      <c r="H1700" t="s">
        <v>3689</v>
      </c>
      <c r="I1700" t="s">
        <v>3687</v>
      </c>
      <c r="J1700" t="e">
        <f>VLOOKUP(F1700,[1]!china_towns_second__2[[Column1]:[Y]],3,FALSE)</f>
        <v>#N/A</v>
      </c>
      <c r="K1700" t="e">
        <f>VLOOKUP(F1700,[1]!china_towns_second__2[[Column1]:[Y]],2,FALSE)</f>
        <v>#N/A</v>
      </c>
      <c r="L1700" t="s">
        <v>6523</v>
      </c>
      <c r="M1700" t="str">
        <f>VLOOKUP(H1700,CHOOSE({1,2},Table17[Native],Table17[Name]),2,0)</f>
        <v>Jīnxiāng Xiàn</v>
      </c>
      <c r="N1700" s="15" t="str">
        <f>VLOOKUP(I1700,CHOOSE({1,2},Table17[Native],Table17[Name]),2,0)</f>
        <v>Jìníng Shì</v>
      </c>
      <c r="O1700" s="15" t="str">
        <f t="shared" si="52"/>
        <v>Yushan Jiedao (Jining Shi) (Jìníng Shì)</v>
      </c>
      <c r="P1700" s="15" t="str">
        <f t="shared" si="53"/>
        <v>Yushan Jiedao (Jining Shi) (Jìníng Shì)</v>
      </c>
    </row>
    <row r="1701" spans="1:16" hidden="1" x14ac:dyDescent="0.25">
      <c r="A1701" t="s">
        <v>1772</v>
      </c>
      <c r="B1701" t="str">
        <f>IF(COUNTIF(A:A,A1701)&gt;1,_xlfn.CONCAT(A1701," (",N1701,")"),A1701)</f>
        <v>Yúshān Zhèn</v>
      </c>
      <c r="C1701" t="str">
        <f>IF(COUNTIF(B:B,B1701)&gt;1,_xlfn.CONCAT(A1701," (",M1701,")"),B1701)</f>
        <v>Yúshān Zhèn</v>
      </c>
      <c r="D1701" t="s">
        <v>1773</v>
      </c>
      <c r="E1701" t="s">
        <v>13</v>
      </c>
      <c r="F1701" t="str">
        <f>_xlfn.CONCAT(D1701,", ",H1701,", ",I1701,", ","山东省")</f>
        <v>鱼山镇, 东阿县, 聊城市, 山东省</v>
      </c>
      <c r="G1701">
        <v>21975</v>
      </c>
      <c r="H1701" t="s">
        <v>3703</v>
      </c>
      <c r="I1701" t="s">
        <v>3700</v>
      </c>
      <c r="J1701">
        <f>VLOOKUP(F1701,[1]!china_towns_second__2[[Column1]:[Y]],3,FALSE)</f>
        <v>36.2123562099015</v>
      </c>
      <c r="K1701">
        <f>VLOOKUP(F1701,[1]!china_towns_second__2[[Column1]:[Y]],2,FALSE)</f>
        <v>116.2069791</v>
      </c>
      <c r="L1701" t="s">
        <v>6524</v>
      </c>
      <c r="M1701" t="str">
        <f>VLOOKUP(H1701,CHOOSE({1,2},Table17[Native],Table17[Name]),2,0)</f>
        <v>Dōng'ē Xiàn</v>
      </c>
      <c r="N1701" s="15" t="str">
        <f>VLOOKUP(I1701,CHOOSE({1,2},Table17[Native],Table17[Name]),2,0)</f>
        <v>Liáochéng Shì</v>
      </c>
      <c r="O1701" s="15" t="str">
        <f t="shared" si="52"/>
        <v>Yushan Zhen (Liáochéng Shì)</v>
      </c>
      <c r="P1701" s="15" t="str">
        <f t="shared" si="53"/>
        <v>Yushan Zhen (Liáochéng Shì)</v>
      </c>
    </row>
    <row r="1702" spans="1:16" hidden="1" x14ac:dyDescent="0.25">
      <c r="A1702" t="s">
        <v>2072</v>
      </c>
      <c r="B1702" t="str">
        <f>IF(COUNTIF(A:A,A1702)&gt;1,_xlfn.CONCAT(A1702," (",N1702,")"),A1702)</f>
        <v>Yùshān Zhèn [incl. Zhūcāng Xiāng]</v>
      </c>
      <c r="C1702" t="str">
        <f>IF(COUNTIF(B:B,B1702)&gt;1,_xlfn.CONCAT(A1702," (",M1702,")"),B1702)</f>
        <v>Yùshān Zhèn [incl. Zhūcāng Xiāng]</v>
      </c>
      <c r="D1702" t="s">
        <v>2073</v>
      </c>
      <c r="E1702" t="s">
        <v>13</v>
      </c>
      <c r="F1702" t="str">
        <f>_xlfn.CONCAT(D1702,", ",H1702,", ",I1702,", ","山东省")</f>
        <v>玉山镇, 临沭县, 临沂市, 山东省</v>
      </c>
      <c r="G1702">
        <v>65856</v>
      </c>
      <c r="H1702" t="s">
        <v>3716</v>
      </c>
      <c r="I1702" t="s">
        <v>3710</v>
      </c>
      <c r="J1702">
        <f>VLOOKUP(F1702,[1]!china_towns_second__2[[Column1]:[Y]],3,FALSE)</f>
        <v>34.957702825286098</v>
      </c>
      <c r="K1702">
        <f>VLOOKUP(F1702,[1]!china_towns_second__2[[Column1]:[Y]],2,FALSE)</f>
        <v>118.7863578</v>
      </c>
      <c r="L1702" t="s">
        <v>6525</v>
      </c>
      <c r="M1702" t="str">
        <f>VLOOKUP(H1702,CHOOSE({1,2},Table17[Native],Table17[Name]),2,0)</f>
        <v>Línshù Xiàn</v>
      </c>
      <c r="N1702" s="15" t="str">
        <f>VLOOKUP(I1702,CHOOSE({1,2},Table17[Native],Table17[Name]),2,0)</f>
        <v>Línyí Shì</v>
      </c>
      <c r="O1702" s="15" t="str">
        <f t="shared" si="52"/>
        <v>Yushan Zhen [incl. Zhucang Xiang] (Línyí Shì)</v>
      </c>
      <c r="P1702" s="15" t="str">
        <f t="shared" si="53"/>
        <v>Yushan Zhen [incl. Zhucang Xiang] (Línyí Shì)</v>
      </c>
    </row>
    <row r="1703" spans="1:16" hidden="1" x14ac:dyDescent="0.25">
      <c r="A1703" t="s">
        <v>1509</v>
      </c>
      <c r="B1703" t="str">
        <f>IF(COUNTIF(A:A,A1703)&gt;1,_xlfn.CONCAT(A1703," (",N1703,")"),A1703)</f>
        <v>Yùtún Zhèn</v>
      </c>
      <c r="C1703" t="str">
        <f>IF(COUNTIF(B:B,B1703)&gt;1,_xlfn.CONCAT(A1703," (",M1703,")"),B1703)</f>
        <v>Yùtún Zhèn</v>
      </c>
      <c r="D1703" t="s">
        <v>1510</v>
      </c>
      <c r="E1703" t="s">
        <v>13</v>
      </c>
      <c r="F1703" t="str">
        <f>_xlfn.CONCAT(D1703,", ",H1703,", ",I1703,", ","山东省")</f>
        <v>喻屯镇, 任城区, 济宁市, 山东省</v>
      </c>
      <c r="G1703">
        <v>74065</v>
      </c>
      <c r="H1703" t="s">
        <v>3692</v>
      </c>
      <c r="I1703" t="s">
        <v>3687</v>
      </c>
      <c r="J1703">
        <f>VLOOKUP(F1703,[1]!china_towns_second__2[[Column1]:[Y]],3,FALSE)</f>
        <v>35.207912481705598</v>
      </c>
      <c r="K1703">
        <f>VLOOKUP(F1703,[1]!china_towns_second__2[[Column1]:[Y]],2,FALSE)</f>
        <v>116.5898875</v>
      </c>
      <c r="L1703" t="s">
        <v>6526</v>
      </c>
      <c r="M1703" t="str">
        <f>VLOOKUP(H1703,CHOOSE({1,2},Table17[Native],Table17[Name]),2,0)</f>
        <v>Rènchéng Qū</v>
      </c>
      <c r="N1703" s="15" t="str">
        <f>VLOOKUP(I1703,CHOOSE({1,2},Table17[Native],Table17[Name]),2,0)</f>
        <v>Jìníng Shì</v>
      </c>
      <c r="O1703" s="15" t="str">
        <f t="shared" si="52"/>
        <v>Yutun Zhen (Jìníng Shì)</v>
      </c>
      <c r="P1703" s="15" t="str">
        <f t="shared" si="53"/>
        <v>Yutun Zhen (Jìníng Shì)</v>
      </c>
    </row>
    <row r="1704" spans="1:16" hidden="1" x14ac:dyDescent="0.25">
      <c r="A1704" t="s">
        <v>876</v>
      </c>
      <c r="B1704" t="str">
        <f>IF(COUNTIF(A:A,A1704)&gt;1,_xlfn.CONCAT(A1704," (",N1704,")"),A1704)</f>
        <v>Yúwò Jiēdào</v>
      </c>
      <c r="C1704" t="str">
        <f>IF(COUNTIF(B:B,B1704)&gt;1,_xlfn.CONCAT(A1704," (",M1704,")"),B1704)</f>
        <v>Yúwò Jiēdào</v>
      </c>
      <c r="D1704" t="s">
        <v>877</v>
      </c>
      <c r="E1704" t="s">
        <v>7</v>
      </c>
      <c r="F1704" t="str">
        <f>_xlfn.CONCAT(D1704,", ",H1704,", ",I1704,", ","山东省")</f>
        <v>渔沃街道, 东明县, 菏泽市, 山东省</v>
      </c>
      <c r="G1704">
        <v>35718</v>
      </c>
      <c r="H1704" t="s">
        <v>3666</v>
      </c>
      <c r="I1704" t="s">
        <v>3662</v>
      </c>
      <c r="J1704" t="e">
        <f>VLOOKUP(F1704,[1]!china_towns_second__2[[Column1]:[Y]],3,FALSE)</f>
        <v>#N/A</v>
      </c>
      <c r="K1704" t="e">
        <f>VLOOKUP(F1704,[1]!china_towns_second__2[[Column1]:[Y]],2,FALSE)</f>
        <v>#N/A</v>
      </c>
      <c r="L1704" t="s">
        <v>6527</v>
      </c>
      <c r="M1704" t="str">
        <f>VLOOKUP(H1704,CHOOSE({1,2},Table17[Native],Table17[Name]),2,0)</f>
        <v>Dōngmíng Xiàn</v>
      </c>
      <c r="N1704" s="15" t="str">
        <f>VLOOKUP(I1704,CHOOSE({1,2},Table17[Native],Table17[Name]),2,0)</f>
        <v>Hézé Shì</v>
      </c>
      <c r="O1704" s="15" t="str">
        <f t="shared" si="52"/>
        <v>Yuwo Jiedao (Hézé Shì)</v>
      </c>
      <c r="P1704" s="15" t="str">
        <f t="shared" si="53"/>
        <v>Yuwo Jiedao (Hézé Shì)</v>
      </c>
    </row>
    <row r="1705" spans="1:16" hidden="1" x14ac:dyDescent="0.25">
      <c r="A1705" t="s">
        <v>3320</v>
      </c>
      <c r="B1705" t="str">
        <f>IF(COUNTIF(A:A,A1705)&gt;1,_xlfn.CONCAT(A1705," (",N1705,")"),A1705)</f>
        <v>Zāngjiāzhuāng Zhèn</v>
      </c>
      <c r="C1705" t="str">
        <f>IF(COUNTIF(B:B,B1705)&gt;1,_xlfn.CONCAT(A1705," (",M1705,")"),B1705)</f>
        <v>Zāngjiāzhuāng Zhèn</v>
      </c>
      <c r="D1705" t="s">
        <v>3321</v>
      </c>
      <c r="E1705" t="s">
        <v>13</v>
      </c>
      <c r="F1705" t="str">
        <f>_xlfn.CONCAT(D1705,", ",H1705,", ",I1705,", ","山东省")</f>
        <v>臧家庄镇, 福山区, 烟台市, 山东省</v>
      </c>
      <c r="G1705">
        <v>72864</v>
      </c>
      <c r="H1705" t="s">
        <v>3772</v>
      </c>
      <c r="I1705" t="s">
        <v>3771</v>
      </c>
      <c r="J1705">
        <f>VLOOKUP(F1705,[1]!china_towns_second__2[[Column1]:[Y]],3,FALSE)</f>
        <v>37.462303499999997</v>
      </c>
      <c r="K1705">
        <f>VLOOKUP(F1705,[1]!china_towns_second__2[[Column1]:[Y]],2,FALSE)</f>
        <v>120.98300159999999</v>
      </c>
      <c r="L1705" t="s">
        <v>6528</v>
      </c>
      <c r="M1705" t="str">
        <f>VLOOKUP(H1705,CHOOSE({1,2},Table17[Native],Table17[Name]),2,0)</f>
        <v>Fúshān Qū</v>
      </c>
      <c r="N1705" s="15" t="str">
        <f>VLOOKUP(I1705,CHOOSE({1,2},Table17[Native],Table17[Name]),2,0)</f>
        <v>Yāntái Shì</v>
      </c>
      <c r="O1705" s="15" t="str">
        <f t="shared" si="52"/>
        <v>Zangjiazhuang Zhen (Yāntái Shì)</v>
      </c>
      <c r="P1705" s="15" t="str">
        <f t="shared" si="53"/>
        <v>Zangjiazhuang Zhen (Yāntái Shì)</v>
      </c>
    </row>
    <row r="1706" spans="1:16" hidden="1" x14ac:dyDescent="0.25">
      <c r="A1706" t="s">
        <v>2367</v>
      </c>
      <c r="B1706" t="str">
        <f>IF(COUNTIF(A:A,A1706)&gt;1,_xlfn.CONCAT(A1706," (",N1706,")"),A1706)</f>
        <v>Zàngnán Zhèn</v>
      </c>
      <c r="C1706" t="str">
        <f>IF(COUNTIF(B:B,B1706)&gt;1,_xlfn.CONCAT(A1706," (",M1706,")"),B1706)</f>
        <v>Zàngnán Zhèn</v>
      </c>
      <c r="D1706" t="s">
        <v>2368</v>
      </c>
      <c r="E1706" t="s">
        <v>13</v>
      </c>
      <c r="F1706" t="str">
        <f>_xlfn.CONCAT(D1706,", ",H1706,", ",I1706,", ","山东省")</f>
        <v>藏南镇, 黄岛区, 青岛市, 山东省</v>
      </c>
      <c r="G1706">
        <v>26388</v>
      </c>
      <c r="H1706" t="s">
        <v>3726</v>
      </c>
      <c r="I1706" t="s">
        <v>3724</v>
      </c>
      <c r="J1706">
        <f>VLOOKUP(F1706,[1]!china_towns_second__2[[Column1]:[Y]],3,FALSE)</f>
        <v>35.757358348690197</v>
      </c>
      <c r="K1706">
        <f>VLOOKUP(F1706,[1]!china_towns_second__2[[Column1]:[Y]],2,FALSE)</f>
        <v>119.7871294</v>
      </c>
      <c r="L1706" t="s">
        <v>6529</v>
      </c>
      <c r="M1706" t="str">
        <f>VLOOKUP(H1706,CHOOSE({1,2},Table17[Native],Table17[Name]),2,0)</f>
        <v>Huángdăo Qū</v>
      </c>
      <c r="N1706" s="15" t="str">
        <f>VLOOKUP(I1706,CHOOSE({1,2},Table17[Native],Table17[Name]),2,0)</f>
        <v>Qīngdăo Shì</v>
      </c>
      <c r="O1706" s="15" t="str">
        <f t="shared" si="52"/>
        <v>Zangnan Zhen (Qīngdăo Shì)</v>
      </c>
      <c r="P1706" s="15" t="str">
        <f t="shared" si="53"/>
        <v>Zangnan Zhen (Qīngdăo Shì)</v>
      </c>
    </row>
    <row r="1707" spans="1:16" hidden="1" x14ac:dyDescent="0.25">
      <c r="A1707" t="s">
        <v>193</v>
      </c>
      <c r="B1707" t="str">
        <f>IF(COUNTIF(A:A,A1707)&gt;1,_xlfn.CONCAT(A1707," (",N1707,")"),A1707)</f>
        <v>Zàohùlĭ Zhèn</v>
      </c>
      <c r="C1707" t="str">
        <f>IF(COUNTIF(B:B,B1707)&gt;1,_xlfn.CONCAT(A1707," (",M1707,")"),B1707)</f>
        <v>Zàohùlĭ Zhèn</v>
      </c>
      <c r="D1707" t="s">
        <v>194</v>
      </c>
      <c r="E1707" t="s">
        <v>13</v>
      </c>
      <c r="F1707" t="str">
        <f>_xlfn.CONCAT(D1707,", ",H1707,", ",I1707,", ","山东省")</f>
        <v>皂户李镇, 惠民县, 滨州市, 山东省</v>
      </c>
      <c r="G1707">
        <v>30324</v>
      </c>
      <c r="H1707" t="s">
        <v>3635</v>
      </c>
      <c r="I1707" t="s">
        <v>3630</v>
      </c>
      <c r="J1707">
        <f>VLOOKUP(F1707,[1]!china_towns_second__2[[Column1]:[Y]],3,FALSE)</f>
        <v>37.412176723057797</v>
      </c>
      <c r="K1707">
        <f>VLOOKUP(F1707,[1]!china_towns_second__2[[Column1]:[Y]],2,FALSE)</f>
        <v>117.48362349999999</v>
      </c>
      <c r="L1707" t="s">
        <v>6530</v>
      </c>
      <c r="M1707" t="str">
        <f>VLOOKUP(H1707,CHOOSE({1,2},Table17[Native],Table17[Name]),2,0)</f>
        <v>Huìmín Xiàn</v>
      </c>
      <c r="N1707" s="15" t="str">
        <f>VLOOKUP(I1707,CHOOSE({1,2},Table17[Native],Table17[Name]),2,0)</f>
        <v>Bīnzhōu Shì</v>
      </c>
      <c r="O1707" s="15" t="str">
        <f t="shared" si="52"/>
        <v>Zaohuli Zhen (Bīnzhōu Shì)</v>
      </c>
      <c r="P1707" s="15" t="str">
        <f t="shared" si="53"/>
        <v>Zaohuli Zhen (Bīnzhōu Shì)</v>
      </c>
    </row>
    <row r="1708" spans="1:16" hidden="1" x14ac:dyDescent="0.25">
      <c r="A1708" t="s">
        <v>1204</v>
      </c>
      <c r="B1708" t="str">
        <f>IF(COUNTIF(A:A,A1708)&gt;1,_xlfn.CONCAT(A1708," (",N1708,")"),A1708)</f>
        <v>Zăoyuán Jiēdào</v>
      </c>
      <c r="C1708" t="str">
        <f>IF(COUNTIF(B:B,B1708)&gt;1,_xlfn.CONCAT(A1708," (",M1708,")"),B1708)</f>
        <v>Zăoyuán Jiēdào</v>
      </c>
      <c r="D1708" t="s">
        <v>1205</v>
      </c>
      <c r="E1708" t="s">
        <v>7</v>
      </c>
      <c r="F1708" t="str">
        <f>_xlfn.CONCAT(D1708,", ",H1708,", ",I1708,", ","山东省")</f>
        <v>枣园街道, 章丘区, 济南市, 山东省</v>
      </c>
      <c r="G1708">
        <v>32784</v>
      </c>
      <c r="H1708" t="s">
        <v>3685</v>
      </c>
      <c r="I1708" t="s">
        <v>3673</v>
      </c>
      <c r="J1708">
        <f>VLOOKUP(F1708,[1]!china_towns_second__2[[Column1]:[Y]],3,FALSE)</f>
        <v>36.736492762445899</v>
      </c>
      <c r="K1708">
        <f>VLOOKUP(F1708,[1]!china_towns_second__2[[Column1]:[Y]],2,FALSE)</f>
        <v>117.4496087</v>
      </c>
      <c r="L1708" t="s">
        <v>6531</v>
      </c>
      <c r="M1708" t="str">
        <f>VLOOKUP(H1708,CHOOSE({1,2},Table17[Native],Table17[Name]),2,0)</f>
        <v>Zhāngqiū Qū</v>
      </c>
      <c r="N1708" s="15" t="str">
        <f>VLOOKUP(I1708,CHOOSE({1,2},Table17[Native],Table17[Name]),2,0)</f>
        <v>Jìnán Shì</v>
      </c>
      <c r="O1708" s="15" t="str">
        <f t="shared" si="52"/>
        <v>Zaoyuan Jiedao (Jìnán Shì)</v>
      </c>
      <c r="P1708" s="15" t="str">
        <f t="shared" si="53"/>
        <v>Zaoyuan Jiedao (Jìnán Shì)</v>
      </c>
    </row>
    <row r="1709" spans="1:16" hidden="1" x14ac:dyDescent="0.25">
      <c r="A1709" t="s">
        <v>2074</v>
      </c>
      <c r="B1709" t="str">
        <f>IF(COUNTIF(A:A,A1709)&gt;1,_xlfn.CONCAT(A1709," (",N1709,")"),A1709)</f>
        <v>Zǎoyuán Zhèn [Zăogōutóu Zhèn]</v>
      </c>
      <c r="C1709" t="str">
        <f>IF(COUNTIF(B:B,B1709)&gt;1,_xlfn.CONCAT(A1709," (",M1709,")"),B1709)</f>
        <v>Zǎoyuán Zhèn [Zăogōutóu Zhèn]</v>
      </c>
      <c r="D1709" t="s">
        <v>2075</v>
      </c>
      <c r="E1709" t="s">
        <v>13</v>
      </c>
      <c r="F1709" t="str">
        <f>_xlfn.CONCAT(D1709,", ",H1709,", ",I1709,", ","山东省")</f>
        <v>枣园镇, 兰山区, 临沂市, 山东省</v>
      </c>
      <c r="G1709">
        <v>68140</v>
      </c>
      <c r="H1709" t="s">
        <v>3715</v>
      </c>
      <c r="I1709" t="s">
        <v>3710</v>
      </c>
      <c r="J1709">
        <f>VLOOKUP(F1709,[1]!china_towns_second__2[[Column1]:[Y]],3,FALSE)</f>
        <v>35.192416446125499</v>
      </c>
      <c r="K1709">
        <f>VLOOKUP(F1709,[1]!china_towns_second__2[[Column1]:[Y]],2,FALSE)</f>
        <v>118.2892762</v>
      </c>
      <c r="L1709" t="s">
        <v>6532</v>
      </c>
      <c r="M1709" t="str">
        <f>VLOOKUP(H1709,CHOOSE({1,2},Table17[Native],Table17[Name]),2,0)</f>
        <v>Lánshān Qū</v>
      </c>
      <c r="N1709" s="15" t="str">
        <f>VLOOKUP(I1709,CHOOSE({1,2},Table17[Native],Table17[Name]),2,0)</f>
        <v>Línyí Shì</v>
      </c>
      <c r="O1709" s="15" t="str">
        <f t="shared" si="52"/>
        <v>Zaoyuan Zhen [Zaogoutou Zhen] (Línyí Shì)</v>
      </c>
      <c r="P1709" s="15" t="str">
        <f t="shared" si="53"/>
        <v>Zaoyuan Zhen [Zaogoutou Zhen] (Línyí Shì)</v>
      </c>
    </row>
    <row r="1710" spans="1:16" hidden="1" x14ac:dyDescent="0.25">
      <c r="A1710" t="s">
        <v>3024</v>
      </c>
      <c r="B1710" t="str">
        <f>IF(COUNTIF(A:A,A1710)&gt;1,_xlfn.CONCAT(A1710," (",N1710,")"),A1710)</f>
        <v>Zékù Zhèn</v>
      </c>
      <c r="C1710" t="str">
        <f>IF(COUNTIF(B:B,B1710)&gt;1,_xlfn.CONCAT(A1710," (",M1710,")"),B1710)</f>
        <v>Zékù Zhèn</v>
      </c>
      <c r="D1710" t="s">
        <v>3025</v>
      </c>
      <c r="E1710" t="s">
        <v>13</v>
      </c>
      <c r="F1710" t="str">
        <f>_xlfn.CONCAT(D1710,", ",H1710,", ",I1710,", ","山东省")</f>
        <v>泽库镇, 文登区, 威海市, 山东省</v>
      </c>
      <c r="G1710">
        <v>24540</v>
      </c>
      <c r="H1710" t="s">
        <v>3769</v>
      </c>
      <c r="I1710" t="s">
        <v>3765</v>
      </c>
      <c r="J1710">
        <f>VLOOKUP(F1710,[1]!china_towns_second__2[[Column1]:[Y]],3,FALSE)</f>
        <v>36.950780152888498</v>
      </c>
      <c r="K1710">
        <f>VLOOKUP(F1710,[1]!china_towns_second__2[[Column1]:[Y]],2,FALSE)</f>
        <v>122.0740255</v>
      </c>
      <c r="L1710" t="s">
        <v>6533</v>
      </c>
      <c r="M1710" t="str">
        <f>VLOOKUP(H1710,CHOOSE({1,2},Table17[Native],Table17[Name]),2,0)</f>
        <v>Wéndēng Qū</v>
      </c>
      <c r="N1710" s="15" t="str">
        <f>VLOOKUP(I1710,CHOOSE({1,2},Table17[Native],Table17[Name]),2,0)</f>
        <v>Wēihăi Shì</v>
      </c>
      <c r="O1710" s="15" t="str">
        <f t="shared" si="52"/>
        <v>Zeku Zhen (Wēihăi Shì)</v>
      </c>
      <c r="P1710" s="15" t="str">
        <f t="shared" si="53"/>
        <v>Zeku Zhen (Wēihăi Shì)</v>
      </c>
    </row>
    <row r="1711" spans="1:16" hidden="1" x14ac:dyDescent="0.25">
      <c r="A1711" t="s">
        <v>3026</v>
      </c>
      <c r="B1711" t="str">
        <f>IF(COUNTIF(A:A,A1711)&gt;1,_xlfn.CONCAT(A1711," (",N1711,")"),A1711)</f>
        <v>Zétóu Zhèn</v>
      </c>
      <c r="C1711" t="str">
        <f>IF(COUNTIF(B:B,B1711)&gt;1,_xlfn.CONCAT(A1711," (",M1711,")"),B1711)</f>
        <v>Zétóu Zhèn</v>
      </c>
      <c r="D1711" t="s">
        <v>3027</v>
      </c>
      <c r="E1711" t="s">
        <v>13</v>
      </c>
      <c r="F1711" t="str">
        <f>_xlfn.CONCAT(D1711,", ",H1711,", ",I1711,", ","山东省")</f>
        <v>泽头镇, 文登区, 威海市, 山东省</v>
      </c>
      <c r="G1711">
        <v>33787</v>
      </c>
      <c r="H1711" t="s">
        <v>3769</v>
      </c>
      <c r="I1711" t="s">
        <v>3765</v>
      </c>
      <c r="J1711">
        <f>VLOOKUP(F1711,[1]!china_towns_second__2[[Column1]:[Y]],3,FALSE)</f>
        <v>37.043148182955399</v>
      </c>
      <c r="K1711">
        <f>VLOOKUP(F1711,[1]!china_towns_second__2[[Column1]:[Y]],2,FALSE)</f>
        <v>121.8954584</v>
      </c>
      <c r="L1711" t="s">
        <v>6534</v>
      </c>
      <c r="M1711" t="str">
        <f>VLOOKUP(H1711,CHOOSE({1,2},Table17[Native],Table17[Name]),2,0)</f>
        <v>Wéndēng Qū</v>
      </c>
      <c r="N1711" s="15" t="str">
        <f>VLOOKUP(I1711,CHOOSE({1,2},Table17[Native],Table17[Name]),2,0)</f>
        <v>Wēihăi Shì</v>
      </c>
      <c r="O1711" s="15" t="str">
        <f t="shared" si="52"/>
        <v>Zetou Zhen (Wēihăi Shì)</v>
      </c>
      <c r="P1711" s="15" t="str">
        <f t="shared" si="53"/>
        <v>Zetou Zhen (Wēihăi Shì)</v>
      </c>
    </row>
    <row r="1712" spans="1:16" hidden="1" x14ac:dyDescent="0.25">
      <c r="A1712" t="s">
        <v>3322</v>
      </c>
      <c r="B1712" t="str">
        <f>IF(COUNTIF(A:A,A1712)&gt;1,_xlfn.CONCAT(A1712," (",N1712,")"),A1712)</f>
        <v>Zhàcūn Zhèn</v>
      </c>
      <c r="C1712" t="str">
        <f>IF(COUNTIF(B:B,B1712)&gt;1,_xlfn.CONCAT(A1712," (",M1712,")"),B1712)</f>
        <v>Zhàcūn Zhèn</v>
      </c>
      <c r="D1712" t="s">
        <v>3323</v>
      </c>
      <c r="E1712" t="s">
        <v>13</v>
      </c>
      <c r="F1712" t="str">
        <f>_xlfn.CONCAT(D1712,", ",H1712,", ",I1712,", ","山东省")</f>
        <v>柞村镇, 莱州市, 烟台市, 山东省</v>
      </c>
      <c r="G1712">
        <v>42500</v>
      </c>
      <c r="H1712" t="s">
        <v>3776</v>
      </c>
      <c r="I1712" t="s">
        <v>3771</v>
      </c>
      <c r="J1712">
        <f>VLOOKUP(F1712,[1]!china_towns_second__2[[Column1]:[Y]],3,FALSE)</f>
        <v>37.071870273697897</v>
      </c>
      <c r="K1712">
        <f>VLOOKUP(F1712,[1]!china_towns_second__2[[Column1]:[Y]],2,FALSE)</f>
        <v>119.99010989999999</v>
      </c>
      <c r="L1712" t="s">
        <v>6535</v>
      </c>
      <c r="M1712" t="str">
        <f>VLOOKUP(H1712,CHOOSE({1,2},Table17[Native],Table17[Name]),2,0)</f>
        <v>Láizhōu Shì</v>
      </c>
      <c r="N1712" s="15" t="str">
        <f>VLOOKUP(I1712,CHOOSE({1,2},Table17[Native],Table17[Name]),2,0)</f>
        <v>Yāntái Shì</v>
      </c>
      <c r="O1712" s="15" t="str">
        <f t="shared" si="52"/>
        <v>Zhacun Zhen (Yāntái Shì)</v>
      </c>
      <c r="P1712" s="15" t="str">
        <f t="shared" si="53"/>
        <v>Zhacun Zhen (Yāntái Shì)</v>
      </c>
    </row>
    <row r="1713" spans="1:16" hidden="1" x14ac:dyDescent="0.25">
      <c r="A1713" t="s">
        <v>2661</v>
      </c>
      <c r="B1713" t="str">
        <f>IF(COUNTIF(A:A,A1713)&gt;1,_xlfn.CONCAT(A1713," (",N1713,")"),A1713)</f>
        <v>Zhái Zhèn</v>
      </c>
      <c r="C1713" t="str">
        <f>IF(COUNTIF(B:B,B1713)&gt;1,_xlfn.CONCAT(A1713," (",M1713,")"),B1713)</f>
        <v>Zhái Zhèn</v>
      </c>
      <c r="D1713" t="s">
        <v>2662</v>
      </c>
      <c r="E1713" t="s">
        <v>13</v>
      </c>
      <c r="F1713" t="str">
        <f>_xlfn.CONCAT(D1713,", ",H1713,", ",I1713,", ","山东省")</f>
        <v>翟镇, 新泰市, 泰安市, 山东省</v>
      </c>
      <c r="G1713">
        <v>61248</v>
      </c>
      <c r="H1713" t="s">
        <v>3749</v>
      </c>
      <c r="I1713" t="s">
        <v>3743</v>
      </c>
      <c r="J1713">
        <f>VLOOKUP(F1713,[1]!china_towns_second__2[[Column1]:[Y]],3,FALSE)</f>
        <v>35.934858849672899</v>
      </c>
      <c r="K1713">
        <f>VLOOKUP(F1713,[1]!china_towns_second__2[[Column1]:[Y]],2,FALSE)</f>
        <v>117.6627391</v>
      </c>
      <c r="L1713" t="s">
        <v>6536</v>
      </c>
      <c r="M1713" t="str">
        <f>VLOOKUP(H1713,CHOOSE({1,2},Table17[Native],Table17[Name]),2,0)</f>
        <v>Xīntài Shì</v>
      </c>
      <c r="N1713" s="15" t="str">
        <f>VLOOKUP(I1713,CHOOSE({1,2},Table17[Native],Table17[Name]),2,0)</f>
        <v>Tài'ān Shì</v>
      </c>
      <c r="O1713" s="15" t="str">
        <f t="shared" si="52"/>
        <v>Zhai Zhen (Tài'ān Shì)</v>
      </c>
      <c r="P1713" s="15" t="str">
        <f t="shared" si="53"/>
        <v>Zhai Zhen (Tài'ān Shì)</v>
      </c>
    </row>
    <row r="1714" spans="1:16" hidden="1" x14ac:dyDescent="0.25">
      <c r="A1714" t="s">
        <v>441</v>
      </c>
      <c r="B1714" t="str">
        <f>IF(COUNTIF(A:A,A1714)&gt;1,_xlfn.CONCAT(A1714," (",N1714,")"),A1714)</f>
        <v>Zháijiā Zhèn</v>
      </c>
      <c r="C1714" t="str">
        <f>IF(COUNTIF(B:B,B1714)&gt;1,_xlfn.CONCAT(A1714," (",M1714,")"),B1714)</f>
        <v>Zháijiā Zhèn</v>
      </c>
      <c r="D1714" t="s">
        <v>442</v>
      </c>
      <c r="E1714" t="s">
        <v>13</v>
      </c>
      <c r="F1714" t="str">
        <f>_xlfn.CONCAT(D1714,", ",H1714,", ",I1714,", ","山东省")</f>
        <v>翟家镇, 临邑县, 德州市, 山东省</v>
      </c>
      <c r="G1714">
        <v>20933</v>
      </c>
      <c r="H1714" t="s">
        <v>3646</v>
      </c>
      <c r="I1714" t="s">
        <v>3642</v>
      </c>
      <c r="J1714">
        <f>VLOOKUP(F1714,[1]!china_towns_second__2[[Column1]:[Y]],3,FALSE)</f>
        <v>37.387976296580902</v>
      </c>
      <c r="K1714">
        <f>VLOOKUP(F1714,[1]!china_towns_second__2[[Column1]:[Y]],2,FALSE)</f>
        <v>116.9155031</v>
      </c>
      <c r="L1714" t="s">
        <v>6537</v>
      </c>
      <c r="M1714" t="str">
        <f>VLOOKUP(H1714,CHOOSE({1,2},Table17[Native],Table17[Name]),2,0)</f>
        <v>Línyì Xiàn</v>
      </c>
      <c r="N1714" s="15" t="str">
        <f>VLOOKUP(I1714,CHOOSE({1,2},Table17[Native],Table17[Name]),2,0)</f>
        <v>Dézhōu Shì</v>
      </c>
      <c r="O1714" s="15" t="str">
        <f t="shared" si="52"/>
        <v>Zhaijia Zhen (Dézhōu Shì)</v>
      </c>
      <c r="P1714" s="15" t="str">
        <f t="shared" si="53"/>
        <v>Zhaijia Zhen (Dézhōu Shì)</v>
      </c>
    </row>
    <row r="1715" spans="1:16" hidden="1" x14ac:dyDescent="0.25">
      <c r="A1715" t="s">
        <v>1206</v>
      </c>
      <c r="B1715" t="str">
        <f>IF(COUNTIF(A:A,A1715)&gt;1,_xlfn.CONCAT(A1715," (",N1715,")"),A1715)</f>
        <v>Zhàilĭ Zhèn</v>
      </c>
      <c r="C1715" t="str">
        <f>IF(COUNTIF(B:B,B1715)&gt;1,_xlfn.CONCAT(A1715," (",M1715,")"),B1715)</f>
        <v>Zhàilĭ Zhèn</v>
      </c>
      <c r="D1715" t="s">
        <v>1207</v>
      </c>
      <c r="E1715" t="s">
        <v>13</v>
      </c>
      <c r="F1715" t="str">
        <f>_xlfn.CONCAT(D1715,", ",H1715,", ",I1715,", ","山东省")</f>
        <v>寨里镇, 莱芜区, 济南市, 山东省</v>
      </c>
      <c r="G1715">
        <v>53601</v>
      </c>
      <c r="H1715" t="s">
        <v>3678</v>
      </c>
      <c r="I1715" t="s">
        <v>3673</v>
      </c>
      <c r="J1715">
        <f>VLOOKUP(F1715,[1]!china_towns_second__2[[Column1]:[Y]],3,FALSE)</f>
        <v>36.3049465</v>
      </c>
      <c r="K1715">
        <f>VLOOKUP(F1715,[1]!china_towns_second__2[[Column1]:[Y]],2,FALSE)</f>
        <v>117.4871162</v>
      </c>
      <c r="L1715" t="s">
        <v>6538</v>
      </c>
      <c r="M1715" t="str">
        <f>VLOOKUP(H1715,CHOOSE({1,2},Table17[Native],Table17[Name]),2,0)</f>
        <v>Láiwú Qū</v>
      </c>
      <c r="N1715" s="15" t="str">
        <f>VLOOKUP(I1715,CHOOSE({1,2},Table17[Native],Table17[Name]),2,0)</f>
        <v>Jìnán Shì</v>
      </c>
      <c r="O1715" s="15" t="str">
        <f t="shared" si="52"/>
        <v>Zhaili Zhen (Jìnán Shì)</v>
      </c>
      <c r="P1715" s="15" t="str">
        <f t="shared" si="53"/>
        <v>Zhaili Zhen (Jìnán Shì)</v>
      </c>
    </row>
    <row r="1716" spans="1:16" hidden="1" x14ac:dyDescent="0.25">
      <c r="A1716" t="s">
        <v>3617</v>
      </c>
      <c r="B1716" t="str">
        <f>IF(COUNTIF(A:A,A1716)&gt;1,_xlfn.CONCAT(A1716," (",N1716,")"),A1716)</f>
        <v>Zhàilĭ Zhèn [incl. Hēiwàng Zhèn]</v>
      </c>
      <c r="C1716" t="str">
        <f>IF(COUNTIF(B:B,B1716)&gt;1,_xlfn.CONCAT(A1716," (",M1716,")"),B1716)</f>
        <v>Zhàilĭ Zhèn [incl. Hēiwàng Zhèn]</v>
      </c>
      <c r="D1716" t="s">
        <v>1207</v>
      </c>
      <c r="E1716" t="s">
        <v>13</v>
      </c>
      <c r="F1716" t="str">
        <f>_xlfn.CONCAT(D1716,", ",H1716,", ",I1716,", ","山东省")</f>
        <v>寨里镇, 淄川区, 淄博市, 山东省</v>
      </c>
      <c r="G1716">
        <v>55054</v>
      </c>
      <c r="H1716" t="s">
        <v>3799</v>
      </c>
      <c r="I1716" t="s">
        <v>3791</v>
      </c>
      <c r="J1716">
        <f>VLOOKUP(F1716,[1]!china_towns_second__2[[Column1]:[Y]],3,FALSE)</f>
        <v>36.624622421234001</v>
      </c>
      <c r="K1716">
        <f>VLOOKUP(F1716,[1]!china_towns_second__2[[Column1]:[Y]],2,FALSE)</f>
        <v>118.1014213</v>
      </c>
      <c r="L1716" t="s">
        <v>6539</v>
      </c>
      <c r="M1716" t="str">
        <f>VLOOKUP(H1716,CHOOSE({1,2},Table17[Native],Table17[Name]),2,0)</f>
        <v>Zīchuān Qū</v>
      </c>
      <c r="N1716" s="15" t="str">
        <f>VLOOKUP(I1716,CHOOSE({1,2},Table17[Native],Table17[Name]),2,0)</f>
        <v>Zībó Shì</v>
      </c>
      <c r="O1716" s="15" t="str">
        <f t="shared" si="52"/>
        <v>Zhaili Zhen [incl. Heiwang Zhen] (Zībó Shì)</v>
      </c>
      <c r="P1716" s="15" t="str">
        <f t="shared" si="53"/>
        <v>Zhaili Zhen [incl. Heiwang Zhen] (Zībó Shì)</v>
      </c>
    </row>
    <row r="1717" spans="1:16" hidden="1" x14ac:dyDescent="0.25">
      <c r="A1717" t="s">
        <v>2487</v>
      </c>
      <c r="B1717" t="str">
        <f>IF(COUNTIF(A:A,A1717)&gt;1,_xlfn.CONCAT(A1717," (",N1717,")"),A1717)</f>
        <v>Zhàilĭhé Zhèn</v>
      </c>
      <c r="C1717" t="str">
        <f>IF(COUNTIF(B:B,B1717)&gt;1,_xlfn.CONCAT(A1717," (",M1717,")"),B1717)</f>
        <v>Zhàilĭhé Zhèn</v>
      </c>
      <c r="D1717" t="s">
        <v>2488</v>
      </c>
      <c r="E1717" t="s">
        <v>13</v>
      </c>
      <c r="F1717" t="str">
        <f>_xlfn.CONCAT(D1717,", ",H1717,", ",I1717,", ","山东省")</f>
        <v>寨里河镇, 莒县, 日照市, 山东省</v>
      </c>
      <c r="G1717">
        <v>29720</v>
      </c>
      <c r="H1717" t="s">
        <v>3739</v>
      </c>
      <c r="I1717" t="s">
        <v>3736</v>
      </c>
      <c r="J1717">
        <f>VLOOKUP(F1717,[1]!china_towns_second__2[[Column1]:[Y]],3,FALSE)</f>
        <v>35.461381860562398</v>
      </c>
      <c r="K1717">
        <f>VLOOKUP(F1717,[1]!china_towns_second__2[[Column1]:[Y]],2,FALSE)</f>
        <v>118.9212891</v>
      </c>
      <c r="L1717" t="s">
        <v>6540</v>
      </c>
      <c r="M1717" t="str">
        <f>VLOOKUP(H1717,CHOOSE({1,2},Table17[Native],Table17[Name]),2,0)</f>
        <v>Jŭ Xiàn</v>
      </c>
      <c r="N1717" s="15" t="str">
        <f>VLOOKUP(I1717,CHOOSE({1,2},Table17[Native],Table17[Name]),2,0)</f>
        <v>Rìzhào Shì</v>
      </c>
      <c r="O1717" s="15" t="str">
        <f t="shared" si="52"/>
        <v>Zhailihe Zhen (Rìzhào Shì)</v>
      </c>
      <c r="P1717" s="15" t="str">
        <f t="shared" si="53"/>
        <v>Zhailihe Zhen (Rìzhào Shì)</v>
      </c>
    </row>
    <row r="1718" spans="1:16" hidden="1" x14ac:dyDescent="0.25">
      <c r="A1718" t="s">
        <v>443</v>
      </c>
      <c r="B1718" t="str">
        <f>IF(COUNTIF(A:A,A1718)&gt;1,_xlfn.CONCAT(A1718," (",N1718,")"),A1718)</f>
        <v>Zhàitóubăo Xiāng</v>
      </c>
      <c r="C1718" t="str">
        <f>IF(COUNTIF(B:B,B1718)&gt;1,_xlfn.CONCAT(A1718," (",M1718,")"),B1718)</f>
        <v>Zhàitóubăo Xiāng</v>
      </c>
      <c r="D1718" t="s">
        <v>444</v>
      </c>
      <c r="E1718" t="s">
        <v>61</v>
      </c>
      <c r="F1718" t="str">
        <f>_xlfn.CONCAT(D1718,", ",H1718,", ",I1718,", ","山东省")</f>
        <v>寨头堡乡, 乐陵市, 德州市, 山东省</v>
      </c>
      <c r="G1718">
        <v>19744</v>
      </c>
      <c r="H1718" t="s">
        <v>3644</v>
      </c>
      <c r="I1718" t="s">
        <v>3642</v>
      </c>
      <c r="J1718" t="e">
        <f>VLOOKUP(F1718,[1]!china_towns_second__2[[Column1]:[Y]],3,FALSE)</f>
        <v>#N/A</v>
      </c>
      <c r="K1718" t="e">
        <f>VLOOKUP(F1718,[1]!china_towns_second__2[[Column1]:[Y]],2,FALSE)</f>
        <v>#N/A</v>
      </c>
      <c r="L1718" t="s">
        <v>6541</v>
      </c>
      <c r="M1718" t="str">
        <f>VLOOKUP(H1718,CHOOSE({1,2},Table17[Native],Table17[Name]),2,0)</f>
        <v>Lèlíng Shì</v>
      </c>
      <c r="N1718" s="15" t="str">
        <f>VLOOKUP(I1718,CHOOSE({1,2},Table17[Native],Table17[Name]),2,0)</f>
        <v>Dézhōu Shì</v>
      </c>
      <c r="O1718" s="15" t="str">
        <f t="shared" si="52"/>
        <v>Zhaitoubao Xiang (Dézhōu Shì)</v>
      </c>
      <c r="P1718" s="15" t="str">
        <f t="shared" si="53"/>
        <v>Zhaitoubao Xiang (Dézhōu Shì)</v>
      </c>
    </row>
    <row r="1719" spans="1:16" hidden="1" x14ac:dyDescent="0.25">
      <c r="A1719" t="s">
        <v>195</v>
      </c>
      <c r="B1719" t="str">
        <f>IF(COUNTIF(A:A,A1719)&gt;1,_xlfn.CONCAT(A1719," (",N1719,")"),A1719)</f>
        <v>Zháiwáng Zhèn</v>
      </c>
      <c r="C1719" t="str">
        <f>IF(COUNTIF(B:B,B1719)&gt;1,_xlfn.CONCAT(A1719," (",M1719,")"),B1719)</f>
        <v>Zháiwáng Zhèn</v>
      </c>
      <c r="D1719" t="s">
        <v>196</v>
      </c>
      <c r="E1719" t="s">
        <v>13</v>
      </c>
      <c r="F1719" t="str">
        <f>_xlfn.CONCAT(D1719,", ",H1719,", ",I1719,", ","山东省")</f>
        <v>翟王镇, 阳信县, 滨州市, 山东省</v>
      </c>
      <c r="G1719">
        <v>34333</v>
      </c>
      <c r="H1719" t="s">
        <v>3637</v>
      </c>
      <c r="I1719" t="s">
        <v>3630</v>
      </c>
      <c r="J1719">
        <f>VLOOKUP(F1719,[1]!china_towns_second__2[[Column1]:[Y]],3,FALSE)</f>
        <v>37.587772350021297</v>
      </c>
      <c r="K1719">
        <f>VLOOKUP(F1719,[1]!china_towns_second__2[[Column1]:[Y]],2,FALSE)</f>
        <v>117.5055334</v>
      </c>
      <c r="L1719" t="s">
        <v>6542</v>
      </c>
      <c r="M1719" t="str">
        <f>VLOOKUP(H1719,CHOOSE({1,2},Table17[Native],Table17[Name]),2,0)</f>
        <v>Yángxìn Xiàn</v>
      </c>
      <c r="N1719" s="15" t="str">
        <f>VLOOKUP(I1719,CHOOSE({1,2},Table17[Native],Table17[Name]),2,0)</f>
        <v>Bīnzhōu Shì</v>
      </c>
      <c r="O1719" s="15" t="str">
        <f t="shared" si="52"/>
        <v>Zhaiwang Zhen (Bīnzhōu Shì)</v>
      </c>
      <c r="P1719" s="15" t="str">
        <f t="shared" si="53"/>
        <v>Zhaiwang Zhen (Bīnzhōu Shì)</v>
      </c>
    </row>
    <row r="1720" spans="1:16" hidden="1" x14ac:dyDescent="0.25">
      <c r="A1720" t="s">
        <v>3028</v>
      </c>
      <c r="B1720" t="str">
        <f>IF(COUNTIF(A:A,A1720)&gt;1,_xlfn.CONCAT(A1720," (",N1720,")"),A1720)</f>
        <v>Zhāngcūn Zhèn</v>
      </c>
      <c r="C1720" t="str">
        <f>IF(COUNTIF(B:B,B1720)&gt;1,_xlfn.CONCAT(A1720," (",M1720,")"),B1720)</f>
        <v>Zhāngcūn Zhèn</v>
      </c>
      <c r="D1720" t="s">
        <v>3029</v>
      </c>
      <c r="E1720" t="s">
        <v>13</v>
      </c>
      <c r="F1720" t="str">
        <f>_xlfn.CONCAT(D1720,", ",H1720,", ",I1720,", ","山东省")</f>
        <v>张村镇, 环翠区, 威海市, 山东省</v>
      </c>
      <c r="G1720">
        <v>58617</v>
      </c>
      <c r="H1720" t="s">
        <v>3766</v>
      </c>
      <c r="I1720" t="s">
        <v>3765</v>
      </c>
      <c r="J1720">
        <f>VLOOKUP(F1720,[1]!china_towns_second__2[[Column1]:[Y]],3,FALSE)</f>
        <v>37.471024041650402</v>
      </c>
      <c r="K1720">
        <f>VLOOKUP(F1720,[1]!china_towns_second__2[[Column1]:[Y]],2,FALSE)</f>
        <v>122.02232909999999</v>
      </c>
      <c r="L1720" t="s">
        <v>6543</v>
      </c>
      <c r="M1720" t="str">
        <f>VLOOKUP(H1720,CHOOSE({1,2},Table17[Native],Table17[Name]),2,0)</f>
        <v>Huáncuì Qū</v>
      </c>
      <c r="N1720" s="15" t="str">
        <f>VLOOKUP(I1720,CHOOSE({1,2},Table17[Native],Table17[Name]),2,0)</f>
        <v>Wēihăi Shì</v>
      </c>
      <c r="O1720" s="15" t="str">
        <f t="shared" si="52"/>
        <v>Zhangcun Zhen (Wēihăi Shì)</v>
      </c>
      <c r="P1720" s="15" t="str">
        <f t="shared" si="53"/>
        <v>Zhangcun Zhen (Wēihăi Shì)</v>
      </c>
    </row>
    <row r="1721" spans="1:16" hidden="1" x14ac:dyDescent="0.25">
      <c r="A1721" t="s">
        <v>445</v>
      </c>
      <c r="B1721" t="str">
        <f>IF(COUNTIF(A:A,A1721)&gt;1,_xlfn.CONCAT(A1721," (",N1721,")"),A1721)</f>
        <v>Zhāngdàzhuāng Zhèn</v>
      </c>
      <c r="C1721" t="str">
        <f>IF(COUNTIF(B:B,B1721)&gt;1,_xlfn.CONCAT(A1721," (",M1721,")"),B1721)</f>
        <v>Zhāngdàzhuāng Zhèn</v>
      </c>
      <c r="D1721" t="s">
        <v>446</v>
      </c>
      <c r="E1721" t="s">
        <v>13</v>
      </c>
      <c r="F1721" t="str">
        <f>_xlfn.CONCAT(D1721,", ",H1721,", ",I1721,", ","山东省")</f>
        <v>张大庄镇, 宁津县, 德州市, 山东省</v>
      </c>
      <c r="G1721">
        <v>35461</v>
      </c>
      <c r="H1721" t="s">
        <v>3647</v>
      </c>
      <c r="I1721" t="s">
        <v>3642</v>
      </c>
      <c r="J1721">
        <f>VLOOKUP(F1721,[1]!china_towns_second__2[[Column1]:[Y]],3,FALSE)</f>
        <v>37.801172551587499</v>
      </c>
      <c r="K1721">
        <f>VLOOKUP(F1721,[1]!china_towns_second__2[[Column1]:[Y]],2,FALSE)</f>
        <v>116.7983629</v>
      </c>
      <c r="L1721" t="s">
        <v>6544</v>
      </c>
      <c r="M1721" t="str">
        <f>VLOOKUP(H1721,CHOOSE({1,2},Table17[Native],Table17[Name]),2,0)</f>
        <v>Níngjīn Xiàn</v>
      </c>
      <c r="N1721" s="15" t="str">
        <f>VLOOKUP(I1721,CHOOSE({1,2},Table17[Native],Table17[Name]),2,0)</f>
        <v>Dézhōu Shì</v>
      </c>
      <c r="O1721" s="15" t="str">
        <f t="shared" si="52"/>
        <v>Zhangdazhuang Zhen (Dézhōu Shì)</v>
      </c>
      <c r="P1721" s="15" t="str">
        <f t="shared" si="53"/>
        <v>Zhangdazhuang Zhen (Dézhōu Shì)</v>
      </c>
    </row>
    <row r="1722" spans="1:16" hidden="1" x14ac:dyDescent="0.25">
      <c r="A1722" t="s">
        <v>3448</v>
      </c>
      <c r="B1722" t="str">
        <f>IF(COUNTIF(A:A,A1722)&gt;1,_xlfn.CONCAT(A1722," (",N1722,")"),A1722)</f>
        <v>Zhāngfàn Jiēdào</v>
      </c>
      <c r="C1722" t="str">
        <f>IF(COUNTIF(B:B,B1722)&gt;1,_xlfn.CONCAT(A1722," (",M1722,")"),B1722)</f>
        <v>Zhāngfàn Jiēdào</v>
      </c>
      <c r="D1722" t="s">
        <v>3449</v>
      </c>
      <c r="E1722" t="s">
        <v>7</v>
      </c>
      <c r="F1722" t="str">
        <f>_xlfn.CONCAT(D1722,", ",H1722,", ",I1722,", ","山东省")</f>
        <v>张范街道, 薛城区, 枣庄市, 山东省</v>
      </c>
      <c r="G1722">
        <v>32002</v>
      </c>
      <c r="H1722" t="s">
        <v>3788</v>
      </c>
      <c r="I1722" t="s">
        <v>3784</v>
      </c>
      <c r="J1722">
        <f>VLOOKUP(F1722,[1]!china_towns_second__2[[Column1]:[Y]],3,FALSE)</f>
        <v>34.818874547013699</v>
      </c>
      <c r="K1722">
        <f>VLOOKUP(F1722,[1]!china_towns_second__2[[Column1]:[Y]],2,FALSE)</f>
        <v>117.43142640000001</v>
      </c>
      <c r="L1722" t="s">
        <v>6545</v>
      </c>
      <c r="M1722" t="str">
        <f>VLOOKUP(H1722,CHOOSE({1,2},Table17[Native],Table17[Name]),2,0)</f>
        <v>Xuēchéng Qū</v>
      </c>
      <c r="N1722" s="15" t="str">
        <f>VLOOKUP(I1722,CHOOSE({1,2},Table17[Native],Table17[Name]),2,0)</f>
        <v>Zăozhuāng Shì</v>
      </c>
      <c r="O1722" s="15" t="str">
        <f t="shared" si="52"/>
        <v>Zhangfan Jiedao (Zăozhuāng Shì)</v>
      </c>
      <c r="P1722" s="15" t="str">
        <f t="shared" si="53"/>
        <v>Zhangfan Jiedao (Zăozhuāng Shì)</v>
      </c>
    </row>
    <row r="1723" spans="1:16" hidden="1" x14ac:dyDescent="0.25">
      <c r="A1723" t="s">
        <v>1208</v>
      </c>
      <c r="B1723" t="str">
        <f>IF(COUNTIF(A:A,A1723)&gt;1,_xlfn.CONCAT(A1723," (",N1723,")"),A1723)</f>
        <v>Zhāngfāng Zhèn</v>
      </c>
      <c r="C1723" t="str">
        <f>IF(COUNTIF(B:B,B1723)&gt;1,_xlfn.CONCAT(A1723," (",M1723,")"),B1723)</f>
        <v>Zhāngfāng Zhèn</v>
      </c>
      <c r="D1723" t="s">
        <v>1209</v>
      </c>
      <c r="E1723" t="s">
        <v>13</v>
      </c>
      <c r="F1723" t="str">
        <f>_xlfn.CONCAT(D1723,", ",H1723,", ",I1723,", ","山东省")</f>
        <v>张坊镇, 商河县, 济南市, 山东省</v>
      </c>
      <c r="G1723">
        <v>20446</v>
      </c>
      <c r="H1723" t="s">
        <v>3682</v>
      </c>
      <c r="I1723" t="s">
        <v>3673</v>
      </c>
      <c r="J1723">
        <f>VLOOKUP(F1723,[1]!china_towns_second__2[[Column1]:[Y]],3,FALSE)</f>
        <v>37.350239138012398</v>
      </c>
      <c r="K1723">
        <f>VLOOKUP(F1723,[1]!china_towns_second__2[[Column1]:[Y]],2,FALSE)</f>
        <v>117.083832</v>
      </c>
      <c r="L1723" t="s">
        <v>6546</v>
      </c>
      <c r="M1723" t="str">
        <f>VLOOKUP(H1723,CHOOSE({1,2},Table17[Native],Table17[Name]),2,0)</f>
        <v>Shānghé Xiàn</v>
      </c>
      <c r="N1723" s="15" t="str">
        <f>VLOOKUP(I1723,CHOOSE({1,2},Table17[Native],Table17[Name]),2,0)</f>
        <v>Jìnán Shì</v>
      </c>
      <c r="O1723" s="15" t="str">
        <f t="shared" si="52"/>
        <v>Zhangfang Zhen (Jìnán Shì)</v>
      </c>
      <c r="P1723" s="15" t="str">
        <f t="shared" si="53"/>
        <v>Zhangfang Zhen (Jìnán Shì)</v>
      </c>
    </row>
    <row r="1724" spans="1:16" hidden="1" x14ac:dyDescent="0.25">
      <c r="A1724" t="s">
        <v>878</v>
      </c>
      <c r="B1724" t="str">
        <f>IF(COUNTIF(A:A,A1724)&gt;1,_xlfn.CONCAT(A1724," (",N1724,")"),A1724)</f>
        <v>Zhāngféng Zhèn</v>
      </c>
      <c r="C1724" t="str">
        <f>IF(COUNTIF(B:B,B1724)&gt;1,_xlfn.CONCAT(A1724," (",M1724,")"),B1724)</f>
        <v>Zhāngféng Zhèn</v>
      </c>
      <c r="D1724" t="s">
        <v>879</v>
      </c>
      <c r="E1724" t="s">
        <v>13</v>
      </c>
      <c r="F1724" t="str">
        <f>_xlfn.CONCAT(D1724,", ",H1724,", ",I1724,", ","山东省")</f>
        <v>章缝镇, 巨野县, 菏泽市, 山东省</v>
      </c>
      <c r="G1724">
        <v>35603</v>
      </c>
      <c r="H1724" t="s">
        <v>3668</v>
      </c>
      <c r="I1724" t="s">
        <v>3662</v>
      </c>
      <c r="J1724">
        <f>VLOOKUP(F1724,[1]!china_towns_second__2[[Column1]:[Y]],3,FALSE)</f>
        <v>35.21035227342</v>
      </c>
      <c r="K1724">
        <f>VLOOKUP(F1724,[1]!china_towns_second__2[[Column1]:[Y]],2,FALSE)</f>
        <v>116.0045432</v>
      </c>
      <c r="L1724" t="s">
        <v>6547</v>
      </c>
      <c r="M1724" t="str">
        <f>VLOOKUP(H1724,CHOOSE({1,2},Table17[Native],Table17[Name]),2,0)</f>
        <v>Jùyĕ Xiàn</v>
      </c>
      <c r="N1724" s="15" t="str">
        <f>VLOOKUP(I1724,CHOOSE({1,2},Table17[Native],Table17[Name]),2,0)</f>
        <v>Hézé Shì</v>
      </c>
      <c r="O1724" s="15" t="str">
        <f t="shared" si="52"/>
        <v>Zhangfeng Zhen (Hézé Shì)</v>
      </c>
      <c r="P1724" s="15" t="str">
        <f t="shared" si="53"/>
        <v>Zhangfeng Zhen (Hézé Shì)</v>
      </c>
    </row>
    <row r="1725" spans="1:16" hidden="1" x14ac:dyDescent="0.25">
      <c r="A1725" t="s">
        <v>3324</v>
      </c>
      <c r="B1725" t="str">
        <f>IF(COUNTIF(A:A,A1725)&gt;1,_xlfn.CONCAT(A1725," (",N1725,")"),A1725)</f>
        <v>Zhānggézhuāng Zhèn</v>
      </c>
      <c r="C1725" t="str">
        <f>IF(COUNTIF(B:B,B1725)&gt;1,_xlfn.CONCAT(A1725," (",M1725,")"),B1725)</f>
        <v>Zhānggézhuāng Zhèn</v>
      </c>
      <c r="D1725" t="s">
        <v>3325</v>
      </c>
      <c r="E1725" t="s">
        <v>13</v>
      </c>
      <c r="F1725" t="str">
        <f>_xlfn.CONCAT(D1725,", ",H1725,", ",I1725,", ","山东省")</f>
        <v>张格庄镇, 福山区, 烟台市, 山东省</v>
      </c>
      <c r="G1725">
        <v>14672</v>
      </c>
      <c r="H1725" t="s">
        <v>3772</v>
      </c>
      <c r="I1725" t="s">
        <v>3771</v>
      </c>
      <c r="J1725">
        <f>VLOOKUP(F1725,[1]!china_towns_second__2[[Column1]:[Y]],3,FALSE)</f>
        <v>37.380067981780599</v>
      </c>
      <c r="K1725">
        <f>VLOOKUP(F1725,[1]!china_towns_second__2[[Column1]:[Y]],2,FALSE)</f>
        <v>121.1676181</v>
      </c>
      <c r="L1725" t="s">
        <v>6548</v>
      </c>
      <c r="M1725" t="str">
        <f>VLOOKUP(H1725,CHOOSE({1,2},Table17[Native],Table17[Name]),2,0)</f>
        <v>Fúshān Qū</v>
      </c>
      <c r="N1725" s="15" t="str">
        <f>VLOOKUP(I1725,CHOOSE({1,2},Table17[Native],Table17[Name]),2,0)</f>
        <v>Yāntái Shì</v>
      </c>
      <c r="O1725" s="15" t="str">
        <f t="shared" si="52"/>
        <v>Zhanggezhuang Zhen (Yāntái Shì)</v>
      </c>
      <c r="P1725" s="15" t="str">
        <f t="shared" si="53"/>
        <v>Zhanggezhuang Zhen (Yāntái Shì)</v>
      </c>
    </row>
    <row r="1726" spans="1:16" hidden="1" x14ac:dyDescent="0.25">
      <c r="A1726" t="s">
        <v>447</v>
      </c>
      <c r="B1726" t="str">
        <f>IF(COUNTIF(A:A,A1726)&gt;1,_xlfn.CONCAT(A1726," (",N1726,")"),A1726)</f>
        <v>Zhānghuá Zhèn</v>
      </c>
      <c r="C1726" t="str">
        <f>IF(COUNTIF(B:B,B1726)&gt;1,_xlfn.CONCAT(A1726," (",M1726,")"),B1726)</f>
        <v>Zhānghuá Zhèn</v>
      </c>
      <c r="D1726" t="s">
        <v>448</v>
      </c>
      <c r="E1726" t="s">
        <v>13</v>
      </c>
      <c r="F1726" t="str">
        <f>_xlfn.CONCAT(D1726,", ",H1726,", ",I1726,", ","山东省")</f>
        <v>张华镇, 平原县, 德州市, 山东省</v>
      </c>
      <c r="G1726">
        <v>25195</v>
      </c>
      <c r="H1726" t="s">
        <v>3648</v>
      </c>
      <c r="I1726" t="s">
        <v>3642</v>
      </c>
      <c r="J1726">
        <f>VLOOKUP(F1726,[1]!china_towns_second__2[[Column1]:[Y]],3,FALSE)</f>
        <v>37.006864427407002</v>
      </c>
      <c r="K1726">
        <f>VLOOKUP(F1726,[1]!china_towns_second__2[[Column1]:[Y]],2,FALSE)</f>
        <v>116.3392357</v>
      </c>
      <c r="L1726" t="s">
        <v>6549</v>
      </c>
      <c r="M1726" t="str">
        <f>VLOOKUP(H1726,CHOOSE({1,2},Table17[Native],Table17[Name]),2,0)</f>
        <v>Píngyuán Xiàn</v>
      </c>
      <c r="N1726" s="15" t="str">
        <f>VLOOKUP(I1726,CHOOSE({1,2},Table17[Native],Table17[Name]),2,0)</f>
        <v>Dézhōu Shì</v>
      </c>
      <c r="O1726" s="15" t="str">
        <f t="shared" si="52"/>
        <v>Zhanghua Zhen (Dézhōu Shì)</v>
      </c>
      <c r="P1726" s="15" t="str">
        <f t="shared" si="53"/>
        <v>Zhanghua Zhen (Dézhōu Shì)</v>
      </c>
    </row>
    <row r="1727" spans="1:16" hidden="1" x14ac:dyDescent="0.25">
      <c r="A1727" t="s">
        <v>1511</v>
      </c>
      <c r="B1727" t="str">
        <f>IF(COUNTIF(A:A,A1727)&gt;1,_xlfn.CONCAT(A1727," (",N1727,")"),A1727)</f>
        <v>Zhānghuáng Zhèn</v>
      </c>
      <c r="C1727" t="str">
        <f>IF(COUNTIF(B:B,B1727)&gt;1,_xlfn.CONCAT(A1727," (",M1727,")"),B1727)</f>
        <v>Zhānghuáng Zhèn</v>
      </c>
      <c r="D1727" t="s">
        <v>1512</v>
      </c>
      <c r="E1727" t="s">
        <v>13</v>
      </c>
      <c r="F1727" t="str">
        <f>_xlfn.CONCAT(D1727,", ",H1727,", ",I1727,", ","山东省")</f>
        <v>张黄镇, 鱼台县, 济宁市, 山东省</v>
      </c>
      <c r="G1727">
        <v>56095</v>
      </c>
      <c r="H1727" t="s">
        <v>3697</v>
      </c>
      <c r="I1727" t="s">
        <v>3687</v>
      </c>
      <c r="J1727">
        <f>VLOOKUP(F1727,[1]!china_towns_second__2[[Column1]:[Y]],3,FALSE)</f>
        <v>35.093949475721303</v>
      </c>
      <c r="K1727">
        <f>VLOOKUP(F1727,[1]!china_towns_second__2[[Column1]:[Y]],2,FALSE)</f>
        <v>116.5781368</v>
      </c>
      <c r="L1727" t="s">
        <v>6550</v>
      </c>
      <c r="M1727" t="str">
        <f>VLOOKUP(H1727,CHOOSE({1,2},Table17[Native],Table17[Name]),2,0)</f>
        <v>Yútái Xiàn</v>
      </c>
      <c r="N1727" s="15" t="str">
        <f>VLOOKUP(I1727,CHOOSE({1,2},Table17[Native],Table17[Name]),2,0)</f>
        <v>Jìníng Shì</v>
      </c>
      <c r="O1727" s="15" t="str">
        <f t="shared" si="52"/>
        <v>Zhanghuang Zhen (Jìníng Shì)</v>
      </c>
      <c r="P1727" s="15" t="str">
        <f t="shared" si="53"/>
        <v>Zhanghuang Zhen (Jìníng Shì)</v>
      </c>
    </row>
    <row r="1728" spans="1:16" hidden="1" x14ac:dyDescent="0.25">
      <c r="A1728" t="s">
        <v>880</v>
      </c>
      <c r="B1728" t="str">
        <f>IF(COUNTIF(A:A,A1728)&gt;1,_xlfn.CONCAT(A1728," (",N1728,")"),A1728)</f>
        <v>Zhāngjí Zhèn</v>
      </c>
      <c r="C1728" t="str">
        <f>IF(COUNTIF(B:B,B1728)&gt;1,_xlfn.CONCAT(A1728," (",M1728,")"),B1728)</f>
        <v>Zhāngjí Zhèn</v>
      </c>
      <c r="D1728" t="s">
        <v>881</v>
      </c>
      <c r="E1728" t="s">
        <v>13</v>
      </c>
      <c r="F1728" t="str">
        <f>_xlfn.CONCAT(D1728,", ",H1728,", ",I1728,", ","山东省")</f>
        <v>张集镇, 单县, 菏泽市, 山东省</v>
      </c>
      <c r="G1728">
        <v>40655</v>
      </c>
      <c r="H1728" t="s">
        <v>3670</v>
      </c>
      <c r="I1728" t="s">
        <v>3662</v>
      </c>
      <c r="J1728">
        <f>VLOOKUP(F1728,[1]!china_towns_second__2[[Column1]:[Y]],3,FALSE)</f>
        <v>34.820310210914201</v>
      </c>
      <c r="K1728">
        <f>VLOOKUP(F1728,[1]!china_towns_second__2[[Column1]:[Y]],2,FALSE)</f>
        <v>116.3526529</v>
      </c>
      <c r="L1728" t="s">
        <v>6551</v>
      </c>
      <c r="M1728" t="str">
        <f>VLOOKUP(H1728,CHOOSE({1,2},Table17[Native],Table17[Name]),2,0)</f>
        <v>Shàn Xiàn</v>
      </c>
      <c r="N1728" s="15" t="str">
        <f>VLOOKUP(I1728,CHOOSE({1,2},Table17[Native],Table17[Name]),2,0)</f>
        <v>Hézé Shì</v>
      </c>
      <c r="O1728" s="15" t="str">
        <f t="shared" si="52"/>
        <v>Zhangji Zhen (Hézé Shì)</v>
      </c>
      <c r="P1728" s="15" t="str">
        <f t="shared" si="53"/>
        <v>Zhangji Zhen (Hézé Shì)</v>
      </c>
    </row>
    <row r="1729" spans="1:16" hidden="1" x14ac:dyDescent="0.25">
      <c r="A1729" t="s">
        <v>3030</v>
      </c>
      <c r="B1729" t="str">
        <f>IF(COUNTIF(A:A,A1729)&gt;1,_xlfn.CONCAT(A1729," (",N1729,")"),A1729)</f>
        <v>Zhāngjiāchăn Zhèn</v>
      </c>
      <c r="C1729" t="str">
        <f>IF(COUNTIF(B:B,B1729)&gt;1,_xlfn.CONCAT(A1729," (",M1729,")"),B1729)</f>
        <v>Zhāngjiāchăn Zhèn</v>
      </c>
      <c r="D1729" t="s">
        <v>3031</v>
      </c>
      <c r="E1729" t="s">
        <v>13</v>
      </c>
      <c r="F1729" t="str">
        <f>_xlfn.CONCAT(D1729,", ",H1729,", ",I1729,", ","山东省")</f>
        <v>张家产镇, 文登区, 威海市, 山东省</v>
      </c>
      <c r="G1729">
        <v>23040</v>
      </c>
      <c r="H1729" t="s">
        <v>3769</v>
      </c>
      <c r="I1729" t="s">
        <v>3765</v>
      </c>
      <c r="J1729">
        <f>VLOOKUP(F1729,[1]!china_towns_second__2[[Column1]:[Y]],3,FALSE)</f>
        <v>37.0948064286681</v>
      </c>
      <c r="K1729">
        <f>VLOOKUP(F1729,[1]!china_towns_second__2[[Column1]:[Y]],2,FALSE)</f>
        <v>122.0917542</v>
      </c>
      <c r="L1729" t="s">
        <v>6552</v>
      </c>
      <c r="M1729" t="str">
        <f>VLOOKUP(H1729,CHOOSE({1,2},Table17[Native],Table17[Name]),2,0)</f>
        <v>Wéndēng Qū</v>
      </c>
      <c r="N1729" s="15" t="str">
        <f>VLOOKUP(I1729,CHOOSE({1,2},Table17[Native],Table17[Name]),2,0)</f>
        <v>Wēihăi Shì</v>
      </c>
      <c r="O1729" s="15" t="str">
        <f t="shared" si="52"/>
        <v>Zhangjiachan Zhen (Wēihăi Shì)</v>
      </c>
      <c r="P1729" s="15" t="str">
        <f t="shared" si="53"/>
        <v>Zhangjiachan Zhen (Wēihăi Shì)</v>
      </c>
    </row>
    <row r="1730" spans="1:16" hidden="1" x14ac:dyDescent="0.25">
      <c r="A1730" t="s">
        <v>2369</v>
      </c>
      <c r="B1730" t="str">
        <f>IF(COUNTIF(A:A,A1730)&gt;1,_xlfn.CONCAT(A1730," (",N1730,")"),A1730)</f>
        <v>Zhāngjiālóu Jiēdào</v>
      </c>
      <c r="C1730" t="str">
        <f>IF(COUNTIF(B:B,B1730)&gt;1,_xlfn.CONCAT(A1730," (",M1730,")"),B1730)</f>
        <v>Zhāngjiālóu Jiēdào</v>
      </c>
      <c r="D1730" t="s">
        <v>2370</v>
      </c>
      <c r="E1730" t="s">
        <v>7</v>
      </c>
      <c r="F1730" t="str">
        <f>_xlfn.CONCAT(D1730,", ",H1730,", ",I1730,", ","山东省")</f>
        <v>张家楼街道, 黄岛区, 青岛市, 山东省</v>
      </c>
      <c r="G1730">
        <v>38878</v>
      </c>
      <c r="H1730" t="s">
        <v>3726</v>
      </c>
      <c r="I1730" t="s">
        <v>3724</v>
      </c>
      <c r="J1730" t="e">
        <f>VLOOKUP(F1730,[1]!china_towns_second__2[[Column1]:[Y]],3,FALSE)</f>
        <v>#N/A</v>
      </c>
      <c r="K1730" t="e">
        <f>VLOOKUP(F1730,[1]!china_towns_second__2[[Column1]:[Y]],2,FALSE)</f>
        <v>#N/A</v>
      </c>
      <c r="L1730" t="s">
        <v>6553</v>
      </c>
      <c r="M1730" t="str">
        <f>VLOOKUP(H1730,CHOOSE({1,2},Table17[Native],Table17[Name]),2,0)</f>
        <v>Huángdăo Qū</v>
      </c>
      <c r="N1730" s="15" t="str">
        <f>VLOOKUP(I1730,CHOOSE({1,2},Table17[Native],Table17[Name]),2,0)</f>
        <v>Qīngdăo Shì</v>
      </c>
      <c r="O1730" s="15" t="str">
        <f t="shared" ref="O1730:O1793" si="54">_xlfn.CONCAT(L1730," (",N1730,")")</f>
        <v>Zhangjialou Jiedao (Qīngdăo Shì)</v>
      </c>
      <c r="P1730" s="15" t="str">
        <f t="shared" ref="P1730:P1793" si="55">IF(COUNTIF(O:O,O1730)&gt;1,_xlfn.CONCAT(L1730," (",M1730,")"),O1730)</f>
        <v>Zhangjialou Jiedao (Qīngdăo Shì)</v>
      </c>
    </row>
    <row r="1731" spans="1:16" hidden="1" x14ac:dyDescent="0.25">
      <c r="A1731" t="s">
        <v>3618</v>
      </c>
      <c r="B1731" t="str">
        <f>IF(COUNTIF(A:A,A1731)&gt;1,_xlfn.CONCAT(A1731," (",N1731,")"),A1731)</f>
        <v>Zhāngjiāpō Zhèn</v>
      </c>
      <c r="C1731" t="str">
        <f>IF(COUNTIF(B:B,B1731)&gt;1,_xlfn.CONCAT(A1731," (",M1731,")"),B1731)</f>
        <v>Zhāngjiāpō Zhèn</v>
      </c>
      <c r="D1731" t="s">
        <v>3619</v>
      </c>
      <c r="E1731" t="s">
        <v>13</v>
      </c>
      <c r="F1731" t="str">
        <f>_xlfn.CONCAT(D1731,", ",H1731,", ",I1731,", ","山东省")</f>
        <v>张家坡镇, 沂源县, 淄博市, 山东省</v>
      </c>
      <c r="G1731">
        <v>24432</v>
      </c>
      <c r="H1731" t="s">
        <v>3796</v>
      </c>
      <c r="I1731" t="s">
        <v>3791</v>
      </c>
      <c r="J1731">
        <f>VLOOKUP(F1731,[1]!china_towns_second__2[[Column1]:[Y]],3,FALSE)</f>
        <v>36.078973110337301</v>
      </c>
      <c r="K1731">
        <f>VLOOKUP(F1731,[1]!china_towns_second__2[[Column1]:[Y]],2,FALSE)</f>
        <v>118.4450397</v>
      </c>
      <c r="L1731" t="s">
        <v>6554</v>
      </c>
      <c r="M1731" t="str">
        <f>VLOOKUP(H1731,CHOOSE({1,2},Table17[Native],Table17[Name]),2,0)</f>
        <v>Yíyuán Xiàn</v>
      </c>
      <c r="N1731" s="15" t="str">
        <f>VLOOKUP(I1731,CHOOSE({1,2},Table17[Native],Table17[Name]),2,0)</f>
        <v>Zībó Shì</v>
      </c>
      <c r="O1731" s="15" t="str">
        <f t="shared" si="54"/>
        <v>Zhangjiapo Zhen (Zībó Shì)</v>
      </c>
      <c r="P1731" s="15" t="str">
        <f t="shared" si="55"/>
        <v>Zhangjiapo Zhen (Zībó Shì)</v>
      </c>
    </row>
    <row r="1732" spans="1:16" hidden="1" x14ac:dyDescent="0.25">
      <c r="A1732" t="s">
        <v>1210</v>
      </c>
      <c r="B1732" t="str">
        <f>IF(COUNTIF(A:A,A1732)&gt;1,_xlfn.CONCAT(A1732," (",N1732,")"),A1732)</f>
        <v>Zhāngjiāwā Jiēdào</v>
      </c>
      <c r="C1732" t="str">
        <f>IF(COUNTIF(B:B,B1732)&gt;1,_xlfn.CONCAT(A1732," (",M1732,")"),B1732)</f>
        <v>Zhāngjiāwā Jiēdào</v>
      </c>
      <c r="D1732" t="s">
        <v>1211</v>
      </c>
      <c r="E1732" t="s">
        <v>7</v>
      </c>
      <c r="F1732" t="str">
        <f>_xlfn.CONCAT(D1732,", ",H1732,", ",I1732,", ","山东省")</f>
        <v>张家洼街道, 莱芜区, 济南市, 山东省</v>
      </c>
      <c r="G1732">
        <v>72514</v>
      </c>
      <c r="H1732" t="s">
        <v>3678</v>
      </c>
      <c r="I1732" t="s">
        <v>3673</v>
      </c>
      <c r="J1732" t="e">
        <f>VLOOKUP(F1732,[1]!china_towns_second__2[[Column1]:[Y]],3,FALSE)</f>
        <v>#N/A</v>
      </c>
      <c r="K1732" t="e">
        <f>VLOOKUP(F1732,[1]!china_towns_second__2[[Column1]:[Y]],2,FALSE)</f>
        <v>#N/A</v>
      </c>
      <c r="L1732" t="s">
        <v>6555</v>
      </c>
      <c r="M1732" t="str">
        <f>VLOOKUP(H1732,CHOOSE({1,2},Table17[Native],Table17[Name]),2,0)</f>
        <v>Láiwú Qū</v>
      </c>
      <c r="N1732" s="15" t="str">
        <f>VLOOKUP(I1732,CHOOSE({1,2},Table17[Native],Table17[Name]),2,0)</f>
        <v>Jìnán Shì</v>
      </c>
      <c r="O1732" s="15" t="str">
        <f t="shared" si="54"/>
        <v>Zhangjiawa Jiedao (Jìnán Shì)</v>
      </c>
      <c r="P1732" s="15" t="str">
        <f t="shared" si="55"/>
        <v>Zhangjiawa Jiedao (Jìnán Shì)</v>
      </c>
    </row>
    <row r="1733" spans="1:16" hidden="1" x14ac:dyDescent="0.25">
      <c r="A1733" t="s">
        <v>1513</v>
      </c>
      <c r="B1733" t="str">
        <f>IF(COUNTIF(A:A,A1733)&gt;1,_xlfn.CONCAT(A1733," (",N1733,")"),A1733)</f>
        <v>Zhānglóu Zhèn</v>
      </c>
      <c r="C1733" t="str">
        <f>IF(COUNTIF(B:B,B1733)&gt;1,_xlfn.CONCAT(A1733," (",M1733,")"),B1733)</f>
        <v>Zhānglóu Zhèn</v>
      </c>
      <c r="D1733" t="s">
        <v>1514</v>
      </c>
      <c r="E1733" t="s">
        <v>13</v>
      </c>
      <c r="F1733" t="str">
        <f>_xlfn.CONCAT(D1733,", ",H1733,", ",I1733,", ","山东省")</f>
        <v>张楼镇, 微山县, 济宁市, 山东省</v>
      </c>
      <c r="G1733">
        <v>14044</v>
      </c>
      <c r="H1733" t="s">
        <v>3694</v>
      </c>
      <c r="I1733" t="s">
        <v>3687</v>
      </c>
      <c r="J1733">
        <f>VLOOKUP(F1733,[1]!china_towns_second__2[[Column1]:[Y]],3,FALSE)</f>
        <v>34.934357416154803</v>
      </c>
      <c r="K1733">
        <f>VLOOKUP(F1733,[1]!china_towns_second__2[[Column1]:[Y]],2,FALSE)</f>
        <v>116.8796159</v>
      </c>
      <c r="L1733" t="s">
        <v>6556</v>
      </c>
      <c r="M1733" t="str">
        <f>VLOOKUP(H1733,CHOOSE({1,2},Table17[Native],Table17[Name]),2,0)</f>
        <v>Wēishān Xiàn</v>
      </c>
      <c r="N1733" s="15" t="str">
        <f>VLOOKUP(I1733,CHOOSE({1,2},Table17[Native],Table17[Name]),2,0)</f>
        <v>Jìníng Shì</v>
      </c>
      <c r="O1733" s="15" t="str">
        <f t="shared" si="54"/>
        <v>Zhanglou Zhen (Jìníng Shì)</v>
      </c>
      <c r="P1733" s="15" t="str">
        <f t="shared" si="55"/>
        <v>Zhanglou Zhen (Jìníng Shì)</v>
      </c>
    </row>
    <row r="1734" spans="1:16" hidden="1" x14ac:dyDescent="0.25">
      <c r="A1734" t="s">
        <v>1776</v>
      </c>
      <c r="B1734" t="str">
        <f>IF(COUNTIF(A:A,A1734)&gt;1,_xlfn.CONCAT(A1734," (",N1734,")"),A1734)</f>
        <v>Zhānglŭ Zhèn</v>
      </c>
      <c r="C1734" t="str">
        <f>IF(COUNTIF(B:B,B1734)&gt;1,_xlfn.CONCAT(A1734," (",M1734,")"),B1734)</f>
        <v>Zhānglŭ Zhèn</v>
      </c>
      <c r="D1734" t="s">
        <v>1777</v>
      </c>
      <c r="E1734" t="s">
        <v>13</v>
      </c>
      <c r="F1734" t="str">
        <f>_xlfn.CONCAT(D1734,", ",H1734,", ",I1734,", ","山东省")</f>
        <v>张鲁镇, 莘县, 聊城市, 山东省</v>
      </c>
      <c r="G1734">
        <v>48165</v>
      </c>
      <c r="H1734" t="s">
        <v>3707</v>
      </c>
      <c r="I1734" t="s">
        <v>3700</v>
      </c>
      <c r="J1734">
        <f>VLOOKUP(F1734,[1]!china_towns_second__2[[Column1]:[Y]],3,FALSE)</f>
        <v>36.261407861243697</v>
      </c>
      <c r="K1734">
        <f>VLOOKUP(F1734,[1]!china_towns_second__2[[Column1]:[Y]],2,FALSE)</f>
        <v>115.5342466</v>
      </c>
      <c r="L1734" t="s">
        <v>6557</v>
      </c>
      <c r="M1734" t="str">
        <f>VLOOKUP(H1734,CHOOSE({1,2},Table17[Native],Table17[Name]),2,0)</f>
        <v>Shēn Xiàn</v>
      </c>
      <c r="N1734" s="15" t="str">
        <f>VLOOKUP(I1734,CHOOSE({1,2},Table17[Native],Table17[Name]),2,0)</f>
        <v>Liáochéng Shì</v>
      </c>
      <c r="O1734" s="15" t="str">
        <f t="shared" si="54"/>
        <v>Zhanglu Zhen (Liáochéng Shì)</v>
      </c>
      <c r="P1734" s="15" t="str">
        <f t="shared" si="55"/>
        <v>Zhanglu Zhen (Liáochéng Shì)</v>
      </c>
    </row>
    <row r="1735" spans="1:16" x14ac:dyDescent="0.25">
      <c r="A1735" t="s">
        <v>1774</v>
      </c>
      <c r="B1735" t="str">
        <f>IF(COUNTIF(A:A,A1735)&gt;1,_xlfn.CONCAT(A1735," (",N1735,")"),A1735)</f>
        <v>Zhānglújí Zhèn</v>
      </c>
      <c r="C1735" t="str">
        <f>IF(COUNTIF(B:B,B1735)&gt;1,_xlfn.CONCAT(A1735," (",M1735,")"),B1735)</f>
        <v>Zhānglújí Zhèn</v>
      </c>
      <c r="D1735" t="s">
        <v>1775</v>
      </c>
      <c r="E1735" t="s">
        <v>13</v>
      </c>
      <c r="F1735" t="str">
        <f>_xlfn.CONCAT(D1735,", ",H1735,", ",I1735,", ","山东省")</f>
        <v>张炉集镇, 东昌府区, 聊城市, 山东省</v>
      </c>
      <c r="G1735">
        <v>33366</v>
      </c>
      <c r="H1735" t="s">
        <v>3702</v>
      </c>
      <c r="I1735" t="s">
        <v>3700</v>
      </c>
      <c r="J1735">
        <f>VLOOKUP(F1735,[1]!china_towns_second__2[[Column1]:[Y]],3,FALSE)</f>
        <v>36.419319471897097</v>
      </c>
      <c r="K1735">
        <f>VLOOKUP(F1735,[1]!china_towns_second__2[[Column1]:[Y]],2,FALSE)</f>
        <v>115.78664310000001</v>
      </c>
      <c r="L1735" t="s">
        <v>6558</v>
      </c>
      <c r="M1735" t="str">
        <f>VLOOKUP(H1735,CHOOSE({1,2},Table17[Native],Table17[Name]),2,0)</f>
        <v>Dōngchāngfŭ Qū</v>
      </c>
      <c r="N1735" s="15" t="str">
        <f>VLOOKUP(I1735,CHOOSE({1,2},Table17[Native],Table17[Name]),2,0)</f>
        <v>Liáochéng Shì</v>
      </c>
      <c r="O1735" s="15" t="str">
        <f t="shared" si="54"/>
        <v>Zhangluji Zhen (Liáochéng Shì)</v>
      </c>
      <c r="P1735" s="15" t="str">
        <f t="shared" si="55"/>
        <v>Zhangluji Zhen (Liáochéng Shì)</v>
      </c>
    </row>
    <row r="1736" spans="1:16" x14ac:dyDescent="0.25">
      <c r="A1736" t="s">
        <v>882</v>
      </c>
      <c r="B1736" t="str">
        <f>IF(COUNTIF(A:A,A1736)&gt;1,_xlfn.CONCAT(A1736," (",N1736,")"),A1736)</f>
        <v>Zhānglŭjí Zhèn</v>
      </c>
      <c r="C1736" t="str">
        <f>IF(COUNTIF(B:B,B1736)&gt;1,_xlfn.CONCAT(A1736," (",M1736,")"),B1736)</f>
        <v>Zhānglŭjí Zhèn</v>
      </c>
      <c r="D1736" t="s">
        <v>883</v>
      </c>
      <c r="E1736" t="s">
        <v>13</v>
      </c>
      <c r="F1736" t="str">
        <f>_xlfn.CONCAT(D1736,", ",H1736,", ",I1736,", ","山东省")</f>
        <v>张鲁集镇, 郓城县, 菏泽市, 山东省</v>
      </c>
      <c r="G1736">
        <v>32239</v>
      </c>
      <c r="H1736" t="s">
        <v>3671</v>
      </c>
      <c r="I1736" t="s">
        <v>3662</v>
      </c>
      <c r="J1736">
        <f>VLOOKUP(F1736,[1]!china_towns_second__2[[Column1]:[Y]],3,FALSE)</f>
        <v>35.702327407076702</v>
      </c>
      <c r="K1736">
        <f>VLOOKUP(F1736,[1]!china_towns_second__2[[Column1]:[Y]],2,FALSE)</f>
        <v>115.71660129999999</v>
      </c>
      <c r="L1736" t="s">
        <v>6558</v>
      </c>
      <c r="M1736" t="str">
        <f>VLOOKUP(H1736,CHOOSE({1,2},Table17[Native],Table17[Name]),2,0)</f>
        <v>Yùnchéng Xiàn</v>
      </c>
      <c r="N1736" s="15" t="str">
        <f>VLOOKUP(I1736,CHOOSE({1,2},Table17[Native],Table17[Name]),2,0)</f>
        <v>Hézé Shì</v>
      </c>
      <c r="O1736" s="15" t="str">
        <f t="shared" si="54"/>
        <v>Zhangluji Zhen (Hézé Shì)</v>
      </c>
      <c r="P1736" s="15" t="str">
        <f t="shared" si="55"/>
        <v>Zhangluji Zhen (Hézé Shì)</v>
      </c>
    </row>
    <row r="1737" spans="1:16" hidden="1" x14ac:dyDescent="0.25">
      <c r="A1737" t="s">
        <v>1778</v>
      </c>
      <c r="B1737" t="str">
        <f>IF(COUNTIF(A:A,A1737)&gt;1,_xlfn.CONCAT(A1737," (",N1737,")"),A1737)</f>
        <v>Zhāngqiū Zhèn</v>
      </c>
      <c r="C1737" t="str">
        <f>IF(COUNTIF(B:B,B1737)&gt;1,_xlfn.CONCAT(A1737," (",M1737,")"),B1737)</f>
        <v>Zhāngqiū Zhèn</v>
      </c>
      <c r="D1737" t="s">
        <v>1779</v>
      </c>
      <c r="E1737" t="s">
        <v>13</v>
      </c>
      <c r="F1737" t="str">
        <f>_xlfn.CONCAT(D1737,", ",H1737,", ",I1737,", ","山东省")</f>
        <v>张秋镇, 阳谷县, 聊城市, 山东省</v>
      </c>
      <c r="G1737">
        <v>43685</v>
      </c>
      <c r="H1737" t="s">
        <v>3708</v>
      </c>
      <c r="I1737" t="s">
        <v>3700</v>
      </c>
      <c r="J1737">
        <f>VLOOKUP(F1737,[1]!china_towns_second__2[[Column1]:[Y]],3,FALSE)</f>
        <v>36.091640972338503</v>
      </c>
      <c r="K1737">
        <f>VLOOKUP(F1737,[1]!china_towns_second__2[[Column1]:[Y]],2,FALSE)</f>
        <v>115.9994815</v>
      </c>
      <c r="L1737" t="s">
        <v>6559</v>
      </c>
      <c r="M1737" t="str">
        <f>VLOOKUP(H1737,CHOOSE({1,2},Table17[Native],Table17[Name]),2,0)</f>
        <v>Yánggŭ Xiàn</v>
      </c>
      <c r="N1737" s="15" t="str">
        <f>VLOOKUP(I1737,CHOOSE({1,2},Table17[Native],Table17[Name]),2,0)</f>
        <v>Liáochéng Shì</v>
      </c>
      <c r="O1737" s="15" t="str">
        <f t="shared" si="54"/>
        <v>Zhangqiu Zhen (Liáochéng Shì)</v>
      </c>
      <c r="P1737" s="15" t="str">
        <f t="shared" si="55"/>
        <v>Zhangqiu Zhen (Liáochéng Shì)</v>
      </c>
    </row>
    <row r="1738" spans="1:16" hidden="1" x14ac:dyDescent="0.25">
      <c r="A1738" t="s">
        <v>3450</v>
      </c>
      <c r="B1738" t="str">
        <f>IF(COUNTIF(A:A,A1738)&gt;1,_xlfn.CONCAT(A1738," (",N1738,")"),A1738)</f>
        <v>Zhāngshānzi Zhèn</v>
      </c>
      <c r="C1738" t="str">
        <f>IF(COUNTIF(B:B,B1738)&gt;1,_xlfn.CONCAT(A1738," (",M1738,")"),B1738)</f>
        <v>Zhāngshānzi Zhèn</v>
      </c>
      <c r="D1738" t="s">
        <v>3451</v>
      </c>
      <c r="E1738" t="s">
        <v>13</v>
      </c>
      <c r="F1738" t="str">
        <f>_xlfn.CONCAT(D1738,", ",H1738,", ",I1738,", ","山东省")</f>
        <v>张山子镇, 台儿庄区, 枣庄市, 山东省</v>
      </c>
      <c r="G1738">
        <v>40832</v>
      </c>
      <c r="H1738" t="s">
        <v>3786</v>
      </c>
      <c r="I1738" t="s">
        <v>3784</v>
      </c>
      <c r="J1738">
        <f>VLOOKUP(F1738,[1]!china_towns_second__2[[Column1]:[Y]],3,FALSE)</f>
        <v>34.529022325738097</v>
      </c>
      <c r="K1738">
        <f>VLOOKUP(F1738,[1]!china_towns_second__2[[Column1]:[Y]],2,FALSE)</f>
        <v>117.48016010000001</v>
      </c>
      <c r="L1738" t="s">
        <v>6560</v>
      </c>
      <c r="M1738" t="str">
        <f>VLOOKUP(H1738,CHOOSE({1,2},Table17[Native],Table17[Name]),2,0)</f>
        <v>Tái'érzhuāng Qū</v>
      </c>
      <c r="N1738" s="15" t="str">
        <f>VLOOKUP(I1738,CHOOSE({1,2},Table17[Native],Table17[Name]),2,0)</f>
        <v>Zăozhuāng Shì</v>
      </c>
      <c r="O1738" s="15" t="str">
        <f t="shared" si="54"/>
        <v>Zhangshanzi Zhen (Zăozhuāng Shì)</v>
      </c>
      <c r="P1738" s="15" t="str">
        <f t="shared" si="55"/>
        <v>Zhangshanzi Zhen (Zăozhuāng Shì)</v>
      </c>
    </row>
    <row r="1739" spans="1:16" hidden="1" x14ac:dyDescent="0.25">
      <c r="A1739" t="s">
        <v>884</v>
      </c>
      <c r="B1739" t="str">
        <f>IF(COUNTIF(A:A,A1739)&gt;1,_xlfn.CONCAT(A1739," (",N1739,")"),A1739)</f>
        <v>Zhāngwān Zhèn</v>
      </c>
      <c r="C1739" t="str">
        <f>IF(COUNTIF(B:B,B1739)&gt;1,_xlfn.CONCAT(A1739," (",M1739,")"),B1739)</f>
        <v>Zhāngwān Zhèn</v>
      </c>
      <c r="D1739" t="s">
        <v>885</v>
      </c>
      <c r="E1739" t="s">
        <v>13</v>
      </c>
      <c r="F1739" t="str">
        <f>_xlfn.CONCAT(D1739,", ",H1739,", ",I1739,", ","山东省")</f>
        <v>张湾镇, 定陶区, 菏泽市, 山东省</v>
      </c>
      <c r="G1739">
        <v>44975</v>
      </c>
      <c r="H1739" t="s">
        <v>3665</v>
      </c>
      <c r="I1739" t="s">
        <v>3662</v>
      </c>
      <c r="J1739">
        <f>VLOOKUP(F1739,[1]!china_towns_second__2[[Column1]:[Y]],3,FALSE)</f>
        <v>35.075610893059697</v>
      </c>
      <c r="K1739">
        <f>VLOOKUP(F1739,[1]!china_towns_second__2[[Column1]:[Y]],2,FALSE)</f>
        <v>115.394125</v>
      </c>
      <c r="L1739" t="s">
        <v>6561</v>
      </c>
      <c r="M1739" t="str">
        <f>VLOOKUP(H1739,CHOOSE({1,2},Table17[Native],Table17[Name]),2,0)</f>
        <v>Dìngtáo Qū</v>
      </c>
      <c r="N1739" s="15" t="str">
        <f>VLOOKUP(I1739,CHOOSE({1,2},Table17[Native],Table17[Name]),2,0)</f>
        <v>Hézé Shì</v>
      </c>
      <c r="O1739" s="15" t="str">
        <f t="shared" si="54"/>
        <v>Zhangwan Zhen (Hézé Shì)</v>
      </c>
      <c r="P1739" s="15" t="str">
        <f t="shared" si="55"/>
        <v>Zhangwan Zhen (Hézé Shì)</v>
      </c>
    </row>
    <row r="1740" spans="1:16" hidden="1" x14ac:dyDescent="0.25">
      <c r="A1740" t="s">
        <v>3452</v>
      </c>
      <c r="B1740" t="str">
        <f>IF(COUNTIF(A:A,A1740)&gt;1,_xlfn.CONCAT(A1740," (",N1740,")"),A1740)</f>
        <v>Zhāngwāng Zhèn</v>
      </c>
      <c r="C1740" t="str">
        <f>IF(COUNTIF(B:B,B1740)&gt;1,_xlfn.CONCAT(A1740," (",M1740,")"),B1740)</f>
        <v>Zhāngwāng Zhèn</v>
      </c>
      <c r="D1740" t="s">
        <v>3453</v>
      </c>
      <c r="E1740" t="s">
        <v>13</v>
      </c>
      <c r="F1740" t="str">
        <f>_xlfn.CONCAT(D1740,", ",H1740,", ",I1740,", ","山东省")</f>
        <v>张汪镇, 滕州市, 枣庄市, 山东省</v>
      </c>
      <c r="G1740">
        <v>83557</v>
      </c>
      <c r="H1740" t="s">
        <v>3787</v>
      </c>
      <c r="I1740" t="s">
        <v>3784</v>
      </c>
      <c r="J1740">
        <f>VLOOKUP(F1740,[1]!china_towns_second__2[[Column1]:[Y]],3,FALSE)</f>
        <v>34.887900813115102</v>
      </c>
      <c r="K1740">
        <f>VLOOKUP(F1740,[1]!china_towns_second__2[[Column1]:[Y]],2,FALSE)</f>
        <v>117.1556549</v>
      </c>
      <c r="L1740" t="s">
        <v>6562</v>
      </c>
      <c r="M1740" t="str">
        <f>VLOOKUP(H1740,CHOOSE({1,2},Table17[Native],Table17[Name]),2,0)</f>
        <v>Téngzhōu Shì</v>
      </c>
      <c r="N1740" s="15" t="str">
        <f>VLOOKUP(I1740,CHOOSE({1,2},Table17[Native],Table17[Name]),2,0)</f>
        <v>Zăozhuāng Shì</v>
      </c>
      <c r="O1740" s="15" t="str">
        <f t="shared" si="54"/>
        <v>Zhangwang Zhen (Zăozhuāng Shì)</v>
      </c>
      <c r="P1740" s="15" t="str">
        <f t="shared" si="55"/>
        <v>Zhangwang Zhen (Zăozhuāng Shì)</v>
      </c>
    </row>
    <row r="1741" spans="1:16" hidden="1" x14ac:dyDescent="0.25">
      <c r="A1741" t="s">
        <v>1212</v>
      </c>
      <c r="B1741" t="str">
        <f>IF(COUNTIF(A:A,A1741)&gt;1,_xlfn.CONCAT(A1741," (",N1741,")"),A1741)</f>
        <v>Zhāngxià Jiēdào</v>
      </c>
      <c r="C1741" t="str">
        <f>IF(COUNTIF(B:B,B1741)&gt;1,_xlfn.CONCAT(A1741," (",M1741,")"),B1741)</f>
        <v>Zhāngxià Jiēdào</v>
      </c>
      <c r="D1741" t="s">
        <v>1213</v>
      </c>
      <c r="E1741" t="s">
        <v>7</v>
      </c>
      <c r="F1741" t="str">
        <f>_xlfn.CONCAT(D1741,", ",H1741,", ",I1741,", ","山东省")</f>
        <v>张夏街道, 长清区, 济南市, 山东省</v>
      </c>
      <c r="G1741">
        <v>44301</v>
      </c>
      <c r="H1741" t="s">
        <v>3674</v>
      </c>
      <c r="I1741" t="s">
        <v>3673</v>
      </c>
      <c r="J1741" t="e">
        <f>VLOOKUP(F1741,[1]!china_towns_second__2[[Column1]:[Y]],3,FALSE)</f>
        <v>#N/A</v>
      </c>
      <c r="K1741" t="e">
        <f>VLOOKUP(F1741,[1]!china_towns_second__2[[Column1]:[Y]],2,FALSE)</f>
        <v>#N/A</v>
      </c>
      <c r="L1741" t="s">
        <v>6563</v>
      </c>
      <c r="M1741" t="str">
        <f>VLOOKUP(H1741,CHOOSE({1,2},Table17[Native],Table17[Name]),2,0)</f>
        <v>Chángqīng Qū</v>
      </c>
      <c r="N1741" s="15" t="str">
        <f>VLOOKUP(I1741,CHOOSE({1,2},Table17[Native],Table17[Name]),2,0)</f>
        <v>Jìnán Shì</v>
      </c>
      <c r="O1741" s="15" t="str">
        <f t="shared" si="54"/>
        <v>Zhangxia Jiedao (Jìnán Shì)</v>
      </c>
      <c r="P1741" s="15" t="str">
        <f t="shared" si="55"/>
        <v>Zhangxia Jiedao (Jìnán Shì)</v>
      </c>
    </row>
    <row r="1742" spans="1:16" hidden="1" x14ac:dyDescent="0.25">
      <c r="A1742" t="s">
        <v>3326</v>
      </c>
      <c r="B1742" t="str">
        <f>IF(COUNTIF(A:A,A1742)&gt;1,_xlfn.CONCAT(A1742," (",N1742,")"),A1742)</f>
        <v>Zhāngxīng Zhèn</v>
      </c>
      <c r="C1742" t="str">
        <f>IF(COUNTIF(B:B,B1742)&gt;1,_xlfn.CONCAT(A1742," (",M1742,")"),B1742)</f>
        <v>Zhāngxīng Zhèn</v>
      </c>
      <c r="D1742" t="s">
        <v>3327</v>
      </c>
      <c r="E1742" t="s">
        <v>13</v>
      </c>
      <c r="F1742" t="str">
        <f>_xlfn.CONCAT(D1742,", ",H1742,", ",I1742,", ","山东省")</f>
        <v>张星镇, 招远市, 烟台市, 山东省</v>
      </c>
      <c r="G1742">
        <v>59563</v>
      </c>
      <c r="H1742" t="s">
        <v>3781</v>
      </c>
      <c r="I1742" t="s">
        <v>3771</v>
      </c>
      <c r="J1742">
        <f>VLOOKUP(F1742,[1]!china_towns_second__2[[Column1]:[Y]],3,FALSE)</f>
        <v>37.484774543670497</v>
      </c>
      <c r="K1742">
        <f>VLOOKUP(F1742,[1]!china_towns_second__2[[Column1]:[Y]],2,FALSE)</f>
        <v>120.38074140000001</v>
      </c>
      <c r="L1742" t="s">
        <v>6564</v>
      </c>
      <c r="M1742" t="str">
        <f>VLOOKUP(H1742,CHOOSE({1,2},Table17[Native],Table17[Name]),2,0)</f>
        <v>Zhāoyuăn Shì</v>
      </c>
      <c r="N1742" s="15" t="str">
        <f>VLOOKUP(I1742,CHOOSE({1,2},Table17[Native],Table17[Name]),2,0)</f>
        <v>Yāntái Shì</v>
      </c>
      <c r="O1742" s="15" t="str">
        <f t="shared" si="54"/>
        <v>Zhangxing Zhen (Yāntái Shì)</v>
      </c>
      <c r="P1742" s="15" t="str">
        <f t="shared" si="55"/>
        <v>Zhangxing Zhen (Yāntái Shì)</v>
      </c>
    </row>
    <row r="1743" spans="1:16" hidden="1" x14ac:dyDescent="0.25">
      <c r="A1743" t="s">
        <v>886</v>
      </c>
      <c r="B1743" t="str">
        <f>IF(COUNTIF(A:A,A1743)&gt;1,_xlfn.CONCAT(A1743," (",N1743,")"),A1743)</f>
        <v>Zhāngyíng Zhèn</v>
      </c>
      <c r="C1743" t="str">
        <f>IF(COUNTIF(B:B,B1743)&gt;1,_xlfn.CONCAT(A1743," (",M1743,")"),B1743)</f>
        <v>Zhāngyíng Zhèn</v>
      </c>
      <c r="D1743" t="s">
        <v>887</v>
      </c>
      <c r="E1743" t="s">
        <v>7</v>
      </c>
      <c r="F1743" t="str">
        <f>_xlfn.CONCAT(D1743,", ",H1743,", ",I1743,", ","山东省")</f>
        <v>张营街道, 郓城县, 菏泽市, 山东省</v>
      </c>
      <c r="G1743">
        <v>52220</v>
      </c>
      <c r="H1743" t="s">
        <v>3671</v>
      </c>
      <c r="I1743" t="s">
        <v>3662</v>
      </c>
      <c r="J1743" t="e">
        <f>VLOOKUP(F1743,[1]!china_towns_second__2[[Column1]:[Y]],3,FALSE)</f>
        <v>#N/A</v>
      </c>
      <c r="K1743" t="e">
        <f>VLOOKUP(F1743,[1]!china_towns_second__2[[Column1]:[Y]],2,FALSE)</f>
        <v>#N/A</v>
      </c>
      <c r="L1743" t="s">
        <v>6565</v>
      </c>
      <c r="M1743" t="str">
        <f>VLOOKUP(H1743,CHOOSE({1,2},Table17[Native],Table17[Name]),2,0)</f>
        <v>Yùnchéng Xiàn</v>
      </c>
      <c r="N1743" s="15" t="str">
        <f>VLOOKUP(I1743,CHOOSE({1,2},Table17[Native],Table17[Name]),2,0)</f>
        <v>Hézé Shì</v>
      </c>
      <c r="O1743" s="15" t="str">
        <f t="shared" si="54"/>
        <v>Zhangying Zhen (Hézé Shì)</v>
      </c>
      <c r="P1743" s="15" t="str">
        <f t="shared" si="55"/>
        <v>Zhangying Zhen (Hézé Shì)</v>
      </c>
    </row>
    <row r="1744" spans="1:16" hidden="1" x14ac:dyDescent="0.25">
      <c r="A1744" t="s">
        <v>1780</v>
      </c>
      <c r="B1744" t="str">
        <f>IF(COUNTIF(A:A,A1744)&gt;1,_xlfn.CONCAT(A1744," (",N1744,")"),A1744)</f>
        <v>Zhāngzhài Zhèn</v>
      </c>
      <c r="C1744" t="str">
        <f>IF(COUNTIF(B:B,B1744)&gt;1,_xlfn.CONCAT(A1744," (",M1744,")"),B1744)</f>
        <v>Zhāngzhài Zhèn</v>
      </c>
      <c r="D1744" t="s">
        <v>1781</v>
      </c>
      <c r="E1744" t="s">
        <v>13</v>
      </c>
      <c r="F1744" t="str">
        <f>_xlfn.CONCAT(D1744,", ",H1744,", ",I1744,", ","山东省")</f>
        <v>张寨镇, 莘县, 聊城市, 山东省</v>
      </c>
      <c r="G1744">
        <v>43996</v>
      </c>
      <c r="H1744" t="s">
        <v>3707</v>
      </c>
      <c r="I1744" t="s">
        <v>3700</v>
      </c>
      <c r="J1744">
        <f>VLOOKUP(F1744,[1]!china_towns_second__2[[Column1]:[Y]],3,FALSE)</f>
        <v>36.061354187645797</v>
      </c>
      <c r="K1744">
        <f>VLOOKUP(F1744,[1]!china_towns_second__2[[Column1]:[Y]],2,FALSE)</f>
        <v>115.48952130000001</v>
      </c>
      <c r="L1744" t="s">
        <v>6566</v>
      </c>
      <c r="M1744" t="str">
        <f>VLOOKUP(H1744,CHOOSE({1,2},Table17[Native],Table17[Name]),2,0)</f>
        <v>Shēn Xiàn</v>
      </c>
      <c r="N1744" s="15" t="str">
        <f>VLOOKUP(I1744,CHOOSE({1,2},Table17[Native],Table17[Name]),2,0)</f>
        <v>Liáochéng Shì</v>
      </c>
      <c r="O1744" s="15" t="str">
        <f t="shared" si="54"/>
        <v>Zhangzhai Zhen (Liáochéng Shì)</v>
      </c>
      <c r="P1744" s="15" t="str">
        <f t="shared" si="55"/>
        <v>Zhangzhai Zhen (Liáochéng Shì)</v>
      </c>
    </row>
    <row r="1745" spans="1:16" hidden="1" x14ac:dyDescent="0.25">
      <c r="A1745" t="s">
        <v>449</v>
      </c>
      <c r="B1745" t="str">
        <f>IF(COUNTIF(A:A,A1745)&gt;1,_xlfn.CONCAT(A1745," (",N1745,")"),A1745)</f>
        <v>Zhāngzhuāng Zhèn (Dézhōu Shì)</v>
      </c>
      <c r="C1745" t="str">
        <f>IF(COUNTIF(B:B,B1745)&gt;1,_xlfn.CONCAT(A1745," (",M1745,")"),B1745)</f>
        <v>Zhāngzhuāng Zhèn (Dézhōu Shì)</v>
      </c>
      <c r="D1745" t="s">
        <v>450</v>
      </c>
      <c r="E1745" t="s">
        <v>13</v>
      </c>
      <c r="F1745" t="str">
        <f>_xlfn.CONCAT(D1745,", ",H1745,", ",I1745,", ","山东省")</f>
        <v>张庄镇, 禹城市, 德州市, 山东省</v>
      </c>
      <c r="G1745">
        <v>20630</v>
      </c>
      <c r="H1745" t="s">
        <v>3653</v>
      </c>
      <c r="I1745" t="s">
        <v>3642</v>
      </c>
      <c r="J1745">
        <f>VLOOKUP(F1745,[1]!china_towns_second__2[[Column1]:[Y]],3,FALSE)</f>
        <v>37.0397992368042</v>
      </c>
      <c r="K1745">
        <f>VLOOKUP(F1745,[1]!china_towns_second__2[[Column1]:[Y]],2,FALSE)</f>
        <v>116.5715649</v>
      </c>
      <c r="L1745" t="s">
        <v>6567</v>
      </c>
      <c r="M1745" t="str">
        <f>VLOOKUP(H1745,CHOOSE({1,2},Table17[Native],Table17[Name]),2,0)</f>
        <v>Yŭchéng Shì</v>
      </c>
      <c r="N1745" s="15" t="str">
        <f>VLOOKUP(I1745,CHOOSE({1,2},Table17[Native],Table17[Name]),2,0)</f>
        <v>Dézhōu Shì</v>
      </c>
      <c r="O1745" s="15" t="str">
        <f t="shared" si="54"/>
        <v>Zhangzhuang Zhen (Dezhou Shi) (Dézhōu Shì)</v>
      </c>
      <c r="P1745" s="15" t="str">
        <f t="shared" si="55"/>
        <v>Zhangzhuang Zhen (Dezhou Shi) (Dézhōu Shì)</v>
      </c>
    </row>
    <row r="1746" spans="1:16" hidden="1" x14ac:dyDescent="0.25">
      <c r="A1746" t="s">
        <v>449</v>
      </c>
      <c r="B1746" t="str">
        <f>IF(COUNTIF(A:A,A1746)&gt;1,_xlfn.CONCAT(A1746," (",N1746,")"),A1746)</f>
        <v>Zhāngzhuāng Zhèn (Jìníng Shì)</v>
      </c>
      <c r="C1746" t="str">
        <f>IF(COUNTIF(B:B,B1746)&gt;1,_xlfn.CONCAT(A1746," (",M1746,")"),B1746)</f>
        <v>Zhāngzhuāng Zhèn (Jìníng Shì)</v>
      </c>
      <c r="D1746" t="s">
        <v>450</v>
      </c>
      <c r="E1746" t="s">
        <v>13</v>
      </c>
      <c r="F1746" t="str">
        <f>_xlfn.CONCAT(D1746,", ",H1746,", ",I1746,", ","山东省")</f>
        <v>张庄镇, 邹城市, 济宁市, 山东省</v>
      </c>
      <c r="G1746">
        <v>61922</v>
      </c>
      <c r="H1746" t="s">
        <v>3698</v>
      </c>
      <c r="I1746" t="s">
        <v>3687</v>
      </c>
      <c r="J1746">
        <f>VLOOKUP(F1746,[1]!china_towns_second__2[[Column1]:[Y]],3,FALSE)</f>
        <v>35.3699504884543</v>
      </c>
      <c r="K1746">
        <f>VLOOKUP(F1746,[1]!china_towns_second__2[[Column1]:[Y]],2,FALSE)</f>
        <v>117.24944840000001</v>
      </c>
      <c r="L1746" t="s">
        <v>6568</v>
      </c>
      <c r="M1746" t="str">
        <f>VLOOKUP(H1746,CHOOSE({1,2},Table17[Native],Table17[Name]),2,0)</f>
        <v>Zōuchéng Shì</v>
      </c>
      <c r="N1746" s="15" t="str">
        <f>VLOOKUP(I1746,CHOOSE({1,2},Table17[Native],Table17[Name]),2,0)</f>
        <v>Jìníng Shì</v>
      </c>
      <c r="O1746" s="15" t="str">
        <f t="shared" si="54"/>
        <v>Zhangzhuang Zhen (Jining Shi) (Jìníng Shì)</v>
      </c>
      <c r="P1746" s="15" t="str">
        <f t="shared" si="55"/>
        <v>Zhangzhuang Zhen (Jining Shi) (Jìníng Shì)</v>
      </c>
    </row>
    <row r="1747" spans="1:16" hidden="1" x14ac:dyDescent="0.25">
      <c r="A1747" t="s">
        <v>449</v>
      </c>
      <c r="B1747" t="str">
        <f>IF(COUNTIF(A:A,A1747)&gt;1,_xlfn.CONCAT(A1747," (",N1747,")"),A1747)</f>
        <v>Zhāngzhuāng Zhèn (Línyí Shì)</v>
      </c>
      <c r="C1747" t="str">
        <f>IF(COUNTIF(B:B,B1747)&gt;1,_xlfn.CONCAT(A1747," (",M1747,")"),B1747)</f>
        <v>Zhāngzhuāng Zhèn (Línyí Shì)</v>
      </c>
      <c r="D1747" t="s">
        <v>450</v>
      </c>
      <c r="E1747" t="s">
        <v>13</v>
      </c>
      <c r="F1747" t="str">
        <f>_xlfn.CONCAT(D1747,", ",H1747,", ",I1747,", ","山东省")</f>
        <v>张庄镇, 沂南县, 临沂市, 山东省</v>
      </c>
      <c r="G1747">
        <v>40129</v>
      </c>
      <c r="H1747" t="s">
        <v>3721</v>
      </c>
      <c r="I1747" t="s">
        <v>3710</v>
      </c>
      <c r="J1747">
        <f>VLOOKUP(F1747,[1]!china_towns_second__2[[Column1]:[Y]],3,FALSE)</f>
        <v>35.460623535292299</v>
      </c>
      <c r="K1747">
        <f>VLOOKUP(F1747,[1]!china_towns_second__2[[Column1]:[Y]],2,FALSE)</f>
        <v>118.37921729999999</v>
      </c>
      <c r="L1747" t="s">
        <v>6569</v>
      </c>
      <c r="M1747" t="str">
        <f>VLOOKUP(H1747,CHOOSE({1,2},Table17[Native],Table17[Name]),2,0)</f>
        <v>Yínán Xiàn</v>
      </c>
      <c r="N1747" s="15" t="str">
        <f>VLOOKUP(I1747,CHOOSE({1,2},Table17[Native],Table17[Name]),2,0)</f>
        <v>Línyí Shì</v>
      </c>
      <c r="O1747" s="15" t="str">
        <f t="shared" si="54"/>
        <v>Zhangzhuang Zhen (Linyi Shi) (Línyí Shì)</v>
      </c>
      <c r="P1747" s="15" t="str">
        <f t="shared" si="55"/>
        <v>Zhangzhuang Zhen (Linyi Shi) (Línyí Shì)</v>
      </c>
    </row>
    <row r="1748" spans="1:16" hidden="1" x14ac:dyDescent="0.25">
      <c r="A1748" t="s">
        <v>1214</v>
      </c>
      <c r="B1748" t="str">
        <f>IF(COUNTIF(A:A,A1748)&gt;1,_xlfn.CONCAT(A1748," (",N1748,")"),A1748)</f>
        <v>Zhāngzhuānglù Jiēdào</v>
      </c>
      <c r="C1748" t="str">
        <f>IF(COUNTIF(B:B,B1748)&gt;1,_xlfn.CONCAT(A1748," (",M1748,")"),B1748)</f>
        <v>Zhāngzhuānglù Jiēdào</v>
      </c>
      <c r="D1748" t="s">
        <v>1215</v>
      </c>
      <c r="E1748" t="s">
        <v>7</v>
      </c>
      <c r="F1748" t="str">
        <f>_xlfn.CONCAT(D1748,", ",H1748,", ",I1748,", ","山东省")</f>
        <v>张庄路街道, 槐荫区, 济南市, 山东省</v>
      </c>
      <c r="G1748">
        <v>48569</v>
      </c>
      <c r="H1748" t="s">
        <v>3676</v>
      </c>
      <c r="I1748" t="s">
        <v>3673</v>
      </c>
      <c r="J1748">
        <f>VLOOKUP(F1748,[1]!china_towns_second__2[[Column1]:[Y]],3,FALSE)</f>
        <v>36.664608357140601</v>
      </c>
      <c r="K1748">
        <f>VLOOKUP(F1748,[1]!china_towns_second__2[[Column1]:[Y]],2,FALSE)</f>
        <v>116.91351899999999</v>
      </c>
      <c r="L1748" t="s">
        <v>6570</v>
      </c>
      <c r="M1748" t="str">
        <f>VLOOKUP(H1748,CHOOSE({1,2},Table17[Native],Table17[Name]),2,0)</f>
        <v>Huáiyìn Qū</v>
      </c>
      <c r="N1748" s="15" t="str">
        <f>VLOOKUP(I1748,CHOOSE({1,2},Table17[Native],Table17[Name]),2,0)</f>
        <v>Jìnán Shì</v>
      </c>
      <c r="O1748" s="15" t="str">
        <f t="shared" si="54"/>
        <v>Zhangzhuanglu Jiedao (Jìnán Shì)</v>
      </c>
      <c r="P1748" s="15" t="str">
        <f t="shared" si="55"/>
        <v>Zhangzhuanglu Jiedao (Jìnán Shì)</v>
      </c>
    </row>
    <row r="1749" spans="1:16" hidden="1" x14ac:dyDescent="0.25">
      <c r="A1749" t="s">
        <v>2371</v>
      </c>
      <c r="B1749" t="str">
        <f>IF(COUNTIF(A:A,A1749)&gt;1,_xlfn.CONCAT(A1749," (",N1749,")"),A1749)</f>
        <v>Zhànshān Jiēdào</v>
      </c>
      <c r="C1749" t="str">
        <f>IF(COUNTIF(B:B,B1749)&gt;1,_xlfn.CONCAT(A1749," (",M1749,")"),B1749)</f>
        <v>Zhànshān Jiēdào</v>
      </c>
      <c r="D1749" t="s">
        <v>2372</v>
      </c>
      <c r="E1749" t="s">
        <v>7</v>
      </c>
      <c r="F1749" t="str">
        <f>_xlfn.CONCAT(D1749,", ",H1749,", ",I1749,", ","山东省")</f>
        <v>湛山街道, 市南区, 青岛市, 山东省</v>
      </c>
      <c r="G1749">
        <v>40446</v>
      </c>
      <c r="H1749" t="s">
        <v>3734</v>
      </c>
      <c r="I1749" t="s">
        <v>3724</v>
      </c>
      <c r="J1749">
        <f>VLOOKUP(F1749,[1]!china_towns_second__2[[Column1]:[Y]],3,FALSE)</f>
        <v>36.062649230769601</v>
      </c>
      <c r="K1749">
        <f>VLOOKUP(F1749,[1]!china_towns_second__2[[Column1]:[Y]],2,FALSE)</f>
        <v>120.367592</v>
      </c>
      <c r="L1749" t="s">
        <v>6571</v>
      </c>
      <c r="M1749" t="str">
        <f>VLOOKUP(H1749,CHOOSE({1,2},Table17[Native],Table17[Name]),2,0)</f>
        <v>Shìnán Qū</v>
      </c>
      <c r="N1749" s="15" t="str">
        <f>VLOOKUP(I1749,CHOOSE({1,2},Table17[Native],Table17[Name]),2,0)</f>
        <v>Qīngdăo Shì</v>
      </c>
      <c r="O1749" s="15" t="str">
        <f t="shared" si="54"/>
        <v>Zhanshan Jiedao (Qīngdăo Shì)</v>
      </c>
      <c r="P1749" s="15" t="str">
        <f t="shared" si="55"/>
        <v>Zhanshan Jiedao (Qīngdăo Shì)</v>
      </c>
    </row>
    <row r="1750" spans="1:16" hidden="1" x14ac:dyDescent="0.25">
      <c r="A1750" t="s">
        <v>451</v>
      </c>
      <c r="B1750" t="str">
        <f>IF(COUNTIF(A:A,A1750)&gt;1,_xlfn.CONCAT(A1750," (",N1750,")"),A1750)</f>
        <v>Zhàoguān Zhèn</v>
      </c>
      <c r="C1750" t="str">
        <f>IF(COUNTIF(B:B,B1750)&gt;1,_xlfn.CONCAT(A1750," (",M1750,")"),B1750)</f>
        <v>Zhàoguān Zhèn</v>
      </c>
      <c r="D1750" t="s">
        <v>452</v>
      </c>
      <c r="E1750" t="s">
        <v>13</v>
      </c>
      <c r="F1750" t="str">
        <f>_xlfn.CONCAT(D1750,", ",H1750,", ",I1750,", ","山东省")</f>
        <v>赵官镇, 齐河县, 德州市, 山东省</v>
      </c>
      <c r="G1750">
        <v>31596</v>
      </c>
      <c r="H1750" t="s">
        <v>3649</v>
      </c>
      <c r="I1750" t="s">
        <v>3642</v>
      </c>
      <c r="J1750">
        <f>VLOOKUP(F1750,[1]!china_towns_second__2[[Column1]:[Y]],3,FALSE)</f>
        <v>36.5005698308616</v>
      </c>
      <c r="K1750">
        <f>VLOOKUP(F1750,[1]!china_towns_second__2[[Column1]:[Y]],2,FALSE)</f>
        <v>116.5622029</v>
      </c>
      <c r="L1750" t="s">
        <v>6572</v>
      </c>
      <c r="M1750" t="str">
        <f>VLOOKUP(H1750,CHOOSE({1,2},Table17[Native],Table17[Name]),2,0)</f>
        <v>Qíhé Xiàn</v>
      </c>
      <c r="N1750" s="15" t="str">
        <f>VLOOKUP(I1750,CHOOSE({1,2},Table17[Native],Table17[Name]),2,0)</f>
        <v>Dézhōu Shì</v>
      </c>
      <c r="O1750" s="15" t="str">
        <f t="shared" si="54"/>
        <v>Zhaoguan Zhen (Dézhōu Shì)</v>
      </c>
      <c r="P1750" s="15" t="str">
        <f t="shared" si="55"/>
        <v>Zhaoguan Zhen (Dézhōu Shì)</v>
      </c>
    </row>
    <row r="1751" spans="1:16" hidden="1" x14ac:dyDescent="0.25">
      <c r="A1751" t="s">
        <v>1515</v>
      </c>
      <c r="B1751" t="str">
        <f>IF(COUNTIF(A:A,A1751)&gt;1,_xlfn.CONCAT(A1751," (",N1751,")"),A1751)</f>
        <v>Zhàogùduī Xiāng</v>
      </c>
      <c r="C1751" t="str">
        <f>IF(COUNTIF(B:B,B1751)&gt;1,_xlfn.CONCAT(A1751," (",M1751,")"),B1751)</f>
        <v>Zhàogùduī Xiāng</v>
      </c>
      <c r="D1751" t="s">
        <v>1516</v>
      </c>
      <c r="E1751" t="s">
        <v>61</v>
      </c>
      <c r="F1751" t="str">
        <f>_xlfn.CONCAT(D1751,", ",H1751,", ",I1751,", ","山东省")</f>
        <v>赵堌堆乡, 梁山县, 济宁市, 山东省</v>
      </c>
      <c r="G1751">
        <v>26699</v>
      </c>
      <c r="H1751" t="s">
        <v>3690</v>
      </c>
      <c r="I1751" t="s">
        <v>3687</v>
      </c>
      <c r="J1751" t="e">
        <f>VLOOKUP(F1751,[1]!china_towns_second__2[[Column1]:[Y]],3,FALSE)</f>
        <v>#N/A</v>
      </c>
      <c r="K1751" t="e">
        <f>VLOOKUP(F1751,[1]!china_towns_second__2[[Column1]:[Y]],2,FALSE)</f>
        <v>#N/A</v>
      </c>
      <c r="L1751" t="s">
        <v>6573</v>
      </c>
      <c r="M1751" t="str">
        <f>VLOOKUP(H1751,CHOOSE({1,2},Table17[Native],Table17[Name]),2,0)</f>
        <v>Liángshān Xiàn</v>
      </c>
      <c r="N1751" s="15" t="str">
        <f>VLOOKUP(I1751,CHOOSE({1,2},Table17[Native],Table17[Name]),2,0)</f>
        <v>Jìníng Shì</v>
      </c>
      <c r="O1751" s="15" t="str">
        <f t="shared" si="54"/>
        <v>Zhaogudui Xiang (Jìníng Shì)</v>
      </c>
      <c r="P1751" s="15" t="str">
        <f t="shared" si="55"/>
        <v>Zhaogudui Xiang (Jìníng Shì)</v>
      </c>
    </row>
    <row r="1752" spans="1:16" hidden="1" x14ac:dyDescent="0.25">
      <c r="A1752" t="s">
        <v>453</v>
      </c>
      <c r="B1752" t="str">
        <f>IF(COUNTIF(A:A,A1752)&gt;1,_xlfn.CONCAT(A1752," (",N1752,")"),A1752)</f>
        <v>Zhàohŭ Zhèn</v>
      </c>
      <c r="C1752" t="str">
        <f>IF(COUNTIF(B:B,B1752)&gt;1,_xlfn.CONCAT(A1752," (",M1752,")"),B1752)</f>
        <v>Zhàohŭ Zhèn</v>
      </c>
      <c r="D1752" t="s">
        <v>454</v>
      </c>
      <c r="E1752" t="s">
        <v>13</v>
      </c>
      <c r="F1752" t="str">
        <f>_xlfn.CONCAT(D1752,", ",H1752,", ",I1752,", ","山东省")</f>
        <v>赵虎镇, 德城区, 德州市, 山东省</v>
      </c>
      <c r="G1752">
        <v>38964</v>
      </c>
      <c r="H1752" t="s">
        <v>3643</v>
      </c>
      <c r="I1752" t="s">
        <v>3642</v>
      </c>
      <c r="J1752">
        <f>VLOOKUP(F1752,[1]!china_towns_second__2[[Column1]:[Y]],3,FALSE)</f>
        <v>37.495894166531102</v>
      </c>
      <c r="K1752">
        <f>VLOOKUP(F1752,[1]!china_towns_second__2[[Column1]:[Y]],2,FALSE)</f>
        <v>116.5099353</v>
      </c>
      <c r="L1752" t="s">
        <v>6574</v>
      </c>
      <c r="M1752" t="str">
        <f>VLOOKUP(H1752,CHOOSE({1,2},Table17[Native],Table17[Name]),2,0)</f>
        <v>Déchéng Qū</v>
      </c>
      <c r="N1752" s="15" t="str">
        <f>VLOOKUP(I1752,CHOOSE({1,2},Table17[Native],Table17[Name]),2,0)</f>
        <v>Dézhōu Shì</v>
      </c>
      <c r="O1752" s="15" t="str">
        <f t="shared" si="54"/>
        <v>Zhaohu Zhen (Dézhōu Shì)</v>
      </c>
      <c r="P1752" s="15" t="str">
        <f t="shared" si="55"/>
        <v>Zhaohu Zhen (Dézhōu Shì)</v>
      </c>
    </row>
    <row r="1753" spans="1:16" hidden="1" x14ac:dyDescent="0.25">
      <c r="A1753" t="s">
        <v>1517</v>
      </c>
      <c r="B1753" t="str">
        <f>IF(COUNTIF(A:A,A1753)&gt;1,_xlfn.CONCAT(A1753," (",N1753,")"),A1753)</f>
        <v>Zhàomiào Zhèn</v>
      </c>
      <c r="C1753" t="str">
        <f>IF(COUNTIF(B:B,B1753)&gt;1,_xlfn.CONCAT(A1753," (",M1753,")"),B1753)</f>
        <v>Zhàomiào Zhèn</v>
      </c>
      <c r="D1753" t="s">
        <v>1518</v>
      </c>
      <c r="E1753" t="s">
        <v>13</v>
      </c>
      <c r="F1753" t="str">
        <f>_xlfn.CONCAT(D1753,", ",H1753,", ",I1753,", ","山东省")</f>
        <v>赵庙镇, 微山县, 济宁市, 山东省</v>
      </c>
      <c r="G1753">
        <v>13445</v>
      </c>
      <c r="H1753" t="s">
        <v>3694</v>
      </c>
      <c r="I1753" t="s">
        <v>3687</v>
      </c>
      <c r="J1753">
        <f>VLOOKUP(F1753,[1]!china_towns_second__2[[Column1]:[Y]],3,FALSE)</f>
        <v>34.776606100000002</v>
      </c>
      <c r="K1753">
        <f>VLOOKUP(F1753,[1]!china_towns_second__2[[Column1]:[Y]],2,FALSE)</f>
        <v>116.9775822</v>
      </c>
      <c r="L1753" t="s">
        <v>6575</v>
      </c>
      <c r="M1753" t="str">
        <f>VLOOKUP(H1753,CHOOSE({1,2},Table17[Native],Table17[Name]),2,0)</f>
        <v>Wēishān Xiàn</v>
      </c>
      <c r="N1753" s="15" t="str">
        <f>VLOOKUP(I1753,CHOOSE({1,2},Table17[Native],Table17[Name]),2,0)</f>
        <v>Jìníng Shì</v>
      </c>
      <c r="O1753" s="15" t="str">
        <f t="shared" si="54"/>
        <v>Zhaomiao Zhen (Jìníng Shì)</v>
      </c>
      <c r="P1753" s="15" t="str">
        <f t="shared" si="55"/>
        <v>Zhaomiao Zhen (Jìníng Shì)</v>
      </c>
    </row>
    <row r="1754" spans="1:16" hidden="1" x14ac:dyDescent="0.25">
      <c r="A1754" t="s">
        <v>3328</v>
      </c>
      <c r="B1754" t="str">
        <f>IF(COUNTIF(A:A,A1754)&gt;1,_xlfn.CONCAT(A1754," (",N1754,")"),A1754)</f>
        <v>Zhàowàngzhuāng Zhèn</v>
      </c>
      <c r="C1754" t="str">
        <f>IF(COUNTIF(B:B,B1754)&gt;1,_xlfn.CONCAT(A1754," (",M1754,")"),B1754)</f>
        <v>Zhàowàngzhuāng Zhèn</v>
      </c>
      <c r="D1754" t="s">
        <v>3329</v>
      </c>
      <c r="E1754" t="s">
        <v>13</v>
      </c>
      <c r="F1754" t="str">
        <f>_xlfn.CONCAT(D1754,", ",H1754,", ",I1754,", ","山东省")</f>
        <v>照旺庄镇, 莱阳市, 烟台市, 山东省</v>
      </c>
      <c r="G1754">
        <v>49980</v>
      </c>
      <c r="H1754" t="s">
        <v>3775</v>
      </c>
      <c r="I1754" t="s">
        <v>3771</v>
      </c>
      <c r="J1754">
        <f>VLOOKUP(F1754,[1]!china_towns_second__2[[Column1]:[Y]],3,FALSE)</f>
        <v>36.882402049533397</v>
      </c>
      <c r="K1754">
        <f>VLOOKUP(F1754,[1]!china_towns_second__2[[Column1]:[Y]],2,FALSE)</f>
        <v>120.7720277</v>
      </c>
      <c r="L1754" t="s">
        <v>6576</v>
      </c>
      <c r="M1754" t="str">
        <f>VLOOKUP(H1754,CHOOSE({1,2},Table17[Native],Table17[Name]),2,0)</f>
        <v>Láiyáng Shì</v>
      </c>
      <c r="N1754" s="15" t="str">
        <f>VLOOKUP(I1754,CHOOSE({1,2},Table17[Native],Table17[Name]),2,0)</f>
        <v>Yāntái Shì</v>
      </c>
      <c r="O1754" s="15" t="str">
        <f t="shared" si="54"/>
        <v>Zhaowangzhuang Zhen (Yāntái Shì)</v>
      </c>
      <c r="P1754" s="15" t="str">
        <f t="shared" si="55"/>
        <v>Zhaowangzhuang Zhen (Yāntái Shì)</v>
      </c>
    </row>
    <row r="1755" spans="1:16" hidden="1" x14ac:dyDescent="0.25">
      <c r="A1755" t="s">
        <v>2489</v>
      </c>
      <c r="B1755" t="str">
        <f>IF(COUNTIF(A:A,A1755)&gt;1,_xlfn.CONCAT(A1755," (",N1755,")"),A1755)</f>
        <v>Zhāoxián Zhèn</v>
      </c>
      <c r="C1755" t="str">
        <f>IF(COUNTIF(B:B,B1755)&gt;1,_xlfn.CONCAT(A1755," (",M1755,")"),B1755)</f>
        <v>Zhāoxián Zhèn</v>
      </c>
      <c r="D1755" t="s">
        <v>2490</v>
      </c>
      <c r="E1755" t="s">
        <v>13</v>
      </c>
      <c r="F1755" t="str">
        <f>_xlfn.CONCAT(D1755,", ",H1755,", ",I1755,", ","山东省")</f>
        <v>招贤镇, 莒县, 日照市, 山东省</v>
      </c>
      <c r="G1755">
        <v>60223</v>
      </c>
      <c r="H1755" t="s">
        <v>3739</v>
      </c>
      <c r="I1755" t="s">
        <v>3736</v>
      </c>
      <c r="J1755">
        <f>VLOOKUP(F1755,[1]!china_towns_second__2[[Column1]:[Y]],3,FALSE)</f>
        <v>35.731855919351901</v>
      </c>
      <c r="K1755">
        <f>VLOOKUP(F1755,[1]!china_towns_second__2[[Column1]:[Y]],2,FALSE)</f>
        <v>118.9310629</v>
      </c>
      <c r="L1755" t="s">
        <v>6577</v>
      </c>
      <c r="M1755" t="str">
        <f>VLOOKUP(H1755,CHOOSE({1,2},Table17[Native],Table17[Name]),2,0)</f>
        <v>Jŭ Xiàn</v>
      </c>
      <c r="N1755" s="15" t="str">
        <f>VLOOKUP(I1755,CHOOSE({1,2},Table17[Native],Table17[Name]),2,0)</f>
        <v>Rìzhào Shì</v>
      </c>
      <c r="O1755" s="15" t="str">
        <f t="shared" si="54"/>
        <v>Zhaoxian Zhen (Rìzhào Shì)</v>
      </c>
      <c r="P1755" s="15" t="str">
        <f t="shared" si="55"/>
        <v>Zhaoxian Zhen (Rìzhào Shì)</v>
      </c>
    </row>
    <row r="1756" spans="1:16" hidden="1" x14ac:dyDescent="0.25">
      <c r="A1756" t="s">
        <v>1519</v>
      </c>
      <c r="B1756" t="str">
        <f>IF(COUNTIF(A:A,A1756)&gt;1,_xlfn.CONCAT(A1756," (",N1756,")"),A1756)</f>
        <v>Zhāoyáng Jiēdào</v>
      </c>
      <c r="C1756" t="str">
        <f>IF(COUNTIF(B:B,B1756)&gt;1,_xlfn.CONCAT(A1756," (",M1756,")"),B1756)</f>
        <v>Zhāoyáng Jiēdào</v>
      </c>
      <c r="D1756" t="s">
        <v>1520</v>
      </c>
      <c r="E1756" t="s">
        <v>7</v>
      </c>
      <c r="F1756" t="str">
        <f>_xlfn.CONCAT(D1756,", ",H1756,", ",I1756,", ","山东省")</f>
        <v>昭阳街道, 微山县, 济宁市, 山东省</v>
      </c>
      <c r="G1756">
        <v>45316</v>
      </c>
      <c r="H1756" t="s">
        <v>3694</v>
      </c>
      <c r="I1756" t="s">
        <v>3687</v>
      </c>
      <c r="J1756">
        <f>VLOOKUP(F1756,[1]!china_towns_second__2[[Column1]:[Y]],3,FALSE)</f>
        <v>34.749586328704403</v>
      </c>
      <c r="K1756">
        <f>VLOOKUP(F1756,[1]!china_towns_second__2[[Column1]:[Y]],2,FALSE)</f>
        <v>117.1665926</v>
      </c>
      <c r="L1756" t="s">
        <v>6578</v>
      </c>
      <c r="M1756" t="str">
        <f>VLOOKUP(H1756,CHOOSE({1,2},Table17[Native],Table17[Name]),2,0)</f>
        <v>Wēishān Xiàn</v>
      </c>
      <c r="N1756" s="15" t="str">
        <f>VLOOKUP(I1756,CHOOSE({1,2},Table17[Native],Table17[Name]),2,0)</f>
        <v>Jìníng Shì</v>
      </c>
      <c r="O1756" s="15" t="str">
        <f t="shared" si="54"/>
        <v>Zhaoyang Jiedao (Jìníng Shì)</v>
      </c>
      <c r="P1756" s="15" t="str">
        <f t="shared" si="55"/>
        <v>Zhaoyang Jiedao (Jìníng Shì)</v>
      </c>
    </row>
    <row r="1757" spans="1:16" hidden="1" x14ac:dyDescent="0.25">
      <c r="A1757" t="s">
        <v>2076</v>
      </c>
      <c r="B1757" t="str">
        <f>IF(COUNTIF(A:A,A1757)&gt;1,_xlfn.CONCAT(A1757," (",N1757,")"),A1757)</f>
        <v>Zhāoyáng Jiēdào [Chónggōu Jiēdào]</v>
      </c>
      <c r="C1757" t="str">
        <f>IF(COUNTIF(B:B,B1757)&gt;1,_xlfn.CONCAT(A1757," (",M1757,")"),B1757)</f>
        <v>Zhāoyáng Jiēdào [Chónggōu Jiēdào]</v>
      </c>
      <c r="D1757" t="s">
        <v>2077</v>
      </c>
      <c r="E1757" t="s">
        <v>7</v>
      </c>
      <c r="F1757" t="str">
        <f>_xlfn.CONCAT(D1757,", ",H1757,", ",I1757,", ","山东省")</f>
        <v>朝阳街道, 河东区, 临沂市, 山东省</v>
      </c>
      <c r="G1757">
        <v>46338</v>
      </c>
      <c r="H1757" t="s">
        <v>3712</v>
      </c>
      <c r="I1757" t="s">
        <v>3710</v>
      </c>
      <c r="J1757">
        <f>VLOOKUP(F1757,[1]!china_towns_second__2[[Column1]:[Y]],3,FALSE)</f>
        <v>34.998338618574202</v>
      </c>
      <c r="K1757">
        <f>VLOOKUP(F1757,[1]!china_towns_second__2[[Column1]:[Y]],2,FALSE)</f>
        <v>118.5152429</v>
      </c>
      <c r="L1757" t="s">
        <v>6579</v>
      </c>
      <c r="M1757" t="str">
        <f>VLOOKUP(H1757,CHOOSE({1,2},Table17[Native],Table17[Name]),2,0)</f>
        <v>Hédōng Qū</v>
      </c>
      <c r="N1757" s="15" t="str">
        <f>VLOOKUP(I1757,CHOOSE({1,2},Table17[Native],Table17[Name]),2,0)</f>
        <v>Línyí Shì</v>
      </c>
      <c r="O1757" s="15" t="str">
        <f t="shared" si="54"/>
        <v>Zhaoyang Jiedao [Chonggou Jiedao] (Línyí Shì)</v>
      </c>
      <c r="P1757" s="15" t="str">
        <f t="shared" si="55"/>
        <v>Zhaoyang Jiedao [Chonggou Jiedao] (Línyí Shì)</v>
      </c>
    </row>
    <row r="1758" spans="1:16" hidden="1" x14ac:dyDescent="0.25">
      <c r="A1758" t="s">
        <v>1782</v>
      </c>
      <c r="B1758" t="str">
        <f>IF(COUNTIF(A:A,A1758)&gt;1,_xlfn.CONCAT(A1758," (",N1758,")"),A1758)</f>
        <v>Zhàozhàizi Zhèn</v>
      </c>
      <c r="C1758" t="str">
        <f>IF(COUNTIF(B:B,B1758)&gt;1,_xlfn.CONCAT(A1758," (",M1758,")"),B1758)</f>
        <v>Zhàozhàizi Zhèn</v>
      </c>
      <c r="D1758" t="s">
        <v>1783</v>
      </c>
      <c r="E1758" t="s">
        <v>13</v>
      </c>
      <c r="F1758" t="str">
        <f>_xlfn.CONCAT(D1758,", ",H1758,", ",I1758,", ","山东省")</f>
        <v>赵寨子镇, 高唐县, 聊城市, 山东省</v>
      </c>
      <c r="G1758">
        <v>32801</v>
      </c>
      <c r="H1758" t="s">
        <v>3704</v>
      </c>
      <c r="I1758" t="s">
        <v>3700</v>
      </c>
      <c r="J1758">
        <f>VLOOKUP(F1758,[1]!china_towns_second__2[[Column1]:[Y]],3,FALSE)</f>
        <v>36.7732489049097</v>
      </c>
      <c r="K1758">
        <f>VLOOKUP(F1758,[1]!china_towns_second__2[[Column1]:[Y]],2,FALSE)</f>
        <v>116.1645188</v>
      </c>
      <c r="L1758" t="s">
        <v>6580</v>
      </c>
      <c r="M1758" t="str">
        <f>VLOOKUP(H1758,CHOOSE({1,2},Table17[Native],Table17[Name]),2,0)</f>
        <v>Gāotáng Xiàn</v>
      </c>
      <c r="N1758" s="15" t="str">
        <f>VLOOKUP(I1758,CHOOSE({1,2},Table17[Native],Table17[Name]),2,0)</f>
        <v>Liáochéng Shì</v>
      </c>
      <c r="O1758" s="15" t="str">
        <f t="shared" si="54"/>
        <v>Zhaozhaizi Zhen (Liáochéng Shì)</v>
      </c>
      <c r="P1758" s="15" t="str">
        <f t="shared" si="55"/>
        <v>Zhaozhaizi Zhen (Liáochéng Shì)</v>
      </c>
    </row>
    <row r="1759" spans="1:16" hidden="1" x14ac:dyDescent="0.25">
      <c r="A1759" t="s">
        <v>1521</v>
      </c>
      <c r="B1759" t="str">
        <f>IF(COUNTIF(A:A,A1759)&gt;1,_xlfn.CONCAT(A1759," (",N1759,")"),A1759)</f>
        <v>Zhègōu Zhèn</v>
      </c>
      <c r="C1759" t="str">
        <f>IF(COUNTIF(B:B,B1759)&gt;1,_xlfn.CONCAT(A1759," (",M1759,")"),B1759)</f>
        <v>Zhègōu Zhèn</v>
      </c>
      <c r="D1759" t="s">
        <v>1522</v>
      </c>
      <c r="E1759" t="s">
        <v>13</v>
      </c>
      <c r="F1759" t="str">
        <f>_xlfn.CONCAT(D1759,", ",H1759,", ",I1759,", ","山东省")</f>
        <v>柘沟镇, 泗水县, 济宁市, 山东省</v>
      </c>
      <c r="G1759">
        <v>29747</v>
      </c>
      <c r="H1759" t="s">
        <v>3693</v>
      </c>
      <c r="I1759" t="s">
        <v>3687</v>
      </c>
      <c r="J1759">
        <f>VLOOKUP(F1759,[1]!china_towns_second__2[[Column1]:[Y]],3,FALSE)</f>
        <v>35.743382806886103</v>
      </c>
      <c r="K1759">
        <f>VLOOKUP(F1759,[1]!china_towns_second__2[[Column1]:[Y]],2,FALSE)</f>
        <v>117.1608186</v>
      </c>
      <c r="L1759" t="s">
        <v>6581</v>
      </c>
      <c r="M1759" t="str">
        <f>VLOOKUP(H1759,CHOOSE({1,2},Table17[Native],Table17[Name]),2,0)</f>
        <v>Sìshuĭ Xiàn</v>
      </c>
      <c r="N1759" s="15" t="str">
        <f>VLOOKUP(I1759,CHOOSE({1,2},Table17[Native],Table17[Name]),2,0)</f>
        <v>Jìníng Shì</v>
      </c>
      <c r="O1759" s="15" t="str">
        <f t="shared" si="54"/>
        <v>Zhegou Zhen (Jìníng Shì)</v>
      </c>
      <c r="P1759" s="15" t="str">
        <f t="shared" si="55"/>
        <v>Zhegou Zhen (Jìníng Shì)</v>
      </c>
    </row>
    <row r="1760" spans="1:16" hidden="1" x14ac:dyDescent="0.25">
      <c r="A1760" t="s">
        <v>455</v>
      </c>
      <c r="B1760" t="str">
        <f>IF(COUNTIF(A:A,A1760)&gt;1,_xlfn.CONCAT(A1760," (",N1760,")"),A1760)</f>
        <v>Zhèngbăotún Zhèn</v>
      </c>
      <c r="C1760" t="str">
        <f>IF(COUNTIF(B:B,B1760)&gt;1,_xlfn.CONCAT(A1760," (",M1760,")"),B1760)</f>
        <v>Zhèngbăotún Zhèn</v>
      </c>
      <c r="D1760" t="s">
        <v>456</v>
      </c>
      <c r="E1760" t="s">
        <v>13</v>
      </c>
      <c r="F1760" t="str">
        <f>_xlfn.CONCAT(D1760,", ",H1760,", ",I1760,", ","山东省")</f>
        <v>郑保屯镇, 夏津县, 德州市, 山东省</v>
      </c>
      <c r="G1760">
        <v>23421</v>
      </c>
      <c r="H1760" t="s">
        <v>3652</v>
      </c>
      <c r="I1760" t="s">
        <v>3642</v>
      </c>
      <c r="J1760">
        <f>VLOOKUP(F1760,[1]!china_towns_second__2[[Column1]:[Y]],3,FALSE)</f>
        <v>37.000226449744403</v>
      </c>
      <c r="K1760">
        <f>VLOOKUP(F1760,[1]!china_towns_second__2[[Column1]:[Y]],2,FALSE)</f>
        <v>115.826424</v>
      </c>
      <c r="L1760" t="s">
        <v>6582</v>
      </c>
      <c r="M1760" t="str">
        <f>VLOOKUP(H1760,CHOOSE({1,2},Table17[Native],Table17[Name]),2,0)</f>
        <v>Xiàjīn Xiàn</v>
      </c>
      <c r="N1760" s="15" t="str">
        <f>VLOOKUP(I1760,CHOOSE({1,2},Table17[Native],Table17[Name]),2,0)</f>
        <v>Dézhōu Shì</v>
      </c>
      <c r="O1760" s="15" t="str">
        <f t="shared" si="54"/>
        <v>Zhengbaotun Zhen (Dézhōu Shì)</v>
      </c>
      <c r="P1760" s="15" t="str">
        <f t="shared" si="55"/>
        <v>Zhengbaotun Zhen (Dézhōu Shì)</v>
      </c>
    </row>
    <row r="1761" spans="1:16" hidden="1" x14ac:dyDescent="0.25">
      <c r="A1761" t="s">
        <v>2078</v>
      </c>
      <c r="B1761" t="str">
        <f>IF(COUNTIF(A:A,A1761)&gt;1,_xlfn.CONCAT(A1761," (",N1761,")"),A1761)</f>
        <v>Zhèngchéng Zhèn [incl. Wèizhuāng Xiāng]</v>
      </c>
      <c r="C1761" t="str">
        <f>IF(COUNTIF(B:B,B1761)&gt;1,_xlfn.CONCAT(A1761," (",M1761,")"),B1761)</f>
        <v>Zhèngchéng Zhèn [incl. Wèizhuāng Xiāng]</v>
      </c>
      <c r="D1761" t="s">
        <v>2079</v>
      </c>
      <c r="E1761" t="s">
        <v>13</v>
      </c>
      <c r="F1761" t="str">
        <f>_xlfn.CONCAT(D1761,", ",H1761,", ",I1761,", ","山东省")</f>
        <v>郑城镇, 平邑县, 临沂市, 山东省</v>
      </c>
      <c r="G1761">
        <v>56374</v>
      </c>
      <c r="H1761" t="s">
        <v>3719</v>
      </c>
      <c r="I1761" t="s">
        <v>3710</v>
      </c>
      <c r="J1761">
        <f>VLOOKUP(F1761,[1]!china_towns_second__2[[Column1]:[Y]],3,FALSE)</f>
        <v>35.229383228166498</v>
      </c>
      <c r="K1761">
        <f>VLOOKUP(F1761,[1]!china_towns_second__2[[Column1]:[Y]],2,FALSE)</f>
        <v>117.6389733</v>
      </c>
      <c r="L1761" t="s">
        <v>6583</v>
      </c>
      <c r="M1761" t="str">
        <f>VLOOKUP(H1761,CHOOSE({1,2},Table17[Native],Table17[Name]),2,0)</f>
        <v>Píngyì Xiàn</v>
      </c>
      <c r="N1761" s="15" t="str">
        <f>VLOOKUP(I1761,CHOOSE({1,2},Table17[Native],Table17[Name]),2,0)</f>
        <v>Línyí Shì</v>
      </c>
      <c r="O1761" s="15" t="str">
        <f t="shared" si="54"/>
        <v>Zhengcheng Zhen [incl. Weizhuang Xiang] (Línyí Shì)</v>
      </c>
      <c r="P1761" s="15" t="str">
        <f t="shared" si="55"/>
        <v>Zhengcheng Zhen [incl. Weizhuang Xiang] (Línyí Shì)</v>
      </c>
    </row>
    <row r="1762" spans="1:16" hidden="1" x14ac:dyDescent="0.25">
      <c r="A1762" t="s">
        <v>457</v>
      </c>
      <c r="B1762" t="str">
        <f>IF(COUNTIF(A:A,A1762)&gt;1,_xlfn.CONCAT(A1762," (",N1762,")"),A1762)</f>
        <v>Zhèngdiàn Zhèn</v>
      </c>
      <c r="C1762" t="str">
        <f>IF(COUNTIF(B:B,B1762)&gt;1,_xlfn.CONCAT(A1762," (",M1762,")"),B1762)</f>
        <v>Zhèngdiàn Zhèn</v>
      </c>
      <c r="D1762" t="s">
        <v>458</v>
      </c>
      <c r="E1762" t="s">
        <v>13</v>
      </c>
      <c r="F1762" t="str">
        <f>_xlfn.CONCAT(D1762,", ",H1762,", ",I1762,", ","山东省")</f>
        <v>郑店镇, 乐陵市, 德州市, 山东省</v>
      </c>
      <c r="G1762">
        <v>59310</v>
      </c>
      <c r="H1762" t="s">
        <v>3644</v>
      </c>
      <c r="I1762" t="s">
        <v>3642</v>
      </c>
      <c r="J1762">
        <f>VLOOKUP(F1762,[1]!china_towns_second__2[[Column1]:[Y]],3,FALSE)</f>
        <v>37.505387681910499</v>
      </c>
      <c r="K1762">
        <f>VLOOKUP(F1762,[1]!china_towns_second__2[[Column1]:[Y]],2,FALSE)</f>
        <v>117.1248733</v>
      </c>
      <c r="L1762" t="s">
        <v>6584</v>
      </c>
      <c r="M1762" t="str">
        <f>VLOOKUP(H1762,CHOOSE({1,2},Table17[Native],Table17[Name]),2,0)</f>
        <v>Lèlíng Shì</v>
      </c>
      <c r="N1762" s="15" t="str">
        <f>VLOOKUP(I1762,CHOOSE({1,2},Table17[Native],Table17[Name]),2,0)</f>
        <v>Dézhōu Shì</v>
      </c>
      <c r="O1762" s="15" t="str">
        <f t="shared" si="54"/>
        <v>Zhengdian Zhen (Dézhōu Shì)</v>
      </c>
      <c r="P1762" s="15" t="str">
        <f t="shared" si="55"/>
        <v>Zhengdian Zhen (Dézhōu Shì)</v>
      </c>
    </row>
    <row r="1763" spans="1:16" hidden="1" x14ac:dyDescent="0.25">
      <c r="A1763" t="s">
        <v>1784</v>
      </c>
      <c r="B1763" t="str">
        <f>IF(COUNTIF(A:A,A1763)&gt;1,_xlfn.CONCAT(A1763," (",N1763,")"),A1763)</f>
        <v>Zhèngjiā Zhèn</v>
      </c>
      <c r="C1763" t="str">
        <f>IF(COUNTIF(B:B,B1763)&gt;1,_xlfn.CONCAT(A1763," (",M1763,")"),B1763)</f>
        <v>Zhèngjiā Zhèn</v>
      </c>
      <c r="D1763" t="s">
        <v>1785</v>
      </c>
      <c r="E1763" t="s">
        <v>13</v>
      </c>
      <c r="F1763" t="str">
        <f>_xlfn.CONCAT(D1763,", ",H1763,", ",I1763,", ","山东省")</f>
        <v>郑家镇, 东昌府区, 聊城市, 山东省</v>
      </c>
      <c r="G1763">
        <v>47872</v>
      </c>
      <c r="H1763" t="s">
        <v>3702</v>
      </c>
      <c r="I1763" t="s">
        <v>3700</v>
      </c>
      <c r="J1763">
        <f>VLOOKUP(F1763,[1]!china_towns_second__2[[Column1]:[Y]],3,FALSE)</f>
        <v>36.4115189004645</v>
      </c>
      <c r="K1763">
        <f>VLOOKUP(F1763,[1]!china_towns_second__2[[Column1]:[Y]],2,FALSE)</f>
        <v>115.7179325</v>
      </c>
      <c r="L1763" t="s">
        <v>6585</v>
      </c>
      <c r="M1763" t="str">
        <f>VLOOKUP(H1763,CHOOSE({1,2},Table17[Native],Table17[Name]),2,0)</f>
        <v>Dōngchāngfŭ Qū</v>
      </c>
      <c r="N1763" s="15" t="str">
        <f>VLOOKUP(I1763,CHOOSE({1,2},Table17[Native],Table17[Name]),2,0)</f>
        <v>Liáochéng Shì</v>
      </c>
      <c r="O1763" s="15" t="str">
        <f t="shared" si="54"/>
        <v>Zhengjia Zhen (Liáochéng Shì)</v>
      </c>
      <c r="P1763" s="15" t="str">
        <f t="shared" si="55"/>
        <v>Zhengjia Zhen (Liáochéng Shì)</v>
      </c>
    </row>
    <row r="1764" spans="1:16" hidden="1" x14ac:dyDescent="0.25">
      <c r="A1764" t="s">
        <v>459</v>
      </c>
      <c r="B1764" t="str">
        <f>IF(COUNTIF(A:A,A1764)&gt;1,_xlfn.CONCAT(A1764," (",N1764,")"),A1764)</f>
        <v>Zhèngjiāzhài Zhèn</v>
      </c>
      <c r="C1764" t="str">
        <f>IF(COUNTIF(B:B,B1764)&gt;1,_xlfn.CONCAT(A1764," (",M1764,")"),B1764)</f>
        <v>Zhèngjiāzhài Zhèn</v>
      </c>
      <c r="D1764" t="s">
        <v>460</v>
      </c>
      <c r="E1764" t="s">
        <v>13</v>
      </c>
      <c r="F1764" t="str">
        <f>_xlfn.CONCAT(D1764,", ",H1764,", ",I1764,", ","山东省")</f>
        <v>郑家寨镇, 陵城区, 德州市, 山东省</v>
      </c>
      <c r="G1764">
        <v>43593</v>
      </c>
      <c r="H1764" t="s">
        <v>3645</v>
      </c>
      <c r="I1764" t="s">
        <v>3642</v>
      </c>
      <c r="J1764">
        <f>VLOOKUP(F1764,[1]!china_towns_second__2[[Column1]:[Y]],3,FALSE)</f>
        <v>37.275314038310803</v>
      </c>
      <c r="K1764">
        <f>VLOOKUP(F1764,[1]!china_towns_second__2[[Column1]:[Y]],2,FALSE)</f>
        <v>116.73744240000001</v>
      </c>
      <c r="L1764" t="s">
        <v>6586</v>
      </c>
      <c r="M1764" t="str">
        <f>VLOOKUP(H1764,CHOOSE({1,2},Table17[Native],Table17[Name]),2,0)</f>
        <v>Língchéng Qū</v>
      </c>
      <c r="N1764" s="15" t="str">
        <f>VLOOKUP(I1764,CHOOSE({1,2},Table17[Native],Table17[Name]),2,0)</f>
        <v>Dézhōu Shì</v>
      </c>
      <c r="O1764" s="15" t="str">
        <f t="shared" si="54"/>
        <v>Zhengjiazhai Zhen (Dézhōu Shì)</v>
      </c>
      <c r="P1764" s="15" t="str">
        <f t="shared" si="55"/>
        <v>Zhengjiazhai Zhen (Dézhōu Shì)</v>
      </c>
    </row>
    <row r="1765" spans="1:16" hidden="1" x14ac:dyDescent="0.25">
      <c r="A1765" t="s">
        <v>1216</v>
      </c>
      <c r="B1765" t="str">
        <f>IF(COUNTIF(A:A,A1765)&gt;1,_xlfn.CONCAT(A1765," (",N1765,")"),A1765)</f>
        <v>Zhènglù Zhèn</v>
      </c>
      <c r="C1765" t="str">
        <f>IF(COUNTIF(B:B,B1765)&gt;1,_xlfn.CONCAT(A1765," (",M1765,")"),B1765)</f>
        <v>Zhènglù Zhèn</v>
      </c>
      <c r="D1765" t="s">
        <v>1217</v>
      </c>
      <c r="E1765" t="s">
        <v>13</v>
      </c>
      <c r="F1765" t="str">
        <f>_xlfn.CONCAT(D1765,", ",H1765,", ",I1765,", ","山东省")</f>
        <v>郑路镇, 商河县, 济南市, 山东省</v>
      </c>
      <c r="G1765">
        <v>57969</v>
      </c>
      <c r="H1765" t="s">
        <v>3682</v>
      </c>
      <c r="I1765" t="s">
        <v>3673</v>
      </c>
      <c r="J1765">
        <f>VLOOKUP(F1765,[1]!china_towns_second__2[[Column1]:[Y]],3,FALSE)</f>
        <v>37.281267750365402</v>
      </c>
      <c r="K1765">
        <f>VLOOKUP(F1765,[1]!china_towns_second__2[[Column1]:[Y]],2,FALSE)</f>
        <v>117.35718129999999</v>
      </c>
      <c r="L1765" t="s">
        <v>6587</v>
      </c>
      <c r="M1765" t="str">
        <f>VLOOKUP(H1765,CHOOSE({1,2},Table17[Native],Table17[Name]),2,0)</f>
        <v>Shānghé Xiàn</v>
      </c>
      <c r="N1765" s="15" t="str">
        <f>VLOOKUP(I1765,CHOOSE({1,2},Table17[Native],Table17[Name]),2,0)</f>
        <v>Jìnán Shì</v>
      </c>
      <c r="O1765" s="15" t="str">
        <f t="shared" si="54"/>
        <v>Zhenglu Zhen (Jìnán Shì)</v>
      </c>
      <c r="P1765" s="15" t="str">
        <f t="shared" si="55"/>
        <v>Zhenglu Zhen (Jìnán Shì)</v>
      </c>
    </row>
    <row r="1766" spans="1:16" hidden="1" x14ac:dyDescent="0.25">
      <c r="A1766" t="s">
        <v>2080</v>
      </c>
      <c r="B1766" t="str">
        <f>IF(COUNTIF(A:A,A1766)&gt;1,_xlfn.CONCAT(A1766," (",N1766,")"),A1766)</f>
        <v>Zhèngshān Jiēdào [incl. Nángŭ Zhèn]</v>
      </c>
      <c r="C1766" t="str">
        <f>IF(COUNTIF(B:B,B1766)&gt;1,_xlfn.CONCAT(A1766," (",M1766,")"),B1766)</f>
        <v>Zhèngshān Jiēdào [incl. Nángŭ Zhèn]</v>
      </c>
      <c r="D1766" t="s">
        <v>2081</v>
      </c>
      <c r="E1766" t="s">
        <v>7</v>
      </c>
      <c r="F1766" t="str">
        <f>_xlfn.CONCAT(D1766,", ",H1766,", ",I1766,", ","山东省")</f>
        <v>郑山街道, 临沭县, 临沂市, 山东省</v>
      </c>
      <c r="G1766">
        <v>88957</v>
      </c>
      <c r="H1766" t="s">
        <v>3716</v>
      </c>
      <c r="I1766" t="s">
        <v>3710</v>
      </c>
      <c r="J1766">
        <f>VLOOKUP(F1766,[1]!china_towns_second__2[[Column1]:[Y]],3,FALSE)</f>
        <v>34.933362730110403</v>
      </c>
      <c r="K1766">
        <f>VLOOKUP(F1766,[1]!china_towns_second__2[[Column1]:[Y]],2,FALSE)</f>
        <v>118.58742479999999</v>
      </c>
      <c r="L1766" t="s">
        <v>6588</v>
      </c>
      <c r="M1766" t="str">
        <f>VLOOKUP(H1766,CHOOSE({1,2},Table17[Native],Table17[Name]),2,0)</f>
        <v>Línshù Xiàn</v>
      </c>
      <c r="N1766" s="15" t="str">
        <f>VLOOKUP(I1766,CHOOSE({1,2},Table17[Native],Table17[Name]),2,0)</f>
        <v>Línyí Shì</v>
      </c>
      <c r="O1766" s="15" t="str">
        <f t="shared" si="54"/>
        <v>Zhengshan Jiedao [incl. Nangu Zhen] (Línyí Shì)</v>
      </c>
      <c r="P1766" s="15" t="str">
        <f t="shared" si="55"/>
        <v>Zhengshan Jiedao [incl. Nangu Zhen] (Línyí Shì)</v>
      </c>
    </row>
    <row r="1767" spans="1:16" hidden="1" x14ac:dyDescent="0.25">
      <c r="A1767" t="s">
        <v>2082</v>
      </c>
      <c r="B1767" t="str">
        <f>IF(COUNTIF(A:A,A1767)&gt;1,_xlfn.CONCAT(A1767," (",N1767,")"),A1767)</f>
        <v>Zhèngwàng Zhèn</v>
      </c>
      <c r="C1767" t="str">
        <f>IF(COUNTIF(B:B,B1767)&gt;1,_xlfn.CONCAT(A1767," (",M1767,")"),B1767)</f>
        <v>Zhèngwàng Zhèn</v>
      </c>
      <c r="D1767" t="s">
        <v>2083</v>
      </c>
      <c r="E1767" t="s">
        <v>13</v>
      </c>
      <c r="F1767" t="str">
        <f>_xlfn.CONCAT(D1767,", ",H1767,", ",I1767,", ","山东省")</f>
        <v>郑旺镇, 河东区, 临沂市, 山东省</v>
      </c>
      <c r="G1767">
        <v>57883</v>
      </c>
      <c r="H1767" t="s">
        <v>3712</v>
      </c>
      <c r="I1767" t="s">
        <v>3710</v>
      </c>
      <c r="J1767">
        <f>VLOOKUP(F1767,[1]!china_towns_second__2[[Column1]:[Y]],3,FALSE)</f>
        <v>35.164556110485499</v>
      </c>
      <c r="K1767">
        <f>VLOOKUP(F1767,[1]!china_towns_second__2[[Column1]:[Y]],2,FALSE)</f>
        <v>118.60636220000001</v>
      </c>
      <c r="L1767" t="s">
        <v>6589</v>
      </c>
      <c r="M1767" t="str">
        <f>VLOOKUP(H1767,CHOOSE({1,2},Table17[Native],Table17[Name]),2,0)</f>
        <v>Hédōng Qū</v>
      </c>
      <c r="N1767" s="15" t="str">
        <f>VLOOKUP(I1767,CHOOSE({1,2},Table17[Native],Table17[Name]),2,0)</f>
        <v>Línyí Shì</v>
      </c>
      <c r="O1767" s="15" t="str">
        <f t="shared" si="54"/>
        <v>Zhengwang Zhen (Línyí Shì)</v>
      </c>
      <c r="P1767" s="15" t="str">
        <f t="shared" si="55"/>
        <v>Zhengwang Zhen (Línyí Shì)</v>
      </c>
    </row>
    <row r="1768" spans="1:16" hidden="1" x14ac:dyDescent="0.25">
      <c r="A1768" t="s">
        <v>888</v>
      </c>
      <c r="B1768" t="str">
        <f>IF(COUNTIF(A:A,A1768)&gt;1,_xlfn.CONCAT(A1768," (",N1768,")"),A1768)</f>
        <v>Zhèngyíng Zhèn</v>
      </c>
      <c r="C1768" t="str">
        <f>IF(COUNTIF(B:B,B1768)&gt;1,_xlfn.CONCAT(A1768," (",M1768,")"),B1768)</f>
        <v>Zhèngyíng Zhèn</v>
      </c>
      <c r="D1768" t="s">
        <v>889</v>
      </c>
      <c r="E1768" t="s">
        <v>13</v>
      </c>
      <c r="F1768" t="str">
        <f>_xlfn.CONCAT(D1768,", ",H1768,", ",I1768,", ","山东省")</f>
        <v>郑营镇, 鄄城县, 菏泽市, 山东省</v>
      </c>
      <c r="G1768">
        <v>50446</v>
      </c>
      <c r="H1768" t="s">
        <v>3667</v>
      </c>
      <c r="I1768" t="s">
        <v>3662</v>
      </c>
      <c r="J1768">
        <f>VLOOKUP(F1768,[1]!china_towns_second__2[[Column1]:[Y]],3,FALSE)</f>
        <v>35.483878565622</v>
      </c>
      <c r="K1768">
        <f>VLOOKUP(F1768,[1]!china_towns_second__2[[Column1]:[Y]],2,FALSE)</f>
        <v>115.54592599999999</v>
      </c>
      <c r="L1768" t="s">
        <v>6590</v>
      </c>
      <c r="M1768" t="str">
        <f>VLOOKUP(H1768,CHOOSE({1,2},Table17[Native],Table17[Name]),2,0)</f>
        <v>Juànchéng Xiàn</v>
      </c>
      <c r="N1768" s="15" t="str">
        <f>VLOOKUP(I1768,CHOOSE({1,2},Table17[Native],Table17[Name]),2,0)</f>
        <v>Hézé Shì</v>
      </c>
      <c r="O1768" s="15" t="str">
        <f t="shared" si="54"/>
        <v>Zhengying Zhen (Hézé Shì)</v>
      </c>
      <c r="P1768" s="15" t="str">
        <f t="shared" si="55"/>
        <v>Zhengying Zhen (Hézé Shì)</v>
      </c>
    </row>
    <row r="1769" spans="1:16" hidden="1" x14ac:dyDescent="0.25">
      <c r="A1769" t="s">
        <v>890</v>
      </c>
      <c r="B1769" t="str">
        <f>IF(COUNTIF(A:A,A1769)&gt;1,_xlfn.CONCAT(A1769," (",N1769,")"),A1769)</f>
        <v>Zhèngzhuāng Jiēdào</v>
      </c>
      <c r="C1769" t="str">
        <f>IF(COUNTIF(B:B,B1769)&gt;1,_xlfn.CONCAT(A1769," (",M1769,")"),B1769)</f>
        <v>Zhèngzhuāng Jiēdào</v>
      </c>
      <c r="D1769" t="s">
        <v>891</v>
      </c>
      <c r="E1769" t="s">
        <v>7</v>
      </c>
      <c r="F1769" t="str">
        <f>_xlfn.CONCAT(D1769,", ",H1769,", ",I1769,", ","山东省")</f>
        <v>郑庄街道, 曹县, 菏泽市, 山东省</v>
      </c>
      <c r="G1769">
        <v>50728</v>
      </c>
      <c r="H1769" t="s">
        <v>3663</v>
      </c>
      <c r="I1769" t="s">
        <v>3662</v>
      </c>
      <c r="J1769" t="e">
        <f>VLOOKUP(F1769,[1]!china_towns_second__2[[Column1]:[Y]],3,FALSE)</f>
        <v>#N/A</v>
      </c>
      <c r="K1769" t="e">
        <f>VLOOKUP(F1769,[1]!china_towns_second__2[[Column1]:[Y]],2,FALSE)</f>
        <v>#N/A</v>
      </c>
      <c r="L1769" t="s">
        <v>6591</v>
      </c>
      <c r="M1769" t="str">
        <f>VLOOKUP(H1769,CHOOSE({1,2},Table17[Native],Table17[Name]),2,0)</f>
        <v>Cáo Xiàn</v>
      </c>
      <c r="N1769" s="15" t="str">
        <f>VLOOKUP(I1769,CHOOSE({1,2},Table17[Native],Table17[Name]),2,0)</f>
        <v>Hézé Shì</v>
      </c>
      <c r="O1769" s="15" t="str">
        <f t="shared" si="54"/>
        <v>Zhengzhuang Jiedao (Hézé Shì)</v>
      </c>
      <c r="P1769" s="15" t="str">
        <f t="shared" si="55"/>
        <v>Zhengzhuang Jiedao (Hézé Shì)</v>
      </c>
    </row>
    <row r="1770" spans="1:16" hidden="1" x14ac:dyDescent="0.25">
      <c r="A1770" t="s">
        <v>2373</v>
      </c>
      <c r="B1770" t="str">
        <f>IF(COUNTIF(A:A,A1770)&gt;1,_xlfn.CONCAT(A1770," (",N1770,")"),A1770)</f>
        <v>Zhènhuálù Jiēdào</v>
      </c>
      <c r="C1770" t="str">
        <f>IF(COUNTIF(B:B,B1770)&gt;1,_xlfn.CONCAT(A1770," (",M1770,")"),B1770)</f>
        <v>Zhènhuálù Jiēdào</v>
      </c>
      <c r="D1770" t="s">
        <v>2374</v>
      </c>
      <c r="E1770" t="s">
        <v>7</v>
      </c>
      <c r="F1770" t="str">
        <f>_xlfn.CONCAT(D1770,", ",H1770,", ",I1770,", ","山东省")</f>
        <v>振华路街道, 李沧区, 青岛市, 山东省</v>
      </c>
      <c r="G1770">
        <v>26776</v>
      </c>
      <c r="H1770" t="s">
        <v>3731</v>
      </c>
      <c r="I1770" t="s">
        <v>3724</v>
      </c>
      <c r="J1770">
        <f>VLOOKUP(F1770,[1]!china_towns_second__2[[Column1]:[Y]],3,FALSE)</f>
        <v>36.1627750685428</v>
      </c>
      <c r="K1770">
        <f>VLOOKUP(F1770,[1]!china_towns_second__2[[Column1]:[Y]],2,FALSE)</f>
        <v>120.37382119999999</v>
      </c>
      <c r="L1770" t="s">
        <v>6592</v>
      </c>
      <c r="M1770" t="str">
        <f>VLOOKUP(H1770,CHOOSE({1,2},Table17[Native],Table17[Name]),2,0)</f>
        <v>Lĭcāng Qū</v>
      </c>
      <c r="N1770" s="15" t="str">
        <f>VLOOKUP(I1770,CHOOSE({1,2},Table17[Native],Table17[Name]),2,0)</f>
        <v>Qīngdăo Shì</v>
      </c>
      <c r="O1770" s="15" t="str">
        <f t="shared" si="54"/>
        <v>Zhenhualu Jiedao (Qīngdăo Shì)</v>
      </c>
      <c r="P1770" s="15" t="str">
        <f t="shared" si="55"/>
        <v>Zhenhualu Jiedao (Qīngdăo Shì)</v>
      </c>
    </row>
    <row r="1771" spans="1:16" hidden="1" x14ac:dyDescent="0.25">
      <c r="A1771" t="s">
        <v>2375</v>
      </c>
      <c r="B1771" t="str">
        <f>IF(COUNTIF(A:A,A1771)&gt;1,_xlfn.CONCAT(A1771," (",N1771,")"),A1771)</f>
        <v>Zhènjiānglù Jiēdào</v>
      </c>
      <c r="C1771" t="str">
        <f>IF(COUNTIF(B:B,B1771)&gt;1,_xlfn.CONCAT(A1771," (",M1771,")"),B1771)</f>
        <v>Zhènjiānglù Jiēdào</v>
      </c>
      <c r="D1771" t="s">
        <v>2376</v>
      </c>
      <c r="E1771" t="s">
        <v>7</v>
      </c>
      <c r="F1771" t="str">
        <f>_xlfn.CONCAT(D1771,", ",H1771,", ",I1771,", ","山东省")</f>
        <v>镇江路街道, 市北区, 青岛市, 山东省</v>
      </c>
      <c r="G1771">
        <v>48186</v>
      </c>
      <c r="H1771" t="s">
        <v>3733</v>
      </c>
      <c r="I1771" t="s">
        <v>3724</v>
      </c>
      <c r="J1771">
        <f>VLOOKUP(F1771,[1]!china_towns_second__2[[Column1]:[Y]],3,FALSE)</f>
        <v>36.087109031959002</v>
      </c>
      <c r="K1771">
        <f>VLOOKUP(F1771,[1]!china_towns_second__2[[Column1]:[Y]],2,FALSE)</f>
        <v>120.35921519999999</v>
      </c>
      <c r="L1771" t="s">
        <v>6593</v>
      </c>
      <c r="M1771" t="str">
        <f>VLOOKUP(H1771,CHOOSE({1,2},Table17[Native],Table17[Name]),2,0)</f>
        <v>Shìbĕi Qū</v>
      </c>
      <c r="N1771" s="15" t="str">
        <f>VLOOKUP(I1771,CHOOSE({1,2},Table17[Native],Table17[Name]),2,0)</f>
        <v>Qīngdăo Shì</v>
      </c>
      <c r="O1771" s="15" t="str">
        <f t="shared" si="54"/>
        <v>Zhenjianglu Jiedao (Qīngdăo Shì)</v>
      </c>
      <c r="P1771" s="15" t="str">
        <f t="shared" si="55"/>
        <v>Zhenjianglu Jiedao (Qīngdăo Shì)</v>
      </c>
    </row>
    <row r="1772" spans="1:16" hidden="1" x14ac:dyDescent="0.25">
      <c r="A1772" t="s">
        <v>1786</v>
      </c>
      <c r="B1772" t="str">
        <f>IF(COUNTIF(A:A,A1772)&gt;1,_xlfn.CONCAT(A1772," (",N1772,")"),A1772)</f>
        <v>Zhènxīng Jiēdào</v>
      </c>
      <c r="C1772" t="str">
        <f>IF(COUNTIF(B:B,B1772)&gt;1,_xlfn.CONCAT(A1772," (",M1772,")"),B1772)</f>
        <v>Zhènxīng Jiēdào</v>
      </c>
      <c r="D1772" t="s">
        <v>1787</v>
      </c>
      <c r="E1772" t="s">
        <v>7</v>
      </c>
      <c r="F1772" t="str">
        <f>_xlfn.CONCAT(D1772,", ",H1772,", ",I1772,", ","山东省")</f>
        <v>振兴街道, 茌平区, 聊城市, 山东省</v>
      </c>
      <c r="G1772">
        <v>109595</v>
      </c>
      <c r="H1772" t="s">
        <v>3701</v>
      </c>
      <c r="I1772" t="s">
        <v>3700</v>
      </c>
      <c r="J1772">
        <f>VLOOKUP(F1772,[1]!china_towns_second__2[[Column1]:[Y]],3,FALSE)</f>
        <v>36.552172703510102</v>
      </c>
      <c r="K1772">
        <f>VLOOKUP(F1772,[1]!china_towns_second__2[[Column1]:[Y]],2,FALSE)</f>
        <v>116.2462288</v>
      </c>
      <c r="L1772" t="s">
        <v>6594</v>
      </c>
      <c r="M1772" t="str">
        <f>VLOOKUP(H1772,CHOOSE({1,2},Table17[Native],Table17[Name]),2,0)</f>
        <v>Chípíng Qū</v>
      </c>
      <c r="N1772" s="15" t="str">
        <f>VLOOKUP(I1772,CHOOSE({1,2},Table17[Native],Table17[Name]),2,0)</f>
        <v>Liáochéng Shì</v>
      </c>
      <c r="O1772" s="15" t="str">
        <f t="shared" si="54"/>
        <v>Zhenxing Jiedao (Liáochéng Shì)</v>
      </c>
      <c r="P1772" s="15" t="str">
        <f t="shared" si="55"/>
        <v>Zhenxing Jiedao (Liáochéng Shì)</v>
      </c>
    </row>
    <row r="1773" spans="1:16" hidden="1" x14ac:dyDescent="0.25">
      <c r="A1773" t="s">
        <v>1218</v>
      </c>
      <c r="B1773" t="str">
        <f>IF(COUNTIF(A:A,A1773)&gt;1,_xlfn.CONCAT(A1773," (",N1773,")"),A1773)</f>
        <v>Zhènxīngjiē Jiēdào</v>
      </c>
      <c r="C1773" t="str">
        <f>IF(COUNTIF(B:B,B1773)&gt;1,_xlfn.CONCAT(A1773," (",M1773,")"),B1773)</f>
        <v>Zhènxīngjiē Jiēdào</v>
      </c>
      <c r="D1773" t="s">
        <v>1219</v>
      </c>
      <c r="E1773" t="s">
        <v>7</v>
      </c>
      <c r="F1773" t="str">
        <f>_xlfn.CONCAT(D1773,", ",H1773,", ",I1773,", ","山东省")</f>
        <v>振兴街街道, 槐荫区, 济南市, 山东省</v>
      </c>
      <c r="G1773">
        <v>39779</v>
      </c>
      <c r="H1773" t="s">
        <v>3676</v>
      </c>
      <c r="I1773" t="s">
        <v>3673</v>
      </c>
      <c r="J1773">
        <f>VLOOKUP(F1773,[1]!china_towns_second__2[[Column1]:[Y]],3,FALSE)</f>
        <v>36.642727307279898</v>
      </c>
      <c r="K1773">
        <f>VLOOKUP(F1773,[1]!china_towns_second__2[[Column1]:[Y]],2,FALSE)</f>
        <v>116.9711381</v>
      </c>
      <c r="L1773" t="s">
        <v>6595</v>
      </c>
      <c r="M1773" t="str">
        <f>VLOOKUP(H1773,CHOOSE({1,2},Table17[Native],Table17[Name]),2,0)</f>
        <v>Huáiyìn Qū</v>
      </c>
      <c r="N1773" s="15" t="str">
        <f>VLOOKUP(I1773,CHOOSE({1,2},Table17[Native],Table17[Name]),2,0)</f>
        <v>Jìnán Shì</v>
      </c>
      <c r="O1773" s="15" t="str">
        <f t="shared" si="54"/>
        <v>Zhenxingjie Jiedao (Jìnán Shì)</v>
      </c>
      <c r="P1773" s="15" t="str">
        <f t="shared" si="55"/>
        <v>Zhenxingjie Jiedao (Jìnán Shì)</v>
      </c>
    </row>
    <row r="1774" spans="1:16" hidden="1" x14ac:dyDescent="0.25">
      <c r="A1774" t="s">
        <v>2886</v>
      </c>
      <c r="B1774" t="str">
        <f>IF(COUNTIF(A:A,A1774)&gt;1,_xlfn.CONCAT(A1774," (",N1774,")"),A1774)</f>
        <v>Zhèshān Zhèn</v>
      </c>
      <c r="C1774" t="str">
        <f>IF(COUNTIF(B:B,B1774)&gt;1,_xlfn.CONCAT(A1774," (",M1774,")"),B1774)</f>
        <v>Zhèshān Zhèn</v>
      </c>
      <c r="D1774" t="s">
        <v>2887</v>
      </c>
      <c r="E1774" t="s">
        <v>13</v>
      </c>
      <c r="F1774" t="str">
        <f>_xlfn.CONCAT(D1774,", ",H1774,", ",I1774,", ","山东省")</f>
        <v>柘山镇, 安丘市, 潍坊市, 山东省</v>
      </c>
      <c r="G1774">
        <v>28333</v>
      </c>
      <c r="H1774" t="s">
        <v>3752</v>
      </c>
      <c r="I1774" t="s">
        <v>3751</v>
      </c>
      <c r="J1774">
        <f>VLOOKUP(F1774,[1]!china_towns_second__2[[Column1]:[Y]],3,FALSE)</f>
        <v>36.160941394111497</v>
      </c>
      <c r="K1774">
        <f>VLOOKUP(F1774,[1]!china_towns_second__2[[Column1]:[Y]],2,FALSE)</f>
        <v>118.9190747</v>
      </c>
      <c r="L1774" t="s">
        <v>6596</v>
      </c>
      <c r="M1774" t="str">
        <f>VLOOKUP(H1774,CHOOSE({1,2},Table17[Native],Table17[Name]),2,0)</f>
        <v>Ānqiū Shì</v>
      </c>
      <c r="N1774" s="15" t="str">
        <f>VLOOKUP(I1774,CHOOSE({1,2},Table17[Native],Table17[Name]),2,0)</f>
        <v>Wéifāng Shì</v>
      </c>
      <c r="O1774" s="15" t="str">
        <f t="shared" si="54"/>
        <v>Zheshan Zhen (Wéifāng Shì)</v>
      </c>
      <c r="P1774" s="15" t="str">
        <f t="shared" si="55"/>
        <v>Zheshan Zhen (Wéifāng Shì)</v>
      </c>
    </row>
    <row r="1775" spans="1:16" hidden="1" x14ac:dyDescent="0.25">
      <c r="A1775" t="s">
        <v>3330</v>
      </c>
      <c r="B1775" t="str">
        <f>IF(COUNTIF(A:A,A1775)&gt;1,_xlfn.CONCAT(A1775," (",N1775,")"),A1775)</f>
        <v>Zhĭchŭ Jiēdào</v>
      </c>
      <c r="C1775" t="str">
        <f>IF(COUNTIF(B:B,B1775)&gt;1,_xlfn.CONCAT(A1775," (",M1775,")"),B1775)</f>
        <v>Zhĭchŭ Jiēdào</v>
      </c>
      <c r="D1775" t="s">
        <v>3331</v>
      </c>
      <c r="E1775" t="s">
        <v>7</v>
      </c>
      <c r="F1775" t="str">
        <f>_xlfn.CONCAT(D1775,", ",H1775,", ",I1775,", ","山东省")</f>
        <v>只楚街道, 芝罘区, 烟台市, 山东省</v>
      </c>
      <c r="G1775">
        <v>60704</v>
      </c>
      <c r="H1775" t="s">
        <v>3782</v>
      </c>
      <c r="I1775" t="s">
        <v>3771</v>
      </c>
      <c r="J1775">
        <f>VLOOKUP(F1775,[1]!china_towns_second__2[[Column1]:[Y]],3,FALSE)</f>
        <v>37.512663156685697</v>
      </c>
      <c r="K1775">
        <f>VLOOKUP(F1775,[1]!china_towns_second__2[[Column1]:[Y]],2,FALSE)</f>
        <v>121.30654560000001</v>
      </c>
      <c r="L1775" t="s">
        <v>6597</v>
      </c>
      <c r="M1775" t="str">
        <f>VLOOKUP(H1775,CHOOSE({1,2},Table17[Native],Table17[Name]),2,0)</f>
        <v>Zhīfú Qū</v>
      </c>
      <c r="N1775" s="15" t="str">
        <f>VLOOKUP(I1775,CHOOSE({1,2},Table17[Native],Table17[Name]),2,0)</f>
        <v>Yāntái Shì</v>
      </c>
      <c r="O1775" s="15" t="str">
        <f t="shared" si="54"/>
        <v>Zhichu Jiedao (Yāntái Shì)</v>
      </c>
      <c r="P1775" s="15" t="str">
        <f t="shared" si="55"/>
        <v>Zhichu Jiedao (Yāntái Shì)</v>
      </c>
    </row>
    <row r="1776" spans="1:16" hidden="1" x14ac:dyDescent="0.25">
      <c r="A1776" t="s">
        <v>1523</v>
      </c>
      <c r="B1776" t="str">
        <f>IF(COUNTIF(A:A,A1776)&gt;1,_xlfn.CONCAT(A1776," (",N1776,")"),A1776)</f>
        <v>Zhĭfāng Zhèn</v>
      </c>
      <c r="C1776" t="str">
        <f>IF(COUNTIF(B:B,B1776)&gt;1,_xlfn.CONCAT(A1776," (",M1776,")"),B1776)</f>
        <v>Zhĭfāng Zhèn</v>
      </c>
      <c r="D1776" t="s">
        <v>1524</v>
      </c>
      <c r="E1776" t="s">
        <v>13</v>
      </c>
      <c r="F1776" t="str">
        <f>_xlfn.CONCAT(D1776,", ",H1776,", ",I1776,", ","山东省")</f>
        <v>纸坊镇, 嘉祥县, 济宁市, 山东省</v>
      </c>
      <c r="G1776">
        <v>79077</v>
      </c>
      <c r="H1776" t="s">
        <v>3688</v>
      </c>
      <c r="I1776" t="s">
        <v>3687</v>
      </c>
      <c r="J1776">
        <f>VLOOKUP(F1776,[1]!china_towns_second__2[[Column1]:[Y]],3,FALSE)</f>
        <v>35.305809022456899</v>
      </c>
      <c r="K1776">
        <f>VLOOKUP(F1776,[1]!china_towns_second__2[[Column1]:[Y]],2,FALSE)</f>
        <v>116.31544289999999</v>
      </c>
      <c r="L1776" t="s">
        <v>6598</v>
      </c>
      <c r="M1776" t="str">
        <f>VLOOKUP(H1776,CHOOSE({1,2},Table17[Native],Table17[Name]),2,0)</f>
        <v>Jiāxiáng Xiàn</v>
      </c>
      <c r="N1776" s="15" t="str">
        <f>VLOOKUP(I1776,CHOOSE({1,2},Table17[Native],Table17[Name]),2,0)</f>
        <v>Jìníng Shì</v>
      </c>
      <c r="O1776" s="15" t="str">
        <f t="shared" si="54"/>
        <v>Zhifang Zhen (Jìníng Shì)</v>
      </c>
      <c r="P1776" s="15" t="str">
        <f t="shared" si="55"/>
        <v>Zhifang Zhen (Jìníng Shì)</v>
      </c>
    </row>
    <row r="1777" spans="1:16" hidden="1" x14ac:dyDescent="0.25">
      <c r="A1777" t="s">
        <v>3332</v>
      </c>
      <c r="B1777" t="str">
        <f>IF(COUNTIF(A:A,A1777)&gt;1,_xlfn.CONCAT(A1777," (",N1777,")"),A1777)</f>
        <v>Zhīfúdăo Jiēdào</v>
      </c>
      <c r="C1777" t="str">
        <f>IF(COUNTIF(B:B,B1777)&gt;1,_xlfn.CONCAT(A1777," (",M1777,")"),B1777)</f>
        <v>Zhīfúdăo Jiēdào</v>
      </c>
      <c r="D1777" t="s">
        <v>3333</v>
      </c>
      <c r="E1777" t="s">
        <v>7</v>
      </c>
      <c r="F1777" t="str">
        <f>_xlfn.CONCAT(D1777,", ",H1777,", ",I1777,", ","山东省")</f>
        <v>芝罘岛街道, 芝罘区, 烟台市, 山东省</v>
      </c>
      <c r="G1777">
        <v>22788</v>
      </c>
      <c r="H1777" t="s">
        <v>3782</v>
      </c>
      <c r="I1777" t="s">
        <v>3771</v>
      </c>
      <c r="J1777">
        <f>VLOOKUP(F1777,[1]!china_towns_second__2[[Column1]:[Y]],3,FALSE)</f>
        <v>37.606851944661102</v>
      </c>
      <c r="K1777">
        <f>VLOOKUP(F1777,[1]!china_towns_second__2[[Column1]:[Y]],2,FALSE)</f>
        <v>121.392494</v>
      </c>
      <c r="L1777" t="s">
        <v>6599</v>
      </c>
      <c r="M1777" t="str">
        <f>VLOOKUP(H1777,CHOOSE({1,2},Table17[Native],Table17[Name]),2,0)</f>
        <v>Zhīfú Qū</v>
      </c>
      <c r="N1777" s="15" t="str">
        <f>VLOOKUP(I1777,CHOOSE({1,2},Table17[Native],Table17[Name]),2,0)</f>
        <v>Yāntái Shì</v>
      </c>
      <c r="O1777" s="15" t="str">
        <f t="shared" si="54"/>
        <v>Zhifudao Jiedao (Yāntái Shì)</v>
      </c>
      <c r="P1777" s="15" t="str">
        <f t="shared" si="55"/>
        <v>Zhifudao Jiedao (Yāntái Shì)</v>
      </c>
    </row>
    <row r="1778" spans="1:16" hidden="1" x14ac:dyDescent="0.25">
      <c r="A1778" t="s">
        <v>2888</v>
      </c>
      <c r="B1778" t="str">
        <f>IF(COUNTIF(A:A,A1778)&gt;1,_xlfn.CONCAT(A1778," (",N1778,")"),A1778)</f>
        <v>Zhĭgōu Zhèn</v>
      </c>
      <c r="C1778" t="str">
        <f>IF(COUNTIF(B:B,B1778)&gt;1,_xlfn.CONCAT(A1778," (",M1778,")"),B1778)</f>
        <v>Zhĭgōu Zhèn</v>
      </c>
      <c r="D1778" t="s">
        <v>2889</v>
      </c>
      <c r="E1778" t="s">
        <v>13</v>
      </c>
      <c r="F1778" t="str">
        <f>_xlfn.CONCAT(D1778,", ",H1778,", ",I1778,", ","山东省")</f>
        <v>枳沟镇, 诸城市, 潍坊市, 山东省</v>
      </c>
      <c r="G1778">
        <v>43152</v>
      </c>
      <c r="H1778" t="s">
        <v>3763</v>
      </c>
      <c r="I1778" t="s">
        <v>3751</v>
      </c>
      <c r="J1778">
        <f>VLOOKUP(F1778,[1]!china_towns_second__2[[Column1]:[Y]],3,FALSE)</f>
        <v>35.9259084389126</v>
      </c>
      <c r="K1778">
        <f>VLOOKUP(F1778,[1]!china_towns_second__2[[Column1]:[Y]],2,FALSE)</f>
        <v>119.2107793</v>
      </c>
      <c r="L1778" t="s">
        <v>6600</v>
      </c>
      <c r="M1778" t="str">
        <f>VLOOKUP(H1778,CHOOSE({1,2},Table17[Native],Table17[Name]),2,0)</f>
        <v>Zhūchéng Shì</v>
      </c>
      <c r="N1778" s="15" t="str">
        <f>VLOOKUP(I1778,CHOOSE({1,2},Table17[Native],Table17[Name]),2,0)</f>
        <v>Wéifāng Shì</v>
      </c>
      <c r="O1778" s="15" t="str">
        <f t="shared" si="54"/>
        <v>Zhigou Zhen (Wéifāng Shì)</v>
      </c>
      <c r="P1778" s="15" t="str">
        <f t="shared" si="55"/>
        <v>Zhigou Zhen (Wéifāng Shì)</v>
      </c>
    </row>
    <row r="1779" spans="1:16" hidden="1" x14ac:dyDescent="0.25">
      <c r="A1779" t="s">
        <v>1220</v>
      </c>
      <c r="B1779" t="str">
        <f>IF(COUNTIF(A:A,A1779)&gt;1,_xlfn.CONCAT(A1779," (",N1779,")"),A1779)</f>
        <v>Zhìjĭnshì Jiēdào</v>
      </c>
      <c r="C1779" t="str">
        <f>IF(COUNTIF(B:B,B1779)&gt;1,_xlfn.CONCAT(A1779," (",M1779,")"),B1779)</f>
        <v>Zhìjĭnshì Jiēdào</v>
      </c>
      <c r="D1779" t="s">
        <v>1221</v>
      </c>
      <c r="E1779" t="s">
        <v>7</v>
      </c>
      <c r="F1779" t="str">
        <f>_xlfn.CONCAT(D1779,", ",H1779,", ",I1779,", ","山东省")</f>
        <v>制锦市街道, 天桥区, 济南市, 山东省</v>
      </c>
      <c r="G1779">
        <v>19546</v>
      </c>
      <c r="H1779" t="s">
        <v>3684</v>
      </c>
      <c r="I1779" t="s">
        <v>3673</v>
      </c>
      <c r="J1779">
        <f>VLOOKUP(F1779,[1]!china_towns_second__2[[Column1]:[Y]],3,FALSE)</f>
        <v>36.669844438838297</v>
      </c>
      <c r="K1779">
        <f>VLOOKUP(F1779,[1]!china_towns_second__2[[Column1]:[Y]],2,FALSE)</f>
        <v>117.0068046</v>
      </c>
      <c r="L1779" t="s">
        <v>6601</v>
      </c>
      <c r="M1779" t="str">
        <f>VLOOKUP(H1779,CHOOSE({1,2},Table17[Native],Table17[Name]),2,0)</f>
        <v>Tiānqiáo Qū</v>
      </c>
      <c r="N1779" s="15" t="str">
        <f>VLOOKUP(I1779,CHOOSE({1,2},Table17[Native],Table17[Name]),2,0)</f>
        <v>Jìnán Shì</v>
      </c>
      <c r="O1779" s="15" t="str">
        <f t="shared" si="54"/>
        <v>Zhijinshi Jiedao (Jìnán Shì)</v>
      </c>
      <c r="P1779" s="15" t="str">
        <f t="shared" si="55"/>
        <v>Zhijinshi Jiedao (Jìnán Shì)</v>
      </c>
    </row>
    <row r="1780" spans="1:16" hidden="1" x14ac:dyDescent="0.25">
      <c r="A1780" t="s">
        <v>2084</v>
      </c>
      <c r="B1780" t="str">
        <f>IF(COUNTIF(A:A,A1780)&gt;1,_xlfn.CONCAT(A1780," (",N1780,")"),A1780)</f>
        <v>Zhīmádūn Jiēdào</v>
      </c>
      <c r="C1780" t="str">
        <f>IF(COUNTIF(B:B,B1780)&gt;1,_xlfn.CONCAT(A1780," (",M1780,")"),B1780)</f>
        <v>Zhīmádūn Jiēdào</v>
      </c>
      <c r="D1780" t="s">
        <v>2085</v>
      </c>
      <c r="E1780" t="s">
        <v>7</v>
      </c>
      <c r="F1780" t="str">
        <f>_xlfn.CONCAT(D1780,", ",H1780,", ",I1780,", ","山东省")</f>
        <v>芝麻墩街道, 河东区, 临沂市, 山东省</v>
      </c>
      <c r="G1780">
        <v>62840</v>
      </c>
      <c r="H1780" t="s">
        <v>3712</v>
      </c>
      <c r="I1780" t="s">
        <v>3710</v>
      </c>
      <c r="J1780">
        <f>VLOOKUP(F1780,[1]!china_towns_second__2[[Column1]:[Y]],3,FALSE)</f>
        <v>35.008440072574899</v>
      </c>
      <c r="K1780">
        <f>VLOOKUP(F1780,[1]!china_towns_second__2[[Column1]:[Y]],2,FALSE)</f>
        <v>118.4304791</v>
      </c>
      <c r="L1780" t="s">
        <v>6602</v>
      </c>
      <c r="M1780" t="str">
        <f>VLOOKUP(H1780,CHOOSE({1,2},Table17[Native],Table17[Name]),2,0)</f>
        <v>Hédōng Qū</v>
      </c>
      <c r="N1780" s="15" t="str">
        <f>VLOOKUP(I1780,CHOOSE({1,2},Table17[Native],Table17[Name]),2,0)</f>
        <v>Línyí Shì</v>
      </c>
      <c r="O1780" s="15" t="str">
        <f t="shared" si="54"/>
        <v>Zhimadun Jiedao (Línyí Shì)</v>
      </c>
      <c r="P1780" s="15" t="str">
        <f t="shared" si="55"/>
        <v>Zhimadun Jiedao (Línyí Shì)</v>
      </c>
    </row>
    <row r="1781" spans="1:16" hidden="1" x14ac:dyDescent="0.25">
      <c r="A1781" t="s">
        <v>1222</v>
      </c>
      <c r="B1781" t="str">
        <f>IF(COUNTIF(A:A,A1781)&gt;1,_xlfn.CONCAT(A1781," (",N1781,")"),A1781)</f>
        <v>Zhìyuăn Jiēdào</v>
      </c>
      <c r="C1781" t="str">
        <f>IF(COUNTIF(B:B,B1781)&gt;1,_xlfn.CONCAT(A1781," (",M1781,")"),B1781)</f>
        <v>Zhìyuăn Jiēdào</v>
      </c>
      <c r="D1781" t="s">
        <v>1223</v>
      </c>
      <c r="E1781" t="s">
        <v>7</v>
      </c>
      <c r="F1781" t="str">
        <f>_xlfn.CONCAT(D1781,", ",H1781,", ",I1781,", ","山东省")</f>
        <v>智远街道, 历下区, 济南市, 山东省</v>
      </c>
      <c r="G1781">
        <v>25845</v>
      </c>
      <c r="H1781" t="s">
        <v>3680</v>
      </c>
      <c r="I1781" t="s">
        <v>3673</v>
      </c>
      <c r="J1781">
        <f>VLOOKUP(F1781,[1]!china_towns_second__2[[Column1]:[Y]],3,FALSE)</f>
        <v>36.687635873921998</v>
      </c>
      <c r="K1781">
        <f>VLOOKUP(F1781,[1]!china_towns_second__2[[Column1]:[Y]],2,FALSE)</f>
        <v>117.1400517</v>
      </c>
      <c r="L1781" t="s">
        <v>6603</v>
      </c>
      <c r="M1781" t="str">
        <f>VLOOKUP(H1781,CHOOSE({1,2},Table17[Native],Table17[Name]),2,0)</f>
        <v>Lìxià Qū</v>
      </c>
      <c r="N1781" s="15" t="str">
        <f>VLOOKUP(I1781,CHOOSE({1,2},Table17[Native],Table17[Name]),2,0)</f>
        <v>Jìnán Shì</v>
      </c>
      <c r="O1781" s="15" t="str">
        <f t="shared" si="54"/>
        <v>Zhiyuan Jiedao (Jìnán Shì)</v>
      </c>
      <c r="P1781" s="15" t="str">
        <f t="shared" si="55"/>
        <v>Zhiyuan Jiedao (Jìnán Shì)</v>
      </c>
    </row>
    <row r="1782" spans="1:16" hidden="1" x14ac:dyDescent="0.25">
      <c r="A1782" t="s">
        <v>3620</v>
      </c>
      <c r="B1782" t="str">
        <f>IF(COUNTIF(A:A,A1782)&gt;1,_xlfn.CONCAT(A1782," (",N1782,")"),A1782)</f>
        <v>Zhōngbù Zhèn</v>
      </c>
      <c r="C1782" t="str">
        <f>IF(COUNTIF(B:B,B1782)&gt;1,_xlfn.CONCAT(A1782," (",M1782,")"),B1782)</f>
        <v>Zhōngbù Zhèn</v>
      </c>
      <c r="D1782" t="s">
        <v>3621</v>
      </c>
      <c r="E1782" t="s">
        <v>13</v>
      </c>
      <c r="F1782" t="str">
        <f>_xlfn.CONCAT(D1782,", ",H1782,", ",I1782,", ","山东省")</f>
        <v>中埠镇, 张店区, 淄博市, 山东省</v>
      </c>
      <c r="G1782">
        <v>20422</v>
      </c>
      <c r="H1782" t="s">
        <v>3797</v>
      </c>
      <c r="I1782" t="s">
        <v>3791</v>
      </c>
      <c r="J1782">
        <f>VLOOKUP(F1782,[1]!china_towns_second__2[[Column1]:[Y]],3,FALSE)</f>
        <v>36.844470129549201</v>
      </c>
      <c r="K1782">
        <f>VLOOKUP(F1782,[1]!china_towns_second__2[[Column1]:[Y]],2,FALSE)</f>
        <v>118.1755417</v>
      </c>
      <c r="L1782" t="s">
        <v>6604</v>
      </c>
      <c r="M1782" t="str">
        <f>VLOOKUP(H1782,CHOOSE({1,2},Table17[Native],Table17[Name]),2,0)</f>
        <v>Zhāngdiàn Qū</v>
      </c>
      <c r="N1782" s="15" t="str">
        <f>VLOOKUP(I1782,CHOOSE({1,2},Table17[Native],Table17[Name]),2,0)</f>
        <v>Zībó Shì</v>
      </c>
      <c r="O1782" s="15" t="str">
        <f t="shared" si="54"/>
        <v>Zhongbu Zhen (Zībó Shì)</v>
      </c>
      <c r="P1782" s="15" t="str">
        <f t="shared" si="55"/>
        <v>Zhongbu Zhen (Zībó Shì)</v>
      </c>
    </row>
    <row r="1783" spans="1:16" hidden="1" x14ac:dyDescent="0.25">
      <c r="A1783" t="s">
        <v>1525</v>
      </c>
      <c r="B1783" t="str">
        <f>IF(COUNTIF(A:A,A1783)&gt;1,_xlfn.CONCAT(A1783," (",N1783,")"),A1783)</f>
        <v>Zhōngcè Zhèn</v>
      </c>
      <c r="C1783" t="str">
        <f>IF(COUNTIF(B:B,B1783)&gt;1,_xlfn.CONCAT(A1783," (",M1783,")"),B1783)</f>
        <v>Zhōngcè Zhèn</v>
      </c>
      <c r="D1783" t="s">
        <v>1526</v>
      </c>
      <c r="E1783" t="s">
        <v>13</v>
      </c>
      <c r="F1783" t="str">
        <f>_xlfn.CONCAT(D1783,", ",H1783,", ",I1783,", ","山东省")</f>
        <v>中册镇, 泗水县, 济宁市, 山东省</v>
      </c>
      <c r="G1783">
        <v>30290</v>
      </c>
      <c r="H1783" t="s">
        <v>3693</v>
      </c>
      <c r="I1783" t="s">
        <v>3687</v>
      </c>
      <c r="J1783">
        <f>VLOOKUP(F1783,[1]!china_towns_second__2[[Column1]:[Y]],3,FALSE)</f>
        <v>35.722241181821701</v>
      </c>
      <c r="K1783">
        <f>VLOOKUP(F1783,[1]!china_towns_second__2[[Column1]:[Y]],2,FALSE)</f>
        <v>117.23823400000001</v>
      </c>
      <c r="L1783" t="s">
        <v>6605</v>
      </c>
      <c r="M1783" t="str">
        <f>VLOOKUP(H1783,CHOOSE({1,2},Table17[Native],Table17[Name]),2,0)</f>
        <v>Sìshuĭ Xiàn</v>
      </c>
      <c r="N1783" s="15" t="str">
        <f>VLOOKUP(I1783,CHOOSE({1,2},Table17[Native],Table17[Name]),2,0)</f>
        <v>Jìníng Shì</v>
      </c>
      <c r="O1783" s="15" t="str">
        <f t="shared" si="54"/>
        <v>Zhongce Zhen (Jìníng Shì)</v>
      </c>
      <c r="P1783" s="15" t="str">
        <f t="shared" si="55"/>
        <v>Zhongce Zhen (Jìníng Shì)</v>
      </c>
    </row>
    <row r="1784" spans="1:16" hidden="1" x14ac:dyDescent="0.25">
      <c r="A1784" t="s">
        <v>2086</v>
      </c>
      <c r="B1784" t="str">
        <f>IF(COUNTIF(A:A,A1784)&gt;1,_xlfn.CONCAT(A1784," (",N1784,")"),A1784)</f>
        <v>Zhòngcūn Zhèn</v>
      </c>
      <c r="C1784" t="str">
        <f>IF(COUNTIF(B:B,B1784)&gt;1,_xlfn.CONCAT(A1784," (",M1784,")"),B1784)</f>
        <v>Zhòngcūn Zhèn</v>
      </c>
      <c r="D1784" t="s">
        <v>2087</v>
      </c>
      <c r="E1784" t="s">
        <v>13</v>
      </c>
      <c r="F1784" t="str">
        <f>_xlfn.CONCAT(D1784,", ",H1784,", ",I1784,", ","山东省")</f>
        <v>仲村镇, 平邑县, 临沂市, 山东省</v>
      </c>
      <c r="G1784">
        <v>67507</v>
      </c>
      <c r="H1784" t="s">
        <v>3719</v>
      </c>
      <c r="I1784" t="s">
        <v>3710</v>
      </c>
      <c r="J1784">
        <f>VLOOKUP(F1784,[1]!china_towns_second__2[[Column1]:[Y]],3,FALSE)</f>
        <v>35.631881051959297</v>
      </c>
      <c r="K1784">
        <f>VLOOKUP(F1784,[1]!china_towns_second__2[[Column1]:[Y]],2,FALSE)</f>
        <v>117.6316526</v>
      </c>
      <c r="L1784" t="s">
        <v>6606</v>
      </c>
      <c r="M1784" t="str">
        <f>VLOOKUP(H1784,CHOOSE({1,2},Table17[Native],Table17[Name]),2,0)</f>
        <v>Píngyì Xiàn</v>
      </c>
      <c r="N1784" s="15" t="str">
        <f>VLOOKUP(I1784,CHOOSE({1,2},Table17[Native],Table17[Name]),2,0)</f>
        <v>Línyí Shì</v>
      </c>
      <c r="O1784" s="15" t="str">
        <f t="shared" si="54"/>
        <v>Zhongcun Zhen (Línyí Shì)</v>
      </c>
      <c r="P1784" s="15" t="str">
        <f t="shared" si="55"/>
        <v>Zhongcun Zhen (Línyí Shì)</v>
      </c>
    </row>
    <row r="1785" spans="1:16" hidden="1" x14ac:dyDescent="0.25">
      <c r="A1785" t="s">
        <v>1224</v>
      </c>
      <c r="B1785" t="str">
        <f>IF(COUNTIF(A:A,A1785)&gt;1,_xlfn.CONCAT(A1785," (",N1785,")"),A1785)</f>
        <v>Zhōngdà Huáishù Jiēdào</v>
      </c>
      <c r="C1785" t="str">
        <f>IF(COUNTIF(B:B,B1785)&gt;1,_xlfn.CONCAT(A1785," (",M1785,")"),B1785)</f>
        <v>Zhōngdà Huáishù Jiēdào</v>
      </c>
      <c r="D1785" t="s">
        <v>1225</v>
      </c>
      <c r="E1785" t="s">
        <v>7</v>
      </c>
      <c r="F1785" t="str">
        <f>_xlfn.CONCAT(D1785,", ",H1785,", ",I1785,", ","山东省")</f>
        <v>中大槐树街道, 槐荫区, 济南市, 山东省</v>
      </c>
      <c r="G1785">
        <v>16860</v>
      </c>
      <c r="H1785" t="s">
        <v>3676</v>
      </c>
      <c r="I1785" t="s">
        <v>3673</v>
      </c>
      <c r="J1785">
        <f>VLOOKUP(F1785,[1]!china_towns_second__2[[Column1]:[Y]],3,FALSE)</f>
        <v>36.663566604028297</v>
      </c>
      <c r="K1785">
        <f>VLOOKUP(F1785,[1]!china_towns_second__2[[Column1]:[Y]],2,FALSE)</f>
        <v>116.9568848</v>
      </c>
      <c r="L1785" t="s">
        <v>6607</v>
      </c>
      <c r="M1785" t="str">
        <f>VLOOKUP(H1785,CHOOSE({1,2},Table17[Native],Table17[Name]),2,0)</f>
        <v>Huáiyìn Qū</v>
      </c>
      <c r="N1785" s="15" t="str">
        <f>VLOOKUP(I1785,CHOOSE({1,2},Table17[Native],Table17[Name]),2,0)</f>
        <v>Jìnán Shì</v>
      </c>
      <c r="O1785" s="15" t="str">
        <f t="shared" si="54"/>
        <v>Zhongda Huaishu Jiedao (Jìnán Shì)</v>
      </c>
      <c r="P1785" s="15" t="str">
        <f t="shared" si="55"/>
        <v>Zhongda Huaishu Jiedao (Jìnán Shì)</v>
      </c>
    </row>
    <row r="1786" spans="1:16" hidden="1" x14ac:dyDescent="0.25">
      <c r="A1786" t="s">
        <v>461</v>
      </c>
      <c r="B1786" t="str">
        <f>IF(COUNTIF(A:A,A1786)&gt;1,_xlfn.CONCAT(A1786," (",N1786,")"),A1786)</f>
        <v>Zhōngdīng Xiāng</v>
      </c>
      <c r="C1786" t="str">
        <f>IF(COUNTIF(B:B,B1786)&gt;1,_xlfn.CONCAT(A1786," (",M1786,")"),B1786)</f>
        <v>Zhōngdīng Xiāng</v>
      </c>
      <c r="D1786" t="s">
        <v>462</v>
      </c>
      <c r="E1786" t="s">
        <v>61</v>
      </c>
      <c r="F1786" t="str">
        <f>_xlfn.CONCAT(D1786,", ",H1786,", ",I1786,", ","山东省")</f>
        <v>中丁乡, 庆云县, 德州市, 山东省</v>
      </c>
      <c r="G1786">
        <v>19070</v>
      </c>
      <c r="H1786" t="s">
        <v>3650</v>
      </c>
      <c r="I1786" t="s">
        <v>3642</v>
      </c>
      <c r="J1786" t="e">
        <f>VLOOKUP(F1786,[1]!china_towns_second__2[[Column1]:[Y]],3,FALSE)</f>
        <v>#N/A</v>
      </c>
      <c r="K1786" t="e">
        <f>VLOOKUP(F1786,[1]!china_towns_second__2[[Column1]:[Y]],2,FALSE)</f>
        <v>#N/A</v>
      </c>
      <c r="L1786" t="s">
        <v>6608</v>
      </c>
      <c r="M1786" t="str">
        <f>VLOOKUP(H1786,CHOOSE({1,2},Table17[Native],Table17[Name]),2,0)</f>
        <v>Qìngyún Xiàn</v>
      </c>
      <c r="N1786" s="15" t="str">
        <f>VLOOKUP(I1786,CHOOSE({1,2},Table17[Native],Table17[Name]),2,0)</f>
        <v>Dézhōu Shì</v>
      </c>
      <c r="O1786" s="15" t="str">
        <f t="shared" si="54"/>
        <v>Zhongding Xiang (Dézhōu Shì)</v>
      </c>
      <c r="P1786" s="15" t="str">
        <f t="shared" si="55"/>
        <v>Zhongding Xiang (Dézhōu Shì)</v>
      </c>
    </row>
    <row r="1787" spans="1:16" hidden="1" x14ac:dyDescent="0.25">
      <c r="A1787" t="s">
        <v>1527</v>
      </c>
      <c r="B1787" t="str">
        <f>IF(COUNTIF(A:A,A1787)&gt;1,_xlfn.CONCAT(A1787," (",N1787,")"),A1787)</f>
        <v>Zhōngdū Jiēdào</v>
      </c>
      <c r="C1787" t="str">
        <f>IF(COUNTIF(B:B,B1787)&gt;1,_xlfn.CONCAT(A1787," (",M1787,")"),B1787)</f>
        <v>Zhōngdū Jiēdào</v>
      </c>
      <c r="D1787" t="s">
        <v>1528</v>
      </c>
      <c r="E1787" t="s">
        <v>7</v>
      </c>
      <c r="F1787" t="str">
        <f>_xlfn.CONCAT(D1787,", ",H1787,", ",I1787,", ","山东省")</f>
        <v>中都街道, 汶上县, 济宁市, 山东省</v>
      </c>
      <c r="G1787">
        <v>70453</v>
      </c>
      <c r="H1787" t="s">
        <v>3695</v>
      </c>
      <c r="I1787" t="s">
        <v>3687</v>
      </c>
      <c r="J1787">
        <f>VLOOKUP(F1787,[1]!china_towns_second__2[[Column1]:[Y]],3,FALSE)</f>
        <v>35.719814970181801</v>
      </c>
      <c r="K1787">
        <f>VLOOKUP(F1787,[1]!china_towns_second__2[[Column1]:[Y]],2,FALSE)</f>
        <v>116.49298829999999</v>
      </c>
      <c r="L1787" t="s">
        <v>6609</v>
      </c>
      <c r="M1787" t="str">
        <f>VLOOKUP(H1787,CHOOSE({1,2},Table17[Native],Table17[Name]),2,0)</f>
        <v>Wènshàng Xiàn</v>
      </c>
      <c r="N1787" s="15" t="str">
        <f>VLOOKUP(I1787,CHOOSE({1,2},Table17[Native],Table17[Name]),2,0)</f>
        <v>Jìníng Shì</v>
      </c>
      <c r="O1787" s="15" t="str">
        <f t="shared" si="54"/>
        <v>Zhongdu Jiedao (Jìníng Shì)</v>
      </c>
      <c r="P1787" s="15" t="str">
        <f t="shared" si="55"/>
        <v>Zhongdu Jiedao (Jìníng Shì)</v>
      </c>
    </row>
    <row r="1788" spans="1:16" hidden="1" x14ac:dyDescent="0.25">
      <c r="A1788" t="s">
        <v>1226</v>
      </c>
      <c r="B1788" t="str">
        <f>IF(COUNTIF(A:A,A1788)&gt;1,_xlfn.CONCAT(A1788," (",N1788,")"),A1788)</f>
        <v>Zhònggōng Jiēdào</v>
      </c>
      <c r="C1788" t="str">
        <f>IF(COUNTIF(B:B,B1788)&gt;1,_xlfn.CONCAT(A1788," (",M1788,")"),B1788)</f>
        <v>Zhònggōng Jiēdào</v>
      </c>
      <c r="D1788" t="s">
        <v>1227</v>
      </c>
      <c r="E1788" t="s">
        <v>7</v>
      </c>
      <c r="F1788" t="str">
        <f>_xlfn.CONCAT(D1788,", ",H1788,", ",I1788,", ","山东省")</f>
        <v>仲宫街道, 历城区, 济南市, 山东省</v>
      </c>
      <c r="G1788">
        <v>107978</v>
      </c>
      <c r="H1788" t="s">
        <v>3679</v>
      </c>
      <c r="I1788" t="s">
        <v>3673</v>
      </c>
      <c r="J1788" t="e">
        <f>VLOOKUP(F1788,[1]!china_towns_second__2[[Column1]:[Y]],3,FALSE)</f>
        <v>#N/A</v>
      </c>
      <c r="K1788" t="e">
        <f>VLOOKUP(F1788,[1]!china_towns_second__2[[Column1]:[Y]],2,FALSE)</f>
        <v>#N/A</v>
      </c>
      <c r="L1788" t="s">
        <v>6610</v>
      </c>
      <c r="M1788" t="str">
        <f>VLOOKUP(H1788,CHOOSE({1,2},Table17[Native],Table17[Name]),2,0)</f>
        <v>Lìchéng Qū</v>
      </c>
      <c r="N1788" s="15" t="str">
        <f>VLOOKUP(I1788,CHOOSE({1,2},Table17[Native],Table17[Name]),2,0)</f>
        <v>Jìnán Shì</v>
      </c>
      <c r="O1788" s="15" t="str">
        <f t="shared" si="54"/>
        <v>Zhonggong Jiedao (Jìnán Shì)</v>
      </c>
      <c r="P1788" s="15" t="str">
        <f t="shared" si="55"/>
        <v>Zhonggong Jiedao (Jìnán Shì)</v>
      </c>
    </row>
    <row r="1789" spans="1:16" hidden="1" x14ac:dyDescent="0.25">
      <c r="A1789" t="s">
        <v>2377</v>
      </c>
      <c r="B1789" t="str">
        <f>IF(COUNTIF(A:A,A1789)&gt;1,_xlfn.CONCAT(A1789," (",N1789,")"),A1789)</f>
        <v>Zhōnghán Jiēdào [incl. Jīnjiālǐng Jiēdào]</v>
      </c>
      <c r="C1789" t="str">
        <f>IF(COUNTIF(B:B,B1789)&gt;1,_xlfn.CONCAT(A1789," (",M1789,")"),B1789)</f>
        <v>Zhōnghán Jiēdào [incl. Jīnjiālǐng Jiēdào]</v>
      </c>
      <c r="D1789" t="s">
        <v>2378</v>
      </c>
      <c r="E1789" t="s">
        <v>7</v>
      </c>
      <c r="F1789" t="str">
        <f>_xlfn.CONCAT(D1789,", ",H1789,", ",I1789,", ","山东省")</f>
        <v>中韩街道, 崂山区, 青岛市, 山东省</v>
      </c>
      <c r="G1789">
        <v>240226</v>
      </c>
      <c r="H1789" t="s">
        <v>3730</v>
      </c>
      <c r="I1789" t="s">
        <v>3724</v>
      </c>
      <c r="J1789">
        <f>VLOOKUP(F1789,[1]!china_towns_second__2[[Column1]:[Y]],3,FALSE)</f>
        <v>36.113493405991903</v>
      </c>
      <c r="K1789">
        <f>VLOOKUP(F1789,[1]!china_towns_second__2[[Column1]:[Y]],2,FALSE)</f>
        <v>120.4580729</v>
      </c>
      <c r="L1789" t="s">
        <v>6611</v>
      </c>
      <c r="M1789" t="str">
        <f>VLOOKUP(H1789,CHOOSE({1,2},Table17[Native],Table17[Name]),2,0)</f>
        <v>Láoshān Qū</v>
      </c>
      <c r="N1789" s="15" t="str">
        <f>VLOOKUP(I1789,CHOOSE({1,2},Table17[Native],Table17[Name]),2,0)</f>
        <v>Qīngdăo Shì</v>
      </c>
      <c r="O1789" s="15" t="str">
        <f t="shared" si="54"/>
        <v>Zhonghan Jiedao [incl. Jinjialing Jiedao] (Qīngdăo Shì)</v>
      </c>
      <c r="P1789" s="15" t="str">
        <f t="shared" si="55"/>
        <v>Zhonghan Jiedao [incl. Jinjialing Jiedao] (Qīngdăo Shì)</v>
      </c>
    </row>
    <row r="1790" spans="1:16" hidden="1" x14ac:dyDescent="0.25">
      <c r="A1790" t="s">
        <v>3622</v>
      </c>
      <c r="B1790" t="str">
        <f>IF(COUNTIF(A:A,A1790)&gt;1,_xlfn.CONCAT(A1790," (",N1790,")"),A1790)</f>
        <v>Zhōnglóu Jiēdào</v>
      </c>
      <c r="C1790" t="str">
        <f>IF(COUNTIF(B:B,B1790)&gt;1,_xlfn.CONCAT(A1790," (",M1790,")"),B1790)</f>
        <v>Zhōnglóu Jiēdào</v>
      </c>
      <c r="D1790" t="s">
        <v>3623</v>
      </c>
      <c r="E1790" t="s">
        <v>7</v>
      </c>
      <c r="F1790" t="str">
        <f>_xlfn.CONCAT(D1790,", ",H1790,", ",I1790,", ","山东省")</f>
        <v>钟楼街道, 淄川区, 淄博市, 山东省</v>
      </c>
      <c r="G1790">
        <v>51861</v>
      </c>
      <c r="H1790" t="s">
        <v>3799</v>
      </c>
      <c r="I1790" t="s">
        <v>3791</v>
      </c>
      <c r="J1790">
        <f>VLOOKUP(F1790,[1]!china_towns_second__2[[Column1]:[Y]],3,FALSE)</f>
        <v>36.669555207503301</v>
      </c>
      <c r="K1790">
        <f>VLOOKUP(F1790,[1]!china_towns_second__2[[Column1]:[Y]],2,FALSE)</f>
        <v>117.9199586</v>
      </c>
      <c r="L1790" t="s">
        <v>6612</v>
      </c>
      <c r="M1790" t="str">
        <f>VLOOKUP(H1790,CHOOSE({1,2},Table17[Native],Table17[Name]),2,0)</f>
        <v>Zīchuān Qū</v>
      </c>
      <c r="N1790" s="15" t="str">
        <f>VLOOKUP(I1790,CHOOSE({1,2},Table17[Native],Table17[Name]),2,0)</f>
        <v>Zībó Shì</v>
      </c>
      <c r="O1790" s="15" t="str">
        <f t="shared" si="54"/>
        <v>Zhonglou Jiedao (Zībó Shì)</v>
      </c>
      <c r="P1790" s="15" t="str">
        <f t="shared" si="55"/>
        <v>Zhonglou Jiedao (Zībó Shì)</v>
      </c>
    </row>
    <row r="1791" spans="1:16" hidden="1" x14ac:dyDescent="0.25">
      <c r="A1791" t="s">
        <v>2491</v>
      </c>
      <c r="B1791" t="str">
        <f>IF(COUNTIF(A:A,A1791)&gt;1,_xlfn.CONCAT(A1791," (",N1791,")"),A1791)</f>
        <v>Zhōnglóu Zhèn</v>
      </c>
      <c r="C1791" t="str">
        <f>IF(COUNTIF(B:B,B1791)&gt;1,_xlfn.CONCAT(A1791," (",M1791,")"),B1791)</f>
        <v>Zhōnglóu Zhèn</v>
      </c>
      <c r="D1791" t="s">
        <v>2492</v>
      </c>
      <c r="E1791" t="s">
        <v>13</v>
      </c>
      <c r="F1791" t="str">
        <f>_xlfn.CONCAT(D1791,", ",H1791,", ",I1791,", ","山东省")</f>
        <v>中楼镇, 东港区, 日照市, 山东省</v>
      </c>
      <c r="G1791">
        <v>48705</v>
      </c>
      <c r="H1791" t="s">
        <v>3737</v>
      </c>
      <c r="I1791" t="s">
        <v>3736</v>
      </c>
      <c r="J1791">
        <f>VLOOKUP(F1791,[1]!china_towns_second__2[[Column1]:[Y]],3,FALSE)</f>
        <v>35.401209999999999</v>
      </c>
      <c r="K1791">
        <f>VLOOKUP(F1791,[1]!china_towns_second__2[[Column1]:[Y]],2,FALSE)</f>
        <v>118.97845</v>
      </c>
      <c r="L1791" t="s">
        <v>6613</v>
      </c>
      <c r="M1791" t="str">
        <f>VLOOKUP(H1791,CHOOSE({1,2},Table17[Native],Table17[Name]),2,0)</f>
        <v>Dōnggăng Qū</v>
      </c>
      <c r="N1791" s="15" t="str">
        <f>VLOOKUP(I1791,CHOOSE({1,2},Table17[Native],Table17[Name]),2,0)</f>
        <v>Rìzhào Shì</v>
      </c>
      <c r="O1791" s="15" t="str">
        <f t="shared" si="54"/>
        <v>Zhonglou Zhen (Rìzhào Shì)</v>
      </c>
      <c r="P1791" s="15" t="str">
        <f t="shared" si="55"/>
        <v>Zhonglou Zhen (Rìzhào Shì)</v>
      </c>
    </row>
    <row r="1792" spans="1:16" hidden="1" x14ac:dyDescent="0.25">
      <c r="A1792" t="s">
        <v>1529</v>
      </c>
      <c r="B1792" t="str">
        <f>IF(COUNTIF(A:A,A1792)&gt;1,_xlfn.CONCAT(A1792," (",N1792,")"),A1792)</f>
        <v>Zhòngshān Zhèn</v>
      </c>
      <c r="C1792" t="str">
        <f>IF(COUNTIF(B:B,B1792)&gt;1,_xlfn.CONCAT(A1792," (",M1792,")"),B1792)</f>
        <v>Zhòngshān Zhèn</v>
      </c>
      <c r="D1792" t="s">
        <v>1530</v>
      </c>
      <c r="E1792" t="s">
        <v>13</v>
      </c>
      <c r="F1792" t="str">
        <f>_xlfn.CONCAT(D1792,", ",H1792,", ",I1792,", ","山东省")</f>
        <v>仲山镇, 嘉祥县, 济宁市, 山东省</v>
      </c>
      <c r="G1792">
        <v>56163</v>
      </c>
      <c r="H1792" t="s">
        <v>3688</v>
      </c>
      <c r="I1792" t="s">
        <v>3687</v>
      </c>
      <c r="J1792">
        <f>VLOOKUP(F1792,[1]!china_towns_second__2[[Column1]:[Y]],3,FALSE)</f>
        <v>35.329154748753197</v>
      </c>
      <c r="K1792">
        <f>VLOOKUP(F1792,[1]!china_towns_second__2[[Column1]:[Y]],2,FALSE)</f>
        <v>116.2396227</v>
      </c>
      <c r="L1792" t="s">
        <v>6614</v>
      </c>
      <c r="M1792" t="str">
        <f>VLOOKUP(H1792,CHOOSE({1,2},Table17[Native],Table17[Name]),2,0)</f>
        <v>Jiāxiáng Xiàn</v>
      </c>
      <c r="N1792" s="15" t="str">
        <f>VLOOKUP(I1792,CHOOSE({1,2},Table17[Native],Table17[Name]),2,0)</f>
        <v>Jìníng Shì</v>
      </c>
      <c r="O1792" s="15" t="str">
        <f t="shared" si="54"/>
        <v>Zhongshan Zhen (Jìníng Shì)</v>
      </c>
      <c r="P1792" s="15" t="str">
        <f t="shared" si="55"/>
        <v>Zhongshan Zhen (Jìníng Shì)</v>
      </c>
    </row>
    <row r="1793" spans="1:16" hidden="1" x14ac:dyDescent="0.25">
      <c r="A1793" t="s">
        <v>2379</v>
      </c>
      <c r="B1793" t="str">
        <f>IF(COUNTIF(A:A,A1793)&gt;1,_xlfn.CONCAT(A1793," (",N1793,")"),A1793)</f>
        <v>Zhōngshānlù Jiēdào</v>
      </c>
      <c r="C1793" t="str">
        <f>IF(COUNTIF(B:B,B1793)&gt;1,_xlfn.CONCAT(A1793," (",M1793,")"),B1793)</f>
        <v>Zhōngshānlù Jiēdào</v>
      </c>
      <c r="D1793" t="s">
        <v>2380</v>
      </c>
      <c r="E1793" t="s">
        <v>7</v>
      </c>
      <c r="F1793" t="str">
        <f>_xlfn.CONCAT(D1793,", ",H1793,", ",I1793,", ","山东省")</f>
        <v>中山路街道, 市南区, 青岛市, 山东省</v>
      </c>
      <c r="G1793">
        <v>22573</v>
      </c>
      <c r="H1793" t="s">
        <v>3734</v>
      </c>
      <c r="I1793" t="s">
        <v>3724</v>
      </c>
      <c r="J1793">
        <f>VLOOKUP(F1793,[1]!china_towns_second__2[[Column1]:[Y]],3,FALSE)</f>
        <v>36.064935311659198</v>
      </c>
      <c r="K1793">
        <f>VLOOKUP(F1793,[1]!china_towns_second__2[[Column1]:[Y]],2,FALSE)</f>
        <v>120.3139517</v>
      </c>
      <c r="L1793" t="s">
        <v>6615</v>
      </c>
      <c r="M1793" t="str">
        <f>VLOOKUP(H1793,CHOOSE({1,2},Table17[Native],Table17[Name]),2,0)</f>
        <v>Shìnán Qū</v>
      </c>
      <c r="N1793" s="15" t="str">
        <f>VLOOKUP(I1793,CHOOSE({1,2},Table17[Native],Table17[Name]),2,0)</f>
        <v>Qīngdăo Shì</v>
      </c>
      <c r="O1793" s="15" t="str">
        <f t="shared" si="54"/>
        <v>Zhongshanlu Jiedao (Qīngdăo Shì)</v>
      </c>
      <c r="P1793" s="15" t="str">
        <f t="shared" si="55"/>
        <v>Zhongshanlu Jiedao (Qīngdăo Shì)</v>
      </c>
    </row>
    <row r="1794" spans="1:16" hidden="1" x14ac:dyDescent="0.25">
      <c r="A1794" t="s">
        <v>1531</v>
      </c>
      <c r="B1794" t="str">
        <f>IF(COUNTIF(A:A,A1794)&gt;1,_xlfn.CONCAT(A1794," (",N1794,")"),A1794)</f>
        <v>Zhōngxīndiàn Zhèn</v>
      </c>
      <c r="C1794" t="str">
        <f>IF(COUNTIF(B:B,B1794)&gt;1,_xlfn.CONCAT(A1794," (",M1794,")"),B1794)</f>
        <v>Zhōngxīndiàn Zhèn</v>
      </c>
      <c r="D1794" t="s">
        <v>1532</v>
      </c>
      <c r="E1794" t="s">
        <v>13</v>
      </c>
      <c r="F1794" t="str">
        <f>_xlfn.CONCAT(D1794,", ",H1794,", ",I1794,", ","山东省")</f>
        <v>中心店镇, 邹城市, 济宁市, 山东省</v>
      </c>
      <c r="G1794">
        <v>80850</v>
      </c>
      <c r="H1794" t="s">
        <v>3698</v>
      </c>
      <c r="I1794" t="s">
        <v>3687</v>
      </c>
      <c r="J1794">
        <f>VLOOKUP(F1794,[1]!china_towns_second__2[[Column1]:[Y]],3,FALSE)</f>
        <v>35.450766329119801</v>
      </c>
      <c r="K1794">
        <f>VLOOKUP(F1794,[1]!china_towns_second__2[[Column1]:[Y]],2,FALSE)</f>
        <v>116.936859</v>
      </c>
      <c r="L1794" t="s">
        <v>6616</v>
      </c>
      <c r="M1794" t="str">
        <f>VLOOKUP(H1794,CHOOSE({1,2},Table17[Native],Table17[Name]),2,0)</f>
        <v>Zōuchéng Shì</v>
      </c>
      <c r="N1794" s="15" t="str">
        <f>VLOOKUP(I1794,CHOOSE({1,2},Table17[Native],Table17[Name]),2,0)</f>
        <v>Jìníng Shì</v>
      </c>
      <c r="O1794" s="15" t="str">
        <f t="shared" ref="O1794:O1857" si="56">_xlfn.CONCAT(L1794," (",N1794,")")</f>
        <v>Zhongxindian Zhen (Jìníng Shì)</v>
      </c>
      <c r="P1794" s="15" t="str">
        <f t="shared" ref="P1794:P1857" si="57">IF(COUNTIF(O:O,O1794)&gt;1,_xlfn.CONCAT(L1794," (",M1794,")"),O1794)</f>
        <v>Zhongxindian Zhen (Jìníng Shì)</v>
      </c>
    </row>
    <row r="1795" spans="1:16" hidden="1" x14ac:dyDescent="0.25">
      <c r="A1795" t="s">
        <v>892</v>
      </c>
      <c r="B1795" t="str">
        <f>IF(COUNTIF(A:A,A1795)&gt;1,_xlfn.CONCAT(A1795," (",N1795,")"),A1795)</f>
        <v>Zhōngxīng Zhèn</v>
      </c>
      <c r="C1795" t="str">
        <f>IF(COUNTIF(B:B,B1795)&gt;1,_xlfn.CONCAT(A1795," (",M1795,")"),B1795)</f>
        <v>Zhōngxīng Zhèn</v>
      </c>
      <c r="D1795" t="s">
        <v>893</v>
      </c>
      <c r="E1795" t="s">
        <v>13</v>
      </c>
      <c r="F1795" t="str">
        <f>_xlfn.CONCAT(D1795,", ",H1795,", ",I1795,", ","山东省")</f>
        <v>终兴镇, 单县, 菏泽市, 山东省</v>
      </c>
      <c r="G1795">
        <v>65959</v>
      </c>
      <c r="H1795" t="s">
        <v>3670</v>
      </c>
      <c r="I1795" t="s">
        <v>3662</v>
      </c>
      <c r="J1795">
        <f>VLOOKUP(F1795,[1]!china_towns_second__2[[Column1]:[Y]],3,FALSE)</f>
        <v>34.732745059825902</v>
      </c>
      <c r="K1795">
        <f>VLOOKUP(F1795,[1]!china_towns_second__2[[Column1]:[Y]],2,FALSE)</f>
        <v>116.31099279999999</v>
      </c>
      <c r="L1795" t="s">
        <v>6617</v>
      </c>
      <c r="M1795" t="str">
        <f>VLOOKUP(H1795,CHOOSE({1,2},Table17[Native],Table17[Name]),2,0)</f>
        <v>Shàn Xiàn</v>
      </c>
      <c r="N1795" s="15" t="str">
        <f>VLOOKUP(I1795,CHOOSE({1,2},Table17[Native],Table17[Name]),2,0)</f>
        <v>Hézé Shì</v>
      </c>
      <c r="O1795" s="15" t="str">
        <f t="shared" si="56"/>
        <v>Zhongxing Zhen (Hézé Shì)</v>
      </c>
      <c r="P1795" s="15" t="str">
        <f t="shared" si="57"/>
        <v>Zhongxing Zhen (Hézé Shì)</v>
      </c>
    </row>
    <row r="1796" spans="1:16" hidden="1" x14ac:dyDescent="0.25">
      <c r="A1796" t="s">
        <v>3454</v>
      </c>
      <c r="B1796" t="str">
        <f>IF(COUNTIF(A:A,A1796)&gt;1,_xlfn.CONCAT(A1796," (",N1796,")"),A1796)</f>
        <v>Zhōngxīnjiē Jiēdào</v>
      </c>
      <c r="C1796" t="str">
        <f>IF(COUNTIF(B:B,B1796)&gt;1,_xlfn.CONCAT(A1796," (",M1796,")"),B1796)</f>
        <v>Zhōngxīnjiē Jiēdào</v>
      </c>
      <c r="D1796" t="s">
        <v>3455</v>
      </c>
      <c r="E1796" t="s">
        <v>7</v>
      </c>
      <c r="F1796" t="str">
        <f>_xlfn.CONCAT(D1796,", ",H1796,", ",I1796,", ","山东省")</f>
        <v>中心街街道, 市中区, 济南市, 山东省</v>
      </c>
      <c r="G1796">
        <v>40420</v>
      </c>
      <c r="H1796" t="s">
        <v>3683</v>
      </c>
      <c r="I1796" t="s">
        <v>3673</v>
      </c>
      <c r="J1796" t="e">
        <f>VLOOKUP(F1796,[1]!china_towns_second__2[[Column1]:[Y]],3,FALSE)</f>
        <v>#N/A</v>
      </c>
      <c r="K1796" t="e">
        <f>VLOOKUP(F1796,[1]!china_towns_second__2[[Column1]:[Y]],2,FALSE)</f>
        <v>#N/A</v>
      </c>
      <c r="L1796" t="s">
        <v>6618</v>
      </c>
      <c r="M1796" t="str">
        <f>VLOOKUP(H1796,CHOOSE({1,2},Table17[Native],Table17[Name]),2,0)</f>
        <v>Shìzhōng Qū</v>
      </c>
      <c r="N1796" s="15" t="str">
        <f>VLOOKUP(I1796,CHOOSE({1,2},Table17[Native],Table17[Name]),2,0)</f>
        <v>Jìnán Shì</v>
      </c>
      <c r="O1796" s="15" t="str">
        <f t="shared" si="56"/>
        <v>Zhongxinjie Jiedao (Jìnán Shì)</v>
      </c>
      <c r="P1796" s="15" t="str">
        <f t="shared" si="57"/>
        <v>Zhongxinjie Jiedao (Jìnán Shì)</v>
      </c>
    </row>
    <row r="1797" spans="1:16" hidden="1" x14ac:dyDescent="0.25">
      <c r="A1797" t="s">
        <v>2381</v>
      </c>
      <c r="B1797" t="str">
        <f>IF(COUNTIF(A:A,A1797)&gt;1,_xlfn.CONCAT(A1797," (",N1797,")"),A1797)</f>
        <v>Zhōngyún Jiēdào</v>
      </c>
      <c r="C1797" t="str">
        <f>IF(COUNTIF(B:B,B1797)&gt;1,_xlfn.CONCAT(A1797," (",M1797,")"),B1797)</f>
        <v>Zhōngyún Jiēdào</v>
      </c>
      <c r="D1797" t="s">
        <v>2382</v>
      </c>
      <c r="E1797" t="s">
        <v>7</v>
      </c>
      <c r="F1797" t="str">
        <f>_xlfn.CONCAT(D1797,", ",H1797,", ",I1797,", ","山东省")</f>
        <v>中云街道, 胶州市, 青岛市, 山东省</v>
      </c>
      <c r="G1797">
        <v>82391</v>
      </c>
      <c r="H1797" t="s">
        <v>3727</v>
      </c>
      <c r="I1797" t="s">
        <v>3724</v>
      </c>
      <c r="J1797">
        <f>VLOOKUP(F1797,[1]!china_towns_second__2[[Column1]:[Y]],3,FALSE)</f>
        <v>36.281890179862302</v>
      </c>
      <c r="K1797">
        <f>VLOOKUP(F1797,[1]!china_towns_second__2[[Column1]:[Y]],2,FALSE)</f>
        <v>119.97692790000001</v>
      </c>
      <c r="L1797" t="s">
        <v>6619</v>
      </c>
      <c r="M1797" t="str">
        <f>VLOOKUP(H1797,CHOOSE({1,2},Table17[Native],Table17[Name]),2,0)</f>
        <v>Jiāozhōu Shì</v>
      </c>
      <c r="N1797" s="15" t="str">
        <f>VLOOKUP(I1797,CHOOSE({1,2},Table17[Native],Table17[Name]),2,0)</f>
        <v>Qīngdăo Shì</v>
      </c>
      <c r="O1797" s="15" t="str">
        <f t="shared" si="56"/>
        <v>Zhongyun Jiedao (Qīngdăo Shì)</v>
      </c>
      <c r="P1797" s="15" t="str">
        <f t="shared" si="57"/>
        <v>Zhongyun Jiedao (Qīngdăo Shì)</v>
      </c>
    </row>
    <row r="1798" spans="1:16" hidden="1" x14ac:dyDescent="0.25">
      <c r="A1798" t="s">
        <v>2493</v>
      </c>
      <c r="B1798" t="str">
        <f>IF(COUNTIF(A:A,A1798)&gt;1,_xlfn.CONCAT(A1798," (",N1798,")"),A1798)</f>
        <v>Zhōngzhì Zhèn</v>
      </c>
      <c r="C1798" t="str">
        <f>IF(COUNTIF(B:B,B1798)&gt;1,_xlfn.CONCAT(A1798," (",M1798,")"),B1798)</f>
        <v>Zhōngzhì Zhèn</v>
      </c>
      <c r="D1798" t="s">
        <v>2494</v>
      </c>
      <c r="E1798" t="s">
        <v>13</v>
      </c>
      <c r="F1798" t="str">
        <f>_xlfn.CONCAT(D1798,", ",H1798,", ",I1798,", ","山东省")</f>
        <v>中至镇, 五莲县, 日照市, 山东省</v>
      </c>
      <c r="G1798">
        <v>23336</v>
      </c>
      <c r="H1798" t="s">
        <v>3741</v>
      </c>
      <c r="I1798" t="s">
        <v>3736</v>
      </c>
      <c r="J1798">
        <f>VLOOKUP(F1798,[1]!china_towns_second__2[[Column1]:[Y]],3,FALSE)</f>
        <v>35.765112918739</v>
      </c>
      <c r="K1798">
        <f>VLOOKUP(F1798,[1]!china_towns_second__2[[Column1]:[Y]],2,FALSE)</f>
        <v>119.0936559</v>
      </c>
      <c r="L1798" t="s">
        <v>6620</v>
      </c>
      <c r="M1798" t="str">
        <f>VLOOKUP(H1798,CHOOSE({1,2},Table17[Native],Table17[Name]),2,0)</f>
        <v>Wŭlián Xiàn</v>
      </c>
      <c r="N1798" s="15" t="str">
        <f>VLOOKUP(I1798,CHOOSE({1,2},Table17[Native],Table17[Name]),2,0)</f>
        <v>Rìzhào Shì</v>
      </c>
      <c r="O1798" s="15" t="str">
        <f t="shared" si="56"/>
        <v>Zhongzhi Zhen (Rìzhào Shì)</v>
      </c>
      <c r="P1798" s="15" t="str">
        <f t="shared" si="57"/>
        <v>Zhongzhi Zhen (Rìzhào Shì)</v>
      </c>
    </row>
    <row r="1799" spans="1:16" hidden="1" x14ac:dyDescent="0.25">
      <c r="A1799" t="s">
        <v>3624</v>
      </c>
      <c r="B1799" t="str">
        <f>IF(COUNTIF(A:A,A1799)&gt;1,_xlfn.CONCAT(A1799," (",N1799,")"),A1799)</f>
        <v>Zhōngzhuāng Zhèn</v>
      </c>
      <c r="C1799" t="str">
        <f>IF(COUNTIF(B:B,B1799)&gt;1,_xlfn.CONCAT(A1799," (",M1799,")"),B1799)</f>
        <v>Zhōngzhuāng Zhèn</v>
      </c>
      <c r="D1799" t="s">
        <v>3625</v>
      </c>
      <c r="E1799" t="s">
        <v>13</v>
      </c>
      <c r="F1799" t="str">
        <f>_xlfn.CONCAT(D1799,", ",H1799,", ",I1799,", ","山东省")</f>
        <v>中庄镇, 沂源县, 淄博市, 山东省</v>
      </c>
      <c r="G1799">
        <v>28506</v>
      </c>
      <c r="H1799" t="s">
        <v>3796</v>
      </c>
      <c r="I1799" t="s">
        <v>3791</v>
      </c>
      <c r="J1799">
        <f>VLOOKUP(F1799,[1]!china_towns_second__2[[Column1]:[Y]],3,FALSE)</f>
        <v>36.0560555821611</v>
      </c>
      <c r="K1799">
        <f>VLOOKUP(F1799,[1]!china_towns_second__2[[Column1]:[Y]],2,FALSE)</f>
        <v>118.2336797</v>
      </c>
      <c r="L1799" t="s">
        <v>6621</v>
      </c>
      <c r="M1799" t="str">
        <f>VLOOKUP(H1799,CHOOSE({1,2},Table17[Native],Table17[Name]),2,0)</f>
        <v>Yíyuán Xiàn</v>
      </c>
      <c r="N1799" s="15" t="str">
        <f>VLOOKUP(I1799,CHOOSE({1,2},Table17[Native],Table17[Name]),2,0)</f>
        <v>Zībó Shì</v>
      </c>
      <c r="O1799" s="15" t="str">
        <f t="shared" si="56"/>
        <v>Zhongzhuang Zhen (Zībó Shì)</v>
      </c>
      <c r="P1799" s="15" t="str">
        <f t="shared" si="57"/>
        <v>Zhongzhuang Zhen (Zībó Shì)</v>
      </c>
    </row>
    <row r="1800" spans="1:16" hidden="1" x14ac:dyDescent="0.25">
      <c r="A1800" t="s">
        <v>2663</v>
      </c>
      <c r="B1800" t="str">
        <f>IF(COUNTIF(A:A,A1800)&gt;1,_xlfn.CONCAT(A1800," (",N1800,")"),A1800)</f>
        <v>Zhōuchéng Jiēdào Dìqū</v>
      </c>
      <c r="C1800" t="str">
        <f>IF(COUNTIF(B:B,B1800)&gt;1,_xlfn.CONCAT(A1800," (",M1800,")"),B1800)</f>
        <v>Zhōuchéng Jiēdào Dìqū</v>
      </c>
      <c r="D1800" t="s">
        <v>2664</v>
      </c>
      <c r="E1800" t="s">
        <v>7</v>
      </c>
      <c r="F1800" t="str">
        <f>_xlfn.CONCAT(D1800,", ",H1800,", ",I1800,", ","山东省")</f>
        <v>州城街道地区, 东平县, 泰安市, 山东省</v>
      </c>
      <c r="G1800">
        <v>53699</v>
      </c>
      <c r="H1800" t="s">
        <v>3745</v>
      </c>
      <c r="I1800" t="s">
        <v>3743</v>
      </c>
      <c r="J1800" t="e">
        <f>VLOOKUP(F1800,[1]!china_towns_second__2[[Column1]:[Y]],3,FALSE)</f>
        <v>#N/A</v>
      </c>
      <c r="K1800" t="e">
        <f>VLOOKUP(F1800,[1]!china_towns_second__2[[Column1]:[Y]],2,FALSE)</f>
        <v>#N/A</v>
      </c>
      <c r="L1800" t="s">
        <v>6622</v>
      </c>
      <c r="M1800" t="str">
        <f>VLOOKUP(H1800,CHOOSE({1,2},Table17[Native],Table17[Name]),2,0)</f>
        <v>Dōngpíng Xiàn</v>
      </c>
      <c r="N1800" s="15" t="str">
        <f>VLOOKUP(I1800,CHOOSE({1,2},Table17[Native],Table17[Name]),2,0)</f>
        <v>Tài'ān Shì</v>
      </c>
      <c r="O1800" s="15" t="str">
        <f t="shared" si="56"/>
        <v>Zhoucheng Jiedao Diqu (Tài'ān Shì)</v>
      </c>
      <c r="P1800" s="15" t="str">
        <f t="shared" si="57"/>
        <v>Zhoucheng Jiedao Diqu (Tài'ān Shì)</v>
      </c>
    </row>
    <row r="1801" spans="1:16" hidden="1" x14ac:dyDescent="0.25">
      <c r="A1801" t="s">
        <v>2665</v>
      </c>
      <c r="B1801" t="str">
        <f>IF(COUNTIF(A:A,A1801)&gt;1,_xlfn.CONCAT(A1801," (",N1801,")"),A1801)</f>
        <v>Zhōudiàn Jiēdào</v>
      </c>
      <c r="C1801" t="str">
        <f>IF(COUNTIF(B:B,B1801)&gt;1,_xlfn.CONCAT(A1801," (",M1801,")"),B1801)</f>
        <v>Zhōudiàn Jiēdào</v>
      </c>
      <c r="D1801" t="s">
        <v>2666</v>
      </c>
      <c r="E1801" t="s">
        <v>7</v>
      </c>
      <c r="F1801" t="str">
        <f>_xlfn.CONCAT(D1801,", ",H1801,", ",I1801,", ","山东省")</f>
        <v>粥店街道, 岱岳区, 泰安市, 山东省</v>
      </c>
      <c r="G1801">
        <v>100684</v>
      </c>
      <c r="H1801" t="s">
        <v>3744</v>
      </c>
      <c r="I1801" t="s">
        <v>3743</v>
      </c>
      <c r="J1801">
        <f>VLOOKUP(F1801,[1]!china_towns_second__2[[Column1]:[Y]],3,FALSE)</f>
        <v>36.224146897673599</v>
      </c>
      <c r="K1801">
        <f>VLOOKUP(F1801,[1]!china_towns_second__2[[Column1]:[Y]],2,FALSE)</f>
        <v>117.04369610000001</v>
      </c>
      <c r="L1801" t="s">
        <v>6623</v>
      </c>
      <c r="M1801" t="str">
        <f>VLOOKUP(H1801,CHOOSE({1,2},Table17[Native],Table17[Name]),2,0)</f>
        <v>Dàiyuè Qū</v>
      </c>
      <c r="N1801" s="15" t="str">
        <f>VLOOKUP(I1801,CHOOSE({1,2},Table17[Native],Table17[Name]),2,0)</f>
        <v>Tài'ān Shì</v>
      </c>
      <c r="O1801" s="15" t="str">
        <f t="shared" si="56"/>
        <v>Zhoudian Jiedao (Tài'ān Shì)</v>
      </c>
      <c r="P1801" s="15" t="str">
        <f t="shared" si="57"/>
        <v>Zhoudian Jiedao (Tài'ān Shì)</v>
      </c>
    </row>
    <row r="1802" spans="1:16" hidden="1" x14ac:dyDescent="0.25">
      <c r="A1802" t="s">
        <v>3456</v>
      </c>
      <c r="B1802" t="str">
        <f>IF(COUNTIF(A:A,A1802)&gt;1,_xlfn.CONCAT(A1802," (",N1802,")"),A1802)</f>
        <v>Zhōuyíng Zhèn</v>
      </c>
      <c r="C1802" t="str">
        <f>IF(COUNTIF(B:B,B1802)&gt;1,_xlfn.CONCAT(A1802," (",M1802,")"),B1802)</f>
        <v>Zhōuyíng Zhèn</v>
      </c>
      <c r="D1802" t="s">
        <v>3457</v>
      </c>
      <c r="E1802" t="s">
        <v>13</v>
      </c>
      <c r="F1802" t="str">
        <f>_xlfn.CONCAT(D1802,", ",H1802,", ",I1802,", ","山东省")</f>
        <v>周营镇, 薛城区, 枣庄市, 山东省</v>
      </c>
      <c r="G1802">
        <v>51591</v>
      </c>
      <c r="H1802" t="s">
        <v>3788</v>
      </c>
      <c r="I1802" t="s">
        <v>3784</v>
      </c>
      <c r="J1802">
        <f>VLOOKUP(F1802,[1]!china_towns_second__2[[Column1]:[Y]],3,FALSE)</f>
        <v>34.680537318660001</v>
      </c>
      <c r="K1802">
        <f>VLOOKUP(F1802,[1]!china_towns_second__2[[Column1]:[Y]],2,FALSE)</f>
        <v>117.3904986</v>
      </c>
      <c r="L1802" t="s">
        <v>6624</v>
      </c>
      <c r="M1802" t="str">
        <f>VLOOKUP(H1802,CHOOSE({1,2},Table17[Native],Table17[Name]),2,0)</f>
        <v>Xuēchéng Qū</v>
      </c>
      <c r="N1802" s="15" t="str">
        <f>VLOOKUP(I1802,CHOOSE({1,2},Table17[Native],Table17[Name]),2,0)</f>
        <v>Zăozhuāng Shì</v>
      </c>
      <c r="O1802" s="15" t="str">
        <f t="shared" si="56"/>
        <v>Zhouying Zhen (Zăozhuāng Shì)</v>
      </c>
      <c r="P1802" s="15" t="str">
        <f t="shared" si="57"/>
        <v>Zhouying Zhen (Zăozhuāng Shì)</v>
      </c>
    </row>
    <row r="1803" spans="1:16" hidden="1" x14ac:dyDescent="0.25">
      <c r="A1803" t="s">
        <v>463</v>
      </c>
      <c r="B1803" t="str">
        <f>IF(COUNTIF(A:A,A1803)&gt;1,_xlfn.CONCAT(A1803," (",N1803,")"),A1803)</f>
        <v>Zhù'ā Zhèn</v>
      </c>
      <c r="C1803" t="str">
        <f>IF(COUNTIF(B:B,B1803)&gt;1,_xlfn.CONCAT(A1803," (",M1803,")"),B1803)</f>
        <v>Zhù'ā Zhèn</v>
      </c>
      <c r="D1803" t="s">
        <v>464</v>
      </c>
      <c r="E1803" t="s">
        <v>13</v>
      </c>
      <c r="F1803" t="str">
        <f>_xlfn.CONCAT(D1803,", ",H1803,", ",I1803,", ","山东省")</f>
        <v>祝阿镇, 齐河县, 德州市, 山东省</v>
      </c>
      <c r="G1803">
        <v>57995</v>
      </c>
      <c r="H1803" t="s">
        <v>3649</v>
      </c>
      <c r="I1803" t="s">
        <v>3642</v>
      </c>
      <c r="J1803">
        <f>VLOOKUP(F1803,[1]!china_towns_second__2[[Column1]:[Y]],3,FALSE)</f>
        <v>36.731283768820603</v>
      </c>
      <c r="K1803">
        <f>VLOOKUP(F1803,[1]!china_towns_second__2[[Column1]:[Y]],2,FALSE)</f>
        <v>116.741058</v>
      </c>
      <c r="L1803" t="s">
        <v>6625</v>
      </c>
      <c r="M1803" t="str">
        <f>VLOOKUP(H1803,CHOOSE({1,2},Table17[Native],Table17[Name]),2,0)</f>
        <v>Qíhé Xiàn</v>
      </c>
      <c r="N1803" s="15" t="str">
        <f>VLOOKUP(I1803,CHOOSE({1,2},Table17[Native],Table17[Name]),2,0)</f>
        <v>Dézhōu Shì</v>
      </c>
      <c r="O1803" s="15" t="str">
        <f t="shared" si="56"/>
        <v>Zhu'a Zhen (Dézhōu Shì)</v>
      </c>
      <c r="P1803" s="15" t="str">
        <f t="shared" si="57"/>
        <v>Zhu'a Zhen (Dézhōu Shì)</v>
      </c>
    </row>
    <row r="1804" spans="1:16" hidden="1" x14ac:dyDescent="0.25">
      <c r="A1804" t="s">
        <v>2088</v>
      </c>
      <c r="B1804" t="str">
        <f>IF(COUNTIF(A:A,A1804)&gt;1,_xlfn.CONCAT(A1804," (",N1804,")"),A1804)</f>
        <v>Zhuānbù Zhèn</v>
      </c>
      <c r="C1804" t="str">
        <f>IF(COUNTIF(B:B,B1804)&gt;1,_xlfn.CONCAT(A1804," (",M1804,")"),B1804)</f>
        <v>Zhuānbù Zhèn</v>
      </c>
      <c r="D1804" t="s">
        <v>2089</v>
      </c>
      <c r="E1804" t="s">
        <v>13</v>
      </c>
      <c r="F1804" t="str">
        <f>_xlfn.CONCAT(D1804,", ",H1804,", ",I1804,", ","山东省")</f>
        <v>砖埠镇, 沂南县, 临沂市, 山东省</v>
      </c>
      <c r="G1804">
        <v>33532</v>
      </c>
      <c r="H1804" t="s">
        <v>3721</v>
      </c>
      <c r="I1804" t="s">
        <v>3710</v>
      </c>
      <c r="J1804">
        <f>VLOOKUP(F1804,[1]!china_towns_second__2[[Column1]:[Y]],3,FALSE)</f>
        <v>35.382158775852297</v>
      </c>
      <c r="K1804">
        <f>VLOOKUP(F1804,[1]!china_towns_second__2[[Column1]:[Y]],2,FALSE)</f>
        <v>118.4446035</v>
      </c>
      <c r="L1804" t="s">
        <v>6626</v>
      </c>
      <c r="M1804" t="str">
        <f>VLOOKUP(H1804,CHOOSE({1,2},Table17[Native],Table17[Name]),2,0)</f>
        <v>Yínán Xiàn</v>
      </c>
      <c r="N1804" s="15" t="str">
        <f>VLOOKUP(I1804,CHOOSE({1,2},Table17[Native],Table17[Name]),2,0)</f>
        <v>Línyí Shì</v>
      </c>
      <c r="O1804" s="15" t="str">
        <f t="shared" si="56"/>
        <v>Zhuanbu Zhen (Línyí Shì)</v>
      </c>
      <c r="P1804" s="15" t="str">
        <f t="shared" si="57"/>
        <v>Zhuanbu Zhen (Línyí Shì)</v>
      </c>
    </row>
    <row r="1805" spans="1:16" hidden="1" x14ac:dyDescent="0.25">
      <c r="A1805" t="s">
        <v>2090</v>
      </c>
      <c r="B1805" t="str">
        <f>IF(COUNTIF(A:A,A1805)&gt;1,_xlfn.CONCAT(A1805," (",N1805,")"),A1805)</f>
        <v>Zhuànggăng Zhèn</v>
      </c>
      <c r="C1805" t="str">
        <f>IF(COUNTIF(B:B,B1805)&gt;1,_xlfn.CONCAT(A1805," (",M1805,")"),B1805)</f>
        <v>Zhuànggăng Zhèn</v>
      </c>
      <c r="D1805" t="s">
        <v>2091</v>
      </c>
      <c r="E1805" t="s">
        <v>13</v>
      </c>
      <c r="F1805" t="str">
        <f>_xlfn.CONCAT(D1805,", ",H1805,", ",I1805,", ","山东省")</f>
        <v>壮岗镇, 莒南县, 临沂市, 山东省</v>
      </c>
      <c r="G1805">
        <v>37575</v>
      </c>
      <c r="H1805" t="s">
        <v>3713</v>
      </c>
      <c r="I1805" t="s">
        <v>3710</v>
      </c>
      <c r="J1805">
        <f>VLOOKUP(F1805,[1]!china_towns_second__2[[Column1]:[Y]],3,FALSE)</f>
        <v>35.082373846088402</v>
      </c>
      <c r="K1805">
        <f>VLOOKUP(F1805,[1]!china_towns_second__2[[Column1]:[Y]],2,FALSE)</f>
        <v>119.0217536</v>
      </c>
      <c r="L1805" t="s">
        <v>6627</v>
      </c>
      <c r="M1805" t="str">
        <f>VLOOKUP(H1805,CHOOSE({1,2},Table17[Native],Table17[Name]),2,0)</f>
        <v>Jŭnán Xiàn</v>
      </c>
      <c r="N1805" s="15" t="str">
        <f>VLOOKUP(I1805,CHOOSE({1,2},Table17[Native],Table17[Name]),2,0)</f>
        <v>Línyí Shì</v>
      </c>
      <c r="O1805" s="15" t="str">
        <f t="shared" si="56"/>
        <v>Zhuanggang Zhen (Línyí Shì)</v>
      </c>
      <c r="P1805" s="15" t="str">
        <f t="shared" si="57"/>
        <v>Zhuanggang Zhen (Línyí Shì)</v>
      </c>
    </row>
    <row r="1806" spans="1:16" hidden="1" x14ac:dyDescent="0.25">
      <c r="A1806" t="s">
        <v>2092</v>
      </c>
      <c r="B1806" t="str">
        <f>IF(COUNTIF(A:A,A1806)&gt;1,_xlfn.CONCAT(A1806," (",N1806,")"),A1806)</f>
        <v>Zhuāngwù Zhèn [incl. Céngshān Zhèn]</v>
      </c>
      <c r="C1806" t="str">
        <f>IF(COUNTIF(B:B,B1806)&gt;1,_xlfn.CONCAT(A1806," (",M1806,")"),B1806)</f>
        <v>Zhuāngwù Zhèn [incl. Céngshān Zhèn]</v>
      </c>
      <c r="D1806" t="s">
        <v>2093</v>
      </c>
      <c r="E1806" t="s">
        <v>13</v>
      </c>
      <c r="F1806" t="str">
        <f>_xlfn.CONCAT(D1806,", ",H1806,", ",I1806,", ","山东省")</f>
        <v>庄坞镇, 兰陵县, 临沂市, 山东省</v>
      </c>
      <c r="G1806">
        <v>83515</v>
      </c>
      <c r="H1806" t="s">
        <v>3714</v>
      </c>
      <c r="I1806" t="s">
        <v>3710</v>
      </c>
      <c r="J1806">
        <f>VLOOKUP(F1806,[1]!china_towns_second__2[[Column1]:[Y]],3,FALSE)</f>
        <v>34.742507808084497</v>
      </c>
      <c r="K1806">
        <f>VLOOKUP(F1806,[1]!china_towns_second__2[[Column1]:[Y]],2,FALSE)</f>
        <v>118.21866540000001</v>
      </c>
      <c r="L1806" t="s">
        <v>6628</v>
      </c>
      <c r="M1806" t="str">
        <f>VLOOKUP(H1806,CHOOSE({1,2},Table17[Native],Table17[Name]),2,0)</f>
        <v>Lánlíng Xiàn</v>
      </c>
      <c r="N1806" s="15" t="str">
        <f>VLOOKUP(I1806,CHOOSE({1,2},Table17[Native],Table17[Name]),2,0)</f>
        <v>Línyí Shì</v>
      </c>
      <c r="O1806" s="15" t="str">
        <f t="shared" si="56"/>
        <v>Zhuangwu Zhen [incl. Cengshan Zhen] (Línyí Shì)</v>
      </c>
      <c r="P1806" s="15" t="str">
        <f t="shared" si="57"/>
        <v>Zhuangwu Zhen [incl. Cengshan Zhen] (Línyí Shì)</v>
      </c>
    </row>
    <row r="1807" spans="1:16" hidden="1" x14ac:dyDescent="0.25">
      <c r="A1807" t="s">
        <v>3334</v>
      </c>
      <c r="B1807" t="str">
        <f>IF(COUNTIF(A:A,A1807)&gt;1,_xlfn.CONCAT(A1807," (",N1807,")"),A1807)</f>
        <v>Zhuāngyuán Jiēdào</v>
      </c>
      <c r="C1807" t="str">
        <f>IF(COUNTIF(B:B,B1807)&gt;1,_xlfn.CONCAT(A1807," (",M1807,")"),B1807)</f>
        <v>Zhuāngyuán Jiēdào</v>
      </c>
      <c r="D1807" t="s">
        <v>3335</v>
      </c>
      <c r="E1807" t="s">
        <v>7</v>
      </c>
      <c r="F1807" t="str">
        <f>_xlfn.CONCAT(D1807,", ",H1807,", ",I1807,", ","山东省")</f>
        <v>庄园街道, 栖霞市, 烟台市, 山东省</v>
      </c>
      <c r="G1807">
        <v>57138</v>
      </c>
      <c r="H1807" t="s">
        <v>3780</v>
      </c>
      <c r="I1807" t="s">
        <v>3771</v>
      </c>
      <c r="J1807">
        <f>VLOOKUP(F1807,[1]!china_towns_second__2[[Column1]:[Y]],3,FALSE)</f>
        <v>37.334236408755899</v>
      </c>
      <c r="K1807">
        <f>VLOOKUP(F1807,[1]!china_towns_second__2[[Column1]:[Y]],2,FALSE)</f>
        <v>120.8296926</v>
      </c>
      <c r="L1807" t="s">
        <v>6629</v>
      </c>
      <c r="M1807" t="str">
        <f>VLOOKUP(H1807,CHOOSE({1,2},Table17[Native],Table17[Name]),2,0)</f>
        <v>Qīxiá Shì</v>
      </c>
      <c r="N1807" s="15" t="str">
        <f>VLOOKUP(I1807,CHOOSE({1,2},Table17[Native],Table17[Name]),2,0)</f>
        <v>Yāntái Shì</v>
      </c>
      <c r="O1807" s="15" t="str">
        <f t="shared" si="56"/>
        <v>Zhuangyuan Jiedao (Yāntái Shì)</v>
      </c>
      <c r="P1807" s="15" t="str">
        <f t="shared" si="57"/>
        <v>Zhuangyuan Jiedao (Yāntái Shì)</v>
      </c>
    </row>
    <row r="1808" spans="1:16" hidden="1" x14ac:dyDescent="0.25">
      <c r="A1808" t="s">
        <v>894</v>
      </c>
      <c r="B1808" t="str">
        <f>IF(COUNTIF(A:A,A1808)&gt;1,_xlfn.CONCAT(A1808," (",N1808,")"),A1808)</f>
        <v>Zhuāngzhài Zhèn</v>
      </c>
      <c r="C1808" t="str">
        <f>IF(COUNTIF(B:B,B1808)&gt;1,_xlfn.CONCAT(A1808," (",M1808,")"),B1808)</f>
        <v>Zhuāngzhài Zhèn</v>
      </c>
      <c r="D1808" t="s">
        <v>895</v>
      </c>
      <c r="E1808" t="s">
        <v>13</v>
      </c>
      <c r="F1808" t="str">
        <f>_xlfn.CONCAT(D1808,", ",H1808,", ",I1808,", ","山东省")</f>
        <v>庄寨镇, 曹县, 菏泽市, 山东省</v>
      </c>
      <c r="G1808">
        <v>68544</v>
      </c>
      <c r="H1808" t="s">
        <v>3663</v>
      </c>
      <c r="I1808" t="s">
        <v>3662</v>
      </c>
      <c r="J1808">
        <f>VLOOKUP(F1808,[1]!china_towns_second__2[[Column1]:[Y]],3,FALSE)</f>
        <v>35.001527182577</v>
      </c>
      <c r="K1808">
        <f>VLOOKUP(F1808,[1]!china_towns_second__2[[Column1]:[Y]],2,FALSE)</f>
        <v>115.1826073</v>
      </c>
      <c r="L1808" t="s">
        <v>6630</v>
      </c>
      <c r="M1808" t="str">
        <f>VLOOKUP(H1808,CHOOSE({1,2},Table17[Native],Table17[Name]),2,0)</f>
        <v>Cáo Xiàn</v>
      </c>
      <c r="N1808" s="15" t="str">
        <f>VLOOKUP(I1808,CHOOSE({1,2},Table17[Native],Table17[Name]),2,0)</f>
        <v>Hézé Shì</v>
      </c>
      <c r="O1808" s="15" t="str">
        <f t="shared" si="56"/>
        <v>Zhuangzhai Zhen (Hézé Shì)</v>
      </c>
      <c r="P1808" s="15" t="str">
        <f t="shared" si="57"/>
        <v>Zhuangzhai Zhen (Hézé Shì)</v>
      </c>
    </row>
    <row r="1809" spans="1:16" hidden="1" x14ac:dyDescent="0.25">
      <c r="A1809" t="s">
        <v>896</v>
      </c>
      <c r="B1809" t="str">
        <f>IF(COUNTIF(A:A,A1809)&gt;1,_xlfn.CONCAT(A1809," (",N1809,")"),A1809)</f>
        <v>Zhuānmiào Zhèn</v>
      </c>
      <c r="C1809" t="str">
        <f>IF(COUNTIF(B:B,B1809)&gt;1,_xlfn.CONCAT(A1809," (",M1809,")"),B1809)</f>
        <v>Zhuānmiào Zhèn</v>
      </c>
      <c r="D1809" t="s">
        <v>897</v>
      </c>
      <c r="E1809" t="s">
        <v>13</v>
      </c>
      <c r="F1809" t="str">
        <f>_xlfn.CONCAT(D1809,", ",H1809,", ",I1809,", ","山东省")</f>
        <v>砖庙镇, 曹县, 菏泽市, 山东省</v>
      </c>
      <c r="G1809">
        <v>32359</v>
      </c>
      <c r="H1809" t="s">
        <v>3663</v>
      </c>
      <c r="I1809" t="s">
        <v>3662</v>
      </c>
      <c r="J1809">
        <f>VLOOKUP(F1809,[1]!china_towns_second__2[[Column1]:[Y]],3,FALSE)</f>
        <v>34.939817291811103</v>
      </c>
      <c r="K1809">
        <f>VLOOKUP(F1809,[1]!china_towns_second__2[[Column1]:[Y]],2,FALSE)</f>
        <v>115.40715710000001</v>
      </c>
      <c r="L1809" t="s">
        <v>6631</v>
      </c>
      <c r="M1809" t="str">
        <f>VLOOKUP(H1809,CHOOSE({1,2},Table17[Native],Table17[Name]),2,0)</f>
        <v>Cáo Xiàn</v>
      </c>
      <c r="N1809" s="15" t="str">
        <f>VLOOKUP(I1809,CHOOSE({1,2},Table17[Native],Table17[Name]),2,0)</f>
        <v>Hézé Shì</v>
      </c>
      <c r="O1809" s="15" t="str">
        <f t="shared" si="56"/>
        <v>Zhuanmiao Zhen (Hézé Shì)</v>
      </c>
      <c r="P1809" s="15" t="str">
        <f t="shared" si="57"/>
        <v>Zhuanmiao Zhen (Hézé Shì)</v>
      </c>
    </row>
    <row r="1810" spans="1:16" hidden="1" x14ac:dyDescent="0.25">
      <c r="A1810" t="s">
        <v>2094</v>
      </c>
      <c r="B1810" t="str">
        <f>IF(COUNTIF(A:A,A1810)&gt;1,_xlfn.CONCAT(A1810," (",N1810,")"),A1810)</f>
        <v>Zhūbiān Zhèn</v>
      </c>
      <c r="C1810" t="str">
        <f>IF(COUNTIF(B:B,B1810)&gt;1,_xlfn.CONCAT(A1810," (",M1810,")"),B1810)</f>
        <v>Zhūbiān Zhèn</v>
      </c>
      <c r="D1810" t="s">
        <v>2095</v>
      </c>
      <c r="E1810" t="s">
        <v>13</v>
      </c>
      <c r="F1810" t="str">
        <f>_xlfn.CONCAT(D1810,", ",H1810,", ",I1810,", ","山东省")</f>
        <v>洙边镇, 莒南县, 临沂市, 山东省</v>
      </c>
      <c r="G1810">
        <v>45088</v>
      </c>
      <c r="H1810" t="s">
        <v>3713</v>
      </c>
      <c r="I1810" t="s">
        <v>3710</v>
      </c>
      <c r="J1810">
        <f>VLOOKUP(F1810,[1]!china_towns_second__2[[Column1]:[Y]],3,FALSE)</f>
        <v>35.076278447452196</v>
      </c>
      <c r="K1810">
        <f>VLOOKUP(F1810,[1]!china_towns_second__2[[Column1]:[Y]],2,FALSE)</f>
        <v>118.8647879</v>
      </c>
      <c r="L1810" t="s">
        <v>6632</v>
      </c>
      <c r="M1810" t="str">
        <f>VLOOKUP(H1810,CHOOSE({1,2},Table17[Native],Table17[Name]),2,0)</f>
        <v>Jŭnán Xiàn</v>
      </c>
      <c r="N1810" s="15" t="str">
        <f>VLOOKUP(I1810,CHOOSE({1,2},Table17[Native],Table17[Name]),2,0)</f>
        <v>Línyí Shì</v>
      </c>
      <c r="O1810" s="15" t="str">
        <f t="shared" si="56"/>
        <v>Zhubian Zhen (Línyí Shì)</v>
      </c>
      <c r="P1810" s="15" t="str">
        <f t="shared" si="57"/>
        <v>Zhubian Zhen (Línyí Shì)</v>
      </c>
    </row>
    <row r="1811" spans="1:16" hidden="1" x14ac:dyDescent="0.25">
      <c r="A1811" t="s">
        <v>3032</v>
      </c>
      <c r="B1811" t="str">
        <f>IF(COUNTIF(A:A,A1811)&gt;1,_xlfn.CONCAT(A1811," (",N1811,")"),A1811)</f>
        <v>Zhúdăo Jiēdào</v>
      </c>
      <c r="C1811" t="str">
        <f>IF(COUNTIF(B:B,B1811)&gt;1,_xlfn.CONCAT(A1811," (",M1811,")"),B1811)</f>
        <v>Zhúdăo Jiēdào</v>
      </c>
      <c r="D1811" t="s">
        <v>3033</v>
      </c>
      <c r="E1811" t="s">
        <v>7</v>
      </c>
      <c r="F1811" t="str">
        <f>_xlfn.CONCAT(D1811,", ",H1811,", ",I1811,", ","山东省")</f>
        <v>竹岛街道, 环翠区, 威海市, 山东省</v>
      </c>
      <c r="G1811">
        <v>88015</v>
      </c>
      <c r="H1811" t="s">
        <v>3766</v>
      </c>
      <c r="I1811" t="s">
        <v>3765</v>
      </c>
      <c r="J1811">
        <f>VLOOKUP(F1811,[1]!china_towns_second__2[[Column1]:[Y]],3,FALSE)</f>
        <v>37.467234984861797</v>
      </c>
      <c r="K1811">
        <f>VLOOKUP(F1811,[1]!china_towns_second__2[[Column1]:[Y]],2,FALSE)</f>
        <v>122.12731340000001</v>
      </c>
      <c r="L1811" t="s">
        <v>6633</v>
      </c>
      <c r="M1811" t="str">
        <f>VLOOKUP(H1811,CHOOSE({1,2},Table17[Native],Table17[Name]),2,0)</f>
        <v>Huáncuì Qū</v>
      </c>
      <c r="N1811" s="15" t="str">
        <f>VLOOKUP(I1811,CHOOSE({1,2},Table17[Native],Table17[Name]),2,0)</f>
        <v>Wēihăi Shì</v>
      </c>
      <c r="O1811" s="15" t="str">
        <f t="shared" si="56"/>
        <v>Zhudao Jiedao (Wēihăi Shì)</v>
      </c>
      <c r="P1811" s="15" t="str">
        <f t="shared" si="57"/>
        <v>Zhudao Jiedao (Wēihăi Shì)</v>
      </c>
    </row>
    <row r="1812" spans="1:16" hidden="1" x14ac:dyDescent="0.25">
      <c r="A1812" t="s">
        <v>2096</v>
      </c>
      <c r="B1812" t="str">
        <f>IF(COUNTIF(A:A,A1812)&gt;1,_xlfn.CONCAT(A1812," (",N1812,")"),A1812)</f>
        <v>Zhūgĕ Zhèn</v>
      </c>
      <c r="C1812" t="str">
        <f>IF(COUNTIF(B:B,B1812)&gt;1,_xlfn.CONCAT(A1812," (",M1812,")"),B1812)</f>
        <v>Zhūgĕ Zhèn</v>
      </c>
      <c r="D1812" t="s">
        <v>2097</v>
      </c>
      <c r="E1812" t="s">
        <v>13</v>
      </c>
      <c r="F1812" t="str">
        <f>_xlfn.CONCAT(D1812,", ",H1812,", ",I1812,", ","山东省")</f>
        <v>诸葛镇, 沂水县, 临沂市, 山东省</v>
      </c>
      <c r="G1812">
        <v>62553</v>
      </c>
      <c r="H1812" t="s">
        <v>3722</v>
      </c>
      <c r="I1812" t="s">
        <v>3710</v>
      </c>
      <c r="J1812">
        <f>VLOOKUP(F1812,[1]!china_towns_second__2[[Column1]:[Y]],3,FALSE)</f>
        <v>35.967792788865303</v>
      </c>
      <c r="K1812">
        <f>VLOOKUP(F1812,[1]!china_towns_second__2[[Column1]:[Y]],2,FALSE)</f>
        <v>118.5377451</v>
      </c>
      <c r="L1812" t="s">
        <v>6634</v>
      </c>
      <c r="M1812" t="str">
        <f>VLOOKUP(H1812,CHOOSE({1,2},Table17[Native],Table17[Name]),2,0)</f>
        <v>Yíshuĭ Xiàn</v>
      </c>
      <c r="N1812" s="15" t="str">
        <f>VLOOKUP(I1812,CHOOSE({1,2},Table17[Native],Table17[Name]),2,0)</f>
        <v>Línyí Shì</v>
      </c>
      <c r="O1812" s="15" t="str">
        <f t="shared" si="56"/>
        <v>Zhuge Zhen (Línyí Shì)</v>
      </c>
      <c r="P1812" s="15" t="str">
        <f t="shared" si="57"/>
        <v>Zhuge Zhen (Línyí Shì)</v>
      </c>
    </row>
    <row r="1813" spans="1:16" hidden="1" x14ac:dyDescent="0.25">
      <c r="A1813" t="s">
        <v>2383</v>
      </c>
      <c r="B1813" t="str">
        <f>IF(COUNTIF(A:A,A1813)&gt;1,_xlfn.CONCAT(A1813," (",N1813,")"),A1813)</f>
        <v>Zhūhăi Jiēdào</v>
      </c>
      <c r="C1813" t="str">
        <f>IF(COUNTIF(B:B,B1813)&gt;1,_xlfn.CONCAT(A1813," (",M1813,")"),B1813)</f>
        <v>Zhūhăi Jiēdào</v>
      </c>
      <c r="D1813" t="s">
        <v>2384</v>
      </c>
      <c r="E1813" t="s">
        <v>7</v>
      </c>
      <c r="F1813" t="str">
        <f>_xlfn.CONCAT(D1813,", ",H1813,", ",I1813,", ","山东省")</f>
        <v>珠海街道, 黄岛区, 青岛市, 山东省</v>
      </c>
      <c r="G1813">
        <v>104165</v>
      </c>
      <c r="H1813" t="s">
        <v>3726</v>
      </c>
      <c r="I1813" t="s">
        <v>3724</v>
      </c>
      <c r="J1813">
        <f>VLOOKUP(F1813,[1]!china_towns_second__2[[Column1]:[Y]],3,FALSE)</f>
        <v>35.858086312657697</v>
      </c>
      <c r="K1813">
        <f>VLOOKUP(F1813,[1]!china_towns_second__2[[Column1]:[Y]],2,FALSE)</f>
        <v>119.9417919</v>
      </c>
      <c r="L1813" t="s">
        <v>6635</v>
      </c>
      <c r="M1813" t="str">
        <f>VLOOKUP(H1813,CHOOSE({1,2},Table17[Native],Table17[Name]),2,0)</f>
        <v>Huángdăo Qū</v>
      </c>
      <c r="N1813" s="15" t="str">
        <f>VLOOKUP(I1813,CHOOSE({1,2},Table17[Native],Table17[Name]),2,0)</f>
        <v>Qīngdăo Shì</v>
      </c>
      <c r="O1813" s="15" t="str">
        <f t="shared" si="56"/>
        <v>Zhuhai Jiedao (Qīngdăo Shì)</v>
      </c>
      <c r="P1813" s="15" t="str">
        <f t="shared" si="57"/>
        <v>Zhuhai Jiedao (Qīngdăo Shì)</v>
      </c>
    </row>
    <row r="1814" spans="1:16" hidden="1" x14ac:dyDescent="0.25">
      <c r="A1814" t="s">
        <v>2385</v>
      </c>
      <c r="B1814" t="str">
        <f>IF(COUNTIF(A:A,A1814)&gt;1,_xlfn.CONCAT(A1814," (",N1814,")"),A1814)</f>
        <v>Zhūhăilù Jiēdào</v>
      </c>
      <c r="C1814" t="str">
        <f>IF(COUNTIF(B:B,B1814)&gt;1,_xlfn.CONCAT(A1814," (",M1814,")"),B1814)</f>
        <v>Zhūhăilù Jiēdào</v>
      </c>
      <c r="D1814" t="s">
        <v>2386</v>
      </c>
      <c r="E1814" t="s">
        <v>7</v>
      </c>
      <c r="F1814" t="str">
        <f>_xlfn.CONCAT(D1814,", ",H1814,", ",I1814,", ","山东省")</f>
        <v>珠海路街道, 市南区, 青岛市, 山东省</v>
      </c>
      <c r="G1814">
        <v>40485</v>
      </c>
      <c r="H1814" t="s">
        <v>3734</v>
      </c>
      <c r="I1814" t="s">
        <v>3724</v>
      </c>
      <c r="J1814">
        <f>VLOOKUP(F1814,[1]!china_towns_second__2[[Column1]:[Y]],3,FALSE)</f>
        <v>36.058976322376303</v>
      </c>
      <c r="K1814">
        <f>VLOOKUP(F1814,[1]!china_towns_second__2[[Column1]:[Y]],2,FALSE)</f>
        <v>120.4021484</v>
      </c>
      <c r="L1814" t="s">
        <v>6636</v>
      </c>
      <c r="M1814" t="str">
        <f>VLOOKUP(H1814,CHOOSE({1,2},Table17[Native],Table17[Name]),2,0)</f>
        <v>Shìnán Qū</v>
      </c>
      <c r="N1814" s="15" t="str">
        <f>VLOOKUP(I1814,CHOOSE({1,2},Table17[Native],Table17[Name]),2,0)</f>
        <v>Qīngdăo Shì</v>
      </c>
      <c r="O1814" s="15" t="str">
        <f t="shared" si="56"/>
        <v>Zhuhailu Jiedao (Qīngdăo Shì)</v>
      </c>
      <c r="P1814" s="15" t="str">
        <f t="shared" si="57"/>
        <v>Zhuhailu Jiedao (Qīngdăo Shì)</v>
      </c>
    </row>
    <row r="1815" spans="1:16" hidden="1" x14ac:dyDescent="0.25">
      <c r="A1815" t="s">
        <v>465</v>
      </c>
      <c r="B1815" t="str">
        <f>IF(COUNTIF(A:A,A1815)&gt;1,_xlfn.CONCAT(A1815," (",N1815,")"),A1815)</f>
        <v>Zhūjí Zhèn (Dézhōu Shì)</v>
      </c>
      <c r="C1815" t="str">
        <f>IF(COUNTIF(B:B,B1815)&gt;1,_xlfn.CONCAT(A1815," (",M1815,")"),B1815)</f>
        <v>Zhūjí Zhèn (Dézhōu Shì)</v>
      </c>
      <c r="D1815" t="s">
        <v>466</v>
      </c>
      <c r="E1815" t="s">
        <v>13</v>
      </c>
      <c r="F1815" t="str">
        <f>_xlfn.CONCAT(D1815,", ",H1815,", ",I1815,", ","山东省")</f>
        <v>朱集镇, 乐陵市, 德州市, 山东省</v>
      </c>
      <c r="G1815">
        <v>55801</v>
      </c>
      <c r="H1815" t="s">
        <v>3644</v>
      </c>
      <c r="I1815" t="s">
        <v>3642</v>
      </c>
      <c r="J1815">
        <f>VLOOKUP(F1815,[1]!china_towns_second__2[[Column1]:[Y]],3,FALSE)</f>
        <v>37.809748230232202</v>
      </c>
      <c r="K1815">
        <f>VLOOKUP(F1815,[1]!china_towns_second__2[[Column1]:[Y]],2,FALSE)</f>
        <v>117.26552700000001</v>
      </c>
      <c r="L1815" t="s">
        <v>6637</v>
      </c>
      <c r="M1815" t="str">
        <f>VLOOKUP(H1815,CHOOSE({1,2},Table17[Native],Table17[Name]),2,0)</f>
        <v>Lèlíng Shì</v>
      </c>
      <c r="N1815" s="15" t="str">
        <f>VLOOKUP(I1815,CHOOSE({1,2},Table17[Native],Table17[Name]),2,0)</f>
        <v>Dézhōu Shì</v>
      </c>
      <c r="O1815" s="15" t="str">
        <f t="shared" si="56"/>
        <v>Zhuji Zhen (Dezhou Shi) (Dézhōu Shì)</v>
      </c>
      <c r="P1815" s="15" t="str">
        <f t="shared" si="57"/>
        <v>Zhuji Zhen (Dezhou Shi) (Dézhōu Shì)</v>
      </c>
    </row>
    <row r="1816" spans="1:16" hidden="1" x14ac:dyDescent="0.25">
      <c r="A1816" t="s">
        <v>465</v>
      </c>
      <c r="B1816" t="str">
        <f>IF(COUNTIF(A:A,A1816)&gt;1,_xlfn.CONCAT(A1816," (",N1816,")"),A1816)</f>
        <v>Zhūjí Zhèn (Hézé Shì)</v>
      </c>
      <c r="C1816" t="str">
        <f>IF(COUNTIF(B:B,B1816)&gt;1,_xlfn.CONCAT(A1816," (",M1816,")"),B1816)</f>
        <v>Zhūjí Zhèn (Hézé Shì)</v>
      </c>
      <c r="D1816" t="s">
        <v>466</v>
      </c>
      <c r="E1816" t="s">
        <v>13</v>
      </c>
      <c r="F1816" t="str">
        <f>_xlfn.CONCAT(D1816,", ",H1816,", ",I1816,", ","山东省")</f>
        <v>朱集镇, 单县, 菏泽市, 山东省</v>
      </c>
      <c r="G1816">
        <v>28454</v>
      </c>
      <c r="H1816" t="s">
        <v>3670</v>
      </c>
      <c r="I1816" t="s">
        <v>3662</v>
      </c>
      <c r="J1816">
        <f>VLOOKUP(F1816,[1]!china_towns_second__2[[Column1]:[Y]],3,FALSE)</f>
        <v>34.660779041107901</v>
      </c>
      <c r="K1816">
        <f>VLOOKUP(F1816,[1]!china_towns_second__2[[Column1]:[Y]],2,FALSE)</f>
        <v>116.33058370000001</v>
      </c>
      <c r="L1816" t="s">
        <v>6638</v>
      </c>
      <c r="M1816" t="str">
        <f>VLOOKUP(H1816,CHOOSE({1,2},Table17[Native],Table17[Name]),2,0)</f>
        <v>Shàn Xiàn</v>
      </c>
      <c r="N1816" s="15" t="str">
        <f>VLOOKUP(I1816,CHOOSE({1,2},Table17[Native],Table17[Name]),2,0)</f>
        <v>Hézé Shì</v>
      </c>
      <c r="O1816" s="15" t="str">
        <f t="shared" si="56"/>
        <v>Zhuji Zhen (Heze Shi) (Hézé Shì)</v>
      </c>
      <c r="P1816" s="15" t="str">
        <f t="shared" si="57"/>
        <v>Zhuji Zhen (Heze Shi) (Hézé Shì)</v>
      </c>
    </row>
    <row r="1817" spans="1:16" hidden="1" x14ac:dyDescent="0.25">
      <c r="A1817" t="s">
        <v>1788</v>
      </c>
      <c r="B1817" t="str">
        <f>IF(COUNTIF(A:A,A1817)&gt;1,_xlfn.CONCAT(A1817," (",N1817,")"),A1817)</f>
        <v>Zhūlăozhuāng Zhèn</v>
      </c>
      <c r="C1817" t="str">
        <f>IF(COUNTIF(B:B,B1817)&gt;1,_xlfn.CONCAT(A1817," (",M1817,")"),B1817)</f>
        <v>Zhūlăozhuāng Zhèn</v>
      </c>
      <c r="D1817" t="s">
        <v>1789</v>
      </c>
      <c r="E1817" t="s">
        <v>13</v>
      </c>
      <c r="F1817" t="str">
        <f>_xlfn.CONCAT(D1817,", ",H1817,", ",I1817,", ","山东省")</f>
        <v>朱老庄镇, 东昌府区, 聊城市, 山东省</v>
      </c>
      <c r="G1817">
        <v>35766</v>
      </c>
      <c r="H1817" t="s">
        <v>3702</v>
      </c>
      <c r="I1817" t="s">
        <v>3700</v>
      </c>
      <c r="J1817">
        <f>VLOOKUP(F1817,[1]!china_towns_second__2[[Column1]:[Y]],3,FALSE)</f>
        <v>36.333790480917102</v>
      </c>
      <c r="K1817">
        <f>VLOOKUP(F1817,[1]!china_towns_second__2[[Column1]:[Y]],2,FALSE)</f>
        <v>115.9234719</v>
      </c>
      <c r="L1817" t="s">
        <v>6639</v>
      </c>
      <c r="M1817" t="str">
        <f>VLOOKUP(H1817,CHOOSE({1,2},Table17[Native],Table17[Name]),2,0)</f>
        <v>Dōngchāngfŭ Qū</v>
      </c>
      <c r="N1817" s="15" t="str">
        <f>VLOOKUP(I1817,CHOOSE({1,2},Table17[Native],Table17[Name]),2,0)</f>
        <v>Liáochéng Shì</v>
      </c>
      <c r="O1817" s="15" t="str">
        <f t="shared" si="56"/>
        <v>Zhulaozhuang Zhen (Liáochéng Shì)</v>
      </c>
      <c r="P1817" s="15" t="str">
        <f t="shared" si="57"/>
        <v>Zhulaozhuang Zhen (Liáochéng Shì)</v>
      </c>
    </row>
    <row r="1818" spans="1:16" hidden="1" x14ac:dyDescent="0.25">
      <c r="A1818" t="s">
        <v>2890</v>
      </c>
      <c r="B1818" t="str">
        <f>IF(COUNTIF(A:A,A1818)&gt;1,_xlfn.CONCAT(A1818," (",N1818,")"),A1818)</f>
        <v>Zhūlĭ Jiēdào</v>
      </c>
      <c r="C1818" t="str">
        <f>IF(COUNTIF(B:B,B1818)&gt;1,_xlfn.CONCAT(A1818," (",M1818,")"),B1818)</f>
        <v>Zhūlĭ Jiēdào</v>
      </c>
      <c r="D1818" t="s">
        <v>2891</v>
      </c>
      <c r="E1818" t="s">
        <v>7</v>
      </c>
      <c r="F1818" t="str">
        <f>_xlfn.CONCAT(D1818,", ",H1818,", ",I1818,", ","山东省")</f>
        <v>朱里街道, 寒亭区, 潍坊市, 山东省</v>
      </c>
      <c r="G1818">
        <v>60708</v>
      </c>
      <c r="H1818" t="s">
        <v>3757</v>
      </c>
      <c r="I1818" t="s">
        <v>3751</v>
      </c>
      <c r="J1818">
        <f>VLOOKUP(F1818,[1]!china_towns_second__2[[Column1]:[Y]],3,FALSE)</f>
        <v>36.761954415090599</v>
      </c>
      <c r="K1818">
        <f>VLOOKUP(F1818,[1]!china_towns_second__2[[Column1]:[Y]],2,FALSE)</f>
        <v>119.3315752</v>
      </c>
      <c r="L1818" t="s">
        <v>6640</v>
      </c>
      <c r="M1818" t="str">
        <f>VLOOKUP(H1818,CHOOSE({1,2},Table17[Native],Table17[Name]),2,0)</f>
        <v>Hántíng Qū</v>
      </c>
      <c r="N1818" s="15" t="str">
        <f>VLOOKUP(I1818,CHOOSE({1,2},Table17[Native],Table17[Name]),2,0)</f>
        <v>Wéifāng Shì</v>
      </c>
      <c r="O1818" s="15" t="str">
        <f t="shared" si="56"/>
        <v>Zhuli Jiedao (Wéifāng Shì)</v>
      </c>
      <c r="P1818" s="15" t="str">
        <f t="shared" si="57"/>
        <v>Zhuli Jiedao (Wéifāng Shì)</v>
      </c>
    </row>
    <row r="1819" spans="1:16" hidden="1" x14ac:dyDescent="0.25">
      <c r="A1819" t="s">
        <v>2892</v>
      </c>
      <c r="B1819" t="str">
        <f>IF(COUNTIF(A:A,A1819)&gt;1,_xlfn.CONCAT(A1819," (",N1819,")"),A1819)</f>
        <v>Zhūliú Jiēdào</v>
      </c>
      <c r="C1819" t="str">
        <f>IF(COUNTIF(B:B,B1819)&gt;1,_xlfn.CONCAT(A1819," (",M1819,")"),B1819)</f>
        <v>Zhūliú Jiēdào</v>
      </c>
      <c r="D1819" t="s">
        <v>2893</v>
      </c>
      <c r="E1819" t="s">
        <v>7</v>
      </c>
      <c r="F1819" t="str">
        <f>_xlfn.CONCAT(D1819,", ",H1819,", ",I1819,", ","山东省")</f>
        <v>朱刘街道, 昌乐县, 潍坊市, 山东省</v>
      </c>
      <c r="G1819">
        <v>33925</v>
      </c>
      <c r="H1819" t="s">
        <v>3753</v>
      </c>
      <c r="I1819" t="s">
        <v>3751</v>
      </c>
      <c r="J1819">
        <f>VLOOKUP(F1819,[1]!china_towns_second__2[[Column1]:[Y]],3,FALSE)</f>
        <v>36.711645241525602</v>
      </c>
      <c r="K1819">
        <f>VLOOKUP(F1819,[1]!china_towns_second__2[[Column1]:[Y]],2,FALSE)</f>
        <v>118.9209592</v>
      </c>
      <c r="L1819" t="s">
        <v>6641</v>
      </c>
      <c r="M1819" t="str">
        <f>VLOOKUP(H1819,CHOOSE({1,2},Table17[Native],Table17[Name]),2,0)</f>
        <v>Chānglè Xiàn</v>
      </c>
      <c r="N1819" s="15" t="str">
        <f>VLOOKUP(I1819,CHOOSE({1,2},Table17[Native],Table17[Name]),2,0)</f>
        <v>Wéifāng Shì</v>
      </c>
      <c r="O1819" s="15" t="str">
        <f t="shared" si="56"/>
        <v>Zhuliu Jiedao (Wéifāng Shì)</v>
      </c>
      <c r="P1819" s="15" t="str">
        <f t="shared" si="57"/>
        <v>Zhuliu Jiedao (Wéifāng Shì)</v>
      </c>
    </row>
    <row r="1820" spans="1:16" hidden="1" x14ac:dyDescent="0.25">
      <c r="A1820" t="s">
        <v>2098</v>
      </c>
      <c r="B1820" t="str">
        <f>IF(COUNTIF(A:A,A1820)&gt;1,_xlfn.CONCAT(A1820," (",N1820,")"),A1820)</f>
        <v>Zhūlú Zhèn</v>
      </c>
      <c r="C1820" t="str">
        <f>IF(COUNTIF(B:B,B1820)&gt;1,_xlfn.CONCAT(A1820," (",M1820,")"),B1820)</f>
        <v>Zhūlú Zhèn</v>
      </c>
      <c r="D1820" t="s">
        <v>2099</v>
      </c>
      <c r="E1820" t="s">
        <v>13</v>
      </c>
      <c r="F1820" t="str">
        <f>_xlfn.CONCAT(D1820,", ",H1820,", ",I1820,", ","山东省")</f>
        <v>朱芦镇, 莒南县, 临沂市, 山东省</v>
      </c>
      <c r="G1820">
        <v>30679</v>
      </c>
      <c r="H1820" t="s">
        <v>3713</v>
      </c>
      <c r="I1820" t="s">
        <v>3710</v>
      </c>
      <c r="J1820">
        <f>VLOOKUP(F1820,[1]!china_towns_second__2[[Column1]:[Y]],3,FALSE)</f>
        <v>35.271366518849497</v>
      </c>
      <c r="K1820">
        <f>VLOOKUP(F1820,[1]!china_towns_second__2[[Column1]:[Y]],2,FALSE)</f>
        <v>119.13353499999999</v>
      </c>
      <c r="L1820" t="s">
        <v>6642</v>
      </c>
      <c r="M1820" t="str">
        <f>VLOOKUP(H1820,CHOOSE({1,2},Table17[Native],Table17[Name]),2,0)</f>
        <v>Jŭnán Xiàn</v>
      </c>
      <c r="N1820" s="15" t="str">
        <f>VLOOKUP(I1820,CHOOSE({1,2},Table17[Native],Table17[Name]),2,0)</f>
        <v>Línyí Shì</v>
      </c>
      <c r="O1820" s="15" t="str">
        <f t="shared" si="56"/>
        <v>Zhulu Zhen (Línyí Shì)</v>
      </c>
      <c r="P1820" s="15" t="str">
        <f t="shared" si="57"/>
        <v>Zhulu Zhen (Línyí Shì)</v>
      </c>
    </row>
    <row r="1821" spans="1:16" hidden="1" x14ac:dyDescent="0.25">
      <c r="A1821" t="s">
        <v>3336</v>
      </c>
      <c r="B1821" t="str">
        <f>IF(COUNTIF(A:A,A1821)&gt;1,_xlfn.CONCAT(A1821," (",N1821,")"),A1821)</f>
        <v>Zhūqiáo Zhèn</v>
      </c>
      <c r="C1821" t="str">
        <f>IF(COUNTIF(B:B,B1821)&gt;1,_xlfn.CONCAT(A1821," (",M1821,")"),B1821)</f>
        <v>Zhūqiáo Zhèn</v>
      </c>
      <c r="D1821" t="s">
        <v>3337</v>
      </c>
      <c r="E1821" t="s">
        <v>13</v>
      </c>
      <c r="F1821" t="str">
        <f>_xlfn.CONCAT(D1821,", ",H1821,", ",I1821,", ","山东省")</f>
        <v>朱桥镇, 莱州市, 烟台市, 山东省</v>
      </c>
      <c r="G1821">
        <v>59726</v>
      </c>
      <c r="H1821" t="s">
        <v>3776</v>
      </c>
      <c r="I1821" t="s">
        <v>3771</v>
      </c>
      <c r="J1821">
        <f>VLOOKUP(F1821,[1]!china_towns_second__2[[Column1]:[Y]],3,FALSE)</f>
        <v>37.334253185013502</v>
      </c>
      <c r="K1821">
        <f>VLOOKUP(F1821,[1]!china_towns_second__2[[Column1]:[Y]],2,FALSE)</f>
        <v>120.1185847</v>
      </c>
      <c r="L1821" t="s">
        <v>6643</v>
      </c>
      <c r="M1821" t="str">
        <f>VLOOKUP(H1821,CHOOSE({1,2},Table17[Native],Table17[Name]),2,0)</f>
        <v>Láizhōu Shì</v>
      </c>
      <c r="N1821" s="15" t="str">
        <f>VLOOKUP(I1821,CHOOSE({1,2},Table17[Native],Table17[Name]),2,0)</f>
        <v>Yāntái Shì</v>
      </c>
      <c r="O1821" s="15" t="str">
        <f t="shared" si="56"/>
        <v>Zhuqiao Zhen (Yāntái Shì)</v>
      </c>
      <c r="P1821" s="15" t="str">
        <f t="shared" si="57"/>
        <v>Zhuqiao Zhen (Yāntái Shì)</v>
      </c>
    </row>
    <row r="1822" spans="1:16" hidden="1" x14ac:dyDescent="0.25">
      <c r="A1822" t="s">
        <v>2387</v>
      </c>
      <c r="B1822" t="str">
        <f>IF(COUNTIF(A:A,A1822)&gt;1,_xlfn.CONCAT(A1822," (",N1822,")"),A1822)</f>
        <v>Zhūshān Jiēdào</v>
      </c>
      <c r="C1822" t="str">
        <f>IF(COUNTIF(B:B,B1822)&gt;1,_xlfn.CONCAT(A1822," (",M1822,")"),B1822)</f>
        <v>Zhūshān Jiēdào</v>
      </c>
      <c r="D1822" t="s">
        <v>2388</v>
      </c>
      <c r="E1822" t="s">
        <v>7</v>
      </c>
      <c r="F1822" t="str">
        <f>_xlfn.CONCAT(D1822,", ",H1822,", ",I1822,", ","山东省")</f>
        <v>珠山街道, 黄岛区, 青岛市, 山东省</v>
      </c>
      <c r="G1822">
        <v>85981</v>
      </c>
      <c r="H1822" t="s">
        <v>3726</v>
      </c>
      <c r="I1822" t="s">
        <v>3724</v>
      </c>
      <c r="J1822">
        <f>VLOOKUP(F1822,[1]!china_towns_second__2[[Column1]:[Y]],3,FALSE)</f>
        <v>35.8956662788542</v>
      </c>
      <c r="K1822">
        <f>VLOOKUP(F1822,[1]!china_towns_second__2[[Column1]:[Y]],2,FALSE)</f>
        <v>119.9506447</v>
      </c>
      <c r="L1822" t="s">
        <v>6644</v>
      </c>
      <c r="M1822" t="str">
        <f>VLOOKUP(H1822,CHOOSE({1,2},Table17[Native],Table17[Name]),2,0)</f>
        <v>Huángdăo Qū</v>
      </c>
      <c r="N1822" s="15" t="str">
        <f>VLOOKUP(I1822,CHOOSE({1,2},Table17[Native],Table17[Name]),2,0)</f>
        <v>Qīngdăo Shì</v>
      </c>
      <c r="O1822" s="15" t="str">
        <f t="shared" si="56"/>
        <v>Zhushan Jiedao (Qīngdăo Shì)</v>
      </c>
      <c r="P1822" s="15" t="str">
        <f t="shared" si="57"/>
        <v>Zhushan Jiedao (Qīngdăo Shì)</v>
      </c>
    </row>
    <row r="1823" spans="1:16" hidden="1" x14ac:dyDescent="0.25">
      <c r="A1823" t="s">
        <v>3626</v>
      </c>
      <c r="B1823" t="str">
        <f>IF(COUNTIF(A:A,A1823)&gt;1,_xlfn.CONCAT(A1823," (",N1823,")"),A1823)</f>
        <v>Zhūtái Zhèn</v>
      </c>
      <c r="C1823" t="str">
        <f>IF(COUNTIF(B:B,B1823)&gt;1,_xlfn.CONCAT(A1823," (",M1823,")"),B1823)</f>
        <v>Zhūtái Zhèn</v>
      </c>
      <c r="D1823" t="s">
        <v>3627</v>
      </c>
      <c r="E1823" t="s">
        <v>13</v>
      </c>
      <c r="F1823" t="str">
        <f>_xlfn.CONCAT(D1823,", ",H1823,", ",I1823,", ","山东省")</f>
        <v>朱台镇, 临淄区, 淄博市, 山东省</v>
      </c>
      <c r="G1823">
        <v>49375</v>
      </c>
      <c r="H1823" t="s">
        <v>3795</v>
      </c>
      <c r="I1823" t="s">
        <v>3791</v>
      </c>
      <c r="J1823">
        <f>VLOOKUP(F1823,[1]!china_towns_second__2[[Column1]:[Y]],3,FALSE)</f>
        <v>36.949994049110103</v>
      </c>
      <c r="K1823">
        <f>VLOOKUP(F1823,[1]!china_towns_second__2[[Column1]:[Y]],2,FALSE)</f>
        <v>118.2345189</v>
      </c>
      <c r="L1823" t="s">
        <v>6645</v>
      </c>
      <c r="M1823" t="str">
        <f>VLOOKUP(H1823,CHOOSE({1,2},Table17[Native],Table17[Name]),2,0)</f>
        <v>Línzī Qū</v>
      </c>
      <c r="N1823" s="15" t="str">
        <f>VLOOKUP(I1823,CHOOSE({1,2},Table17[Native],Table17[Name]),2,0)</f>
        <v>Zībó Shì</v>
      </c>
      <c r="O1823" s="15" t="str">
        <f t="shared" si="56"/>
        <v>Zhutai Zhen (Zībó Shì)</v>
      </c>
      <c r="P1823" s="15" t="str">
        <f t="shared" si="57"/>
        <v>Zhutai Zhen (Zībó Shì)</v>
      </c>
    </row>
    <row r="1824" spans="1:16" hidden="1" x14ac:dyDescent="0.25">
      <c r="A1824" t="s">
        <v>2100</v>
      </c>
      <c r="B1824" t="str">
        <f>IF(COUNTIF(A:A,A1824)&gt;1,_xlfn.CONCAT(A1824," (",N1824,")"),A1824)</f>
        <v>Zhūtián Zhèn</v>
      </c>
      <c r="C1824" t="str">
        <f>IF(COUNTIF(B:B,B1824)&gt;1,_xlfn.CONCAT(A1824," (",M1824,")"),B1824)</f>
        <v>Zhūtián Zhèn</v>
      </c>
      <c r="D1824" t="s">
        <v>2101</v>
      </c>
      <c r="E1824" t="s">
        <v>13</v>
      </c>
      <c r="F1824" t="str">
        <f>_xlfn.CONCAT(D1824,", ",H1824,", ",I1824,", ","山东省")</f>
        <v>朱田镇, 费县, 临沂市, 山东省</v>
      </c>
      <c r="G1824">
        <v>50623</v>
      </c>
      <c r="H1824" t="s">
        <v>3711</v>
      </c>
      <c r="I1824" t="s">
        <v>3710</v>
      </c>
      <c r="J1824">
        <f>VLOOKUP(F1824,[1]!china_towns_second__2[[Column1]:[Y]],3,FALSE)</f>
        <v>35.239865364707398</v>
      </c>
      <c r="K1824">
        <f>VLOOKUP(F1824,[1]!china_towns_second__2[[Column1]:[Y]],2,FALSE)</f>
        <v>117.7874206</v>
      </c>
      <c r="L1824" t="s">
        <v>6646</v>
      </c>
      <c r="M1824" t="str">
        <f>VLOOKUP(H1824,CHOOSE({1,2},Table17[Native],Table17[Name]),2,0)</f>
        <v>Fèi Xiàn</v>
      </c>
      <c r="N1824" s="15" t="str">
        <f>VLOOKUP(I1824,CHOOSE({1,2},Table17[Native],Table17[Name]),2,0)</f>
        <v>Línyí Shì</v>
      </c>
      <c r="O1824" s="15" t="str">
        <f t="shared" si="56"/>
        <v>Zhutian Zhen (Línyí Shì)</v>
      </c>
      <c r="P1824" s="15" t="str">
        <f t="shared" si="57"/>
        <v>Zhutian Zhen (Línyí Shì)</v>
      </c>
    </row>
    <row r="1825" spans="1:16" hidden="1" x14ac:dyDescent="0.25">
      <c r="A1825" t="s">
        <v>3034</v>
      </c>
      <c r="B1825" t="str">
        <f>IF(COUNTIF(A:A,A1825)&gt;1,_xlfn.CONCAT(A1825," (",N1825,")"),A1825)</f>
        <v>Zhūwăng Zhèn</v>
      </c>
      <c r="C1825" t="str">
        <f>IF(COUNTIF(B:B,B1825)&gt;1,_xlfn.CONCAT(A1825," (",M1825,")"),B1825)</f>
        <v>Zhūwăng Zhèn</v>
      </c>
      <c r="D1825" t="s">
        <v>3035</v>
      </c>
      <c r="E1825" t="s">
        <v>13</v>
      </c>
      <c r="F1825" t="str">
        <f>_xlfn.CONCAT(D1825,", ",H1825,", ",I1825,", ","山东省")</f>
        <v>诸往镇, 乳山市, 威海市, 山东省</v>
      </c>
      <c r="G1825">
        <v>38557</v>
      </c>
      <c r="H1825" t="s">
        <v>3768</v>
      </c>
      <c r="I1825" t="s">
        <v>3765</v>
      </c>
      <c r="J1825">
        <f>VLOOKUP(F1825,[1]!china_towns_second__2[[Column1]:[Y]],3,FALSE)</f>
        <v>36.975961922758998</v>
      </c>
      <c r="K1825">
        <f>VLOOKUP(F1825,[1]!china_towns_second__2[[Column1]:[Y]],2,FALSE)</f>
        <v>121.3132907</v>
      </c>
      <c r="L1825" t="s">
        <v>6647</v>
      </c>
      <c r="M1825" t="str">
        <f>VLOOKUP(H1825,CHOOSE({1,2},Table17[Native],Table17[Name]),2,0)</f>
        <v>Rŭshān Shì</v>
      </c>
      <c r="N1825" s="15" t="str">
        <f>VLOOKUP(I1825,CHOOSE({1,2},Table17[Native],Table17[Name]),2,0)</f>
        <v>Wēihăi Shì</v>
      </c>
      <c r="O1825" s="15" t="str">
        <f t="shared" si="56"/>
        <v>Zhuwang Zhen (Wēihăi Shì)</v>
      </c>
      <c r="P1825" s="15" t="str">
        <f t="shared" si="57"/>
        <v>Zhuwang Zhen (Wēihăi Shì)</v>
      </c>
    </row>
    <row r="1826" spans="1:16" hidden="1" x14ac:dyDescent="0.25">
      <c r="A1826" t="s">
        <v>3338</v>
      </c>
      <c r="B1826" t="str">
        <f>IF(COUNTIF(A:A,A1826)&gt;1,_xlfn.CONCAT(A1826," (",N1826,")"),A1826)</f>
        <v>Zhūwú Zhèn</v>
      </c>
      <c r="C1826" t="str">
        <f>IF(COUNTIF(B:B,B1826)&gt;1,_xlfn.CONCAT(A1826," (",M1826,")"),B1826)</f>
        <v>Zhūwú Zhèn</v>
      </c>
      <c r="D1826" t="s">
        <v>3339</v>
      </c>
      <c r="E1826" t="s">
        <v>13</v>
      </c>
      <c r="F1826" t="str">
        <f>_xlfn.CONCAT(D1826,", ",H1826,", ",I1826,", ","山东省")</f>
        <v>朱吴镇, 海阳市, 烟台市, 山东省</v>
      </c>
      <c r="G1826">
        <v>35332</v>
      </c>
      <c r="H1826" t="s">
        <v>3773</v>
      </c>
      <c r="I1826" t="s">
        <v>3771</v>
      </c>
      <c r="J1826">
        <f>VLOOKUP(F1826,[1]!china_towns_second__2[[Column1]:[Y]],3,FALSE)</f>
        <v>36.916031723036198</v>
      </c>
      <c r="K1826">
        <f>VLOOKUP(F1826,[1]!china_towns_second__2[[Column1]:[Y]],2,FALSE)</f>
        <v>121.1167701</v>
      </c>
      <c r="L1826" t="s">
        <v>6648</v>
      </c>
      <c r="M1826" t="str">
        <f>VLOOKUP(H1826,CHOOSE({1,2},Table17[Native],Table17[Name]),2,0)</f>
        <v>Hăiyáng Shì</v>
      </c>
      <c r="N1826" s="15" t="str">
        <f>VLOOKUP(I1826,CHOOSE({1,2},Table17[Native],Table17[Name]),2,0)</f>
        <v>Yāntái Shì</v>
      </c>
      <c r="O1826" s="15" t="str">
        <f t="shared" si="56"/>
        <v>Zhuwu Zhen (Yāntái Shì)</v>
      </c>
      <c r="P1826" s="15" t="str">
        <f t="shared" si="57"/>
        <v>Zhuwu Zhen (Yāntái Shì)</v>
      </c>
    </row>
    <row r="1827" spans="1:16" hidden="1" x14ac:dyDescent="0.25">
      <c r="A1827" t="s">
        <v>2667</v>
      </c>
      <c r="B1827" t="str">
        <f>IF(COUNTIF(A:A,A1827)&gt;1,_xlfn.CONCAT(A1827," (",N1827,")"),A1827)</f>
        <v>Zhùyáng Zhèn</v>
      </c>
      <c r="C1827" t="str">
        <f>IF(COUNTIF(B:B,B1827)&gt;1,_xlfn.CONCAT(A1827," (",M1827,")"),B1827)</f>
        <v>Zhùyáng Zhèn</v>
      </c>
      <c r="D1827" t="s">
        <v>2668</v>
      </c>
      <c r="E1827" t="s">
        <v>13</v>
      </c>
      <c r="F1827" t="str">
        <f>_xlfn.CONCAT(D1827,", ",H1827,", ",I1827,", ","山东省")</f>
        <v>祝阳镇, 岱岳区, 泰安市, 山东省</v>
      </c>
      <c r="G1827">
        <v>52618</v>
      </c>
      <c r="H1827" t="s">
        <v>3744</v>
      </c>
      <c r="I1827" t="s">
        <v>3743</v>
      </c>
      <c r="J1827">
        <f>VLOOKUP(F1827,[1]!china_towns_second__2[[Column1]:[Y]],3,FALSE)</f>
        <v>36.271260651636098</v>
      </c>
      <c r="K1827">
        <f>VLOOKUP(F1827,[1]!china_towns_second__2[[Column1]:[Y]],2,FALSE)</f>
        <v>117.32921709999999</v>
      </c>
      <c r="L1827" t="s">
        <v>6649</v>
      </c>
      <c r="M1827" t="str">
        <f>VLOOKUP(H1827,CHOOSE({1,2},Table17[Native],Table17[Name]),2,0)</f>
        <v>Dàiyuè Qū</v>
      </c>
      <c r="N1827" s="15" t="str">
        <f>VLOOKUP(I1827,CHOOSE({1,2},Table17[Native],Table17[Name]),2,0)</f>
        <v>Tài'ān Shì</v>
      </c>
      <c r="O1827" s="15" t="str">
        <f t="shared" si="56"/>
        <v>Zhuyang Zhen (Tài'ān Shì)</v>
      </c>
      <c r="P1827" s="15" t="str">
        <f t="shared" si="57"/>
        <v>Zhuyang Zhen (Tài'ān Shì)</v>
      </c>
    </row>
    <row r="1828" spans="1:16" hidden="1" x14ac:dyDescent="0.25">
      <c r="A1828" t="s">
        <v>3340</v>
      </c>
      <c r="B1828" t="str">
        <f>IF(COUNTIF(A:A,A1828)&gt;1,_xlfn.CONCAT(A1828," (",N1828,")"),A1828)</f>
        <v>Zhūyóuguān Zhèn</v>
      </c>
      <c r="C1828" t="str">
        <f>IF(COUNTIF(B:B,B1828)&gt;1,_xlfn.CONCAT(A1828," (",M1828,")"),B1828)</f>
        <v>Zhūyóuguān Zhèn</v>
      </c>
      <c r="D1828" t="s">
        <v>3341</v>
      </c>
      <c r="E1828" t="s">
        <v>13</v>
      </c>
      <c r="F1828" t="str">
        <f>_xlfn.CONCAT(D1828,", ",H1828,", ",I1828,", ","山东省")</f>
        <v>诸由观镇, 龙口市, 烟台市, 山东省</v>
      </c>
      <c r="G1828">
        <v>51771</v>
      </c>
      <c r="H1828" t="s">
        <v>3777</v>
      </c>
      <c r="I1828" t="s">
        <v>3771</v>
      </c>
      <c r="J1828">
        <f>VLOOKUP(F1828,[1]!china_towns_second__2[[Column1]:[Y]],3,FALSE)</f>
        <v>37.703724454790901</v>
      </c>
      <c r="K1828">
        <f>VLOOKUP(F1828,[1]!china_towns_second__2[[Column1]:[Y]],2,FALSE)</f>
        <v>120.5642126</v>
      </c>
      <c r="L1828" t="s">
        <v>6650</v>
      </c>
      <c r="M1828" t="str">
        <f>VLOOKUP(H1828,CHOOSE({1,2},Table17[Native],Table17[Name]),2,0)</f>
        <v>Lóngkŏu Shì</v>
      </c>
      <c r="N1828" s="15" t="str">
        <f>VLOOKUP(I1828,CHOOSE({1,2},Table17[Native],Table17[Name]),2,0)</f>
        <v>Yāntái Shì</v>
      </c>
      <c r="O1828" s="15" t="str">
        <f t="shared" si="56"/>
        <v>Zhuyouguan Zhen (Yāntái Shì)</v>
      </c>
      <c r="P1828" s="15" t="str">
        <f t="shared" si="57"/>
        <v>Zhuyouguan Zhen (Yāntái Shì)</v>
      </c>
    </row>
    <row r="1829" spans="1:16" hidden="1" x14ac:dyDescent="0.25">
      <c r="A1829" t="s">
        <v>467</v>
      </c>
      <c r="B1829" t="str">
        <f>IF(COUNTIF(A:A,A1829)&gt;1,_xlfn.CONCAT(A1829," (",N1829,")"),A1829)</f>
        <v>Zī Zhèn</v>
      </c>
      <c r="C1829" t="str">
        <f>IF(COUNTIF(B:B,B1829)&gt;1,_xlfn.CONCAT(A1829," (",M1829,")"),B1829)</f>
        <v>Zī Zhèn</v>
      </c>
      <c r="D1829" t="s">
        <v>468</v>
      </c>
      <c r="E1829" t="s">
        <v>13</v>
      </c>
      <c r="F1829" t="str">
        <f>_xlfn.CONCAT(D1829,", ",H1829,", ",I1829,", ","山东省")</f>
        <v>滋镇, 陵城区, 德州市, 山东省</v>
      </c>
      <c r="G1829">
        <v>35326</v>
      </c>
      <c r="H1829" t="s">
        <v>3645</v>
      </c>
      <c r="I1829" t="s">
        <v>3642</v>
      </c>
      <c r="J1829">
        <f>VLOOKUP(F1829,[1]!china_towns_second__2[[Column1]:[Y]],3,FALSE)</f>
        <v>37.365883322522599</v>
      </c>
      <c r="K1829">
        <f>VLOOKUP(F1829,[1]!china_towns_second__2[[Column1]:[Y]],2,FALSE)</f>
        <v>116.8160549</v>
      </c>
      <c r="L1829" t="s">
        <v>6651</v>
      </c>
      <c r="M1829" t="str">
        <f>VLOOKUP(H1829,CHOOSE({1,2},Table17[Native],Table17[Name]),2,0)</f>
        <v>Língchéng Qū</v>
      </c>
      <c r="N1829" s="15" t="str">
        <f>VLOOKUP(I1829,CHOOSE({1,2},Table17[Native],Table17[Name]),2,0)</f>
        <v>Dézhōu Shì</v>
      </c>
      <c r="O1829" s="15" t="str">
        <f t="shared" si="56"/>
        <v>Zi Zhen (Dézhōu Shì)</v>
      </c>
      <c r="P1829" s="15" t="str">
        <f t="shared" si="57"/>
        <v>Zi Zhen (Dézhōu Shì)</v>
      </c>
    </row>
    <row r="1830" spans="1:16" hidden="1" x14ac:dyDescent="0.25">
      <c r="A1830" t="s">
        <v>197</v>
      </c>
      <c r="B1830" t="str">
        <f>IF(COUNTIF(A:A,A1830)&gt;1,_xlfn.CONCAT(A1830," (",N1830,")"),A1830)</f>
        <v>Zījiăo Zhèn</v>
      </c>
      <c r="C1830" t="str">
        <f>IF(COUNTIF(B:B,B1830)&gt;1,_xlfn.CONCAT(A1830," (",M1830,")"),B1830)</f>
        <v>Zījiăo Zhèn</v>
      </c>
      <c r="D1830" t="s">
        <v>198</v>
      </c>
      <c r="E1830" t="s">
        <v>13</v>
      </c>
      <c r="F1830" t="str">
        <f>_xlfn.CONCAT(D1830,", ",H1830,", ",I1830,", ","山东省")</f>
        <v>淄角镇, 惠民县, 滨州市, 山东省</v>
      </c>
      <c r="G1830">
        <v>30184</v>
      </c>
      <c r="H1830" t="s">
        <v>3635</v>
      </c>
      <c r="I1830" t="s">
        <v>3630</v>
      </c>
      <c r="J1830">
        <f>VLOOKUP(F1830,[1]!china_towns_second__2[[Column1]:[Y]],3,FALSE)</f>
        <v>37.333388852062797</v>
      </c>
      <c r="K1830">
        <f>VLOOKUP(F1830,[1]!china_towns_second__2[[Column1]:[Y]],2,FALSE)</f>
        <v>117.445959</v>
      </c>
      <c r="L1830" t="s">
        <v>6652</v>
      </c>
      <c r="M1830" t="str">
        <f>VLOOKUP(H1830,CHOOSE({1,2},Table17[Native],Table17[Name]),2,0)</f>
        <v>Huìmín Xiàn</v>
      </c>
      <c r="N1830" s="15" t="str">
        <f>VLOOKUP(I1830,CHOOSE({1,2},Table17[Native],Table17[Name]),2,0)</f>
        <v>Bīnzhōu Shì</v>
      </c>
      <c r="O1830" s="15" t="str">
        <f t="shared" si="56"/>
        <v>Zijiao Zhen (Bīnzhōu Shì)</v>
      </c>
      <c r="P1830" s="15" t="str">
        <f t="shared" si="57"/>
        <v>Zijiao Zhen (Bīnzhōu Shì)</v>
      </c>
    </row>
    <row r="1831" spans="1:16" hidden="1" x14ac:dyDescent="0.25">
      <c r="A1831" t="s">
        <v>3342</v>
      </c>
      <c r="B1831" t="str">
        <f>IF(COUNTIF(A:A,A1831)&gt;1,_xlfn.CONCAT(A1831," (",N1831,")"),A1831)</f>
        <v>Zĭjīngshān Jiēdào</v>
      </c>
      <c r="C1831" t="str">
        <f>IF(COUNTIF(B:B,B1831)&gt;1,_xlfn.CONCAT(A1831," (",M1831,")"),B1831)</f>
        <v>Zĭjīngshān Jiēdào</v>
      </c>
      <c r="D1831" t="s">
        <v>3343</v>
      </c>
      <c r="E1831" t="s">
        <v>7</v>
      </c>
      <c r="F1831" t="str">
        <f>_xlfn.CONCAT(D1831,", ",H1831,", ",I1831,", ","山东省")</f>
        <v>紫荆山街道, 蓬莱区, 烟台市, 山东省</v>
      </c>
      <c r="G1831">
        <v>37199</v>
      </c>
      <c r="H1831" t="s">
        <v>3779</v>
      </c>
      <c r="I1831" t="s">
        <v>3771</v>
      </c>
      <c r="J1831">
        <f>VLOOKUP(F1831,[1]!china_towns_second__2[[Column1]:[Y]],3,FALSE)</f>
        <v>37.789939182436498</v>
      </c>
      <c r="K1831">
        <f>VLOOKUP(F1831,[1]!china_towns_second__2[[Column1]:[Y]],2,FALSE)</f>
        <v>120.72441120000001</v>
      </c>
      <c r="L1831" t="s">
        <v>6653</v>
      </c>
      <c r="M1831" t="str">
        <f>VLOOKUP(H1831,CHOOSE({1,2},Table17[Native],Table17[Name]),2,0)</f>
        <v>Pénglái Qū</v>
      </c>
      <c r="N1831" s="15" t="str">
        <f>VLOOKUP(I1831,CHOOSE({1,2},Table17[Native],Table17[Name]),2,0)</f>
        <v>Yāntái Shì</v>
      </c>
      <c r="O1831" s="15" t="str">
        <f t="shared" si="56"/>
        <v>Zijingshan Jiedao (Yāntái Shì)</v>
      </c>
      <c r="P1831" s="15" t="str">
        <f t="shared" si="57"/>
        <v>Zijingshan Jiedao (Yāntái Shì)</v>
      </c>
    </row>
    <row r="1832" spans="1:16" hidden="1" x14ac:dyDescent="0.25">
      <c r="A1832" t="s">
        <v>3458</v>
      </c>
      <c r="B1832" t="str">
        <f>IF(COUNTIF(A:A,A1832)&gt;1,_xlfn.CONCAT(A1832," (",N1832,")"),A1832)</f>
        <v>Zōuwù Zhèn</v>
      </c>
      <c r="C1832" t="str">
        <f>IF(COUNTIF(B:B,B1832)&gt;1,_xlfn.CONCAT(A1832," (",M1832,")"),B1832)</f>
        <v>Zōuwù Zhèn</v>
      </c>
      <c r="D1832" t="s">
        <v>3459</v>
      </c>
      <c r="E1832" t="s">
        <v>13</v>
      </c>
      <c r="F1832" t="str">
        <f>_xlfn.CONCAT(D1832,", ",H1832,", ",I1832,", ","山东省")</f>
        <v>邹坞镇, 薛城区, 枣庄市, 山东省</v>
      </c>
      <c r="G1832">
        <v>39102</v>
      </c>
      <c r="H1832" t="s">
        <v>3788</v>
      </c>
      <c r="I1832" t="s">
        <v>3784</v>
      </c>
      <c r="J1832">
        <f>VLOOKUP(F1832,[1]!china_towns_second__2[[Column1]:[Y]],3,FALSE)</f>
        <v>34.885099035611503</v>
      </c>
      <c r="K1832">
        <f>VLOOKUP(F1832,[1]!china_towns_second__2[[Column1]:[Y]],2,FALSE)</f>
        <v>117.43334299999999</v>
      </c>
      <c r="L1832" t="s">
        <v>6654</v>
      </c>
      <c r="M1832" t="str">
        <f>VLOOKUP(H1832,CHOOSE({1,2},Table17[Native],Table17[Name]),2,0)</f>
        <v>Xuēchéng Qū</v>
      </c>
      <c r="N1832" s="15" t="str">
        <f>VLOOKUP(I1832,CHOOSE({1,2},Table17[Native],Table17[Name]),2,0)</f>
        <v>Zăozhuāng Shì</v>
      </c>
      <c r="O1832" s="15" t="str">
        <f t="shared" si="56"/>
        <v>Zouwu Zhen (Zăozhuāng Shì)</v>
      </c>
      <c r="P1832" s="15" t="str">
        <f t="shared" si="57"/>
        <v>Zouwu Zhen (Zăozhuāng Shì)</v>
      </c>
    </row>
    <row r="1833" spans="1:16" hidden="1" x14ac:dyDescent="0.25">
      <c r="A1833" t="s">
        <v>1790</v>
      </c>
      <c r="B1833" t="str">
        <f>IF(COUNTIF(A:A,A1833)&gt;1,_xlfn.CONCAT(A1833," (",N1833,")"),A1833)</f>
        <v>Zŭdiàn Zhèn</v>
      </c>
      <c r="C1833" t="str">
        <f>IF(COUNTIF(B:B,B1833)&gt;1,_xlfn.CONCAT(A1833," (",M1833,")"),B1833)</f>
        <v>Zŭdiàn Zhèn</v>
      </c>
      <c r="D1833" t="s">
        <v>1791</v>
      </c>
      <c r="E1833" t="s">
        <v>13</v>
      </c>
      <c r="F1833" t="str">
        <f>_xlfn.CONCAT(D1833,", ",H1833,", ",I1833,", ","山东省")</f>
        <v>俎店镇, 莘县, 聊城市, 山东省</v>
      </c>
      <c r="G1833">
        <v>20931</v>
      </c>
      <c r="H1833" t="s">
        <v>3707</v>
      </c>
      <c r="I1833" t="s">
        <v>3700</v>
      </c>
      <c r="J1833">
        <f>VLOOKUP(F1833,[1]!china_towns_second__2[[Column1]:[Y]],3,FALSE)</f>
        <v>36.202795313210899</v>
      </c>
      <c r="K1833">
        <f>VLOOKUP(F1833,[1]!china_towns_second__2[[Column1]:[Y]],2,FALSE)</f>
        <v>115.5592092</v>
      </c>
      <c r="L1833" t="s">
        <v>6655</v>
      </c>
      <c r="M1833" t="str">
        <f>VLOOKUP(H1833,CHOOSE({1,2},Table17[Native],Table17[Name]),2,0)</f>
        <v>Shēn Xiàn</v>
      </c>
      <c r="N1833" s="15" t="str">
        <f>VLOOKUP(I1833,CHOOSE({1,2},Table17[Native],Table17[Name]),2,0)</f>
        <v>Liáochéng Shì</v>
      </c>
      <c r="O1833" s="15" t="str">
        <f t="shared" si="56"/>
        <v>Zudian Zhen (Liáochéng Shì)</v>
      </c>
      <c r="P1833" s="15" t="str">
        <f t="shared" si="57"/>
        <v>Zudian Zhen (Liáochéng Shì)</v>
      </c>
    </row>
    <row r="1834" spans="1:16" hidden="1" x14ac:dyDescent="0.25">
      <c r="A1834" t="s">
        <v>898</v>
      </c>
      <c r="B1834" t="str">
        <f>IF(COUNTIF(A:A,A1834)&gt;1,_xlfn.CONCAT(A1834," (",N1834,")"),A1834)</f>
        <v>Zuŏyíng Zhèn</v>
      </c>
      <c r="C1834" t="str">
        <f>IF(COUNTIF(B:B,B1834)&gt;1,_xlfn.CONCAT(A1834," (",M1834,")"),B1834)</f>
        <v>Zuŏyíng Zhèn</v>
      </c>
      <c r="D1834" t="s">
        <v>899</v>
      </c>
      <c r="E1834" t="s">
        <v>13</v>
      </c>
      <c r="F1834" t="str">
        <f>_xlfn.CONCAT(D1834,", ",H1834,", ",I1834,", ","山东省")</f>
        <v>左营镇, 鄄城县, 菏泽市, 山东省</v>
      </c>
      <c r="G1834">
        <v>40220</v>
      </c>
      <c r="H1834" t="s">
        <v>3667</v>
      </c>
      <c r="I1834" t="s">
        <v>3662</v>
      </c>
      <c r="J1834">
        <f>VLOOKUP(F1834,[1]!china_towns_second__2[[Column1]:[Y]],3,FALSE)</f>
        <v>35.697599089953798</v>
      </c>
      <c r="K1834">
        <f>VLOOKUP(F1834,[1]!china_towns_second__2[[Column1]:[Y]],2,FALSE)</f>
        <v>115.63741779999999</v>
      </c>
      <c r="L1834" t="s">
        <v>6656</v>
      </c>
      <c r="M1834" t="str">
        <f>VLOOKUP(H1834,CHOOSE({1,2},Table17[Native],Table17[Name]),2,0)</f>
        <v>Juànchéng Xiàn</v>
      </c>
      <c r="N1834" s="15" t="str">
        <f>VLOOKUP(I1834,CHOOSE({1,2},Table17[Native],Table17[Name]),2,0)</f>
        <v>Hézé Shì</v>
      </c>
      <c r="O1834" s="15" t="str">
        <f t="shared" si="56"/>
        <v>Zuoying Zhen (Hézé Shì)</v>
      </c>
      <c r="P1834" s="15" t="str">
        <f t="shared" si="57"/>
        <v>Zuoying Zhen (Hézé Shì)</v>
      </c>
    </row>
  </sheetData>
  <phoneticPr fontId="3" type="noConversion"/>
  <conditionalFormatting sqref="J2:J1834">
    <cfRule type="expression" dxfId="13" priority="7">
      <formula>ISERROR(J2)</formula>
    </cfRule>
  </conditionalFormatting>
  <conditionalFormatting sqref="A2:A1834">
    <cfRule type="duplicateValues" dxfId="12" priority="6"/>
  </conditionalFormatting>
  <conditionalFormatting sqref="B2:B1834">
    <cfRule type="duplicateValues" dxfId="11" priority="5"/>
  </conditionalFormatting>
  <conditionalFormatting sqref="C2:C1834">
    <cfRule type="duplicateValues" dxfId="10" priority="4"/>
  </conditionalFormatting>
  <conditionalFormatting sqref="L2:L1834">
    <cfRule type="duplicateValues" dxfId="9" priority="3"/>
  </conditionalFormatting>
  <conditionalFormatting sqref="O2:O1834">
    <cfRule type="duplicateValues" dxfId="8" priority="2"/>
  </conditionalFormatting>
  <conditionalFormatting sqref="P2:P1834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2DD6-42EA-4576-9C38-1E6312FCABB5}">
  <dimension ref="A1:E43"/>
  <sheetViews>
    <sheetView workbookViewId="0">
      <selection activeCell="C2" sqref="C2:C43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3806</v>
      </c>
      <c r="B1" t="s">
        <v>3816</v>
      </c>
      <c r="C1" t="s">
        <v>3808</v>
      </c>
      <c r="D1" t="s">
        <v>3809</v>
      </c>
      <c r="E1" t="s">
        <v>3810</v>
      </c>
    </row>
    <row r="2" spans="1:5" x14ac:dyDescent="0.25">
      <c r="A2" t="s">
        <v>3655</v>
      </c>
      <c r="B2" t="str">
        <f>VLOOKUP(A2,CHOOSE({1,2},Table17[Native],Table17[Name]),2,0)</f>
        <v>Dōngyíng Shì</v>
      </c>
      <c r="C2">
        <v>1142500</v>
      </c>
      <c r="D2">
        <f>VLOOKUP(A2,[1]!Table1[[name]:[@lon]],5,0)</f>
        <v>37.587996199999999</v>
      </c>
      <c r="E2">
        <f>VLOOKUP(A2,[1]!Table1[[name]:[@lon]],6,0)</f>
        <v>118.7605193</v>
      </c>
    </row>
    <row r="3" spans="1:5" x14ac:dyDescent="0.25">
      <c r="A3" t="s">
        <v>3710</v>
      </c>
      <c r="B3" t="str">
        <f>VLOOKUP(A3,CHOOSE({1,2},Table17[Native],Table17[Name]),2,0)</f>
        <v>Línyí Shì</v>
      </c>
      <c r="C3">
        <v>3623145</v>
      </c>
      <c r="D3">
        <f>VLOOKUP(A3,[1]!Table1[[name]:[@lon]],5,0)</f>
        <v>35.2925173</v>
      </c>
      <c r="E3">
        <f>VLOOKUP(A3,[1]!Table1[[name]:[@lon]],6,0)</f>
        <v>118.30311500000001</v>
      </c>
    </row>
    <row r="4" spans="1:5" x14ac:dyDescent="0.25">
      <c r="A4" t="s">
        <v>3768</v>
      </c>
      <c r="B4" t="str">
        <f>VLOOKUP(A4,CHOOSE({1,2},Table17[Native],Table17[Name]),2,0)</f>
        <v>Rŭshān Shì</v>
      </c>
      <c r="C4">
        <v>146554</v>
      </c>
      <c r="D4">
        <f>VLOOKUP(A4,[1]!Table1[[name]:[@lon]],5,0)</f>
        <v>36.629579399999997</v>
      </c>
      <c r="E4">
        <f>VLOOKUP(A4,[1]!Table1[[name]:[@lon]],6,0)</f>
        <v>121.5227696</v>
      </c>
    </row>
    <row r="5" spans="1:5" x14ac:dyDescent="0.25">
      <c r="A5" t="s">
        <v>3767</v>
      </c>
      <c r="B5" t="str">
        <f>VLOOKUP(A5,CHOOSE({1,2},Table17[Native],Table17[Name]),2,0)</f>
        <v>Róngchéng Shì</v>
      </c>
      <c r="C5">
        <v>377292</v>
      </c>
      <c r="D5">
        <f>VLOOKUP(A5,[1]!Table1[[name]:[@lon]],5,0)</f>
        <v>36.998899600000001</v>
      </c>
      <c r="E5">
        <f>VLOOKUP(A5,[1]!Table1[[name]:[@lon]],6,0)</f>
        <v>122.4377339</v>
      </c>
    </row>
    <row r="6" spans="1:5" x14ac:dyDescent="0.25">
      <c r="A6" t="s">
        <v>3765</v>
      </c>
      <c r="B6" t="str">
        <f>VLOOKUP(A6,CHOOSE({1,2},Table17[Native],Table17[Name]),2,0)</f>
        <v>Wēihăi Shì</v>
      </c>
      <c r="C6">
        <v>823397</v>
      </c>
      <c r="D6">
        <f>VLOOKUP(A6,[1]!Table1[[name]:[@lon]],5,0)</f>
        <v>36.891537300000003</v>
      </c>
      <c r="E6">
        <f>VLOOKUP(A6,[1]!Table1[[name]:[@lon]],6,0)</f>
        <v>121.97479420000001</v>
      </c>
    </row>
    <row r="7" spans="1:5" x14ac:dyDescent="0.25">
      <c r="A7" t="s">
        <v>3644</v>
      </c>
      <c r="B7" t="str">
        <f>VLOOKUP(A7,CHOOSE({1,2},Table17[Native],Table17[Name]),2,0)</f>
        <v>Lèlíng Shì</v>
      </c>
      <c r="C7">
        <v>174973</v>
      </c>
      <c r="D7">
        <f>VLOOKUP(A7,[1]!Table1[[name]:[@lon]],5,0)</f>
        <v>37.644360900000002</v>
      </c>
      <c r="E7">
        <f>VLOOKUP(A7,[1]!Table1[[name]:[@lon]],6,0)</f>
        <v>117.1255039</v>
      </c>
    </row>
    <row r="8" spans="1:5" x14ac:dyDescent="0.25">
      <c r="A8" t="s">
        <v>3653</v>
      </c>
      <c r="B8" t="str">
        <f>VLOOKUP(A8,CHOOSE({1,2},Table17[Native],Table17[Name]),2,0)</f>
        <v>Yŭchéng Shì</v>
      </c>
      <c r="C8">
        <v>151441</v>
      </c>
      <c r="D8">
        <f>VLOOKUP(A8,[1]!Table1[[name]:[@lon]],5,0)</f>
        <v>36.935636500000001</v>
      </c>
      <c r="E8">
        <f>VLOOKUP(A8,[1]!Table1[[name]:[@lon]],6,0)</f>
        <v>116.5581481</v>
      </c>
    </row>
    <row r="9" spans="1:5" x14ac:dyDescent="0.25">
      <c r="A9" t="s">
        <v>3642</v>
      </c>
      <c r="B9" t="str">
        <f>VLOOKUP(A9,CHOOSE({1,2},Table17[Native],Table17[Name]),2,0)</f>
        <v>Dézhōu Shì</v>
      </c>
      <c r="C9">
        <v>1556886</v>
      </c>
      <c r="D9">
        <f>VLOOKUP(A9,[1]!Table1[[name]:[@lon]],5,0)</f>
        <v>37.210038900000001</v>
      </c>
      <c r="E9">
        <f>VLOOKUP(A9,[1]!Table1[[name]:[@lon]],6,0)</f>
        <v>116.6775894</v>
      </c>
    </row>
    <row r="10" spans="1:5" x14ac:dyDescent="0.25">
      <c r="A10" t="s">
        <v>3736</v>
      </c>
      <c r="B10" t="str">
        <f>VLOOKUP(A10,CHOOSE({1,2},Table17[Native],Table17[Name]),2,0)</f>
        <v>Rìzhào Shì</v>
      </c>
      <c r="C10">
        <v>1178255</v>
      </c>
      <c r="D10">
        <f>VLOOKUP(A10,[1]!Table1[[name]:[@lon]],5,0)</f>
        <v>35.528876400000001</v>
      </c>
      <c r="E10">
        <f>VLOOKUP(A10,[1]!Table1[[name]:[@lon]],6,0)</f>
        <v>119.3686427</v>
      </c>
    </row>
    <row r="11" spans="1:5" x14ac:dyDescent="0.25">
      <c r="A11" t="s">
        <v>3787</v>
      </c>
      <c r="B11" t="str">
        <f>VLOOKUP(A11,CHOOSE({1,2},Table17[Native],Table17[Name]),2,0)</f>
        <v>Téngzhōu Shì</v>
      </c>
      <c r="C11">
        <v>479826</v>
      </c>
      <c r="D11">
        <f>VLOOKUP(A11,[1]!Table1[[name]:[@lon]],5,0)</f>
        <v>35.062049100000003</v>
      </c>
      <c r="E11">
        <f>VLOOKUP(A11,[1]!Table1[[name]:[@lon]],6,0)</f>
        <v>117.1051341</v>
      </c>
    </row>
    <row r="12" spans="1:5" x14ac:dyDescent="0.25">
      <c r="A12" t="s">
        <v>3784</v>
      </c>
      <c r="B12" t="str">
        <f>VLOOKUP(A12,CHOOSE({1,2},Table17[Native],Table17[Name]),2,0)</f>
        <v>Zăozhuāng Shì</v>
      </c>
      <c r="C12">
        <v>516531</v>
      </c>
      <c r="D12">
        <f>VLOOKUP(A12,[1]!Table1[[name]:[@lon]],5,0)</f>
        <v>34.892056599999997</v>
      </c>
      <c r="E12">
        <f>VLOOKUP(A12,[1]!Table1[[name]:[@lon]],6,0)</f>
        <v>117.3177256</v>
      </c>
    </row>
    <row r="13" spans="1:5" x14ac:dyDescent="0.25">
      <c r="A13" t="s">
        <v>3749</v>
      </c>
      <c r="B13" t="str">
        <f>VLOOKUP(A13,CHOOSE({1,2},Table17[Native],Table17[Name]),2,0)</f>
        <v>Xīntài Shì</v>
      </c>
      <c r="C13">
        <v>335500</v>
      </c>
      <c r="D13">
        <f>VLOOKUP(A13,[1]!Table1[[name]:[@lon]],5,0)</f>
        <v>35.872893599999998</v>
      </c>
      <c r="E13">
        <f>VLOOKUP(A13,[1]!Table1[[name]:[@lon]],6,0)</f>
        <v>117.6206639</v>
      </c>
    </row>
    <row r="14" spans="1:5" x14ac:dyDescent="0.25">
      <c r="A14" t="s">
        <v>3746</v>
      </c>
      <c r="B14" t="str">
        <f>VLOOKUP(A14,CHOOSE({1,2},Table17[Native],Table17[Name]),2,0)</f>
        <v>Féichéng Shì</v>
      </c>
      <c r="C14">
        <v>366386</v>
      </c>
      <c r="D14">
        <f>VLOOKUP(A14,[1]!Table1[[name]:[@lon]],5,0)</f>
        <v>36.100558700000001</v>
      </c>
      <c r="E14">
        <f>VLOOKUP(A14,[1]!Table1[[name]:[@lon]],6,0)</f>
        <v>116.7263244</v>
      </c>
    </row>
    <row r="15" spans="1:5" x14ac:dyDescent="0.25">
      <c r="A15" t="s">
        <v>3743</v>
      </c>
      <c r="B15" t="str">
        <f>VLOOKUP(A15,CHOOSE({1,2},Table17[Native],Table17[Name]),2,0)</f>
        <v>Tài'ān Shì</v>
      </c>
      <c r="C15">
        <v>1237833</v>
      </c>
      <c r="D15">
        <f>VLOOKUP(A15,[1]!Table1[[name]:[@lon]],5,0)</f>
        <v>36.055842699999999</v>
      </c>
      <c r="E15">
        <f>VLOOKUP(A15,[1]!Table1[[name]:[@lon]],6,0)</f>
        <v>117.0190765</v>
      </c>
    </row>
    <row r="16" spans="1:5" x14ac:dyDescent="0.25">
      <c r="A16" t="s">
        <v>3673</v>
      </c>
      <c r="B16" t="str">
        <f>VLOOKUP(A16,CHOOSE({1,2},Table17[Native],Table17[Name]),2,0)</f>
        <v>Jìnán Shì</v>
      </c>
      <c r="C16">
        <v>7200991</v>
      </c>
      <c r="D16">
        <f>VLOOKUP(A16,[1]!Table1[[name]:[@lon]],5,0)</f>
        <v>36.765108400000003</v>
      </c>
      <c r="E16">
        <f>VLOOKUP(A16,[1]!Table1[[name]:[@lon]],6,0)</f>
        <v>117.0959883</v>
      </c>
    </row>
    <row r="17" spans="1:5" x14ac:dyDescent="0.25">
      <c r="A17" t="s">
        <v>3691</v>
      </c>
      <c r="B17" t="str">
        <f>VLOOKUP(A17,CHOOSE({1,2},Table17[Native],Table17[Name]),2,0)</f>
        <v>Qŭfù Shì</v>
      </c>
      <c r="C17">
        <v>289909</v>
      </c>
      <c r="D17">
        <f>VLOOKUP(A17,[1]!Table1[[name]:[@lon]],5,0)</f>
        <v>35.628968499999999</v>
      </c>
      <c r="E17">
        <f>VLOOKUP(A17,[1]!Table1[[name]:[@lon]],6,0)</f>
        <v>117.04296479999999</v>
      </c>
    </row>
    <row r="18" spans="1:5" x14ac:dyDescent="0.25">
      <c r="A18" t="s">
        <v>3698</v>
      </c>
      <c r="B18" t="str">
        <f>VLOOKUP(A18,CHOOSE({1,2},Table17[Native],Table17[Name]),2,0)</f>
        <v>Zōuchéng Shì</v>
      </c>
      <c r="C18">
        <v>277400</v>
      </c>
      <c r="D18">
        <f>VLOOKUP(A18,[1]!Table1[[name]:[@lon]],5,0)</f>
        <v>35.330301300000002</v>
      </c>
      <c r="E18">
        <f>VLOOKUP(A18,[1]!Table1[[name]:[@lon]],6,0)</f>
        <v>117.1064143</v>
      </c>
    </row>
    <row r="19" spans="1:5" x14ac:dyDescent="0.25">
      <c r="A19" t="s">
        <v>3687</v>
      </c>
      <c r="B19" t="str">
        <f>VLOOKUP(A19,CHOOSE({1,2},Table17[Native],Table17[Name]),2,0)</f>
        <v>Jìníng Shì</v>
      </c>
      <c r="C19">
        <v>2541069</v>
      </c>
      <c r="D19">
        <f>VLOOKUP(A19,[1]!Table1[[name]:[@lon]],5,0)</f>
        <v>35.2060849</v>
      </c>
      <c r="E19">
        <f>VLOOKUP(A19,[1]!Table1[[name]:[@lon]],6,0)</f>
        <v>116.72686729999999</v>
      </c>
    </row>
    <row r="20" spans="1:5" x14ac:dyDescent="0.25">
      <c r="A20" t="s">
        <v>3791</v>
      </c>
      <c r="B20" t="str">
        <f>VLOOKUP(A20,CHOOSE({1,2},Table17[Native],Table17[Name]),2,0)</f>
        <v>Zībó Shì</v>
      </c>
      <c r="C20">
        <v>2012195</v>
      </c>
      <c r="D20">
        <f>VLOOKUP(A20,[1]!Table1[[name]:[@lon]],5,0)</f>
        <v>36.603194600000002</v>
      </c>
      <c r="E20">
        <f>VLOOKUP(A20,[1]!Table1[[name]:[@lon]],6,0)</f>
        <v>118.0309286</v>
      </c>
    </row>
    <row r="21" spans="1:5" x14ac:dyDescent="0.25">
      <c r="A21" t="s">
        <v>3640</v>
      </c>
      <c r="B21" t="str">
        <f>VLOOKUP(A21,CHOOSE({1,2},Table17[Native],Table17[Name]),2,0)</f>
        <v>Zōupíng Shì</v>
      </c>
      <c r="C21">
        <v>298205</v>
      </c>
      <c r="D21">
        <f>VLOOKUP(A21,[1]!Table1[[name]:[@lon]],5,0)</f>
        <v>36.9174541</v>
      </c>
      <c r="E21">
        <f>VLOOKUP(A21,[1]!Table1[[name]:[@lon]],6,0)</f>
        <v>117.63347469999999</v>
      </c>
    </row>
    <row r="22" spans="1:5" x14ac:dyDescent="0.25">
      <c r="A22" t="s">
        <v>3630</v>
      </c>
      <c r="B22" t="str">
        <f>VLOOKUP(A22,CHOOSE({1,2},Table17[Native],Table17[Name]),2,0)</f>
        <v>Bīnzhōu Shì</v>
      </c>
      <c r="C22">
        <v>1176717</v>
      </c>
      <c r="D22">
        <f>VLOOKUP(A22,[1]!Table1[[name]:[@lon]],5,0)</f>
        <v>37.5435783</v>
      </c>
      <c r="E22">
        <f>VLOOKUP(A22,[1]!Table1[[name]:[@lon]],6,0)</f>
        <v>117.8360028</v>
      </c>
    </row>
    <row r="23" spans="1:5" x14ac:dyDescent="0.25">
      <c r="A23" t="s">
        <v>3752</v>
      </c>
      <c r="B23" t="str">
        <f>VLOOKUP(A23,CHOOSE({1,2},Table17[Native],Table17[Name]),2,0)</f>
        <v>Ānqiū Shì</v>
      </c>
      <c r="C23">
        <v>463277</v>
      </c>
      <c r="D23">
        <f>VLOOKUP(A23,[1]!Table1[[name]:[@lon]],5,0)</f>
        <v>36.319991299999998</v>
      </c>
      <c r="E23">
        <f>VLOOKUP(A23,[1]!Table1[[name]:[@lon]],6,0)</f>
        <v>119.0964297</v>
      </c>
    </row>
    <row r="24" spans="1:5" x14ac:dyDescent="0.25">
      <c r="A24" t="s">
        <v>3761</v>
      </c>
      <c r="B24" t="str">
        <f>VLOOKUP(A24,CHOOSE({1,2},Table17[Native],Table17[Name]),2,0)</f>
        <v>Shòuguāng Shì</v>
      </c>
      <c r="C24">
        <v>533769</v>
      </c>
      <c r="D24">
        <f>VLOOKUP(A24,[1]!Table1[[name]:[@lon]],5,0)</f>
        <v>37.033199199999999</v>
      </c>
      <c r="E24">
        <f>VLOOKUP(A24,[1]!Table1[[name]:[@lon]],6,0)</f>
        <v>118.8316655</v>
      </c>
    </row>
    <row r="25" spans="1:5" x14ac:dyDescent="0.25">
      <c r="A25" t="s">
        <v>3754</v>
      </c>
      <c r="B25" t="str">
        <f>VLOOKUP(A25,CHOOSE({1,2},Table17[Native],Table17[Name]),2,0)</f>
        <v>Chāngyì Shì</v>
      </c>
      <c r="C25">
        <v>302072</v>
      </c>
      <c r="D25">
        <f>VLOOKUP(A25,[1]!Table1[[name]:[@lon]],5,0)</f>
        <v>36.903250300000003</v>
      </c>
      <c r="E25">
        <f>VLOOKUP(A25,[1]!Table1[[name]:[@lon]],6,0)</f>
        <v>119.4150618</v>
      </c>
    </row>
    <row r="26" spans="1:5" x14ac:dyDescent="0.25">
      <c r="A26" t="s">
        <v>3763</v>
      </c>
      <c r="B26" t="str">
        <f>VLOOKUP(A26,CHOOSE({1,2},Table17[Native],Table17[Name]),2,0)</f>
        <v>Zhūchéng Shì</v>
      </c>
      <c r="C26">
        <v>499285</v>
      </c>
      <c r="D26">
        <f>VLOOKUP(A26,[1]!Table1[[name]:[@lon]],5,0)</f>
        <v>35.999929299999998</v>
      </c>
      <c r="E26">
        <f>VLOOKUP(A26,[1]!Table1[[name]:[@lon]],6,0)</f>
        <v>119.3592683</v>
      </c>
    </row>
    <row r="27" spans="1:5" x14ac:dyDescent="0.25">
      <c r="A27" t="s">
        <v>3760</v>
      </c>
      <c r="B27" t="str">
        <f>VLOOKUP(A27,CHOOSE({1,2},Table17[Native],Table17[Name]),2,0)</f>
        <v>Qīngzhōu Shì</v>
      </c>
      <c r="C27">
        <v>421531</v>
      </c>
      <c r="D27">
        <f>VLOOKUP(A27,[1]!Table1[[name]:[@lon]],5,0)</f>
        <v>36.682069400000003</v>
      </c>
      <c r="E27">
        <f>VLOOKUP(A27,[1]!Table1[[name]:[@lon]],6,0)</f>
        <v>118.4741753</v>
      </c>
    </row>
    <row r="28" spans="1:5" x14ac:dyDescent="0.25">
      <c r="A28" t="s">
        <v>3756</v>
      </c>
      <c r="B28" t="str">
        <f>VLOOKUP(A28,CHOOSE({1,2},Table17[Native],Table17[Name]),2,0)</f>
        <v>Gāomì Shì</v>
      </c>
      <c r="C28">
        <v>391986</v>
      </c>
      <c r="D28">
        <f>VLOOKUP(A28,[1]!Table1[[name]:[@lon]],5,0)</f>
        <v>36.4165603</v>
      </c>
      <c r="E28">
        <f>VLOOKUP(A28,[1]!Table1[[name]:[@lon]],6,0)</f>
        <v>119.71893679999999</v>
      </c>
    </row>
    <row r="29" spans="1:5" x14ac:dyDescent="0.25">
      <c r="A29" t="s">
        <v>3751</v>
      </c>
      <c r="B29" t="str">
        <f>VLOOKUP(A29,CHOOSE({1,2},Table17[Native],Table17[Name]),2,0)</f>
        <v>Wéifāng Shì</v>
      </c>
      <c r="C29">
        <v>2800939</v>
      </c>
      <c r="D29">
        <f>VLOOKUP(A29,[1]!Table1[[name]:[@lon]],5,0)</f>
        <v>36.544358799999998</v>
      </c>
      <c r="E29">
        <f>VLOOKUP(A29,[1]!Table1[[name]:[@lon]],6,0)</f>
        <v>119.09019600000001</v>
      </c>
    </row>
    <row r="30" spans="1:5" x14ac:dyDescent="0.25">
      <c r="A30" t="s">
        <v>3781</v>
      </c>
      <c r="B30" t="str">
        <f>VLOOKUP(A30,CHOOSE({1,2},Table17[Native],Table17[Name]),2,0)</f>
        <v>Zhāoyuăn Shì</v>
      </c>
      <c r="C30">
        <v>220761</v>
      </c>
      <c r="D30">
        <f>VLOOKUP(A30,[1]!Table1[[name]:[@lon]],5,0)</f>
        <v>37.4222793</v>
      </c>
      <c r="E30">
        <f>VLOOKUP(A30,[1]!Table1[[name]:[@lon]],6,0)</f>
        <v>120.2737899</v>
      </c>
    </row>
    <row r="31" spans="1:5" x14ac:dyDescent="0.25">
      <c r="A31" t="s">
        <v>3780</v>
      </c>
      <c r="B31" t="str">
        <f>VLOOKUP(A31,CHOOSE({1,2},Table17[Native],Table17[Name]),2,0)</f>
        <v>Qīxiá Shì</v>
      </c>
      <c r="C31">
        <v>148511</v>
      </c>
      <c r="D31">
        <f>VLOOKUP(A31,[1]!Table1[[name]:[@lon]],5,0)</f>
        <v>37.292025099999996</v>
      </c>
      <c r="E31">
        <f>VLOOKUP(A31,[1]!Table1[[name]:[@lon]],6,0)</f>
        <v>120.9053942</v>
      </c>
    </row>
    <row r="32" spans="1:5" x14ac:dyDescent="0.25">
      <c r="A32" t="s">
        <v>3773</v>
      </c>
      <c r="B32" t="str">
        <f>VLOOKUP(A32,CHOOSE({1,2},Table17[Native],Table17[Name]),2,0)</f>
        <v>Hăiyáng Shì</v>
      </c>
      <c r="C32">
        <v>236925</v>
      </c>
      <c r="D32">
        <f>VLOOKUP(A32,[1]!Table1[[name]:[@lon]],5,0)</f>
        <v>36.620444200000001</v>
      </c>
      <c r="E32">
        <f>VLOOKUP(A32,[1]!Table1[[name]:[@lon]],6,0)</f>
        <v>121.2379301</v>
      </c>
    </row>
    <row r="33" spans="1:5" x14ac:dyDescent="0.25">
      <c r="A33" t="s">
        <v>3776</v>
      </c>
      <c r="B33" t="str">
        <f>VLOOKUP(A33,CHOOSE({1,2},Table17[Native],Table17[Name]),2,0)</f>
        <v>Láizhōu Shì</v>
      </c>
      <c r="C33">
        <v>314665</v>
      </c>
      <c r="D33">
        <f>VLOOKUP(A33,[1]!Table1[[name]:[@lon]],5,0)</f>
        <v>37.338846799999999</v>
      </c>
      <c r="E33">
        <f>VLOOKUP(A33,[1]!Table1[[name]:[@lon]],6,0)</f>
        <v>119.9294179</v>
      </c>
    </row>
    <row r="34" spans="1:5" x14ac:dyDescent="0.25">
      <c r="A34" t="s">
        <v>3775</v>
      </c>
      <c r="B34" t="str">
        <f>VLOOKUP(A34,CHOOSE({1,2},Table17[Native],Table17[Name]),2,0)</f>
        <v>Láiyáng Shì</v>
      </c>
      <c r="C34">
        <v>326290</v>
      </c>
      <c r="D34">
        <f>VLOOKUP(A34,[1]!Table1[[name]:[@lon]],5,0)</f>
        <v>36.867983000000002</v>
      </c>
      <c r="E34">
        <f>VLOOKUP(A34,[1]!Table1[[name]:[@lon]],6,0)</f>
        <v>120.7535374</v>
      </c>
    </row>
    <row r="35" spans="1:5" x14ac:dyDescent="0.25">
      <c r="A35" t="s">
        <v>3777</v>
      </c>
      <c r="B35" t="str">
        <f>VLOOKUP(A35,CHOOSE({1,2},Table17[Native],Table17[Name]),2,0)</f>
        <v>Lóngkŏu Shì</v>
      </c>
      <c r="C35">
        <v>400372</v>
      </c>
      <c r="D35">
        <f>VLOOKUP(A35,[1]!Table1[[name]:[@lon]],5,0)</f>
        <v>37.711218899999999</v>
      </c>
      <c r="E35">
        <f>VLOOKUP(A35,[1]!Table1[[name]:[@lon]],6,0)</f>
        <v>120.3698237</v>
      </c>
    </row>
    <row r="36" spans="1:5" x14ac:dyDescent="0.25">
      <c r="A36" t="s">
        <v>3771</v>
      </c>
      <c r="B36" t="str">
        <f>VLOOKUP(A36,CHOOSE({1,2},Table17[Native],Table17[Name]),2,0)</f>
        <v>Yāntái Shì</v>
      </c>
      <c r="C36">
        <v>2169217</v>
      </c>
      <c r="D36">
        <f>VLOOKUP(A36,[1]!Table1[[name]:[@lon]],5,0)</f>
        <v>37.312408699999999</v>
      </c>
      <c r="E36">
        <f>VLOOKUP(A36,[1]!Table1[[name]:[@lon]],6,0)</f>
        <v>120.7389593</v>
      </c>
    </row>
    <row r="37" spans="1:5" x14ac:dyDescent="0.25">
      <c r="A37" t="s">
        <v>3706</v>
      </c>
      <c r="B37" t="str">
        <f>VLOOKUP(A37,CHOOSE({1,2},Table17[Native],Table17[Name]),2,0)</f>
        <v>Línqīng Shì</v>
      </c>
      <c r="C37">
        <v>284022</v>
      </c>
      <c r="D37">
        <f>VLOOKUP(A37,[1]!Table1[[name]:[@lon]],5,0)</f>
        <v>36.780410799999999</v>
      </c>
      <c r="E37">
        <f>VLOOKUP(A37,[1]!Table1[[name]:[@lon]],6,0)</f>
        <v>115.7485707</v>
      </c>
    </row>
    <row r="38" spans="1:5" x14ac:dyDescent="0.25">
      <c r="A38" t="s">
        <v>3700</v>
      </c>
      <c r="B38" t="str">
        <f>VLOOKUP(A38,CHOOSE({1,2},Table17[Native],Table17[Name]),2,0)</f>
        <v>Liáochéng Shì</v>
      </c>
      <c r="C38">
        <v>1658825</v>
      </c>
      <c r="D38">
        <f>VLOOKUP(A38,[1]!Table1[[name]:[@lon]],5,0)</f>
        <v>36.402152999999998</v>
      </c>
      <c r="E38">
        <f>VLOOKUP(A38,[1]!Table1[[name]:[@lon]],6,0)</f>
        <v>115.9049035</v>
      </c>
    </row>
    <row r="39" spans="1:5" x14ac:dyDescent="0.25">
      <c r="A39" t="s">
        <v>3662</v>
      </c>
      <c r="B39" t="str">
        <f>VLOOKUP(A39,CHOOSE({1,2},Table17[Native],Table17[Name]),2,0)</f>
        <v>Hézé Shì</v>
      </c>
      <c r="C39">
        <v>2096747</v>
      </c>
      <c r="D39">
        <f>VLOOKUP(A39,[1]!Table1[[name]:[@lon]],5,0)</f>
        <v>35.212778499999999</v>
      </c>
      <c r="E39">
        <f>VLOOKUP(A39,[1]!Table1[[name]:[@lon]],6,0)</f>
        <v>115.61235859999999</v>
      </c>
    </row>
    <row r="40" spans="1:5" x14ac:dyDescent="0.25">
      <c r="A40" t="s">
        <v>3732</v>
      </c>
      <c r="B40" t="str">
        <f>VLOOKUP(A40,CHOOSE({1,2},Table17[Native],Table17[Name]),2,0)</f>
        <v>Píngdù Shì</v>
      </c>
      <c r="C40">
        <v>542234</v>
      </c>
      <c r="D40">
        <f>VLOOKUP(A40,[1]!Table1[[name]:[@lon]],5,0)</f>
        <v>36.758604599999998</v>
      </c>
      <c r="E40">
        <f>VLOOKUP(A40,[1]!Table1[[name]:[@lon]],6,0)</f>
        <v>119.92290680000001</v>
      </c>
    </row>
    <row r="41" spans="1:5" x14ac:dyDescent="0.25">
      <c r="A41" t="s">
        <v>3727</v>
      </c>
      <c r="B41" t="str">
        <f>VLOOKUP(A41,CHOOSE({1,2},Table17[Native],Table17[Name]),2,0)</f>
        <v>Jiāozhōu Shì</v>
      </c>
      <c r="C41">
        <v>619266</v>
      </c>
      <c r="D41">
        <f>VLOOKUP(A41,[1]!Table1[[name]:[@lon]],5,0)</f>
        <v>36.258750300000003</v>
      </c>
      <c r="E41">
        <f>VLOOKUP(A41,[1]!Table1[[name]:[@lon]],6,0)</f>
        <v>119.9186947</v>
      </c>
    </row>
    <row r="42" spans="1:5" x14ac:dyDescent="0.25">
      <c r="A42" t="s">
        <v>3729</v>
      </c>
      <c r="B42" t="str">
        <f>VLOOKUP(A42,CHOOSE({1,2},Table17[Native],Table17[Name]),2,0)</f>
        <v>Láixī Shì</v>
      </c>
      <c r="C42">
        <v>341470</v>
      </c>
      <c r="D42">
        <f>VLOOKUP(A42,[1]!Table1[[name]:[@lon]],5,0)</f>
        <v>36.859665100000001</v>
      </c>
      <c r="E42">
        <f>VLOOKUP(A42,[1]!Table1[[name]:[@lon]],6,0)</f>
        <v>120.42842760000001</v>
      </c>
    </row>
    <row r="43" spans="1:5" x14ac:dyDescent="0.25">
      <c r="A43" t="s">
        <v>3724</v>
      </c>
      <c r="B43" t="str">
        <f>VLOOKUP(A43,CHOOSE({1,2},Table17[Native],Table17[Name]),2,0)</f>
        <v>Qīngdăo Shì</v>
      </c>
      <c r="C43">
        <v>5046746</v>
      </c>
      <c r="D43">
        <f>VLOOKUP(A43,[1]!Table1[[name]:[@lon]],5,0)</f>
        <v>36.182946899999997</v>
      </c>
      <c r="E43">
        <f>VLOOKUP(A43,[1]!Table1[[name]:[@lon]],6,0)</f>
        <v>120.5395568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F07AB-F912-4697-9114-2693ACC4C81F}">
  <dimension ref="A1:I1117"/>
  <sheetViews>
    <sheetView workbookViewId="0"/>
  </sheetViews>
  <sheetFormatPr defaultRowHeight="15" x14ac:dyDescent="0.25"/>
  <sheetData>
    <row r="1" spans="1:9" x14ac:dyDescent="0.25">
      <c r="A1" t="s">
        <v>3817</v>
      </c>
      <c r="B1" t="s">
        <v>4208</v>
      </c>
      <c r="C1" t="s">
        <v>3821</v>
      </c>
      <c r="D1">
        <v>36.151691200000002</v>
      </c>
      <c r="E1" t="s">
        <v>3818</v>
      </c>
      <c r="F1">
        <v>116.0021955</v>
      </c>
      <c r="G1" t="s">
        <v>3819</v>
      </c>
      <c r="H1">
        <v>61652</v>
      </c>
      <c r="I1" t="s">
        <v>3820</v>
      </c>
    </row>
    <row r="2" spans="1:9" x14ac:dyDescent="0.25">
      <c r="A2" t="s">
        <v>3817</v>
      </c>
      <c r="B2" t="s">
        <v>3975</v>
      </c>
      <c r="C2" t="s">
        <v>3821</v>
      </c>
      <c r="D2">
        <v>34.688898520000002</v>
      </c>
      <c r="E2" t="s">
        <v>3818</v>
      </c>
      <c r="F2">
        <v>115.6829254</v>
      </c>
      <c r="G2" t="s">
        <v>3819</v>
      </c>
      <c r="H2">
        <v>50254</v>
      </c>
      <c r="I2" t="s">
        <v>3820</v>
      </c>
    </row>
    <row r="3" spans="1:9" x14ac:dyDescent="0.25">
      <c r="A3" t="s">
        <v>3817</v>
      </c>
      <c r="B3" t="s">
        <v>4088</v>
      </c>
      <c r="C3" t="s">
        <v>3821</v>
      </c>
      <c r="D3">
        <v>36.307259160000001</v>
      </c>
      <c r="E3" t="s">
        <v>3818</v>
      </c>
      <c r="F3">
        <v>116.5297791</v>
      </c>
      <c r="G3" t="s">
        <v>3819</v>
      </c>
      <c r="H3">
        <v>32716</v>
      </c>
      <c r="I3" t="s">
        <v>3820</v>
      </c>
    </row>
    <row r="4" spans="1:9" x14ac:dyDescent="0.25">
      <c r="A4" t="s">
        <v>3817</v>
      </c>
      <c r="B4" t="s">
        <v>4295</v>
      </c>
      <c r="C4" t="s">
        <v>3821</v>
      </c>
      <c r="D4">
        <v>35.676985350000002</v>
      </c>
      <c r="E4" t="s">
        <v>3818</v>
      </c>
      <c r="F4">
        <v>118.1920961</v>
      </c>
      <c r="G4" t="s">
        <v>3819</v>
      </c>
      <c r="H4">
        <v>35078</v>
      </c>
      <c r="I4" t="s">
        <v>3820</v>
      </c>
    </row>
    <row r="5" spans="1:9" x14ac:dyDescent="0.25">
      <c r="A5" t="s">
        <v>3817</v>
      </c>
      <c r="B5" t="s">
        <v>4471</v>
      </c>
      <c r="C5" t="s">
        <v>3821</v>
      </c>
      <c r="D5">
        <v>35.963946419999999</v>
      </c>
      <c r="E5" t="s">
        <v>3818</v>
      </c>
      <c r="F5">
        <v>116.7767784</v>
      </c>
      <c r="G5" t="s">
        <v>3819</v>
      </c>
      <c r="H5">
        <v>76235</v>
      </c>
      <c r="I5" t="s">
        <v>3820</v>
      </c>
    </row>
    <row r="6" spans="1:9" x14ac:dyDescent="0.25">
      <c r="A6" t="s">
        <v>3817</v>
      </c>
      <c r="B6" t="s">
        <v>4209</v>
      </c>
      <c r="C6" t="s">
        <v>3821</v>
      </c>
      <c r="D6">
        <v>36.208143800000002</v>
      </c>
      <c r="E6" t="s">
        <v>3818</v>
      </c>
      <c r="F6">
        <v>115.9295073</v>
      </c>
      <c r="G6" t="s">
        <v>3819</v>
      </c>
      <c r="H6">
        <v>35264</v>
      </c>
      <c r="I6" t="s">
        <v>3820</v>
      </c>
    </row>
    <row r="7" spans="1:9" x14ac:dyDescent="0.25">
      <c r="A7" t="s">
        <v>3817</v>
      </c>
      <c r="B7" t="s">
        <v>4472</v>
      </c>
      <c r="C7" t="s">
        <v>3821</v>
      </c>
      <c r="D7">
        <v>36.062108080000002</v>
      </c>
      <c r="E7" t="s">
        <v>3818</v>
      </c>
      <c r="F7">
        <v>116.74843730000001</v>
      </c>
      <c r="G7" t="s">
        <v>3819</v>
      </c>
      <c r="H7">
        <v>50966</v>
      </c>
      <c r="I7" t="s">
        <v>3820</v>
      </c>
    </row>
    <row r="8" spans="1:9" x14ac:dyDescent="0.25">
      <c r="A8" t="s">
        <v>3817</v>
      </c>
      <c r="B8" t="s">
        <v>3874</v>
      </c>
      <c r="C8" t="s">
        <v>3821</v>
      </c>
      <c r="D8">
        <v>36.854837969999998</v>
      </c>
      <c r="E8" t="s">
        <v>3818</v>
      </c>
      <c r="F8">
        <v>116.5301364</v>
      </c>
      <c r="G8" t="s">
        <v>3819</v>
      </c>
      <c r="H8">
        <v>28669</v>
      </c>
      <c r="I8" t="s">
        <v>3820</v>
      </c>
    </row>
    <row r="9" spans="1:9" x14ac:dyDescent="0.25">
      <c r="A9" t="s">
        <v>3817</v>
      </c>
      <c r="B9" t="s">
        <v>3976</v>
      </c>
      <c r="C9" t="s">
        <v>3821</v>
      </c>
      <c r="D9">
        <v>35.334811500000001</v>
      </c>
      <c r="E9" t="s">
        <v>3818</v>
      </c>
      <c r="F9">
        <v>115.68178949999999</v>
      </c>
      <c r="G9" t="s">
        <v>3819</v>
      </c>
      <c r="H9">
        <v>40894</v>
      </c>
      <c r="I9" t="s">
        <v>3820</v>
      </c>
    </row>
    <row r="10" spans="1:9" x14ac:dyDescent="0.25">
      <c r="A10" t="s">
        <v>3817</v>
      </c>
      <c r="B10" t="s">
        <v>4440</v>
      </c>
      <c r="C10" t="s">
        <v>3821</v>
      </c>
      <c r="D10">
        <v>35.834411660000001</v>
      </c>
      <c r="E10" t="s">
        <v>3818</v>
      </c>
      <c r="F10">
        <v>118.7893993</v>
      </c>
      <c r="G10" t="s">
        <v>3819</v>
      </c>
      <c r="H10">
        <v>26130</v>
      </c>
      <c r="I10" t="s">
        <v>3820</v>
      </c>
    </row>
    <row r="11" spans="1:9" x14ac:dyDescent="0.25">
      <c r="A11" t="s">
        <v>3817</v>
      </c>
      <c r="B11" t="s">
        <v>4210</v>
      </c>
      <c r="C11" t="s">
        <v>3821</v>
      </c>
      <c r="D11">
        <v>36.694647639999999</v>
      </c>
      <c r="E11" t="s">
        <v>3818</v>
      </c>
      <c r="F11">
        <v>115.59989229999999</v>
      </c>
      <c r="G11" t="s">
        <v>3819</v>
      </c>
      <c r="H11">
        <v>31839</v>
      </c>
      <c r="I11" t="s">
        <v>3820</v>
      </c>
    </row>
    <row r="12" spans="1:9" x14ac:dyDescent="0.25">
      <c r="A12" t="s">
        <v>3817</v>
      </c>
      <c r="B12" t="s">
        <v>4744</v>
      </c>
      <c r="C12" t="s">
        <v>3821</v>
      </c>
      <c r="D12">
        <v>36.454934610000002</v>
      </c>
      <c r="E12" t="s">
        <v>3818</v>
      </c>
      <c r="F12">
        <v>117.9057895</v>
      </c>
      <c r="G12" t="s">
        <v>3819</v>
      </c>
      <c r="H12">
        <v>36357</v>
      </c>
      <c r="I12" t="s">
        <v>3820</v>
      </c>
    </row>
    <row r="13" spans="1:9" x14ac:dyDescent="0.25">
      <c r="A13" t="s">
        <v>3817</v>
      </c>
      <c r="B13" t="s">
        <v>4296</v>
      </c>
      <c r="C13" t="s">
        <v>3821</v>
      </c>
      <c r="D13">
        <v>35.214979589999999</v>
      </c>
      <c r="E13" t="s">
        <v>3818</v>
      </c>
      <c r="F13">
        <v>118.56373000000001</v>
      </c>
      <c r="G13" t="s">
        <v>3819</v>
      </c>
      <c r="H13">
        <v>63693</v>
      </c>
      <c r="I13" t="s">
        <v>3820</v>
      </c>
    </row>
    <row r="14" spans="1:9" x14ac:dyDescent="0.25">
      <c r="A14" t="s">
        <v>3817</v>
      </c>
      <c r="B14" t="s">
        <v>4530</v>
      </c>
      <c r="C14" t="s">
        <v>3821</v>
      </c>
      <c r="D14">
        <v>36.242318070000003</v>
      </c>
      <c r="E14" t="s">
        <v>3818</v>
      </c>
      <c r="F14">
        <v>119.773132</v>
      </c>
      <c r="G14" t="s">
        <v>3819</v>
      </c>
      <c r="H14">
        <v>77235</v>
      </c>
      <c r="I14" t="s">
        <v>3820</v>
      </c>
    </row>
    <row r="15" spans="1:9" x14ac:dyDescent="0.25">
      <c r="A15" t="s">
        <v>3817</v>
      </c>
      <c r="B15" t="s">
        <v>4531</v>
      </c>
      <c r="C15" t="s">
        <v>3821</v>
      </c>
      <c r="D15">
        <v>36.128807190000003</v>
      </c>
      <c r="E15" t="s">
        <v>3818</v>
      </c>
      <c r="F15">
        <v>119.5681658</v>
      </c>
      <c r="G15" t="s">
        <v>3819</v>
      </c>
      <c r="H15">
        <v>42913</v>
      </c>
      <c r="I15" t="s">
        <v>3820</v>
      </c>
    </row>
    <row r="16" spans="1:9" x14ac:dyDescent="0.25">
      <c r="A16" t="s">
        <v>3817</v>
      </c>
      <c r="B16" t="s">
        <v>4297</v>
      </c>
      <c r="C16" t="s">
        <v>3821</v>
      </c>
      <c r="D16">
        <v>35.539802209999998</v>
      </c>
      <c r="E16" t="s">
        <v>3818</v>
      </c>
      <c r="F16">
        <v>117.83433770000001</v>
      </c>
      <c r="G16" t="s">
        <v>3819</v>
      </c>
      <c r="H16">
        <v>42275</v>
      </c>
      <c r="I16" t="s">
        <v>3820</v>
      </c>
    </row>
    <row r="17" spans="1:9" x14ac:dyDescent="0.25">
      <c r="A17" t="s">
        <v>3817</v>
      </c>
      <c r="B17" t="s">
        <v>3875</v>
      </c>
      <c r="C17" t="s">
        <v>3821</v>
      </c>
      <c r="D17">
        <v>36.94185384</v>
      </c>
      <c r="E17" t="s">
        <v>3818</v>
      </c>
      <c r="F17">
        <v>115.8308316</v>
      </c>
      <c r="G17" t="s">
        <v>3819</v>
      </c>
      <c r="H17">
        <v>31009</v>
      </c>
      <c r="I17" t="s">
        <v>3820</v>
      </c>
    </row>
    <row r="18" spans="1:9" x14ac:dyDescent="0.25">
      <c r="A18" t="s">
        <v>3817</v>
      </c>
      <c r="B18" t="s">
        <v>4298</v>
      </c>
      <c r="C18" t="s">
        <v>3821</v>
      </c>
      <c r="D18">
        <v>35.015176050000001</v>
      </c>
      <c r="E18" t="s">
        <v>3818</v>
      </c>
      <c r="F18">
        <v>118.576859</v>
      </c>
      <c r="G18" t="s">
        <v>3819</v>
      </c>
      <c r="H18">
        <v>38083</v>
      </c>
      <c r="I18" t="s">
        <v>3820</v>
      </c>
    </row>
    <row r="19" spans="1:9" x14ac:dyDescent="0.25">
      <c r="A19" t="s">
        <v>3817</v>
      </c>
      <c r="B19" t="s">
        <v>4089</v>
      </c>
      <c r="C19" t="s">
        <v>3821</v>
      </c>
      <c r="D19">
        <v>37.212839350000003</v>
      </c>
      <c r="E19" t="s">
        <v>3818</v>
      </c>
      <c r="F19">
        <v>117.2633369</v>
      </c>
      <c r="G19" t="s">
        <v>3819</v>
      </c>
      <c r="H19">
        <v>44996</v>
      </c>
      <c r="I19" t="s">
        <v>3820</v>
      </c>
    </row>
    <row r="20" spans="1:9" x14ac:dyDescent="0.25">
      <c r="A20" t="s">
        <v>3817</v>
      </c>
      <c r="B20" t="s">
        <v>4299</v>
      </c>
      <c r="C20" t="s">
        <v>3821</v>
      </c>
      <c r="D20">
        <v>35.20526031</v>
      </c>
      <c r="E20" t="s">
        <v>3818</v>
      </c>
      <c r="F20">
        <v>118.4046441</v>
      </c>
      <c r="G20" t="s">
        <v>3819</v>
      </c>
      <c r="H20">
        <v>62380</v>
      </c>
      <c r="I20" t="s">
        <v>3820</v>
      </c>
    </row>
    <row r="21" spans="1:9" x14ac:dyDescent="0.25">
      <c r="A21" t="s">
        <v>3817</v>
      </c>
      <c r="B21" t="s">
        <v>4585</v>
      </c>
      <c r="C21" t="s">
        <v>3821</v>
      </c>
      <c r="D21">
        <v>36.85950398</v>
      </c>
      <c r="E21" t="s">
        <v>3818</v>
      </c>
      <c r="F21">
        <v>121.6676092</v>
      </c>
      <c r="G21" t="s">
        <v>3819</v>
      </c>
      <c r="H21">
        <v>46865</v>
      </c>
      <c r="I21" t="s">
        <v>3820</v>
      </c>
    </row>
    <row r="22" spans="1:9" x14ac:dyDescent="0.25">
      <c r="A22" t="s">
        <v>3817</v>
      </c>
      <c r="B22" t="s">
        <v>4115</v>
      </c>
      <c r="C22" t="s">
        <v>3821</v>
      </c>
      <c r="D22">
        <v>35.798923989999999</v>
      </c>
      <c r="E22" t="s">
        <v>3818</v>
      </c>
      <c r="F22">
        <v>116.62104720000001</v>
      </c>
      <c r="G22" t="s">
        <v>3819</v>
      </c>
      <c r="H22">
        <v>33688</v>
      </c>
      <c r="I22" t="s">
        <v>3820</v>
      </c>
    </row>
    <row r="23" spans="1:9" x14ac:dyDescent="0.25">
      <c r="A23" t="s">
        <v>3817</v>
      </c>
      <c r="B23" t="s">
        <v>4745</v>
      </c>
      <c r="C23" t="s">
        <v>3821</v>
      </c>
      <c r="D23">
        <v>36.543390629999998</v>
      </c>
      <c r="E23" t="s">
        <v>3818</v>
      </c>
      <c r="F23">
        <v>117.8953374</v>
      </c>
      <c r="G23" t="s">
        <v>3819</v>
      </c>
      <c r="H23">
        <v>36761</v>
      </c>
      <c r="I23" t="s">
        <v>3820</v>
      </c>
    </row>
    <row r="24" spans="1:9" x14ac:dyDescent="0.25">
      <c r="A24" t="s">
        <v>3817</v>
      </c>
      <c r="B24" t="s">
        <v>4300</v>
      </c>
      <c r="C24" t="s">
        <v>3821</v>
      </c>
      <c r="D24">
        <v>35.255714320000003</v>
      </c>
      <c r="E24" t="s">
        <v>3818</v>
      </c>
      <c r="F24">
        <v>117.5324057</v>
      </c>
      <c r="G24" t="s">
        <v>3819</v>
      </c>
      <c r="H24">
        <v>69130</v>
      </c>
      <c r="I24" t="s">
        <v>3820</v>
      </c>
    </row>
    <row r="25" spans="1:9" x14ac:dyDescent="0.25">
      <c r="A25" t="s">
        <v>3817</v>
      </c>
      <c r="B25" t="s">
        <v>4301</v>
      </c>
      <c r="C25" t="s">
        <v>3821</v>
      </c>
      <c r="D25">
        <v>35.259493829999997</v>
      </c>
      <c r="E25" t="s">
        <v>3818</v>
      </c>
      <c r="F25">
        <v>118.3320192</v>
      </c>
      <c r="G25" t="s">
        <v>3819</v>
      </c>
      <c r="H25">
        <v>66286</v>
      </c>
      <c r="I25" t="s">
        <v>3820</v>
      </c>
    </row>
    <row r="26" spans="1:9" x14ac:dyDescent="0.25">
      <c r="A26" t="s">
        <v>3817</v>
      </c>
      <c r="B26" t="s">
        <v>3977</v>
      </c>
      <c r="C26" t="s">
        <v>3821</v>
      </c>
      <c r="D26">
        <v>35.195158130000003</v>
      </c>
      <c r="E26" t="s">
        <v>3818</v>
      </c>
      <c r="F26">
        <v>115.7004203</v>
      </c>
      <c r="G26" t="s">
        <v>3819</v>
      </c>
      <c r="H26">
        <v>34373</v>
      </c>
      <c r="I26" t="s">
        <v>3820</v>
      </c>
    </row>
    <row r="27" spans="1:9" x14ac:dyDescent="0.25">
      <c r="A27" t="s">
        <v>3817</v>
      </c>
      <c r="B27" t="s">
        <v>4473</v>
      </c>
      <c r="C27" t="s">
        <v>3821</v>
      </c>
      <c r="D27">
        <v>36.112700689999997</v>
      </c>
      <c r="E27" t="s">
        <v>3818</v>
      </c>
      <c r="F27">
        <v>116.16410019999999</v>
      </c>
      <c r="G27" t="s">
        <v>3819</v>
      </c>
      <c r="H27">
        <v>44229</v>
      </c>
      <c r="I27" t="s">
        <v>3820</v>
      </c>
    </row>
    <row r="28" spans="1:9" x14ac:dyDescent="0.25">
      <c r="A28" t="s">
        <v>3817</v>
      </c>
      <c r="B28" t="s">
        <v>4302</v>
      </c>
      <c r="C28" t="s">
        <v>3821</v>
      </c>
      <c r="D28">
        <v>35.130345660000003</v>
      </c>
      <c r="E28" t="s">
        <v>3818</v>
      </c>
      <c r="F28">
        <v>118.67953489999999</v>
      </c>
      <c r="G28" t="s">
        <v>3819</v>
      </c>
      <c r="H28">
        <v>68308</v>
      </c>
      <c r="I28" t="s">
        <v>3820</v>
      </c>
    </row>
    <row r="29" spans="1:9" x14ac:dyDescent="0.25">
      <c r="A29" t="s">
        <v>3817</v>
      </c>
      <c r="B29" t="s">
        <v>3876</v>
      </c>
      <c r="C29" t="s">
        <v>3821</v>
      </c>
      <c r="D29">
        <v>37.620192230000001</v>
      </c>
      <c r="E29" t="s">
        <v>3818</v>
      </c>
      <c r="F29">
        <v>116.6868262</v>
      </c>
      <c r="G29" t="s">
        <v>3819</v>
      </c>
      <c r="H29">
        <v>34470</v>
      </c>
      <c r="I29" t="s">
        <v>3820</v>
      </c>
    </row>
    <row r="30" spans="1:9" x14ac:dyDescent="0.25">
      <c r="A30" t="s">
        <v>3817</v>
      </c>
      <c r="B30" t="s">
        <v>4706</v>
      </c>
      <c r="C30" t="s">
        <v>3821</v>
      </c>
      <c r="D30">
        <v>34.976869669999999</v>
      </c>
      <c r="E30" t="s">
        <v>3818</v>
      </c>
      <c r="F30">
        <v>117.1364444</v>
      </c>
      <c r="G30" t="s">
        <v>3819</v>
      </c>
      <c r="H30">
        <v>81019</v>
      </c>
      <c r="I30" t="s">
        <v>3820</v>
      </c>
    </row>
    <row r="31" spans="1:9" x14ac:dyDescent="0.25">
      <c r="A31" t="s">
        <v>3817</v>
      </c>
      <c r="B31" t="s">
        <v>4405</v>
      </c>
      <c r="C31" t="s">
        <v>3821</v>
      </c>
      <c r="D31">
        <v>36.011185949999998</v>
      </c>
      <c r="E31" t="s">
        <v>3818</v>
      </c>
      <c r="F31">
        <v>119.8763809</v>
      </c>
      <c r="G31" t="s">
        <v>3819</v>
      </c>
      <c r="H31">
        <v>25828</v>
      </c>
      <c r="I31" t="s">
        <v>3820</v>
      </c>
    </row>
    <row r="32" spans="1:9" x14ac:dyDescent="0.25">
      <c r="A32" t="s">
        <v>3817</v>
      </c>
      <c r="B32" t="s">
        <v>4303</v>
      </c>
      <c r="C32" t="s">
        <v>3821</v>
      </c>
      <c r="D32">
        <v>35.581466599999999</v>
      </c>
      <c r="E32" t="s">
        <v>3818</v>
      </c>
      <c r="F32">
        <v>117.71883</v>
      </c>
      <c r="G32" t="s">
        <v>3819</v>
      </c>
      <c r="H32">
        <v>66787</v>
      </c>
      <c r="I32" t="s">
        <v>3820</v>
      </c>
    </row>
    <row r="33" spans="1:9" x14ac:dyDescent="0.25">
      <c r="A33" t="s">
        <v>3817</v>
      </c>
      <c r="B33" t="s">
        <v>4630</v>
      </c>
      <c r="C33" t="s">
        <v>3821</v>
      </c>
      <c r="D33">
        <v>37.72603436</v>
      </c>
      <c r="E33" t="s">
        <v>3818</v>
      </c>
      <c r="F33">
        <v>120.67032930000001</v>
      </c>
      <c r="G33" t="s">
        <v>3819</v>
      </c>
      <c r="H33">
        <v>55856</v>
      </c>
      <c r="I33" t="s">
        <v>3820</v>
      </c>
    </row>
    <row r="34" spans="1:9" x14ac:dyDescent="0.25">
      <c r="A34" t="s">
        <v>3817</v>
      </c>
      <c r="B34" t="s">
        <v>4211</v>
      </c>
      <c r="C34" t="s">
        <v>3821</v>
      </c>
      <c r="D34">
        <v>36.643522040000001</v>
      </c>
      <c r="E34" t="s">
        <v>3818</v>
      </c>
      <c r="F34">
        <v>115.4194803</v>
      </c>
      <c r="G34" t="s">
        <v>3819</v>
      </c>
      <c r="H34">
        <v>35870</v>
      </c>
      <c r="I34" t="s">
        <v>3820</v>
      </c>
    </row>
    <row r="35" spans="1:9" x14ac:dyDescent="0.25">
      <c r="A35" t="s">
        <v>3817</v>
      </c>
      <c r="B35" t="s">
        <v>4746</v>
      </c>
      <c r="C35" t="s">
        <v>3821</v>
      </c>
      <c r="D35">
        <v>36.835789740000003</v>
      </c>
      <c r="E35" t="s">
        <v>3818</v>
      </c>
      <c r="F35">
        <v>117.90747279999999</v>
      </c>
      <c r="G35" t="s">
        <v>3819</v>
      </c>
      <c r="H35">
        <v>59085</v>
      </c>
      <c r="I35" t="s">
        <v>3820</v>
      </c>
    </row>
    <row r="36" spans="1:9" x14ac:dyDescent="0.25">
      <c r="A36" t="s">
        <v>3817</v>
      </c>
      <c r="B36" t="s">
        <v>4441</v>
      </c>
      <c r="C36" t="s">
        <v>3821</v>
      </c>
      <c r="D36">
        <v>35.176058949999998</v>
      </c>
      <c r="E36" t="s">
        <v>3818</v>
      </c>
      <c r="F36">
        <v>119.1995474</v>
      </c>
      <c r="G36" t="s">
        <v>3819</v>
      </c>
      <c r="H36">
        <v>45539</v>
      </c>
      <c r="I36" t="s">
        <v>3820</v>
      </c>
    </row>
    <row r="37" spans="1:9" x14ac:dyDescent="0.25">
      <c r="A37" t="s">
        <v>3817</v>
      </c>
      <c r="B37" t="s">
        <v>4631</v>
      </c>
      <c r="C37" t="s">
        <v>3821</v>
      </c>
      <c r="D37">
        <v>37.583812569999999</v>
      </c>
      <c r="E37" t="s">
        <v>3818</v>
      </c>
      <c r="F37">
        <v>120.3873933</v>
      </c>
      <c r="G37" t="s">
        <v>3819</v>
      </c>
      <c r="H37">
        <v>56086</v>
      </c>
      <c r="I37" t="s">
        <v>3820</v>
      </c>
    </row>
    <row r="38" spans="1:9" x14ac:dyDescent="0.25">
      <c r="A38" t="s">
        <v>3817</v>
      </c>
      <c r="B38" t="s">
        <v>4532</v>
      </c>
      <c r="C38" t="s">
        <v>3821</v>
      </c>
      <c r="D38">
        <v>36.55804388</v>
      </c>
      <c r="E38" t="s">
        <v>3818</v>
      </c>
      <c r="F38">
        <v>119.5458964</v>
      </c>
      <c r="G38" t="s">
        <v>3819</v>
      </c>
      <c r="H38">
        <v>66277</v>
      </c>
      <c r="I38" t="s">
        <v>3820</v>
      </c>
    </row>
    <row r="39" spans="1:9" x14ac:dyDescent="0.25">
      <c r="A39" t="s">
        <v>3817</v>
      </c>
      <c r="B39" t="s">
        <v>3953</v>
      </c>
      <c r="C39" t="s">
        <v>3821</v>
      </c>
      <c r="D39">
        <v>37.4370829</v>
      </c>
      <c r="E39" t="s">
        <v>3818</v>
      </c>
      <c r="F39">
        <v>118.17205149999999</v>
      </c>
      <c r="G39" t="s">
        <v>3819</v>
      </c>
      <c r="H39">
        <v>34309</v>
      </c>
      <c r="I39" t="s">
        <v>3820</v>
      </c>
    </row>
    <row r="40" spans="1:9" x14ac:dyDescent="0.25">
      <c r="A40" t="s">
        <v>3817</v>
      </c>
      <c r="B40" t="s">
        <v>4116</v>
      </c>
      <c r="C40" t="s">
        <v>3821</v>
      </c>
      <c r="D40">
        <v>35.35957449</v>
      </c>
      <c r="E40" t="s">
        <v>3818</v>
      </c>
      <c r="F40">
        <v>116.8915368</v>
      </c>
      <c r="G40" t="s">
        <v>3819</v>
      </c>
      <c r="H40">
        <v>106962</v>
      </c>
      <c r="I40" t="s">
        <v>3820</v>
      </c>
    </row>
    <row r="41" spans="1:9" x14ac:dyDescent="0.25">
      <c r="A41" t="s">
        <v>3817</v>
      </c>
      <c r="B41" t="s">
        <v>4707</v>
      </c>
      <c r="C41" t="s">
        <v>3821</v>
      </c>
      <c r="D41">
        <v>34.993472300000001</v>
      </c>
      <c r="E41" t="s">
        <v>3818</v>
      </c>
      <c r="F41">
        <v>117.6523504</v>
      </c>
      <c r="G41" t="s">
        <v>3819</v>
      </c>
      <c r="H41">
        <v>38827</v>
      </c>
      <c r="I41" t="s">
        <v>3820</v>
      </c>
    </row>
    <row r="42" spans="1:9" x14ac:dyDescent="0.25">
      <c r="A42" t="s">
        <v>3817</v>
      </c>
      <c r="B42" t="s">
        <v>3877</v>
      </c>
      <c r="C42" t="s">
        <v>3821</v>
      </c>
      <c r="D42">
        <v>37.434152589999997</v>
      </c>
      <c r="E42" t="s">
        <v>3818</v>
      </c>
      <c r="F42">
        <v>116.54168540000001</v>
      </c>
      <c r="G42" t="s">
        <v>3819</v>
      </c>
      <c r="H42">
        <v>26475</v>
      </c>
      <c r="I42" t="s">
        <v>3820</v>
      </c>
    </row>
    <row r="43" spans="1:9" x14ac:dyDescent="0.25">
      <c r="A43" t="s">
        <v>3817</v>
      </c>
      <c r="B43" t="s">
        <v>4304</v>
      </c>
      <c r="C43" t="s">
        <v>3821</v>
      </c>
      <c r="D43">
        <v>35.449292319999998</v>
      </c>
      <c r="E43" t="s">
        <v>3818</v>
      </c>
      <c r="F43">
        <v>117.8612461</v>
      </c>
      <c r="G43" t="s">
        <v>3819</v>
      </c>
      <c r="H43">
        <v>69175</v>
      </c>
      <c r="I43" t="s">
        <v>3820</v>
      </c>
    </row>
    <row r="44" spans="1:9" x14ac:dyDescent="0.25">
      <c r="A44" t="s">
        <v>3817</v>
      </c>
      <c r="B44" t="s">
        <v>4474</v>
      </c>
      <c r="C44" t="s">
        <v>3821</v>
      </c>
      <c r="D44">
        <v>36.028693730000001</v>
      </c>
      <c r="E44" t="s">
        <v>3818</v>
      </c>
      <c r="F44">
        <v>116.8942965</v>
      </c>
      <c r="G44" t="s">
        <v>3819</v>
      </c>
      <c r="H44">
        <v>73473</v>
      </c>
      <c r="I44" t="s">
        <v>3820</v>
      </c>
    </row>
    <row r="45" spans="1:9" x14ac:dyDescent="0.25">
      <c r="A45" t="s">
        <v>3817</v>
      </c>
      <c r="B45" t="s">
        <v>3878</v>
      </c>
      <c r="C45" t="s">
        <v>3821</v>
      </c>
      <c r="D45">
        <v>36.868893309999997</v>
      </c>
      <c r="E45" t="s">
        <v>3818</v>
      </c>
      <c r="F45">
        <v>116.9095112</v>
      </c>
      <c r="G45" t="s">
        <v>3819</v>
      </c>
      <c r="H45">
        <v>26972</v>
      </c>
      <c r="I45" t="s">
        <v>3820</v>
      </c>
    </row>
    <row r="46" spans="1:9" x14ac:dyDescent="0.25">
      <c r="A46" t="s">
        <v>3817</v>
      </c>
      <c r="B46" t="s">
        <v>4632</v>
      </c>
      <c r="C46" t="s">
        <v>3821</v>
      </c>
      <c r="D46">
        <v>37.186195650000002</v>
      </c>
      <c r="E46" t="s">
        <v>3818</v>
      </c>
      <c r="F46">
        <v>120.50588949999999</v>
      </c>
      <c r="G46" t="s">
        <v>3819</v>
      </c>
      <c r="H46">
        <v>30845</v>
      </c>
      <c r="I46" t="s">
        <v>3820</v>
      </c>
    </row>
    <row r="47" spans="1:9" x14ac:dyDescent="0.25">
      <c r="A47" t="s">
        <v>3817</v>
      </c>
      <c r="B47" t="s">
        <v>3824</v>
      </c>
      <c r="C47" t="s">
        <v>3821</v>
      </c>
      <c r="D47">
        <v>38.003277769999997</v>
      </c>
      <c r="E47" t="s">
        <v>3818</v>
      </c>
      <c r="F47">
        <v>118.14169560000001</v>
      </c>
      <c r="G47" t="s">
        <v>3819</v>
      </c>
      <c r="H47">
        <v>8639</v>
      </c>
      <c r="I47" t="s">
        <v>3820</v>
      </c>
    </row>
    <row r="48" spans="1:9" x14ac:dyDescent="0.25">
      <c r="A48" t="s">
        <v>3817</v>
      </c>
      <c r="B48" t="s">
        <v>4708</v>
      </c>
      <c r="C48" t="s">
        <v>3821</v>
      </c>
      <c r="D48">
        <v>35.119870349999999</v>
      </c>
      <c r="E48" t="s">
        <v>3818</v>
      </c>
      <c r="F48">
        <v>116.8956192</v>
      </c>
      <c r="G48" t="s">
        <v>3819</v>
      </c>
      <c r="H48">
        <v>95863</v>
      </c>
      <c r="I48" t="s">
        <v>3820</v>
      </c>
    </row>
    <row r="49" spans="1:9" x14ac:dyDescent="0.25">
      <c r="A49" t="s">
        <v>3817</v>
      </c>
      <c r="B49" t="s">
        <v>4406</v>
      </c>
      <c r="C49" t="s">
        <v>3821</v>
      </c>
      <c r="D49">
        <v>35.651621210000002</v>
      </c>
      <c r="E49" t="s">
        <v>3818</v>
      </c>
      <c r="F49">
        <v>119.745018</v>
      </c>
      <c r="G49" t="s">
        <v>3819</v>
      </c>
      <c r="H49">
        <v>61853</v>
      </c>
      <c r="I49" t="s">
        <v>3820</v>
      </c>
    </row>
    <row r="50" spans="1:9" x14ac:dyDescent="0.25">
      <c r="A50" t="s">
        <v>3817</v>
      </c>
      <c r="B50" t="s">
        <v>4212</v>
      </c>
      <c r="C50" t="s">
        <v>3821</v>
      </c>
      <c r="D50">
        <v>36.592228550000002</v>
      </c>
      <c r="E50" t="s">
        <v>3818</v>
      </c>
      <c r="F50">
        <v>116.0821289</v>
      </c>
      <c r="G50" t="s">
        <v>3819</v>
      </c>
      <c r="H50">
        <v>49516</v>
      </c>
      <c r="I50" t="s">
        <v>3820</v>
      </c>
    </row>
    <row r="51" spans="1:9" x14ac:dyDescent="0.25">
      <c r="A51" t="s">
        <v>3817</v>
      </c>
      <c r="B51" t="s">
        <v>4747</v>
      </c>
      <c r="C51" t="s">
        <v>3821</v>
      </c>
      <c r="D51">
        <v>36.348645619999999</v>
      </c>
      <c r="E51" t="s">
        <v>3818</v>
      </c>
      <c r="F51">
        <v>117.96640720000001</v>
      </c>
      <c r="G51" t="s">
        <v>3819</v>
      </c>
      <c r="H51">
        <v>43515</v>
      </c>
      <c r="I51" t="s">
        <v>3820</v>
      </c>
    </row>
    <row r="52" spans="1:9" x14ac:dyDescent="0.25">
      <c r="A52" t="s">
        <v>3817</v>
      </c>
      <c r="B52" t="s">
        <v>3825</v>
      </c>
      <c r="C52" t="s">
        <v>3821</v>
      </c>
      <c r="D52">
        <v>37.617374769999998</v>
      </c>
      <c r="E52" t="s">
        <v>3818</v>
      </c>
      <c r="F52">
        <v>118.0791699</v>
      </c>
      <c r="G52" t="s">
        <v>3819</v>
      </c>
      <c r="H52">
        <v>28752</v>
      </c>
      <c r="I52" t="s">
        <v>3820</v>
      </c>
    </row>
    <row r="53" spans="1:9" x14ac:dyDescent="0.25">
      <c r="A53" t="s">
        <v>3817</v>
      </c>
      <c r="B53" t="s">
        <v>4586</v>
      </c>
      <c r="C53" t="s">
        <v>3821</v>
      </c>
      <c r="D53">
        <v>37.383522220000003</v>
      </c>
      <c r="E53" t="s">
        <v>3818</v>
      </c>
      <c r="F53">
        <v>122.33267189999999</v>
      </c>
      <c r="G53" t="s">
        <v>3819</v>
      </c>
      <c r="H53">
        <v>22017</v>
      </c>
      <c r="I53" t="s">
        <v>3820</v>
      </c>
    </row>
    <row r="54" spans="1:9" x14ac:dyDescent="0.25">
      <c r="A54" t="s">
        <v>3817</v>
      </c>
      <c r="B54" t="s">
        <v>4117</v>
      </c>
      <c r="C54" t="s">
        <v>3821</v>
      </c>
      <c r="D54">
        <v>35.148755809999997</v>
      </c>
      <c r="E54" t="s">
        <v>3818</v>
      </c>
      <c r="F54">
        <v>116.4210413</v>
      </c>
      <c r="G54" t="s">
        <v>3819</v>
      </c>
      <c r="H54">
        <v>41728</v>
      </c>
      <c r="I54" t="s">
        <v>3820</v>
      </c>
    </row>
    <row r="55" spans="1:9" x14ac:dyDescent="0.25">
      <c r="A55" t="s">
        <v>3817</v>
      </c>
      <c r="B55" t="s">
        <v>4587</v>
      </c>
      <c r="C55" t="s">
        <v>3821</v>
      </c>
      <c r="D55">
        <v>37.323441019999997</v>
      </c>
      <c r="E55" t="s">
        <v>3818</v>
      </c>
      <c r="F55">
        <v>122.4283394</v>
      </c>
      <c r="G55" t="s">
        <v>3819</v>
      </c>
      <c r="H55">
        <v>19946</v>
      </c>
      <c r="I55" t="s">
        <v>3820</v>
      </c>
    </row>
    <row r="56" spans="1:9" x14ac:dyDescent="0.25">
      <c r="A56" t="s">
        <v>3817</v>
      </c>
      <c r="B56" t="s">
        <v>4533</v>
      </c>
      <c r="C56" t="s">
        <v>3821</v>
      </c>
      <c r="D56">
        <v>36.920831890000002</v>
      </c>
      <c r="E56" t="s">
        <v>3818</v>
      </c>
      <c r="F56">
        <v>119.5102545</v>
      </c>
      <c r="G56" t="s">
        <v>3819</v>
      </c>
      <c r="H56">
        <v>53474</v>
      </c>
      <c r="I56" t="s">
        <v>3820</v>
      </c>
    </row>
    <row r="57" spans="1:9" x14ac:dyDescent="0.25">
      <c r="A57" t="s">
        <v>3817</v>
      </c>
      <c r="B57" t="s">
        <v>3978</v>
      </c>
      <c r="C57" t="s">
        <v>3821</v>
      </c>
      <c r="D57">
        <v>34.627638689999998</v>
      </c>
      <c r="E57" t="s">
        <v>3818</v>
      </c>
      <c r="F57">
        <v>116.253957</v>
      </c>
      <c r="G57" t="s">
        <v>3819</v>
      </c>
      <c r="H57">
        <v>42460</v>
      </c>
      <c r="I57" t="s">
        <v>3820</v>
      </c>
    </row>
    <row r="58" spans="1:9" x14ac:dyDescent="0.25">
      <c r="A58" t="s">
        <v>3817</v>
      </c>
      <c r="B58" t="s">
        <v>4213</v>
      </c>
      <c r="C58" t="s">
        <v>3821</v>
      </c>
      <c r="D58">
        <v>36.720267030000002</v>
      </c>
      <c r="E58" t="s">
        <v>3818</v>
      </c>
      <c r="F58">
        <v>116.02551579999999</v>
      </c>
      <c r="G58" t="s">
        <v>3819</v>
      </c>
      <c r="H58">
        <v>25534</v>
      </c>
      <c r="I58" t="s">
        <v>3820</v>
      </c>
    </row>
    <row r="59" spans="1:9" x14ac:dyDescent="0.25">
      <c r="A59" t="s">
        <v>3817</v>
      </c>
      <c r="B59" t="s">
        <v>3979</v>
      </c>
      <c r="C59" t="s">
        <v>3821</v>
      </c>
      <c r="D59">
        <v>35.376074469999999</v>
      </c>
      <c r="E59" t="s">
        <v>3818</v>
      </c>
      <c r="F59">
        <v>115.11008459999999</v>
      </c>
      <c r="G59" t="s">
        <v>3819</v>
      </c>
      <c r="H59">
        <v>41799</v>
      </c>
      <c r="I59" t="s">
        <v>3820</v>
      </c>
    </row>
    <row r="60" spans="1:9" x14ac:dyDescent="0.25">
      <c r="A60" t="s">
        <v>3817</v>
      </c>
      <c r="B60" t="s">
        <v>4633</v>
      </c>
      <c r="C60" t="s">
        <v>3821</v>
      </c>
      <c r="D60">
        <v>37.377907069999999</v>
      </c>
      <c r="E60" t="s">
        <v>3818</v>
      </c>
      <c r="F60">
        <v>120.2117708</v>
      </c>
      <c r="G60" t="s">
        <v>3819</v>
      </c>
      <c r="H60">
        <v>29086</v>
      </c>
      <c r="I60" t="s">
        <v>3820</v>
      </c>
    </row>
    <row r="61" spans="1:9" x14ac:dyDescent="0.25">
      <c r="A61" t="s">
        <v>3817</v>
      </c>
      <c r="B61" t="s">
        <v>4118</v>
      </c>
      <c r="C61" t="s">
        <v>3821</v>
      </c>
      <c r="D61">
        <v>35.670540449999997</v>
      </c>
      <c r="E61" t="s">
        <v>3818</v>
      </c>
      <c r="F61">
        <v>116.77364919999999</v>
      </c>
      <c r="G61" t="s">
        <v>3819</v>
      </c>
      <c r="H61">
        <v>28659</v>
      </c>
      <c r="I61" t="s">
        <v>3820</v>
      </c>
    </row>
    <row r="62" spans="1:9" x14ac:dyDescent="0.25">
      <c r="A62" t="s">
        <v>3817</v>
      </c>
      <c r="B62" t="s">
        <v>4588</v>
      </c>
      <c r="C62" t="s">
        <v>3821</v>
      </c>
      <c r="D62">
        <v>37.307767040000002</v>
      </c>
      <c r="E62" t="s">
        <v>3818</v>
      </c>
      <c r="F62">
        <v>122.12973220000001</v>
      </c>
      <c r="G62" t="s">
        <v>3819</v>
      </c>
      <c r="H62">
        <v>21158</v>
      </c>
      <c r="I62" t="s">
        <v>3820</v>
      </c>
    </row>
    <row r="63" spans="1:9" x14ac:dyDescent="0.25">
      <c r="A63" t="s">
        <v>3817</v>
      </c>
      <c r="B63" t="s">
        <v>3826</v>
      </c>
      <c r="C63" t="s">
        <v>3821</v>
      </c>
      <c r="D63">
        <v>37.016117039999997</v>
      </c>
      <c r="E63" t="s">
        <v>3818</v>
      </c>
      <c r="F63">
        <v>118.1785817</v>
      </c>
      <c r="G63" t="s">
        <v>3819</v>
      </c>
      <c r="H63">
        <v>38310</v>
      </c>
      <c r="I63" t="s">
        <v>3820</v>
      </c>
    </row>
    <row r="64" spans="1:9" x14ac:dyDescent="0.25">
      <c r="A64" t="s">
        <v>3817</v>
      </c>
      <c r="B64" t="s">
        <v>3980</v>
      </c>
      <c r="C64" t="s">
        <v>3821</v>
      </c>
      <c r="D64">
        <v>34.727051029999998</v>
      </c>
      <c r="E64" t="s">
        <v>3818</v>
      </c>
      <c r="F64">
        <v>115.6287813</v>
      </c>
      <c r="G64" t="s">
        <v>3819</v>
      </c>
      <c r="H64">
        <v>35190</v>
      </c>
      <c r="I64" t="s">
        <v>3820</v>
      </c>
    </row>
    <row r="65" spans="1:9" x14ac:dyDescent="0.25">
      <c r="A65" t="s">
        <v>3817</v>
      </c>
      <c r="B65" t="s">
        <v>3981</v>
      </c>
      <c r="C65" t="s">
        <v>3821</v>
      </c>
      <c r="D65">
        <v>34.8834327</v>
      </c>
      <c r="E65" t="s">
        <v>3818</v>
      </c>
      <c r="F65">
        <v>115.27056880000001</v>
      </c>
      <c r="G65" t="s">
        <v>3819</v>
      </c>
      <c r="H65">
        <v>33528</v>
      </c>
      <c r="I65" t="s">
        <v>3820</v>
      </c>
    </row>
    <row r="66" spans="1:9" x14ac:dyDescent="0.25">
      <c r="A66" t="s">
        <v>3817</v>
      </c>
      <c r="B66" t="s">
        <v>3982</v>
      </c>
      <c r="C66" t="s">
        <v>3821</v>
      </c>
      <c r="D66">
        <v>34.694067529999998</v>
      </c>
      <c r="E66" t="s">
        <v>3818</v>
      </c>
      <c r="F66">
        <v>115.4797497</v>
      </c>
      <c r="G66" t="s">
        <v>3819</v>
      </c>
      <c r="H66">
        <v>47120</v>
      </c>
      <c r="I66" t="s">
        <v>3820</v>
      </c>
    </row>
    <row r="67" spans="1:9" x14ac:dyDescent="0.25">
      <c r="A67" t="s">
        <v>3817</v>
      </c>
      <c r="B67" t="s">
        <v>3983</v>
      </c>
      <c r="C67" t="s">
        <v>3821</v>
      </c>
      <c r="D67">
        <v>34.845285869999998</v>
      </c>
      <c r="E67" t="s">
        <v>3818</v>
      </c>
      <c r="F67">
        <v>115.6365088</v>
      </c>
      <c r="G67" t="s">
        <v>3819</v>
      </c>
      <c r="H67">
        <v>28718</v>
      </c>
      <c r="I67" t="s">
        <v>3820</v>
      </c>
    </row>
    <row r="68" spans="1:9" x14ac:dyDescent="0.25">
      <c r="A68" t="s">
        <v>3817</v>
      </c>
      <c r="B68" t="s">
        <v>3984</v>
      </c>
      <c r="C68" t="s">
        <v>3821</v>
      </c>
      <c r="D68">
        <v>34.600697670000002</v>
      </c>
      <c r="E68" t="s">
        <v>3818</v>
      </c>
      <c r="F68">
        <v>115.6552337</v>
      </c>
      <c r="G68" t="s">
        <v>3819</v>
      </c>
      <c r="H68">
        <v>29503</v>
      </c>
      <c r="I68" t="s">
        <v>3820</v>
      </c>
    </row>
    <row r="69" spans="1:9" x14ac:dyDescent="0.25">
      <c r="A69" t="s">
        <v>3817</v>
      </c>
      <c r="B69" t="s">
        <v>3985</v>
      </c>
      <c r="C69" t="s">
        <v>3821</v>
      </c>
      <c r="D69">
        <v>34.638872689999999</v>
      </c>
      <c r="E69" t="s">
        <v>3818</v>
      </c>
      <c r="F69">
        <v>115.5261452</v>
      </c>
      <c r="G69" t="s">
        <v>3819</v>
      </c>
      <c r="H69">
        <v>25897</v>
      </c>
      <c r="I69" t="s">
        <v>3820</v>
      </c>
    </row>
    <row r="70" spans="1:9" x14ac:dyDescent="0.25">
      <c r="A70" t="s">
        <v>3817</v>
      </c>
      <c r="B70" t="s">
        <v>4305</v>
      </c>
      <c r="C70" t="s">
        <v>3821</v>
      </c>
      <c r="D70">
        <v>34.821361670000002</v>
      </c>
      <c r="E70" t="s">
        <v>3818</v>
      </c>
      <c r="F70">
        <v>118.492277</v>
      </c>
      <c r="G70" t="s">
        <v>3819</v>
      </c>
      <c r="H70">
        <v>45214</v>
      </c>
      <c r="I70" t="s">
        <v>3820</v>
      </c>
    </row>
    <row r="71" spans="1:9" x14ac:dyDescent="0.25">
      <c r="A71" t="s">
        <v>3817</v>
      </c>
      <c r="B71" t="s">
        <v>4534</v>
      </c>
      <c r="C71" t="s">
        <v>3821</v>
      </c>
      <c r="D71">
        <v>36.220007590000002</v>
      </c>
      <c r="E71" t="s">
        <v>3818</v>
      </c>
      <c r="F71">
        <v>119.56994419999999</v>
      </c>
      <c r="G71" t="s">
        <v>3819</v>
      </c>
      <c r="H71">
        <v>79043</v>
      </c>
      <c r="I71" t="s">
        <v>3820</v>
      </c>
    </row>
    <row r="72" spans="1:9" x14ac:dyDescent="0.25">
      <c r="A72" t="s">
        <v>3817</v>
      </c>
      <c r="B72" t="s">
        <v>6659</v>
      </c>
      <c r="C72" t="s">
        <v>3821</v>
      </c>
      <c r="D72">
        <v>37.631707609999999</v>
      </c>
      <c r="E72" t="s">
        <v>3818</v>
      </c>
      <c r="F72">
        <v>116.92756</v>
      </c>
      <c r="G72" t="s">
        <v>3819</v>
      </c>
      <c r="H72">
        <v>52221</v>
      </c>
      <c r="I72" t="s">
        <v>3820</v>
      </c>
    </row>
    <row r="73" spans="1:9" x14ac:dyDescent="0.25">
      <c r="A73" t="s">
        <v>3817</v>
      </c>
      <c r="B73" t="s">
        <v>6660</v>
      </c>
      <c r="C73" t="s">
        <v>3821</v>
      </c>
      <c r="D73">
        <v>34.886277120000003</v>
      </c>
      <c r="E73" t="s">
        <v>3818</v>
      </c>
      <c r="F73">
        <v>117.2540597</v>
      </c>
      <c r="G73" t="s">
        <v>3819</v>
      </c>
      <c r="H73">
        <v>34423</v>
      </c>
      <c r="I73" t="s">
        <v>3820</v>
      </c>
    </row>
    <row r="74" spans="1:9" x14ac:dyDescent="0.25">
      <c r="A74" t="s">
        <v>3817</v>
      </c>
      <c r="B74" t="s">
        <v>4535</v>
      </c>
      <c r="C74" t="s">
        <v>3821</v>
      </c>
      <c r="D74">
        <v>36.116128580000002</v>
      </c>
      <c r="E74" t="s">
        <v>3818</v>
      </c>
      <c r="F74">
        <v>119.4666172</v>
      </c>
      <c r="G74" t="s">
        <v>3819</v>
      </c>
      <c r="H74">
        <v>63208</v>
      </c>
      <c r="I74" t="s">
        <v>3820</v>
      </c>
    </row>
    <row r="75" spans="1:9" x14ac:dyDescent="0.25">
      <c r="A75" t="s">
        <v>3817</v>
      </c>
      <c r="B75" t="s">
        <v>4306</v>
      </c>
      <c r="C75" t="s">
        <v>3821</v>
      </c>
      <c r="D75">
        <v>34.685590140000002</v>
      </c>
      <c r="E75" t="s">
        <v>3818</v>
      </c>
      <c r="F75">
        <v>118.0993675</v>
      </c>
      <c r="G75" t="s">
        <v>3819</v>
      </c>
      <c r="H75">
        <v>93827</v>
      </c>
      <c r="I75" t="s">
        <v>3820</v>
      </c>
    </row>
    <row r="76" spans="1:9" x14ac:dyDescent="0.25">
      <c r="A76" t="s">
        <v>3817</v>
      </c>
      <c r="B76" t="s">
        <v>4119</v>
      </c>
      <c r="C76" t="s">
        <v>3821</v>
      </c>
      <c r="D76">
        <v>35.50355424</v>
      </c>
      <c r="E76" t="s">
        <v>3818</v>
      </c>
      <c r="F76">
        <v>116.449496</v>
      </c>
      <c r="G76" t="s">
        <v>3819</v>
      </c>
      <c r="H76">
        <v>57058</v>
      </c>
      <c r="I76" t="s">
        <v>3820</v>
      </c>
    </row>
    <row r="77" spans="1:9" x14ac:dyDescent="0.25">
      <c r="A77" t="s">
        <v>3817</v>
      </c>
      <c r="B77" t="s">
        <v>3879</v>
      </c>
      <c r="C77" t="s">
        <v>3821</v>
      </c>
      <c r="D77">
        <v>37.811720610000002</v>
      </c>
      <c r="E77" t="s">
        <v>3818</v>
      </c>
      <c r="F77">
        <v>116.8925227</v>
      </c>
      <c r="G77" t="s">
        <v>3819</v>
      </c>
      <c r="H77">
        <v>38056</v>
      </c>
      <c r="I77" t="s">
        <v>3820</v>
      </c>
    </row>
    <row r="78" spans="1:9" x14ac:dyDescent="0.25">
      <c r="A78" t="s">
        <v>3817</v>
      </c>
      <c r="B78" t="s">
        <v>6661</v>
      </c>
      <c r="C78" t="s">
        <v>3821</v>
      </c>
      <c r="D78">
        <v>37.799041430000003</v>
      </c>
      <c r="E78" t="s">
        <v>3818</v>
      </c>
      <c r="F78">
        <v>117.4888667</v>
      </c>
      <c r="G78" t="s">
        <v>3819</v>
      </c>
      <c r="H78">
        <v>46801</v>
      </c>
      <c r="I78" t="s">
        <v>3820</v>
      </c>
    </row>
    <row r="79" spans="1:9" x14ac:dyDescent="0.25">
      <c r="A79" t="s">
        <v>3817</v>
      </c>
      <c r="B79" t="s">
        <v>6662</v>
      </c>
      <c r="C79" t="s">
        <v>3821</v>
      </c>
      <c r="D79">
        <v>37.229735300000002</v>
      </c>
      <c r="E79" t="s">
        <v>3818</v>
      </c>
      <c r="F79">
        <v>117.8437124</v>
      </c>
      <c r="G79" t="s">
        <v>3819</v>
      </c>
      <c r="H79">
        <v>28093</v>
      </c>
      <c r="I79" t="s">
        <v>3820</v>
      </c>
    </row>
    <row r="80" spans="1:9" x14ac:dyDescent="0.25">
      <c r="A80" t="s">
        <v>3817</v>
      </c>
      <c r="B80" t="s">
        <v>3986</v>
      </c>
      <c r="C80" t="s">
        <v>3821</v>
      </c>
      <c r="D80">
        <v>34.950669750000003</v>
      </c>
      <c r="E80" t="s">
        <v>3818</v>
      </c>
      <c r="F80">
        <v>115.3009416</v>
      </c>
      <c r="G80" t="s">
        <v>3819</v>
      </c>
      <c r="H80">
        <v>37712</v>
      </c>
      <c r="I80" t="s">
        <v>3820</v>
      </c>
    </row>
    <row r="81" spans="1:9" x14ac:dyDescent="0.25">
      <c r="A81" t="s">
        <v>3817</v>
      </c>
      <c r="B81" t="s">
        <v>4442</v>
      </c>
      <c r="C81" t="s">
        <v>3821</v>
      </c>
      <c r="D81">
        <v>35.47758297</v>
      </c>
      <c r="E81" t="s">
        <v>3818</v>
      </c>
      <c r="F81">
        <v>118.8338019</v>
      </c>
      <c r="G81" t="s">
        <v>3819</v>
      </c>
      <c r="H81">
        <v>33892</v>
      </c>
      <c r="I81" t="s">
        <v>3820</v>
      </c>
    </row>
    <row r="82" spans="1:9" x14ac:dyDescent="0.25">
      <c r="A82" t="s">
        <v>3817</v>
      </c>
      <c r="B82" t="s">
        <v>4307</v>
      </c>
      <c r="C82" t="s">
        <v>3821</v>
      </c>
      <c r="D82">
        <v>35.81557772</v>
      </c>
      <c r="E82" t="s">
        <v>3818</v>
      </c>
      <c r="F82">
        <v>117.864943</v>
      </c>
      <c r="G82" t="s">
        <v>3819</v>
      </c>
      <c r="H82">
        <v>30228</v>
      </c>
      <c r="I82" t="s">
        <v>3820</v>
      </c>
    </row>
    <row r="83" spans="1:9" x14ac:dyDescent="0.25">
      <c r="A83" t="s">
        <v>3817</v>
      </c>
      <c r="B83" t="s">
        <v>3827</v>
      </c>
      <c r="C83" t="s">
        <v>3821</v>
      </c>
      <c r="D83">
        <v>36.926701100000002</v>
      </c>
      <c r="E83" t="s">
        <v>3818</v>
      </c>
      <c r="F83">
        <v>117.8792772</v>
      </c>
      <c r="G83" t="s">
        <v>3819</v>
      </c>
      <c r="H83">
        <v>67865</v>
      </c>
      <c r="I83" t="s">
        <v>3820</v>
      </c>
    </row>
    <row r="84" spans="1:9" x14ac:dyDescent="0.25">
      <c r="A84" t="s">
        <v>3817</v>
      </c>
      <c r="B84" t="s">
        <v>4214</v>
      </c>
      <c r="C84" t="s">
        <v>3821</v>
      </c>
      <c r="D84">
        <v>36.034490929999997</v>
      </c>
      <c r="E84" t="s">
        <v>3818</v>
      </c>
      <c r="F84">
        <v>115.5773188</v>
      </c>
      <c r="G84" t="s">
        <v>3819</v>
      </c>
      <c r="H84">
        <v>49297</v>
      </c>
      <c r="I84" t="s">
        <v>3820</v>
      </c>
    </row>
    <row r="85" spans="1:9" x14ac:dyDescent="0.25">
      <c r="A85" t="s">
        <v>3817</v>
      </c>
      <c r="B85" t="s">
        <v>4443</v>
      </c>
      <c r="C85" t="s">
        <v>3821</v>
      </c>
      <c r="D85">
        <v>35.62316938</v>
      </c>
      <c r="E85" t="s">
        <v>3818</v>
      </c>
      <c r="F85">
        <v>119.4535456</v>
      </c>
      <c r="G85" t="s">
        <v>3819</v>
      </c>
      <c r="H85">
        <v>31176</v>
      </c>
      <c r="I85" t="s">
        <v>3820</v>
      </c>
    </row>
    <row r="86" spans="1:9" x14ac:dyDescent="0.25">
      <c r="A86" t="s">
        <v>3817</v>
      </c>
      <c r="B86" t="s">
        <v>4475</v>
      </c>
      <c r="C86" t="s">
        <v>3821</v>
      </c>
      <c r="D86">
        <v>36.237970109999999</v>
      </c>
      <c r="E86" t="s">
        <v>3818</v>
      </c>
      <c r="F86">
        <v>116.8421507</v>
      </c>
      <c r="G86" t="s">
        <v>3819</v>
      </c>
      <c r="H86">
        <v>21954</v>
      </c>
      <c r="I86" t="s">
        <v>3820</v>
      </c>
    </row>
    <row r="87" spans="1:9" x14ac:dyDescent="0.25">
      <c r="A87" t="s">
        <v>3817</v>
      </c>
      <c r="B87" t="s">
        <v>4634</v>
      </c>
      <c r="C87" t="s">
        <v>3821</v>
      </c>
      <c r="D87">
        <v>37.67310415</v>
      </c>
      <c r="E87" t="s">
        <v>3818</v>
      </c>
      <c r="F87">
        <v>120.9595235</v>
      </c>
      <c r="G87" t="s">
        <v>3819</v>
      </c>
      <c r="H87">
        <v>27014</v>
      </c>
      <c r="I87" t="s">
        <v>3820</v>
      </c>
    </row>
    <row r="88" spans="1:9" x14ac:dyDescent="0.25">
      <c r="A88" t="s">
        <v>3817</v>
      </c>
      <c r="B88" t="s">
        <v>4090</v>
      </c>
      <c r="C88" t="s">
        <v>3821</v>
      </c>
      <c r="D88">
        <v>36.48959</v>
      </c>
      <c r="E88" t="s">
        <v>3818</v>
      </c>
      <c r="F88">
        <v>117.68662</v>
      </c>
      <c r="G88" t="s">
        <v>3819</v>
      </c>
      <c r="H88">
        <v>33585</v>
      </c>
      <c r="I88" t="s">
        <v>3820</v>
      </c>
    </row>
    <row r="89" spans="1:9" x14ac:dyDescent="0.25">
      <c r="A89" t="s">
        <v>3817</v>
      </c>
      <c r="B89" t="s">
        <v>4635</v>
      </c>
      <c r="C89" t="s">
        <v>3821</v>
      </c>
      <c r="D89">
        <v>37.197946180000002</v>
      </c>
      <c r="E89" t="s">
        <v>3818</v>
      </c>
      <c r="F89">
        <v>120.0554101</v>
      </c>
      <c r="G89" t="s">
        <v>3819</v>
      </c>
      <c r="H89">
        <v>48639</v>
      </c>
      <c r="I89" t="s">
        <v>3820</v>
      </c>
    </row>
    <row r="90" spans="1:9" x14ac:dyDescent="0.25">
      <c r="A90" t="s">
        <v>3817</v>
      </c>
      <c r="B90" t="s">
        <v>3828</v>
      </c>
      <c r="C90" t="s">
        <v>3821</v>
      </c>
      <c r="D90">
        <v>38.167181499999998</v>
      </c>
      <c r="E90" t="s">
        <v>3818</v>
      </c>
      <c r="F90">
        <v>117.83503229999999</v>
      </c>
      <c r="G90" t="s">
        <v>3819</v>
      </c>
      <c r="H90">
        <v>23950</v>
      </c>
      <c r="I90" t="s">
        <v>3820</v>
      </c>
    </row>
    <row r="91" spans="1:9" x14ac:dyDescent="0.25">
      <c r="A91" t="s">
        <v>3817</v>
      </c>
      <c r="B91" t="s">
        <v>4120</v>
      </c>
      <c r="C91" t="s">
        <v>3821</v>
      </c>
      <c r="D91">
        <v>35.381245579999998</v>
      </c>
      <c r="E91" t="s">
        <v>3818</v>
      </c>
      <c r="F91">
        <v>117.39798279999999</v>
      </c>
      <c r="G91" t="s">
        <v>3819</v>
      </c>
      <c r="H91">
        <v>71465</v>
      </c>
      <c r="I91" t="s">
        <v>3820</v>
      </c>
    </row>
    <row r="92" spans="1:9" x14ac:dyDescent="0.25">
      <c r="A92" t="s">
        <v>3817</v>
      </c>
      <c r="B92" t="s">
        <v>4589</v>
      </c>
      <c r="C92" t="s">
        <v>3821</v>
      </c>
      <c r="D92">
        <v>37.374970650000002</v>
      </c>
      <c r="E92" t="s">
        <v>3818</v>
      </c>
      <c r="F92">
        <v>122.57738670000001</v>
      </c>
      <c r="G92" t="s">
        <v>3819</v>
      </c>
      <c r="H92">
        <v>43267</v>
      </c>
      <c r="I92" t="s">
        <v>3820</v>
      </c>
    </row>
    <row r="93" spans="1:9" x14ac:dyDescent="0.25">
      <c r="A93" t="s">
        <v>3817</v>
      </c>
      <c r="B93" t="s">
        <v>4709</v>
      </c>
      <c r="C93" t="s">
        <v>3821</v>
      </c>
      <c r="D93">
        <v>35.13466708</v>
      </c>
      <c r="E93" t="s">
        <v>3818</v>
      </c>
      <c r="F93">
        <v>117.3103818</v>
      </c>
      <c r="G93" t="s">
        <v>3819</v>
      </c>
      <c r="H93">
        <v>41343</v>
      </c>
      <c r="I93" t="s">
        <v>3820</v>
      </c>
    </row>
    <row r="94" spans="1:9" x14ac:dyDescent="0.25">
      <c r="A94" t="s">
        <v>3817</v>
      </c>
      <c r="B94" t="s">
        <v>3987</v>
      </c>
      <c r="C94" t="s">
        <v>3821</v>
      </c>
      <c r="D94">
        <v>35.745292589999998</v>
      </c>
      <c r="E94" t="s">
        <v>3818</v>
      </c>
      <c r="F94">
        <v>115.95404430000001</v>
      </c>
      <c r="G94" t="s">
        <v>3819</v>
      </c>
      <c r="H94">
        <v>44252</v>
      </c>
      <c r="I94" t="s">
        <v>3820</v>
      </c>
    </row>
    <row r="95" spans="1:9" x14ac:dyDescent="0.25">
      <c r="A95" t="s">
        <v>3817</v>
      </c>
      <c r="B95" t="s">
        <v>3954</v>
      </c>
      <c r="C95" t="s">
        <v>3821</v>
      </c>
      <c r="D95">
        <v>37.255952970000003</v>
      </c>
      <c r="E95" t="s">
        <v>3818</v>
      </c>
      <c r="F95">
        <v>118.4644547</v>
      </c>
      <c r="G95" t="s">
        <v>3819</v>
      </c>
      <c r="H95">
        <v>20256</v>
      </c>
      <c r="I95" t="s">
        <v>3820</v>
      </c>
    </row>
    <row r="96" spans="1:9" x14ac:dyDescent="0.25">
      <c r="A96" t="s">
        <v>3817</v>
      </c>
      <c r="B96" t="s">
        <v>3988</v>
      </c>
      <c r="C96" t="s">
        <v>3821</v>
      </c>
      <c r="D96">
        <v>34.956702120000003</v>
      </c>
      <c r="E96" t="s">
        <v>3818</v>
      </c>
      <c r="F96">
        <v>116.1097759</v>
      </c>
      <c r="G96" t="s">
        <v>3819</v>
      </c>
      <c r="H96">
        <v>42111</v>
      </c>
      <c r="I96" t="s">
        <v>3820</v>
      </c>
    </row>
    <row r="97" spans="1:9" x14ac:dyDescent="0.25">
      <c r="A97" t="s">
        <v>3817</v>
      </c>
      <c r="B97" t="s">
        <v>3989</v>
      </c>
      <c r="C97" t="s">
        <v>3821</v>
      </c>
      <c r="D97">
        <v>35.020803180000001</v>
      </c>
      <c r="E97" t="s">
        <v>3818</v>
      </c>
      <c r="F97">
        <v>115.82527330000001</v>
      </c>
      <c r="G97" t="s">
        <v>3819</v>
      </c>
      <c r="H97">
        <v>49517</v>
      </c>
      <c r="I97" t="s">
        <v>3820</v>
      </c>
    </row>
    <row r="98" spans="1:9" x14ac:dyDescent="0.25">
      <c r="A98" t="s">
        <v>3817</v>
      </c>
      <c r="B98" t="s">
        <v>3990</v>
      </c>
      <c r="C98" t="s">
        <v>3821</v>
      </c>
      <c r="D98">
        <v>35.017620129999997</v>
      </c>
      <c r="E98" t="s">
        <v>3818</v>
      </c>
      <c r="F98">
        <v>115.95153980000001</v>
      </c>
      <c r="G98" t="s">
        <v>3819</v>
      </c>
      <c r="H98">
        <v>32557</v>
      </c>
      <c r="I98" t="s">
        <v>3820</v>
      </c>
    </row>
    <row r="99" spans="1:9" x14ac:dyDescent="0.25">
      <c r="A99" t="s">
        <v>3817</v>
      </c>
      <c r="B99" t="s">
        <v>3991</v>
      </c>
      <c r="C99" t="s">
        <v>3821</v>
      </c>
      <c r="D99">
        <v>35.075665890000003</v>
      </c>
      <c r="E99" t="s">
        <v>3818</v>
      </c>
      <c r="F99">
        <v>116.0566299</v>
      </c>
      <c r="G99" t="s">
        <v>3819</v>
      </c>
      <c r="H99">
        <v>71943</v>
      </c>
      <c r="I99" t="s">
        <v>3820</v>
      </c>
    </row>
    <row r="100" spans="1:9" x14ac:dyDescent="0.25">
      <c r="A100" t="s">
        <v>3817</v>
      </c>
      <c r="B100" t="s">
        <v>3992</v>
      </c>
      <c r="C100" t="s">
        <v>3821</v>
      </c>
      <c r="D100">
        <v>34.956866779999999</v>
      </c>
      <c r="E100" t="s">
        <v>3818</v>
      </c>
      <c r="F100">
        <v>115.9838824</v>
      </c>
      <c r="G100" t="s">
        <v>3819</v>
      </c>
      <c r="H100">
        <v>35188</v>
      </c>
      <c r="I100" t="s">
        <v>3820</v>
      </c>
    </row>
    <row r="101" spans="1:9" x14ac:dyDescent="0.25">
      <c r="A101" t="s">
        <v>3817</v>
      </c>
      <c r="B101" t="s">
        <v>3993</v>
      </c>
      <c r="C101" t="s">
        <v>3821</v>
      </c>
      <c r="D101">
        <v>34.921011049999997</v>
      </c>
      <c r="E101" t="s">
        <v>3818</v>
      </c>
      <c r="F101">
        <v>115.7876134</v>
      </c>
      <c r="G101" t="s">
        <v>3819</v>
      </c>
      <c r="H101">
        <v>56041</v>
      </c>
      <c r="I101" t="s">
        <v>3820</v>
      </c>
    </row>
    <row r="102" spans="1:9" x14ac:dyDescent="0.25">
      <c r="A102" t="s">
        <v>3817</v>
      </c>
      <c r="B102" t="s">
        <v>3994</v>
      </c>
      <c r="C102" t="s">
        <v>3821</v>
      </c>
      <c r="D102">
        <v>35.090615730000003</v>
      </c>
      <c r="E102" t="s">
        <v>3818</v>
      </c>
      <c r="F102">
        <v>115.9354008</v>
      </c>
      <c r="G102" t="s">
        <v>3819</v>
      </c>
      <c r="H102">
        <v>41068</v>
      </c>
      <c r="I102" t="s">
        <v>3820</v>
      </c>
    </row>
    <row r="103" spans="1:9" x14ac:dyDescent="0.25">
      <c r="A103" t="s">
        <v>3817</v>
      </c>
      <c r="B103" t="s">
        <v>3995</v>
      </c>
      <c r="C103" t="s">
        <v>3821</v>
      </c>
      <c r="D103">
        <v>34.862886000000003</v>
      </c>
      <c r="E103" t="s">
        <v>3818</v>
      </c>
      <c r="F103">
        <v>115.95944540000001</v>
      </c>
      <c r="G103" t="s">
        <v>3819</v>
      </c>
      <c r="H103">
        <v>48803</v>
      </c>
      <c r="I103" t="s">
        <v>3820</v>
      </c>
    </row>
    <row r="104" spans="1:9" x14ac:dyDescent="0.25">
      <c r="A104" t="s">
        <v>3817</v>
      </c>
      <c r="B104" t="s">
        <v>3996</v>
      </c>
      <c r="C104" t="s">
        <v>3821</v>
      </c>
      <c r="D104">
        <v>34.86909533</v>
      </c>
      <c r="E104" t="s">
        <v>3818</v>
      </c>
      <c r="F104">
        <v>115.8575776</v>
      </c>
      <c r="G104" t="s">
        <v>3819</v>
      </c>
      <c r="H104">
        <v>38350</v>
      </c>
      <c r="I104" t="s">
        <v>3820</v>
      </c>
    </row>
    <row r="105" spans="1:9" x14ac:dyDescent="0.25">
      <c r="A105" t="s">
        <v>3817</v>
      </c>
      <c r="B105" t="s">
        <v>3997</v>
      </c>
      <c r="C105" t="s">
        <v>3821</v>
      </c>
      <c r="D105">
        <v>35.089551299999997</v>
      </c>
      <c r="E105" t="s">
        <v>3818</v>
      </c>
      <c r="F105">
        <v>115.84633599999999</v>
      </c>
      <c r="G105" t="s">
        <v>3819</v>
      </c>
      <c r="H105">
        <v>61592</v>
      </c>
      <c r="I105" t="s">
        <v>3820</v>
      </c>
    </row>
    <row r="106" spans="1:9" x14ac:dyDescent="0.25">
      <c r="A106" t="s">
        <v>3817</v>
      </c>
      <c r="B106" t="s">
        <v>3998</v>
      </c>
      <c r="C106" t="s">
        <v>3821</v>
      </c>
      <c r="D106">
        <v>35.014628399999999</v>
      </c>
      <c r="E106" t="s">
        <v>3818</v>
      </c>
      <c r="F106">
        <v>116.0601114</v>
      </c>
      <c r="G106" t="s">
        <v>3819</v>
      </c>
      <c r="H106">
        <v>30838</v>
      </c>
      <c r="I106" t="s">
        <v>3820</v>
      </c>
    </row>
    <row r="107" spans="1:9" x14ac:dyDescent="0.25">
      <c r="A107" t="s">
        <v>3817</v>
      </c>
      <c r="B107" t="s">
        <v>3829</v>
      </c>
      <c r="C107" t="s">
        <v>3821</v>
      </c>
      <c r="D107">
        <v>37.257603039999999</v>
      </c>
      <c r="E107" t="s">
        <v>3818</v>
      </c>
      <c r="F107">
        <v>118.1999107</v>
      </c>
      <c r="G107" t="s">
        <v>3819</v>
      </c>
      <c r="H107">
        <v>40880</v>
      </c>
      <c r="I107" t="s">
        <v>3820</v>
      </c>
    </row>
    <row r="108" spans="1:9" x14ac:dyDescent="0.25">
      <c r="A108" t="s">
        <v>3817</v>
      </c>
      <c r="B108" t="s">
        <v>6663</v>
      </c>
      <c r="C108" t="s">
        <v>3821</v>
      </c>
      <c r="D108">
        <v>35.199421870000002</v>
      </c>
      <c r="E108" t="s">
        <v>3818</v>
      </c>
      <c r="F108">
        <v>115.6144326</v>
      </c>
      <c r="G108" t="s">
        <v>3819</v>
      </c>
      <c r="H108">
        <v>57941</v>
      </c>
      <c r="I108" t="s">
        <v>3820</v>
      </c>
    </row>
    <row r="109" spans="1:9" x14ac:dyDescent="0.25">
      <c r="A109" t="s">
        <v>3817</v>
      </c>
      <c r="B109" t="s">
        <v>6664</v>
      </c>
      <c r="C109" t="s">
        <v>3821</v>
      </c>
      <c r="D109">
        <v>36.360197980000002</v>
      </c>
      <c r="E109" t="s">
        <v>3818</v>
      </c>
      <c r="F109">
        <v>116.3075352</v>
      </c>
      <c r="G109" t="s">
        <v>3819</v>
      </c>
      <c r="H109">
        <v>16938</v>
      </c>
      <c r="I109" t="s">
        <v>3820</v>
      </c>
    </row>
    <row r="110" spans="1:9" x14ac:dyDescent="0.25">
      <c r="A110" t="s">
        <v>3817</v>
      </c>
      <c r="B110" t="s">
        <v>4444</v>
      </c>
      <c r="C110" t="s">
        <v>3821</v>
      </c>
      <c r="D110">
        <v>35.518538210000003</v>
      </c>
      <c r="E110" t="s">
        <v>3818</v>
      </c>
      <c r="F110">
        <v>119.2530806</v>
      </c>
      <c r="G110" t="s">
        <v>3819</v>
      </c>
      <c r="H110">
        <v>24706</v>
      </c>
      <c r="I110" t="s">
        <v>3820</v>
      </c>
    </row>
    <row r="111" spans="1:9" x14ac:dyDescent="0.25">
      <c r="A111" t="s">
        <v>3817</v>
      </c>
      <c r="B111" t="s">
        <v>3955</v>
      </c>
      <c r="C111" t="s">
        <v>3821</v>
      </c>
      <c r="D111">
        <v>37.686895530000001</v>
      </c>
      <c r="E111" t="s">
        <v>3818</v>
      </c>
      <c r="F111">
        <v>118.5603018</v>
      </c>
      <c r="G111" t="s">
        <v>3819</v>
      </c>
      <c r="H111">
        <v>50396</v>
      </c>
      <c r="I111" t="s">
        <v>3820</v>
      </c>
    </row>
    <row r="112" spans="1:9" x14ac:dyDescent="0.25">
      <c r="A112" t="s">
        <v>3817</v>
      </c>
      <c r="B112" t="s">
        <v>3830</v>
      </c>
      <c r="C112" t="s">
        <v>3821</v>
      </c>
      <c r="D112">
        <v>37.911980440000001</v>
      </c>
      <c r="E112" t="s">
        <v>3818</v>
      </c>
      <c r="F112">
        <v>117.62378200000001</v>
      </c>
      <c r="G112" t="s">
        <v>3819</v>
      </c>
      <c r="H112">
        <v>43878</v>
      </c>
      <c r="I112" t="s">
        <v>3820</v>
      </c>
    </row>
    <row r="113" spans="1:9" x14ac:dyDescent="0.25">
      <c r="A113" t="s">
        <v>3817</v>
      </c>
      <c r="B113" t="s">
        <v>4308</v>
      </c>
      <c r="C113" t="s">
        <v>3821</v>
      </c>
      <c r="D113">
        <v>34.980083860000001</v>
      </c>
      <c r="E113" t="s">
        <v>3818</v>
      </c>
      <c r="F113">
        <v>117.8945392</v>
      </c>
      <c r="G113" t="s">
        <v>3819</v>
      </c>
      <c r="H113">
        <v>49975</v>
      </c>
      <c r="I113" t="s">
        <v>3820</v>
      </c>
    </row>
    <row r="114" spans="1:9" x14ac:dyDescent="0.25">
      <c r="A114" t="s">
        <v>3817</v>
      </c>
      <c r="B114" t="s">
        <v>4748</v>
      </c>
      <c r="C114" t="s">
        <v>3821</v>
      </c>
      <c r="D114">
        <v>36.344396189999998</v>
      </c>
      <c r="E114" t="s">
        <v>3818</v>
      </c>
      <c r="F114">
        <v>118.1131764</v>
      </c>
      <c r="G114" t="s">
        <v>3819</v>
      </c>
      <c r="H114">
        <v>17561</v>
      </c>
      <c r="I114" t="s">
        <v>3820</v>
      </c>
    </row>
    <row r="115" spans="1:9" x14ac:dyDescent="0.25">
      <c r="A115" t="s">
        <v>3817</v>
      </c>
      <c r="B115" t="s">
        <v>4309</v>
      </c>
      <c r="C115" t="s">
        <v>3821</v>
      </c>
      <c r="D115">
        <v>34.598193860000002</v>
      </c>
      <c r="E115" t="s">
        <v>3818</v>
      </c>
      <c r="F115">
        <v>118.142454</v>
      </c>
      <c r="G115" t="s">
        <v>3819</v>
      </c>
      <c r="H115">
        <v>75205</v>
      </c>
      <c r="I115" t="s">
        <v>3820</v>
      </c>
    </row>
    <row r="116" spans="1:9" x14ac:dyDescent="0.25">
      <c r="A116" t="s">
        <v>3817</v>
      </c>
      <c r="B116" t="s">
        <v>4590</v>
      </c>
      <c r="C116" t="s">
        <v>3821</v>
      </c>
      <c r="D116">
        <v>37.398901430000002</v>
      </c>
      <c r="E116" t="s">
        <v>3818</v>
      </c>
      <c r="F116">
        <v>121.9268357</v>
      </c>
      <c r="G116" t="s">
        <v>3819</v>
      </c>
      <c r="H116">
        <v>34388</v>
      </c>
      <c r="I116" t="s">
        <v>3820</v>
      </c>
    </row>
    <row r="117" spans="1:9" x14ac:dyDescent="0.25">
      <c r="A117" t="s">
        <v>3817</v>
      </c>
      <c r="B117" t="s">
        <v>4310</v>
      </c>
      <c r="C117" t="s">
        <v>3821</v>
      </c>
      <c r="D117">
        <v>34.811065880000001</v>
      </c>
      <c r="E117" t="s">
        <v>3818</v>
      </c>
      <c r="F117">
        <v>118.22648239999999</v>
      </c>
      <c r="G117" t="s">
        <v>3819</v>
      </c>
      <c r="H117">
        <v>52775</v>
      </c>
      <c r="I117" t="s">
        <v>3820</v>
      </c>
    </row>
    <row r="118" spans="1:9" x14ac:dyDescent="0.25">
      <c r="A118" t="s">
        <v>3817</v>
      </c>
      <c r="B118" t="s">
        <v>3831</v>
      </c>
      <c r="C118" t="s">
        <v>3821</v>
      </c>
      <c r="D118">
        <v>37.272186589999997</v>
      </c>
      <c r="E118" t="s">
        <v>3818</v>
      </c>
      <c r="F118">
        <v>118.29786420000001</v>
      </c>
      <c r="G118" t="s">
        <v>3819</v>
      </c>
      <c r="H118">
        <v>23072</v>
      </c>
      <c r="I118" t="s">
        <v>3820</v>
      </c>
    </row>
    <row r="119" spans="1:9" x14ac:dyDescent="0.25">
      <c r="A119" t="s">
        <v>3817</v>
      </c>
      <c r="B119" t="s">
        <v>4121</v>
      </c>
      <c r="C119" t="s">
        <v>3821</v>
      </c>
      <c r="D119">
        <v>35.670389999999998</v>
      </c>
      <c r="E119" t="s">
        <v>3818</v>
      </c>
      <c r="F119">
        <v>116.3990902</v>
      </c>
      <c r="G119" t="s">
        <v>3819</v>
      </c>
      <c r="H119">
        <v>70562</v>
      </c>
      <c r="I119" t="s">
        <v>3820</v>
      </c>
    </row>
    <row r="120" spans="1:9" x14ac:dyDescent="0.25">
      <c r="A120" t="s">
        <v>3817</v>
      </c>
      <c r="B120" t="s">
        <v>4476</v>
      </c>
      <c r="C120" t="s">
        <v>3821</v>
      </c>
      <c r="D120">
        <v>35.874035139999997</v>
      </c>
      <c r="E120" t="s">
        <v>3818</v>
      </c>
      <c r="F120">
        <v>117.0583103</v>
      </c>
      <c r="G120" t="s">
        <v>3819</v>
      </c>
      <c r="H120">
        <v>84922</v>
      </c>
      <c r="I120" t="s">
        <v>3820</v>
      </c>
    </row>
    <row r="121" spans="1:9" x14ac:dyDescent="0.25">
      <c r="A121" t="s">
        <v>3817</v>
      </c>
      <c r="B121" t="s">
        <v>4407</v>
      </c>
      <c r="C121" t="s">
        <v>3821</v>
      </c>
      <c r="D121">
        <v>36.632230159999999</v>
      </c>
      <c r="E121" t="s">
        <v>3818</v>
      </c>
      <c r="F121">
        <v>119.7560584</v>
      </c>
      <c r="G121" t="s">
        <v>3819</v>
      </c>
      <c r="H121">
        <v>47651</v>
      </c>
      <c r="I121" t="s">
        <v>3820</v>
      </c>
    </row>
    <row r="122" spans="1:9" x14ac:dyDescent="0.25">
      <c r="A122" t="s">
        <v>3817</v>
      </c>
      <c r="B122" t="s">
        <v>4311</v>
      </c>
      <c r="C122" t="s">
        <v>3821</v>
      </c>
      <c r="D122">
        <v>35.826553820000001</v>
      </c>
      <c r="E122" t="s">
        <v>3818</v>
      </c>
      <c r="F122">
        <v>118.4262609</v>
      </c>
      <c r="G122" t="s">
        <v>3819</v>
      </c>
      <c r="H122">
        <v>26684</v>
      </c>
      <c r="I122" t="s">
        <v>3820</v>
      </c>
    </row>
    <row r="123" spans="1:9" x14ac:dyDescent="0.25">
      <c r="A123" t="s">
        <v>3817</v>
      </c>
      <c r="B123" t="s">
        <v>3880</v>
      </c>
      <c r="C123" t="s">
        <v>3821</v>
      </c>
      <c r="D123">
        <v>37.963164339999999</v>
      </c>
      <c r="E123" t="s">
        <v>3818</v>
      </c>
      <c r="F123">
        <v>117.5328457</v>
      </c>
      <c r="G123" t="s">
        <v>3819</v>
      </c>
      <c r="H123">
        <v>13747</v>
      </c>
      <c r="I123" t="s">
        <v>3820</v>
      </c>
    </row>
    <row r="124" spans="1:9" x14ac:dyDescent="0.25">
      <c r="A124" t="s">
        <v>3817</v>
      </c>
      <c r="B124" t="s">
        <v>4477</v>
      </c>
      <c r="C124" t="s">
        <v>3821</v>
      </c>
      <c r="D124">
        <v>36.093219359999999</v>
      </c>
      <c r="E124" t="s">
        <v>3818</v>
      </c>
      <c r="F124">
        <v>117.28002979999999</v>
      </c>
      <c r="G124" t="s">
        <v>3819</v>
      </c>
      <c r="H124">
        <v>54916</v>
      </c>
      <c r="I124" t="s">
        <v>3820</v>
      </c>
    </row>
    <row r="125" spans="1:9" x14ac:dyDescent="0.25">
      <c r="A125" t="s">
        <v>3817</v>
      </c>
      <c r="B125" t="s">
        <v>4636</v>
      </c>
      <c r="C125" t="s">
        <v>3821</v>
      </c>
      <c r="D125">
        <v>37.504965849999998</v>
      </c>
      <c r="E125" t="s">
        <v>3818</v>
      </c>
      <c r="F125">
        <v>120.786197</v>
      </c>
      <c r="G125" t="s">
        <v>3819</v>
      </c>
      <c r="H125">
        <v>41373</v>
      </c>
      <c r="I125" t="s">
        <v>3820</v>
      </c>
    </row>
    <row r="126" spans="1:9" x14ac:dyDescent="0.25">
      <c r="A126" t="s">
        <v>3817</v>
      </c>
      <c r="B126" t="s">
        <v>4122</v>
      </c>
      <c r="C126" t="s">
        <v>3821</v>
      </c>
      <c r="D126">
        <v>35.631589570000003</v>
      </c>
      <c r="E126" t="s">
        <v>3818</v>
      </c>
      <c r="F126">
        <v>116.8095759</v>
      </c>
      <c r="G126" t="s">
        <v>3819</v>
      </c>
      <c r="H126">
        <v>83853</v>
      </c>
      <c r="I126" t="s">
        <v>3820</v>
      </c>
    </row>
    <row r="127" spans="1:9" x14ac:dyDescent="0.25">
      <c r="A127" t="s">
        <v>3817</v>
      </c>
      <c r="B127" t="s">
        <v>3881</v>
      </c>
      <c r="C127" t="s">
        <v>3821</v>
      </c>
      <c r="D127">
        <v>37.575385400000002</v>
      </c>
      <c r="E127" t="s">
        <v>3818</v>
      </c>
      <c r="F127">
        <v>116.5891628</v>
      </c>
      <c r="G127" t="s">
        <v>3819</v>
      </c>
      <c r="H127">
        <v>34205</v>
      </c>
      <c r="I127" t="s">
        <v>3820</v>
      </c>
    </row>
    <row r="128" spans="1:9" x14ac:dyDescent="0.25">
      <c r="A128" t="s">
        <v>3817</v>
      </c>
      <c r="B128" t="s">
        <v>4408</v>
      </c>
      <c r="C128" t="s">
        <v>3821</v>
      </c>
      <c r="D128">
        <v>35.68291207</v>
      </c>
      <c r="E128" t="s">
        <v>3818</v>
      </c>
      <c r="F128">
        <v>119.648978</v>
      </c>
      <c r="G128" t="s">
        <v>3819</v>
      </c>
      <c r="H128">
        <v>42955</v>
      </c>
      <c r="I128" t="s">
        <v>3820</v>
      </c>
    </row>
    <row r="129" spans="1:9" x14ac:dyDescent="0.25">
      <c r="A129" t="s">
        <v>3817</v>
      </c>
      <c r="B129" t="s">
        <v>4409</v>
      </c>
      <c r="C129" t="s">
        <v>3821</v>
      </c>
      <c r="D129">
        <v>35.809734499999998</v>
      </c>
      <c r="E129" t="s">
        <v>3818</v>
      </c>
      <c r="F129">
        <v>119.69981900000001</v>
      </c>
      <c r="G129" t="s">
        <v>3819</v>
      </c>
      <c r="H129">
        <v>49010</v>
      </c>
      <c r="I129" t="s">
        <v>3820</v>
      </c>
    </row>
    <row r="130" spans="1:9" x14ac:dyDescent="0.25">
      <c r="A130" t="s">
        <v>3817</v>
      </c>
      <c r="B130" t="s">
        <v>4312</v>
      </c>
      <c r="C130" t="s">
        <v>3821</v>
      </c>
      <c r="D130">
        <v>35.335003280000002</v>
      </c>
      <c r="E130" t="s">
        <v>3818</v>
      </c>
      <c r="F130">
        <v>118.7849159</v>
      </c>
      <c r="G130" t="s">
        <v>3819</v>
      </c>
      <c r="H130">
        <v>66830</v>
      </c>
      <c r="I130" t="s">
        <v>3820</v>
      </c>
    </row>
    <row r="131" spans="1:9" x14ac:dyDescent="0.25">
      <c r="A131" t="s">
        <v>3817</v>
      </c>
      <c r="B131" t="s">
        <v>3832</v>
      </c>
      <c r="C131" t="s">
        <v>3821</v>
      </c>
      <c r="D131">
        <v>37.628503420000001</v>
      </c>
      <c r="E131" t="s">
        <v>3818</v>
      </c>
      <c r="F131">
        <v>117.86707850000001</v>
      </c>
      <c r="G131" t="s">
        <v>3819</v>
      </c>
      <c r="H131">
        <v>36202</v>
      </c>
      <c r="I131" t="s">
        <v>3820</v>
      </c>
    </row>
    <row r="132" spans="1:9" x14ac:dyDescent="0.25">
      <c r="A132" t="s">
        <v>3817</v>
      </c>
      <c r="B132" t="s">
        <v>4591</v>
      </c>
      <c r="C132" t="s">
        <v>3821</v>
      </c>
      <c r="D132">
        <v>36.942958070000003</v>
      </c>
      <c r="E132" t="s">
        <v>3818</v>
      </c>
      <c r="F132">
        <v>121.6363836</v>
      </c>
      <c r="G132" t="s">
        <v>3819</v>
      </c>
      <c r="H132">
        <v>24128</v>
      </c>
      <c r="I132" t="s">
        <v>3820</v>
      </c>
    </row>
    <row r="133" spans="1:9" x14ac:dyDescent="0.25">
      <c r="A133" t="s">
        <v>3817</v>
      </c>
      <c r="B133" t="s">
        <v>3999</v>
      </c>
      <c r="C133" t="s">
        <v>3821</v>
      </c>
      <c r="D133">
        <v>35.079694949999997</v>
      </c>
      <c r="E133" t="s">
        <v>3818</v>
      </c>
      <c r="F133">
        <v>115.2785813</v>
      </c>
      <c r="G133" t="s">
        <v>3819</v>
      </c>
      <c r="H133">
        <v>42956</v>
      </c>
      <c r="I133" t="s">
        <v>3820</v>
      </c>
    </row>
    <row r="134" spans="1:9" x14ac:dyDescent="0.25">
      <c r="A134" t="s">
        <v>3817</v>
      </c>
      <c r="B134" t="s">
        <v>4313</v>
      </c>
      <c r="C134" t="s">
        <v>3821</v>
      </c>
      <c r="D134">
        <v>35.952692319999997</v>
      </c>
      <c r="E134" t="s">
        <v>3818</v>
      </c>
      <c r="F134">
        <v>118.1460424</v>
      </c>
      <c r="G134" t="s">
        <v>3819</v>
      </c>
      <c r="H134">
        <v>42790</v>
      </c>
      <c r="I134" t="s">
        <v>3820</v>
      </c>
    </row>
    <row r="135" spans="1:9" x14ac:dyDescent="0.25">
      <c r="A135" t="s">
        <v>3817</v>
      </c>
      <c r="B135" t="s">
        <v>4478</v>
      </c>
      <c r="C135" t="s">
        <v>3821</v>
      </c>
      <c r="D135">
        <v>35.976957659999997</v>
      </c>
      <c r="E135" t="s">
        <v>3818</v>
      </c>
      <c r="F135">
        <v>116.1085516</v>
      </c>
      <c r="G135" t="s">
        <v>3819</v>
      </c>
      <c r="H135">
        <v>36074</v>
      </c>
      <c r="I135" t="s">
        <v>3820</v>
      </c>
    </row>
    <row r="136" spans="1:9" x14ac:dyDescent="0.25">
      <c r="A136" t="s">
        <v>3817</v>
      </c>
      <c r="B136" t="s">
        <v>4215</v>
      </c>
      <c r="C136" t="s">
        <v>3821</v>
      </c>
      <c r="D136">
        <v>36.771857529999998</v>
      </c>
      <c r="E136" t="s">
        <v>3818</v>
      </c>
      <c r="F136">
        <v>115.8400043</v>
      </c>
      <c r="G136" t="s">
        <v>3819</v>
      </c>
      <c r="H136">
        <v>30444</v>
      </c>
      <c r="I136" t="s">
        <v>3820</v>
      </c>
    </row>
    <row r="137" spans="1:9" x14ac:dyDescent="0.25">
      <c r="A137" t="s">
        <v>3817</v>
      </c>
      <c r="B137" t="s">
        <v>4637</v>
      </c>
      <c r="C137" t="s">
        <v>3821</v>
      </c>
      <c r="D137">
        <v>36.786283339999997</v>
      </c>
      <c r="E137" t="s">
        <v>3818</v>
      </c>
      <c r="F137">
        <v>120.8329708</v>
      </c>
      <c r="G137" t="s">
        <v>3819</v>
      </c>
      <c r="H137">
        <v>29875</v>
      </c>
      <c r="I137" t="s">
        <v>3820</v>
      </c>
    </row>
    <row r="138" spans="1:9" x14ac:dyDescent="0.25">
      <c r="A138" t="s">
        <v>3817</v>
      </c>
      <c r="B138" t="s">
        <v>3882</v>
      </c>
      <c r="C138" t="s">
        <v>3821</v>
      </c>
      <c r="D138">
        <v>37.752162259999999</v>
      </c>
      <c r="E138" t="s">
        <v>3818</v>
      </c>
      <c r="F138">
        <v>116.8593717</v>
      </c>
      <c r="G138" t="s">
        <v>3819</v>
      </c>
      <c r="H138">
        <v>28960</v>
      </c>
      <c r="I138" t="s">
        <v>3820</v>
      </c>
    </row>
    <row r="139" spans="1:9" x14ac:dyDescent="0.25">
      <c r="A139" t="s">
        <v>3817</v>
      </c>
      <c r="B139" t="s">
        <v>4638</v>
      </c>
      <c r="C139" t="s">
        <v>3821</v>
      </c>
      <c r="D139">
        <v>37.578223010000002</v>
      </c>
      <c r="E139" t="s">
        <v>3818</v>
      </c>
      <c r="F139">
        <v>121.0273402</v>
      </c>
      <c r="G139" t="s">
        <v>3819</v>
      </c>
      <c r="H139">
        <v>24322</v>
      </c>
      <c r="I139" t="s">
        <v>3820</v>
      </c>
    </row>
    <row r="140" spans="1:9" x14ac:dyDescent="0.25">
      <c r="A140" t="s">
        <v>3817</v>
      </c>
      <c r="B140" t="s">
        <v>3956</v>
      </c>
      <c r="C140" t="s">
        <v>3821</v>
      </c>
      <c r="D140">
        <v>37.134611159999999</v>
      </c>
      <c r="E140" t="s">
        <v>3818</v>
      </c>
      <c r="F140">
        <v>118.6061971</v>
      </c>
      <c r="G140" t="s">
        <v>3819</v>
      </c>
      <c r="H140">
        <v>44157</v>
      </c>
      <c r="I140" t="s">
        <v>3820</v>
      </c>
    </row>
    <row r="141" spans="1:9" x14ac:dyDescent="0.25">
      <c r="A141" t="s">
        <v>3817</v>
      </c>
      <c r="B141" t="s">
        <v>4536</v>
      </c>
      <c r="C141" t="s">
        <v>3821</v>
      </c>
      <c r="D141">
        <v>36.583928419999999</v>
      </c>
      <c r="E141" t="s">
        <v>3818</v>
      </c>
      <c r="F141">
        <v>119.63560889999999</v>
      </c>
      <c r="G141" t="s">
        <v>3819</v>
      </c>
      <c r="H141">
        <v>47569</v>
      </c>
      <c r="I141" t="s">
        <v>3820</v>
      </c>
    </row>
    <row r="142" spans="1:9" x14ac:dyDescent="0.25">
      <c r="A142" t="s">
        <v>3817</v>
      </c>
      <c r="B142" t="s">
        <v>4000</v>
      </c>
      <c r="C142" t="s">
        <v>3821</v>
      </c>
      <c r="D142">
        <v>35.641169859999998</v>
      </c>
      <c r="E142" t="s">
        <v>3818</v>
      </c>
      <c r="F142">
        <v>115.58023420000001</v>
      </c>
      <c r="G142" t="s">
        <v>3819</v>
      </c>
      <c r="H142">
        <v>26903</v>
      </c>
      <c r="I142" t="s">
        <v>3820</v>
      </c>
    </row>
    <row r="143" spans="1:9" x14ac:dyDescent="0.25">
      <c r="A143" t="s">
        <v>3817</v>
      </c>
      <c r="B143" t="s">
        <v>3833</v>
      </c>
      <c r="C143" t="s">
        <v>3821</v>
      </c>
      <c r="D143">
        <v>37.164552520000001</v>
      </c>
      <c r="E143" t="s">
        <v>3818</v>
      </c>
      <c r="F143">
        <v>117.51209919999999</v>
      </c>
      <c r="G143" t="s">
        <v>3819</v>
      </c>
      <c r="H143">
        <v>30861</v>
      </c>
      <c r="I143" t="s">
        <v>3820</v>
      </c>
    </row>
    <row r="144" spans="1:9" x14ac:dyDescent="0.25">
      <c r="A144" t="s">
        <v>3817</v>
      </c>
      <c r="B144" t="s">
        <v>4314</v>
      </c>
      <c r="C144" t="s">
        <v>3821</v>
      </c>
      <c r="D144">
        <v>35.26769943</v>
      </c>
      <c r="E144" t="s">
        <v>3818</v>
      </c>
      <c r="F144">
        <v>118.6640001</v>
      </c>
      <c r="G144" t="s">
        <v>3819</v>
      </c>
      <c r="H144">
        <v>31381</v>
      </c>
      <c r="I144" t="s">
        <v>3820</v>
      </c>
    </row>
    <row r="145" spans="1:9" x14ac:dyDescent="0.25">
      <c r="A145" t="s">
        <v>3817</v>
      </c>
      <c r="B145" t="s">
        <v>4479</v>
      </c>
      <c r="C145" t="s">
        <v>3821</v>
      </c>
      <c r="D145">
        <v>36.201233700000003</v>
      </c>
      <c r="E145" t="s">
        <v>3818</v>
      </c>
      <c r="F145">
        <v>116.90880110000001</v>
      </c>
      <c r="G145" t="s">
        <v>3819</v>
      </c>
      <c r="H145">
        <v>31344</v>
      </c>
      <c r="I145" t="s">
        <v>3820</v>
      </c>
    </row>
    <row r="146" spans="1:9" x14ac:dyDescent="0.25">
      <c r="A146" t="s">
        <v>3817</v>
      </c>
      <c r="B146" t="s">
        <v>4537</v>
      </c>
      <c r="C146" t="s">
        <v>3821</v>
      </c>
      <c r="D146">
        <v>36.812709869999999</v>
      </c>
      <c r="E146" t="s">
        <v>3818</v>
      </c>
      <c r="F146">
        <v>118.9093283</v>
      </c>
      <c r="G146" t="s">
        <v>3819</v>
      </c>
      <c r="H146">
        <v>93728</v>
      </c>
      <c r="I146" t="s">
        <v>3820</v>
      </c>
    </row>
    <row r="147" spans="1:9" x14ac:dyDescent="0.25">
      <c r="A147" t="s">
        <v>3817</v>
      </c>
      <c r="B147" t="s">
        <v>4315</v>
      </c>
      <c r="C147" t="s">
        <v>3821</v>
      </c>
      <c r="D147">
        <v>35.884941679999997</v>
      </c>
      <c r="E147" t="s">
        <v>3818</v>
      </c>
      <c r="F147">
        <v>118.69594189999999</v>
      </c>
      <c r="G147" t="s">
        <v>3819</v>
      </c>
      <c r="H147">
        <v>31881</v>
      </c>
      <c r="I147" t="s">
        <v>3820</v>
      </c>
    </row>
    <row r="148" spans="1:9" x14ac:dyDescent="0.25">
      <c r="A148" t="s">
        <v>3817</v>
      </c>
      <c r="B148" t="s">
        <v>3957</v>
      </c>
      <c r="C148" t="s">
        <v>3821</v>
      </c>
      <c r="D148">
        <v>37.090563009999997</v>
      </c>
      <c r="E148" t="s">
        <v>3818</v>
      </c>
      <c r="F148">
        <v>118.5132018</v>
      </c>
      <c r="G148" t="s">
        <v>3819</v>
      </c>
      <c r="H148">
        <v>73604</v>
      </c>
      <c r="I148" t="s">
        <v>3820</v>
      </c>
    </row>
    <row r="149" spans="1:9" x14ac:dyDescent="0.25">
      <c r="A149" t="s">
        <v>3817</v>
      </c>
      <c r="B149" t="s">
        <v>4216</v>
      </c>
      <c r="C149" t="s">
        <v>3821</v>
      </c>
      <c r="D149">
        <v>36.314254009999999</v>
      </c>
      <c r="E149" t="s">
        <v>3818</v>
      </c>
      <c r="F149">
        <v>116.3465369</v>
      </c>
      <c r="G149" t="s">
        <v>3819</v>
      </c>
      <c r="H149">
        <v>18228</v>
      </c>
      <c r="I149" t="s">
        <v>3820</v>
      </c>
    </row>
    <row r="150" spans="1:9" x14ac:dyDescent="0.25">
      <c r="A150" t="s">
        <v>3817</v>
      </c>
      <c r="B150" t="s">
        <v>4538</v>
      </c>
      <c r="C150" t="s">
        <v>3821</v>
      </c>
      <c r="D150">
        <v>36.310641560000001</v>
      </c>
      <c r="E150" t="s">
        <v>3818</v>
      </c>
      <c r="F150">
        <v>118.8452556</v>
      </c>
      <c r="G150" t="s">
        <v>3819</v>
      </c>
      <c r="H150">
        <v>31797</v>
      </c>
      <c r="I150" t="s">
        <v>3820</v>
      </c>
    </row>
    <row r="151" spans="1:9" x14ac:dyDescent="0.25">
      <c r="A151" t="s">
        <v>3817</v>
      </c>
      <c r="B151" t="s">
        <v>4123</v>
      </c>
      <c r="C151" t="s">
        <v>3821</v>
      </c>
      <c r="D151">
        <v>35.432490299999998</v>
      </c>
      <c r="E151" t="s">
        <v>3818</v>
      </c>
      <c r="F151">
        <v>117.0925323</v>
      </c>
      <c r="G151" t="s">
        <v>3819</v>
      </c>
      <c r="H151">
        <v>73414</v>
      </c>
      <c r="I151" t="s">
        <v>3820</v>
      </c>
    </row>
    <row r="152" spans="1:9" x14ac:dyDescent="0.25">
      <c r="A152" t="s">
        <v>3817</v>
      </c>
      <c r="B152" t="s">
        <v>4592</v>
      </c>
      <c r="C152" t="s">
        <v>3821</v>
      </c>
      <c r="D152">
        <v>37.169520230000003</v>
      </c>
      <c r="E152" t="s">
        <v>3818</v>
      </c>
      <c r="F152">
        <v>122.20981039999999</v>
      </c>
      <c r="G152" t="s">
        <v>3819</v>
      </c>
      <c r="H152">
        <v>35350</v>
      </c>
      <c r="I152" t="s">
        <v>3820</v>
      </c>
    </row>
    <row r="153" spans="1:9" x14ac:dyDescent="0.25">
      <c r="A153" t="s">
        <v>3817</v>
      </c>
      <c r="B153" t="s">
        <v>4593</v>
      </c>
      <c r="C153" t="s">
        <v>3821</v>
      </c>
      <c r="D153">
        <v>37.106363559999998</v>
      </c>
      <c r="E153" t="s">
        <v>3818</v>
      </c>
      <c r="F153">
        <v>122.2900947</v>
      </c>
      <c r="G153" t="s">
        <v>3819</v>
      </c>
      <c r="H153">
        <v>15518</v>
      </c>
      <c r="I153" t="s">
        <v>3820</v>
      </c>
    </row>
    <row r="154" spans="1:9" x14ac:dyDescent="0.25">
      <c r="A154" t="s">
        <v>3817</v>
      </c>
      <c r="B154" t="s">
        <v>4001</v>
      </c>
      <c r="C154" t="s">
        <v>3821</v>
      </c>
      <c r="D154">
        <v>35.102132750000003</v>
      </c>
      <c r="E154" t="s">
        <v>3818</v>
      </c>
      <c r="F154">
        <v>115.2021615</v>
      </c>
      <c r="G154" t="s">
        <v>3819</v>
      </c>
      <c r="H154">
        <v>40513</v>
      </c>
      <c r="I154" t="s">
        <v>3820</v>
      </c>
    </row>
    <row r="155" spans="1:9" x14ac:dyDescent="0.25">
      <c r="A155" t="s">
        <v>3817</v>
      </c>
      <c r="B155" t="s">
        <v>3958</v>
      </c>
      <c r="C155" t="s">
        <v>3821</v>
      </c>
      <c r="D155">
        <v>36.982284630000002</v>
      </c>
      <c r="E155" t="s">
        <v>3818</v>
      </c>
      <c r="F155">
        <v>118.48263609999999</v>
      </c>
      <c r="G155" t="s">
        <v>3819</v>
      </c>
      <c r="H155">
        <v>98542</v>
      </c>
      <c r="I155" t="s">
        <v>3820</v>
      </c>
    </row>
    <row r="156" spans="1:9" x14ac:dyDescent="0.25">
      <c r="A156" t="s">
        <v>3817</v>
      </c>
      <c r="B156" t="s">
        <v>4217</v>
      </c>
      <c r="C156" t="s">
        <v>3821</v>
      </c>
      <c r="D156">
        <v>36.330380120000001</v>
      </c>
      <c r="E156" t="s">
        <v>3818</v>
      </c>
      <c r="F156">
        <v>115.4954985</v>
      </c>
      <c r="G156" t="s">
        <v>3819</v>
      </c>
      <c r="H156">
        <v>35354</v>
      </c>
      <c r="I156" t="s">
        <v>3820</v>
      </c>
    </row>
    <row r="157" spans="1:9" x14ac:dyDescent="0.25">
      <c r="A157" t="s">
        <v>3817</v>
      </c>
      <c r="B157" t="s">
        <v>4091</v>
      </c>
      <c r="C157" t="s">
        <v>3821</v>
      </c>
      <c r="D157">
        <v>36.360962299999997</v>
      </c>
      <c r="E157" t="s">
        <v>3818</v>
      </c>
      <c r="F157">
        <v>117.4770786</v>
      </c>
      <c r="G157" t="s">
        <v>3819</v>
      </c>
      <c r="H157">
        <v>40131</v>
      </c>
      <c r="I157" t="s">
        <v>3820</v>
      </c>
    </row>
    <row r="158" spans="1:9" x14ac:dyDescent="0.25">
      <c r="A158" t="s">
        <v>3817</v>
      </c>
      <c r="B158" t="s">
        <v>4480</v>
      </c>
      <c r="C158" t="s">
        <v>3821</v>
      </c>
      <c r="D158">
        <v>35.983864009999998</v>
      </c>
      <c r="E158" t="s">
        <v>3818</v>
      </c>
      <c r="F158">
        <v>117.10161720000001</v>
      </c>
      <c r="G158" t="s">
        <v>3819</v>
      </c>
      <c r="H158">
        <v>74986</v>
      </c>
      <c r="I158" t="s">
        <v>3820</v>
      </c>
    </row>
    <row r="159" spans="1:9" x14ac:dyDescent="0.25">
      <c r="A159" t="s">
        <v>3817</v>
      </c>
      <c r="B159" t="s">
        <v>4710</v>
      </c>
      <c r="C159" t="s">
        <v>3821</v>
      </c>
      <c r="D159">
        <v>35.138433200000001</v>
      </c>
      <c r="E159" t="s">
        <v>3818</v>
      </c>
      <c r="F159">
        <v>116.98885660000001</v>
      </c>
      <c r="G159" t="s">
        <v>3819</v>
      </c>
      <c r="H159">
        <v>81408</v>
      </c>
      <c r="I159" t="s">
        <v>3820</v>
      </c>
    </row>
    <row r="160" spans="1:9" x14ac:dyDescent="0.25">
      <c r="A160" t="s">
        <v>3817</v>
      </c>
      <c r="B160" t="s">
        <v>4002</v>
      </c>
      <c r="C160" t="s">
        <v>3821</v>
      </c>
      <c r="D160">
        <v>35.157926869999997</v>
      </c>
      <c r="E160" t="s">
        <v>3818</v>
      </c>
      <c r="F160">
        <v>116.12254110000001</v>
      </c>
      <c r="G160" t="s">
        <v>3819</v>
      </c>
      <c r="H160">
        <v>57075</v>
      </c>
      <c r="I160" t="s">
        <v>3820</v>
      </c>
    </row>
    <row r="161" spans="1:9" x14ac:dyDescent="0.25">
      <c r="A161" t="s">
        <v>3817</v>
      </c>
      <c r="B161" t="s">
        <v>4410</v>
      </c>
      <c r="C161" t="s">
        <v>3821</v>
      </c>
      <c r="D161">
        <v>36.436917309999998</v>
      </c>
      <c r="E161" t="s">
        <v>3818</v>
      </c>
      <c r="F161">
        <v>120.3247235</v>
      </c>
      <c r="G161" t="s">
        <v>3819</v>
      </c>
      <c r="H161">
        <v>66960</v>
      </c>
      <c r="I161" t="s">
        <v>3820</v>
      </c>
    </row>
    <row r="162" spans="1:9" x14ac:dyDescent="0.25">
      <c r="A162" t="s">
        <v>3817</v>
      </c>
      <c r="B162" t="s">
        <v>4639</v>
      </c>
      <c r="C162" t="s">
        <v>3821</v>
      </c>
      <c r="D162">
        <v>37.622433630000003</v>
      </c>
      <c r="E162" t="s">
        <v>3818</v>
      </c>
      <c r="F162">
        <v>120.8871135</v>
      </c>
      <c r="G162" t="s">
        <v>3819</v>
      </c>
      <c r="H162">
        <v>67453</v>
      </c>
      <c r="I162" t="s">
        <v>3820</v>
      </c>
    </row>
    <row r="163" spans="1:9" x14ac:dyDescent="0.25">
      <c r="A163" t="s">
        <v>3817</v>
      </c>
      <c r="B163" t="s">
        <v>4316</v>
      </c>
      <c r="C163" t="s">
        <v>3821</v>
      </c>
      <c r="D163">
        <v>34.767909549999999</v>
      </c>
      <c r="E163" t="s">
        <v>3818</v>
      </c>
      <c r="F163">
        <v>118.7056865</v>
      </c>
      <c r="G163" t="s">
        <v>3819</v>
      </c>
      <c r="H163">
        <v>56624</v>
      </c>
      <c r="I163" t="s">
        <v>3820</v>
      </c>
    </row>
    <row r="164" spans="1:9" x14ac:dyDescent="0.25">
      <c r="A164" t="s">
        <v>3817</v>
      </c>
      <c r="B164" t="s">
        <v>4481</v>
      </c>
      <c r="C164" t="s">
        <v>3821</v>
      </c>
      <c r="D164">
        <v>36.02965159</v>
      </c>
      <c r="E164" t="s">
        <v>3818</v>
      </c>
      <c r="F164">
        <v>116.4833883</v>
      </c>
      <c r="G164" t="s">
        <v>3819</v>
      </c>
      <c r="H164">
        <v>32266</v>
      </c>
      <c r="I164" t="s">
        <v>3820</v>
      </c>
    </row>
    <row r="165" spans="1:9" x14ac:dyDescent="0.25">
      <c r="A165" t="s">
        <v>3817</v>
      </c>
      <c r="B165" t="s">
        <v>4003</v>
      </c>
      <c r="C165" t="s">
        <v>3821</v>
      </c>
      <c r="D165">
        <v>35.261831530000002</v>
      </c>
      <c r="E165" t="s">
        <v>3818</v>
      </c>
      <c r="F165">
        <v>116.0792941</v>
      </c>
      <c r="G165" t="s">
        <v>3819</v>
      </c>
      <c r="H165">
        <v>61542</v>
      </c>
      <c r="I165" t="s">
        <v>3820</v>
      </c>
    </row>
    <row r="166" spans="1:9" x14ac:dyDescent="0.25">
      <c r="A166" t="s">
        <v>3817</v>
      </c>
      <c r="B166" t="s">
        <v>4411</v>
      </c>
      <c r="C166" t="s">
        <v>3821</v>
      </c>
      <c r="D166">
        <v>36.974436040000001</v>
      </c>
      <c r="E166" t="s">
        <v>3818</v>
      </c>
      <c r="F166">
        <v>119.9091442</v>
      </c>
      <c r="G166" t="s">
        <v>3819</v>
      </c>
      <c r="H166">
        <v>60034</v>
      </c>
      <c r="I166" t="s">
        <v>3820</v>
      </c>
    </row>
    <row r="167" spans="1:9" x14ac:dyDescent="0.25">
      <c r="A167" t="s">
        <v>3817</v>
      </c>
      <c r="B167" t="s">
        <v>4218</v>
      </c>
      <c r="C167" t="s">
        <v>3821</v>
      </c>
      <c r="D167">
        <v>35.881974390000003</v>
      </c>
      <c r="E167" t="s">
        <v>3818</v>
      </c>
      <c r="F167">
        <v>115.4025788</v>
      </c>
      <c r="G167" t="s">
        <v>3819</v>
      </c>
      <c r="H167">
        <v>36810</v>
      </c>
      <c r="I167" t="s">
        <v>3820</v>
      </c>
    </row>
    <row r="168" spans="1:9" x14ac:dyDescent="0.25">
      <c r="A168" t="s">
        <v>3817</v>
      </c>
      <c r="B168" t="s">
        <v>4124</v>
      </c>
      <c r="C168" t="s">
        <v>3821</v>
      </c>
      <c r="D168">
        <v>35.543280099999997</v>
      </c>
      <c r="E168" t="s">
        <v>3818</v>
      </c>
      <c r="F168">
        <v>116.3192361</v>
      </c>
      <c r="G168" t="s">
        <v>3819</v>
      </c>
      <c r="H168">
        <v>36667</v>
      </c>
      <c r="I168" t="s">
        <v>3820</v>
      </c>
    </row>
    <row r="169" spans="1:9" x14ac:dyDescent="0.25">
      <c r="A169" t="s">
        <v>3817</v>
      </c>
      <c r="B169" t="s">
        <v>4749</v>
      </c>
      <c r="C169" t="s">
        <v>3821</v>
      </c>
      <c r="D169">
        <v>36.036003180000002</v>
      </c>
      <c r="E169" t="s">
        <v>3818</v>
      </c>
      <c r="F169">
        <v>118.0095041</v>
      </c>
      <c r="G169" t="s">
        <v>3819</v>
      </c>
      <c r="H169">
        <v>35459</v>
      </c>
      <c r="I169" t="s">
        <v>3820</v>
      </c>
    </row>
    <row r="170" spans="1:9" x14ac:dyDescent="0.25">
      <c r="A170" t="s">
        <v>3817</v>
      </c>
      <c r="B170" t="s">
        <v>4317</v>
      </c>
      <c r="C170" t="s">
        <v>3821</v>
      </c>
      <c r="D170">
        <v>34.999868820000003</v>
      </c>
      <c r="E170" t="s">
        <v>3818</v>
      </c>
      <c r="F170">
        <v>118.00971370000001</v>
      </c>
      <c r="G170" t="s">
        <v>3819</v>
      </c>
      <c r="H170">
        <v>81741</v>
      </c>
      <c r="I170" t="s">
        <v>3820</v>
      </c>
    </row>
    <row r="171" spans="1:9" x14ac:dyDescent="0.25">
      <c r="A171" t="s">
        <v>3817</v>
      </c>
      <c r="B171" t="s">
        <v>4318</v>
      </c>
      <c r="C171" t="s">
        <v>3821</v>
      </c>
      <c r="D171">
        <v>35.450717169999997</v>
      </c>
      <c r="E171" t="s">
        <v>3818</v>
      </c>
      <c r="F171">
        <v>118.5196122</v>
      </c>
      <c r="G171" t="s">
        <v>3819</v>
      </c>
      <c r="H171">
        <v>80974</v>
      </c>
      <c r="I171" t="s">
        <v>3820</v>
      </c>
    </row>
    <row r="172" spans="1:9" x14ac:dyDescent="0.25">
      <c r="A172" t="s">
        <v>3817</v>
      </c>
      <c r="B172" t="s">
        <v>3883</v>
      </c>
      <c r="C172" t="s">
        <v>3821</v>
      </c>
      <c r="D172">
        <v>37.468432900000003</v>
      </c>
      <c r="E172" t="s">
        <v>3818</v>
      </c>
      <c r="F172">
        <v>116.9585661</v>
      </c>
      <c r="G172" t="s">
        <v>3819</v>
      </c>
      <c r="H172">
        <v>50655</v>
      </c>
      <c r="I172" t="s">
        <v>3820</v>
      </c>
    </row>
    <row r="173" spans="1:9" x14ac:dyDescent="0.25">
      <c r="A173" t="s">
        <v>3817</v>
      </c>
      <c r="B173" t="s">
        <v>4412</v>
      </c>
      <c r="C173" t="s">
        <v>3821</v>
      </c>
      <c r="D173">
        <v>36.67512636</v>
      </c>
      <c r="E173" t="s">
        <v>3818</v>
      </c>
      <c r="F173">
        <v>120.3319152</v>
      </c>
      <c r="G173" t="s">
        <v>3819</v>
      </c>
      <c r="H173">
        <v>52613</v>
      </c>
      <c r="I173" t="s">
        <v>3820</v>
      </c>
    </row>
    <row r="174" spans="1:9" x14ac:dyDescent="0.25">
      <c r="A174" t="s">
        <v>3817</v>
      </c>
      <c r="B174" t="s">
        <v>4319</v>
      </c>
      <c r="C174" t="s">
        <v>3821</v>
      </c>
      <c r="D174">
        <v>34.81649822</v>
      </c>
      <c r="E174" t="s">
        <v>3818</v>
      </c>
      <c r="F174">
        <v>118.600576</v>
      </c>
      <c r="G174" t="s">
        <v>3819</v>
      </c>
      <c r="H174">
        <v>40900</v>
      </c>
      <c r="I174" t="s">
        <v>3820</v>
      </c>
    </row>
    <row r="175" spans="1:9" x14ac:dyDescent="0.25">
      <c r="A175" t="s">
        <v>3817</v>
      </c>
      <c r="B175" t="s">
        <v>6665</v>
      </c>
      <c r="C175" t="s">
        <v>3821</v>
      </c>
      <c r="D175">
        <v>37.093913440000001</v>
      </c>
      <c r="E175" t="s">
        <v>3818</v>
      </c>
      <c r="F175">
        <v>118.2954482</v>
      </c>
      <c r="G175" t="s">
        <v>3819</v>
      </c>
      <c r="H175">
        <v>43512</v>
      </c>
      <c r="I175" t="s">
        <v>3820</v>
      </c>
    </row>
    <row r="176" spans="1:9" x14ac:dyDescent="0.25">
      <c r="A176" t="s">
        <v>3817</v>
      </c>
      <c r="B176" t="s">
        <v>6666</v>
      </c>
      <c r="C176" t="s">
        <v>3821</v>
      </c>
      <c r="D176">
        <v>36.564352120000002</v>
      </c>
      <c r="E176" t="s">
        <v>3818</v>
      </c>
      <c r="F176">
        <v>115.487234</v>
      </c>
      <c r="G176" t="s">
        <v>3819</v>
      </c>
      <c r="H176">
        <v>29188</v>
      </c>
      <c r="I176" t="s">
        <v>3820</v>
      </c>
    </row>
    <row r="177" spans="1:9" x14ac:dyDescent="0.25">
      <c r="A177" t="s">
        <v>3817</v>
      </c>
      <c r="B177" t="s">
        <v>6667</v>
      </c>
      <c r="C177" t="s">
        <v>3821</v>
      </c>
      <c r="D177">
        <v>36.911244660000001</v>
      </c>
      <c r="E177" t="s">
        <v>3818</v>
      </c>
      <c r="F177">
        <v>119.8722676</v>
      </c>
      <c r="G177" t="s">
        <v>3819</v>
      </c>
      <c r="H177">
        <v>51267</v>
      </c>
      <c r="I177" t="s">
        <v>3820</v>
      </c>
    </row>
    <row r="178" spans="1:9" x14ac:dyDescent="0.25">
      <c r="A178" t="s">
        <v>3817</v>
      </c>
      <c r="B178" t="s">
        <v>6668</v>
      </c>
      <c r="C178" t="s">
        <v>3821</v>
      </c>
      <c r="D178">
        <v>35.27960951</v>
      </c>
      <c r="E178" t="s">
        <v>3818</v>
      </c>
      <c r="F178">
        <v>117.3537269</v>
      </c>
      <c r="G178" t="s">
        <v>3819</v>
      </c>
      <c r="H178">
        <v>31300</v>
      </c>
      <c r="I178" t="s">
        <v>3820</v>
      </c>
    </row>
    <row r="179" spans="1:9" x14ac:dyDescent="0.25">
      <c r="A179" t="s">
        <v>3817</v>
      </c>
      <c r="B179" t="s">
        <v>4320</v>
      </c>
      <c r="C179" t="s">
        <v>3821</v>
      </c>
      <c r="D179">
        <v>35.337084959999999</v>
      </c>
      <c r="E179" t="s">
        <v>3818</v>
      </c>
      <c r="F179">
        <v>117.8083211</v>
      </c>
      <c r="G179" t="s">
        <v>3819</v>
      </c>
      <c r="H179">
        <v>61219</v>
      </c>
      <c r="I179" t="s">
        <v>3820</v>
      </c>
    </row>
    <row r="180" spans="1:9" x14ac:dyDescent="0.25">
      <c r="A180" t="s">
        <v>3817</v>
      </c>
      <c r="B180" t="s">
        <v>4711</v>
      </c>
      <c r="C180" t="s">
        <v>3821</v>
      </c>
      <c r="D180">
        <v>34.714550979999999</v>
      </c>
      <c r="E180" t="s">
        <v>3818</v>
      </c>
      <c r="F180">
        <v>117.7700814</v>
      </c>
      <c r="G180" t="s">
        <v>3819</v>
      </c>
      <c r="H180">
        <v>40105</v>
      </c>
      <c r="I180" t="s">
        <v>3820</v>
      </c>
    </row>
    <row r="181" spans="1:9" x14ac:dyDescent="0.25">
      <c r="A181" t="s">
        <v>3817</v>
      </c>
      <c r="B181" t="s">
        <v>4219</v>
      </c>
      <c r="C181" t="s">
        <v>3821</v>
      </c>
      <c r="D181">
        <v>36.253281520000002</v>
      </c>
      <c r="E181" t="s">
        <v>3818</v>
      </c>
      <c r="F181">
        <v>115.7871212</v>
      </c>
      <c r="G181" t="s">
        <v>3819</v>
      </c>
      <c r="H181">
        <v>26256</v>
      </c>
      <c r="I181" t="s">
        <v>3820</v>
      </c>
    </row>
    <row r="182" spans="1:9" x14ac:dyDescent="0.25">
      <c r="A182" t="s">
        <v>3817</v>
      </c>
      <c r="B182" t="s">
        <v>3884</v>
      </c>
      <c r="C182" t="s">
        <v>3821</v>
      </c>
      <c r="D182">
        <v>37.704925170000003</v>
      </c>
      <c r="E182" t="s">
        <v>3818</v>
      </c>
      <c r="F182">
        <v>117.06366559999999</v>
      </c>
      <c r="G182" t="s">
        <v>3819</v>
      </c>
      <c r="H182">
        <v>37573</v>
      </c>
      <c r="I182" t="s">
        <v>3820</v>
      </c>
    </row>
    <row r="183" spans="1:9" x14ac:dyDescent="0.25">
      <c r="A183" t="s">
        <v>3817</v>
      </c>
      <c r="B183" t="s">
        <v>4220</v>
      </c>
      <c r="C183" t="s">
        <v>3821</v>
      </c>
      <c r="D183">
        <v>36.478111920000003</v>
      </c>
      <c r="E183" t="s">
        <v>3818</v>
      </c>
      <c r="F183">
        <v>115.6772241</v>
      </c>
      <c r="G183" t="s">
        <v>3819</v>
      </c>
      <c r="H183">
        <v>33595</v>
      </c>
      <c r="I183" t="s">
        <v>3820</v>
      </c>
    </row>
    <row r="184" spans="1:9" x14ac:dyDescent="0.25">
      <c r="A184" t="s">
        <v>3817</v>
      </c>
      <c r="B184" t="s">
        <v>3885</v>
      </c>
      <c r="C184" t="s">
        <v>3821</v>
      </c>
      <c r="D184">
        <v>37.310900850000003</v>
      </c>
      <c r="E184" t="s">
        <v>3818</v>
      </c>
      <c r="F184">
        <v>116.4474625</v>
      </c>
      <c r="G184" t="s">
        <v>3819</v>
      </c>
      <c r="H184">
        <v>18010</v>
      </c>
      <c r="I184" t="s">
        <v>3820</v>
      </c>
    </row>
    <row r="185" spans="1:9" x14ac:dyDescent="0.25">
      <c r="A185" t="s">
        <v>3817</v>
      </c>
      <c r="B185" t="s">
        <v>4092</v>
      </c>
      <c r="C185" t="s">
        <v>3821</v>
      </c>
      <c r="D185">
        <v>36.183358640000002</v>
      </c>
      <c r="E185" t="s">
        <v>3818</v>
      </c>
      <c r="F185">
        <v>116.2922167</v>
      </c>
      <c r="G185" t="s">
        <v>3819</v>
      </c>
      <c r="H185">
        <v>29326</v>
      </c>
      <c r="I185" t="s">
        <v>3820</v>
      </c>
    </row>
    <row r="186" spans="1:9" x14ac:dyDescent="0.25">
      <c r="A186" t="s">
        <v>3817</v>
      </c>
      <c r="B186" t="s">
        <v>4482</v>
      </c>
      <c r="C186" t="s">
        <v>3821</v>
      </c>
      <c r="D186">
        <v>35.821028579999997</v>
      </c>
      <c r="E186" t="s">
        <v>3818</v>
      </c>
      <c r="F186">
        <v>117.7145605</v>
      </c>
      <c r="G186" t="s">
        <v>3819</v>
      </c>
      <c r="H186">
        <v>53257</v>
      </c>
      <c r="I186" t="s">
        <v>3820</v>
      </c>
    </row>
    <row r="187" spans="1:9" x14ac:dyDescent="0.25">
      <c r="A187" t="s">
        <v>3817</v>
      </c>
      <c r="B187" t="s">
        <v>4221</v>
      </c>
      <c r="C187" t="s">
        <v>3821</v>
      </c>
      <c r="D187">
        <v>36.180841479999998</v>
      </c>
      <c r="E187" t="s">
        <v>3818</v>
      </c>
      <c r="F187">
        <v>115.50245219999999</v>
      </c>
      <c r="G187" t="s">
        <v>3819</v>
      </c>
      <c r="H187">
        <v>29740</v>
      </c>
      <c r="I187" t="s">
        <v>3820</v>
      </c>
    </row>
    <row r="188" spans="1:9" x14ac:dyDescent="0.25">
      <c r="A188" t="s">
        <v>3817</v>
      </c>
      <c r="B188" t="s">
        <v>4445</v>
      </c>
      <c r="C188" t="s">
        <v>3821</v>
      </c>
      <c r="D188">
        <v>35.978187800000001</v>
      </c>
      <c r="E188" t="s">
        <v>3818</v>
      </c>
      <c r="F188">
        <v>118.96255189999999</v>
      </c>
      <c r="G188" t="s">
        <v>3819</v>
      </c>
      <c r="H188">
        <v>30967</v>
      </c>
      <c r="I188" t="s">
        <v>3820</v>
      </c>
    </row>
    <row r="189" spans="1:9" x14ac:dyDescent="0.25">
      <c r="A189" t="s">
        <v>3817</v>
      </c>
      <c r="B189" t="s">
        <v>4004</v>
      </c>
      <c r="C189" t="s">
        <v>3821</v>
      </c>
      <c r="D189">
        <v>35.255826560000003</v>
      </c>
      <c r="E189" t="s">
        <v>3818</v>
      </c>
      <c r="F189">
        <v>115.9502131</v>
      </c>
      <c r="G189" t="s">
        <v>3819</v>
      </c>
      <c r="H189">
        <v>50416</v>
      </c>
      <c r="I189" t="s">
        <v>3820</v>
      </c>
    </row>
    <row r="190" spans="1:9" x14ac:dyDescent="0.25">
      <c r="A190" t="s">
        <v>3817</v>
      </c>
      <c r="B190" t="s">
        <v>4222</v>
      </c>
      <c r="C190" t="s">
        <v>3821</v>
      </c>
      <c r="D190">
        <v>36.531144920000003</v>
      </c>
      <c r="E190" t="s">
        <v>3818</v>
      </c>
      <c r="F190">
        <v>115.3399519</v>
      </c>
      <c r="G190" t="s">
        <v>3819</v>
      </c>
      <c r="H190">
        <v>70579</v>
      </c>
      <c r="I190" t="s">
        <v>3820</v>
      </c>
    </row>
    <row r="191" spans="1:9" x14ac:dyDescent="0.25">
      <c r="A191" t="s">
        <v>3817</v>
      </c>
      <c r="B191" t="s">
        <v>4712</v>
      </c>
      <c r="C191" t="s">
        <v>3821</v>
      </c>
      <c r="D191">
        <v>35.209499440000002</v>
      </c>
      <c r="E191" t="s">
        <v>3818</v>
      </c>
      <c r="F191">
        <v>117.2561166</v>
      </c>
      <c r="G191" t="s">
        <v>3819</v>
      </c>
      <c r="H191">
        <v>102183</v>
      </c>
      <c r="I191" t="s">
        <v>3820</v>
      </c>
    </row>
    <row r="192" spans="1:9" x14ac:dyDescent="0.25">
      <c r="A192" t="s">
        <v>3817</v>
      </c>
      <c r="B192" t="s">
        <v>3959</v>
      </c>
      <c r="C192" t="s">
        <v>3821</v>
      </c>
      <c r="D192">
        <v>37.478584949999998</v>
      </c>
      <c r="E192" t="s">
        <v>3818</v>
      </c>
      <c r="F192">
        <v>118.34133199999999</v>
      </c>
      <c r="G192" t="s">
        <v>3819</v>
      </c>
      <c r="H192">
        <v>18464</v>
      </c>
      <c r="I192" t="s">
        <v>3820</v>
      </c>
    </row>
    <row r="193" spans="1:9" x14ac:dyDescent="0.25">
      <c r="A193" t="s">
        <v>3817</v>
      </c>
      <c r="B193" t="s">
        <v>4005</v>
      </c>
      <c r="C193" t="s">
        <v>3821</v>
      </c>
      <c r="D193">
        <v>35.541457520000002</v>
      </c>
      <c r="E193" t="s">
        <v>3818</v>
      </c>
      <c r="F193">
        <v>115.4053648</v>
      </c>
      <c r="G193" t="s">
        <v>3819</v>
      </c>
      <c r="H193">
        <v>53279</v>
      </c>
      <c r="I193" t="s">
        <v>3820</v>
      </c>
    </row>
    <row r="194" spans="1:9" x14ac:dyDescent="0.25">
      <c r="A194" t="s">
        <v>3817</v>
      </c>
      <c r="B194" t="s">
        <v>3886</v>
      </c>
      <c r="C194" t="s">
        <v>3821</v>
      </c>
      <c r="D194">
        <v>36.981709639999998</v>
      </c>
      <c r="E194" t="s">
        <v>3818</v>
      </c>
      <c r="F194">
        <v>116.1631807</v>
      </c>
      <c r="G194" t="s">
        <v>3819</v>
      </c>
      <c r="H194">
        <v>27055</v>
      </c>
      <c r="I194" t="s">
        <v>3820</v>
      </c>
    </row>
    <row r="195" spans="1:9" x14ac:dyDescent="0.25">
      <c r="A195" t="s">
        <v>3817</v>
      </c>
      <c r="B195" t="s">
        <v>4750</v>
      </c>
      <c r="C195" t="s">
        <v>3821</v>
      </c>
      <c r="D195">
        <v>36.021951059999999</v>
      </c>
      <c r="E195" t="s">
        <v>3818</v>
      </c>
      <c r="F195">
        <v>118.39881</v>
      </c>
      <c r="G195" t="s">
        <v>3819</v>
      </c>
      <c r="H195">
        <v>50260</v>
      </c>
      <c r="I195" t="s">
        <v>3820</v>
      </c>
    </row>
    <row r="196" spans="1:9" x14ac:dyDescent="0.25">
      <c r="A196" t="s">
        <v>3817</v>
      </c>
      <c r="B196" t="s">
        <v>4321</v>
      </c>
      <c r="C196" t="s">
        <v>3821</v>
      </c>
      <c r="D196">
        <v>35.391211179999999</v>
      </c>
      <c r="E196" t="s">
        <v>3818</v>
      </c>
      <c r="F196">
        <v>118.0117183</v>
      </c>
      <c r="G196" t="s">
        <v>3819</v>
      </c>
      <c r="H196">
        <v>33141</v>
      </c>
      <c r="I196" t="s">
        <v>3820</v>
      </c>
    </row>
    <row r="197" spans="1:9" x14ac:dyDescent="0.25">
      <c r="A197" t="s">
        <v>3817</v>
      </c>
      <c r="B197" t="s">
        <v>4006</v>
      </c>
      <c r="C197" t="s">
        <v>3821</v>
      </c>
      <c r="D197">
        <v>35.177561140000002</v>
      </c>
      <c r="E197" t="s">
        <v>3818</v>
      </c>
      <c r="F197">
        <v>115.1020743</v>
      </c>
      <c r="G197" t="s">
        <v>3819</v>
      </c>
      <c r="H197">
        <v>53132</v>
      </c>
      <c r="I197" t="s">
        <v>3820</v>
      </c>
    </row>
    <row r="198" spans="1:9" x14ac:dyDescent="0.25">
      <c r="A198" t="s">
        <v>3817</v>
      </c>
      <c r="B198" t="s">
        <v>4483</v>
      </c>
      <c r="C198" t="s">
        <v>3821</v>
      </c>
      <c r="D198">
        <v>35.758828139999999</v>
      </c>
      <c r="E198" t="s">
        <v>3818</v>
      </c>
      <c r="F198">
        <v>116.68026589999999</v>
      </c>
      <c r="G198" t="s">
        <v>3819</v>
      </c>
      <c r="H198">
        <v>53889</v>
      </c>
      <c r="I198" t="s">
        <v>3820</v>
      </c>
    </row>
    <row r="199" spans="1:9" x14ac:dyDescent="0.25">
      <c r="A199" t="s">
        <v>3817</v>
      </c>
      <c r="B199" t="s">
        <v>4539</v>
      </c>
      <c r="C199" t="s">
        <v>3821</v>
      </c>
      <c r="D199">
        <v>36.751732750000002</v>
      </c>
      <c r="E199" t="s">
        <v>3818</v>
      </c>
      <c r="F199">
        <v>118.6110284</v>
      </c>
      <c r="G199" t="s">
        <v>3819</v>
      </c>
      <c r="H199">
        <v>84083</v>
      </c>
      <c r="I199" t="s">
        <v>3820</v>
      </c>
    </row>
    <row r="200" spans="1:9" x14ac:dyDescent="0.25">
      <c r="A200" t="s">
        <v>3817</v>
      </c>
      <c r="B200" t="s">
        <v>3887</v>
      </c>
      <c r="C200" t="s">
        <v>3821</v>
      </c>
      <c r="D200">
        <v>37.765837689999998</v>
      </c>
      <c r="E200" t="s">
        <v>3818</v>
      </c>
      <c r="F200">
        <v>117.3294235</v>
      </c>
      <c r="G200" t="s">
        <v>3819</v>
      </c>
      <c r="H200">
        <v>19713</v>
      </c>
      <c r="I200" t="s">
        <v>3820</v>
      </c>
    </row>
    <row r="201" spans="1:9" x14ac:dyDescent="0.25">
      <c r="A201" t="s">
        <v>3817</v>
      </c>
      <c r="B201" t="s">
        <v>4484</v>
      </c>
      <c r="C201" t="s">
        <v>3821</v>
      </c>
      <c r="D201">
        <v>35.822086040000002</v>
      </c>
      <c r="E201" t="s">
        <v>3818</v>
      </c>
      <c r="F201">
        <v>117.2242827</v>
      </c>
      <c r="G201" t="s">
        <v>3819</v>
      </c>
      <c r="H201">
        <v>53459</v>
      </c>
      <c r="I201" t="s">
        <v>3820</v>
      </c>
    </row>
    <row r="202" spans="1:9" x14ac:dyDescent="0.25">
      <c r="A202" t="s">
        <v>3817</v>
      </c>
      <c r="B202" t="s">
        <v>4223</v>
      </c>
      <c r="C202" t="s">
        <v>3821</v>
      </c>
      <c r="D202">
        <v>36.665484130000003</v>
      </c>
      <c r="E202" t="s">
        <v>3818</v>
      </c>
      <c r="F202">
        <v>115.8113455</v>
      </c>
      <c r="G202" t="s">
        <v>3819</v>
      </c>
      <c r="H202">
        <v>40790</v>
      </c>
      <c r="I202" t="s">
        <v>3820</v>
      </c>
    </row>
    <row r="203" spans="1:9" x14ac:dyDescent="0.25">
      <c r="A203" t="s">
        <v>3817</v>
      </c>
      <c r="B203" t="s">
        <v>4413</v>
      </c>
      <c r="C203" t="s">
        <v>3821</v>
      </c>
      <c r="D203">
        <v>36.575713620000002</v>
      </c>
      <c r="E203" t="s">
        <v>3818</v>
      </c>
      <c r="F203">
        <v>120.3295013</v>
      </c>
      <c r="G203" t="s">
        <v>3819</v>
      </c>
      <c r="H203">
        <v>55063</v>
      </c>
      <c r="I203" t="s">
        <v>3820</v>
      </c>
    </row>
    <row r="204" spans="1:9" x14ac:dyDescent="0.25">
      <c r="A204" t="s">
        <v>3817</v>
      </c>
      <c r="B204" t="s">
        <v>3888</v>
      </c>
      <c r="C204" t="s">
        <v>3821</v>
      </c>
      <c r="D204">
        <v>37.71430385</v>
      </c>
      <c r="E204" t="s">
        <v>3818</v>
      </c>
      <c r="F204">
        <v>116.9341057</v>
      </c>
      <c r="G204" t="s">
        <v>3819</v>
      </c>
      <c r="H204">
        <v>52229</v>
      </c>
      <c r="I204" t="s">
        <v>3820</v>
      </c>
    </row>
    <row r="205" spans="1:9" x14ac:dyDescent="0.25">
      <c r="A205" t="s">
        <v>3817</v>
      </c>
      <c r="B205" t="s">
        <v>4224</v>
      </c>
      <c r="C205" t="s">
        <v>3821</v>
      </c>
      <c r="D205">
        <v>36.558158460000001</v>
      </c>
      <c r="E205" t="s">
        <v>3818</v>
      </c>
      <c r="F205">
        <v>116.34915410000001</v>
      </c>
      <c r="G205" t="s">
        <v>3819</v>
      </c>
      <c r="H205">
        <v>31201</v>
      </c>
      <c r="I205" t="s">
        <v>3820</v>
      </c>
    </row>
    <row r="206" spans="1:9" x14ac:dyDescent="0.25">
      <c r="A206" t="s">
        <v>3817</v>
      </c>
      <c r="B206" t="s">
        <v>4093</v>
      </c>
      <c r="C206" t="s">
        <v>3821</v>
      </c>
      <c r="D206">
        <v>36.498957279999999</v>
      </c>
      <c r="E206" t="s">
        <v>3818</v>
      </c>
      <c r="F206">
        <v>117.40993690000001</v>
      </c>
      <c r="G206" t="s">
        <v>3819</v>
      </c>
      <c r="H206">
        <v>28086</v>
      </c>
      <c r="I206" t="s">
        <v>3820</v>
      </c>
    </row>
    <row r="207" spans="1:9" x14ac:dyDescent="0.25">
      <c r="A207" t="s">
        <v>3817</v>
      </c>
      <c r="B207" t="s">
        <v>4093</v>
      </c>
      <c r="C207" t="s">
        <v>3821</v>
      </c>
      <c r="D207">
        <v>35.566031219999999</v>
      </c>
      <c r="E207" t="s">
        <v>3818</v>
      </c>
      <c r="F207">
        <v>118.1062527</v>
      </c>
      <c r="G207" t="s">
        <v>3819</v>
      </c>
      <c r="H207">
        <v>58442</v>
      </c>
      <c r="I207" t="s">
        <v>3820</v>
      </c>
    </row>
    <row r="208" spans="1:9" x14ac:dyDescent="0.25">
      <c r="A208" t="s">
        <v>3817</v>
      </c>
      <c r="B208" t="s">
        <v>4007</v>
      </c>
      <c r="C208" t="s">
        <v>3821</v>
      </c>
      <c r="D208">
        <v>35.280735679999999</v>
      </c>
      <c r="E208" t="s">
        <v>3818</v>
      </c>
      <c r="F208">
        <v>116.1603705</v>
      </c>
      <c r="G208" t="s">
        <v>3819</v>
      </c>
      <c r="H208">
        <v>55139</v>
      </c>
      <c r="I208" t="s">
        <v>3820</v>
      </c>
    </row>
    <row r="209" spans="1:9" x14ac:dyDescent="0.25">
      <c r="A209" t="s">
        <v>3817</v>
      </c>
      <c r="B209" t="s">
        <v>4008</v>
      </c>
      <c r="C209" t="s">
        <v>3821</v>
      </c>
      <c r="D209">
        <v>35.349534419999998</v>
      </c>
      <c r="E209" t="s">
        <v>3818</v>
      </c>
      <c r="F209">
        <v>115.6094496</v>
      </c>
      <c r="G209" t="s">
        <v>3819</v>
      </c>
      <c r="H209">
        <v>31441</v>
      </c>
      <c r="I209" t="s">
        <v>3820</v>
      </c>
    </row>
    <row r="210" spans="1:9" x14ac:dyDescent="0.25">
      <c r="A210" t="s">
        <v>3817</v>
      </c>
      <c r="B210" t="s">
        <v>4009</v>
      </c>
      <c r="C210" t="s">
        <v>3821</v>
      </c>
      <c r="D210">
        <v>35.137020100000001</v>
      </c>
      <c r="E210" t="s">
        <v>3818</v>
      </c>
      <c r="F210">
        <v>115.6198988</v>
      </c>
      <c r="G210" t="s">
        <v>3819</v>
      </c>
      <c r="H210">
        <v>26239</v>
      </c>
      <c r="I210" t="s">
        <v>3820</v>
      </c>
    </row>
    <row r="211" spans="1:9" x14ac:dyDescent="0.25">
      <c r="A211" t="s">
        <v>3817</v>
      </c>
      <c r="B211" t="s">
        <v>3889</v>
      </c>
      <c r="C211" t="s">
        <v>3821</v>
      </c>
      <c r="D211">
        <v>37.143691140000001</v>
      </c>
      <c r="E211" t="s">
        <v>3818</v>
      </c>
      <c r="F211">
        <v>116.2578549</v>
      </c>
      <c r="G211" t="s">
        <v>3819</v>
      </c>
      <c r="H211">
        <v>54104</v>
      </c>
      <c r="I211" t="s">
        <v>3820</v>
      </c>
    </row>
    <row r="212" spans="1:9" x14ac:dyDescent="0.25">
      <c r="A212" t="s">
        <v>3817</v>
      </c>
      <c r="B212" t="s">
        <v>4640</v>
      </c>
      <c r="C212" t="s">
        <v>3821</v>
      </c>
      <c r="D212">
        <v>36.753002989999999</v>
      </c>
      <c r="E212" t="s">
        <v>3818</v>
      </c>
      <c r="F212">
        <v>121.06895129999999</v>
      </c>
      <c r="G212" t="s">
        <v>3819</v>
      </c>
      <c r="H212">
        <v>29402</v>
      </c>
      <c r="I212" t="s">
        <v>3820</v>
      </c>
    </row>
    <row r="213" spans="1:9" x14ac:dyDescent="0.25">
      <c r="A213" t="s">
        <v>3817</v>
      </c>
      <c r="B213" t="s">
        <v>3890</v>
      </c>
      <c r="C213" t="s">
        <v>3821</v>
      </c>
      <c r="D213">
        <v>37.531056890000002</v>
      </c>
      <c r="E213" t="s">
        <v>3818</v>
      </c>
      <c r="F213">
        <v>116.3053793</v>
      </c>
      <c r="G213" t="s">
        <v>3819</v>
      </c>
      <c r="H213">
        <v>14698</v>
      </c>
      <c r="I213" t="s">
        <v>3820</v>
      </c>
    </row>
    <row r="214" spans="1:9" x14ac:dyDescent="0.25">
      <c r="A214" t="s">
        <v>3817</v>
      </c>
      <c r="B214" t="s">
        <v>4713</v>
      </c>
      <c r="C214" t="s">
        <v>3821</v>
      </c>
      <c r="D214">
        <v>34.784886389999997</v>
      </c>
      <c r="E214" t="s">
        <v>3818</v>
      </c>
      <c r="F214">
        <v>117.72853000000001</v>
      </c>
      <c r="G214" t="s">
        <v>3819</v>
      </c>
      <c r="H214">
        <v>54452</v>
      </c>
      <c r="I214" t="s">
        <v>3820</v>
      </c>
    </row>
    <row r="215" spans="1:9" x14ac:dyDescent="0.25">
      <c r="A215" t="s">
        <v>3817</v>
      </c>
      <c r="B215" t="s">
        <v>4641</v>
      </c>
      <c r="C215" t="s">
        <v>3821</v>
      </c>
      <c r="D215">
        <v>36.969595949999999</v>
      </c>
      <c r="E215" t="s">
        <v>3818</v>
      </c>
      <c r="F215">
        <v>121.0135624</v>
      </c>
      <c r="G215" t="s">
        <v>3819</v>
      </c>
      <c r="H215">
        <v>38677</v>
      </c>
      <c r="I215" t="s">
        <v>3820</v>
      </c>
    </row>
    <row r="216" spans="1:9" x14ac:dyDescent="0.25">
      <c r="A216" t="s">
        <v>3817</v>
      </c>
      <c r="B216" t="s">
        <v>4487</v>
      </c>
      <c r="C216" t="s">
        <v>3821</v>
      </c>
      <c r="D216">
        <v>36.207231159999999</v>
      </c>
      <c r="E216" t="s">
        <v>3818</v>
      </c>
      <c r="F216">
        <v>117.37874119999999</v>
      </c>
      <c r="G216" t="s">
        <v>3819</v>
      </c>
      <c r="H216">
        <v>55644</v>
      </c>
      <c r="I216" t="s">
        <v>3820</v>
      </c>
    </row>
    <row r="217" spans="1:9" x14ac:dyDescent="0.25">
      <c r="A217" t="s">
        <v>3817</v>
      </c>
      <c r="B217" t="s">
        <v>4485</v>
      </c>
      <c r="C217" t="s">
        <v>3821</v>
      </c>
      <c r="D217">
        <v>35.711815399999999</v>
      </c>
      <c r="E217" t="s">
        <v>3818</v>
      </c>
      <c r="F217">
        <v>117.6189684</v>
      </c>
      <c r="G217" t="s">
        <v>3819</v>
      </c>
      <c r="H217">
        <v>29726</v>
      </c>
      <c r="I217" t="s">
        <v>3820</v>
      </c>
    </row>
    <row r="218" spans="1:9" x14ac:dyDescent="0.25">
      <c r="A218" t="s">
        <v>3817</v>
      </c>
      <c r="B218" t="s">
        <v>4322</v>
      </c>
      <c r="C218" t="s">
        <v>3821</v>
      </c>
      <c r="D218">
        <v>35.26030351</v>
      </c>
      <c r="E218" t="s">
        <v>3818</v>
      </c>
      <c r="F218">
        <v>118.17946070000001</v>
      </c>
      <c r="G218" t="s">
        <v>3819</v>
      </c>
      <c r="H218">
        <v>102901</v>
      </c>
      <c r="I218" t="s">
        <v>3820</v>
      </c>
    </row>
    <row r="219" spans="1:9" x14ac:dyDescent="0.25">
      <c r="A219" t="s">
        <v>3817</v>
      </c>
      <c r="B219" t="s">
        <v>4486</v>
      </c>
      <c r="C219" t="s">
        <v>3821</v>
      </c>
      <c r="D219">
        <v>35.969686619999997</v>
      </c>
      <c r="E219" t="s">
        <v>3818</v>
      </c>
      <c r="F219">
        <v>117.1959191</v>
      </c>
      <c r="G219" t="s">
        <v>3819</v>
      </c>
      <c r="H219">
        <v>54739</v>
      </c>
      <c r="I219" t="s">
        <v>3820</v>
      </c>
    </row>
    <row r="220" spans="1:9" x14ac:dyDescent="0.25">
      <c r="A220" t="s">
        <v>3817</v>
      </c>
      <c r="B220" t="s">
        <v>4323</v>
      </c>
      <c r="C220" t="s">
        <v>3821</v>
      </c>
      <c r="D220">
        <v>35.163614799999998</v>
      </c>
      <c r="E220" t="s">
        <v>3818</v>
      </c>
      <c r="F220">
        <v>118.9606612</v>
      </c>
      <c r="G220" t="s">
        <v>3819</v>
      </c>
      <c r="H220">
        <v>68584</v>
      </c>
      <c r="I220" t="s">
        <v>3820</v>
      </c>
    </row>
    <row r="221" spans="1:9" x14ac:dyDescent="0.25">
      <c r="A221" t="s">
        <v>3817</v>
      </c>
      <c r="B221" t="s">
        <v>4125</v>
      </c>
      <c r="C221" t="s">
        <v>3821</v>
      </c>
      <c r="D221">
        <v>35.580776399999998</v>
      </c>
      <c r="E221" t="s">
        <v>3818</v>
      </c>
      <c r="F221">
        <v>117.1223208</v>
      </c>
      <c r="G221" t="s">
        <v>3819</v>
      </c>
      <c r="H221">
        <v>38286</v>
      </c>
      <c r="I221" t="s">
        <v>3820</v>
      </c>
    </row>
    <row r="222" spans="1:9" x14ac:dyDescent="0.25">
      <c r="A222" t="s">
        <v>3817</v>
      </c>
      <c r="B222" t="s">
        <v>4010</v>
      </c>
      <c r="C222" t="s">
        <v>3821</v>
      </c>
      <c r="D222">
        <v>35.119885940000003</v>
      </c>
      <c r="E222" t="s">
        <v>3818</v>
      </c>
      <c r="F222">
        <v>115.5171579</v>
      </c>
      <c r="G222" t="s">
        <v>3819</v>
      </c>
      <c r="H222">
        <v>46639</v>
      </c>
      <c r="I222" t="s">
        <v>3820</v>
      </c>
    </row>
    <row r="223" spans="1:9" x14ac:dyDescent="0.25">
      <c r="A223" t="s">
        <v>3817</v>
      </c>
      <c r="B223" t="s">
        <v>3891</v>
      </c>
      <c r="C223" t="s">
        <v>3821</v>
      </c>
      <c r="D223">
        <v>36.947718129999998</v>
      </c>
      <c r="E223" t="s">
        <v>3818</v>
      </c>
      <c r="F223">
        <v>116.5056561</v>
      </c>
      <c r="G223" t="s">
        <v>3819</v>
      </c>
      <c r="H223">
        <v>66695</v>
      </c>
      <c r="I223" t="s">
        <v>3820</v>
      </c>
    </row>
    <row r="224" spans="1:9" x14ac:dyDescent="0.25">
      <c r="A224" t="s">
        <v>3817</v>
      </c>
      <c r="B224" t="s">
        <v>4751</v>
      </c>
      <c r="C224" t="s">
        <v>3821</v>
      </c>
      <c r="D224">
        <v>36.848724390000001</v>
      </c>
      <c r="E224" t="s">
        <v>3818</v>
      </c>
      <c r="F224">
        <v>117.97309869999999</v>
      </c>
      <c r="G224" t="s">
        <v>3819</v>
      </c>
      <c r="H224">
        <v>29991</v>
      </c>
      <c r="I224" t="s">
        <v>3820</v>
      </c>
    </row>
    <row r="225" spans="1:9" x14ac:dyDescent="0.25">
      <c r="A225" t="s">
        <v>3817</v>
      </c>
      <c r="B225" t="s">
        <v>4225</v>
      </c>
      <c r="C225" t="s">
        <v>3821</v>
      </c>
      <c r="D225">
        <v>36.593460589999999</v>
      </c>
      <c r="E225" t="s">
        <v>3818</v>
      </c>
      <c r="F225">
        <v>115.7070062</v>
      </c>
      <c r="G225" t="s">
        <v>3819</v>
      </c>
      <c r="H225">
        <v>32359</v>
      </c>
      <c r="I225" t="s">
        <v>3820</v>
      </c>
    </row>
    <row r="226" spans="1:9" x14ac:dyDescent="0.25">
      <c r="A226" t="s">
        <v>3817</v>
      </c>
      <c r="B226" t="s">
        <v>4226</v>
      </c>
      <c r="C226" t="s">
        <v>3821</v>
      </c>
      <c r="D226">
        <v>36.644174769999999</v>
      </c>
      <c r="E226" t="s">
        <v>3818</v>
      </c>
      <c r="F226">
        <v>116.3199585</v>
      </c>
      <c r="G226" t="s">
        <v>3819</v>
      </c>
      <c r="H226">
        <v>42210</v>
      </c>
      <c r="I226" t="s">
        <v>3820</v>
      </c>
    </row>
    <row r="227" spans="1:9" x14ac:dyDescent="0.25">
      <c r="A227" t="s">
        <v>3817</v>
      </c>
      <c r="B227" t="s">
        <v>4011</v>
      </c>
      <c r="C227" t="s">
        <v>3821</v>
      </c>
      <c r="D227">
        <v>35.568047489999998</v>
      </c>
      <c r="E227" t="s">
        <v>3818</v>
      </c>
      <c r="F227">
        <v>115.5914611</v>
      </c>
      <c r="G227" t="s">
        <v>3819</v>
      </c>
      <c r="H227">
        <v>34758</v>
      </c>
      <c r="I227" t="s">
        <v>3820</v>
      </c>
    </row>
    <row r="228" spans="1:9" x14ac:dyDescent="0.25">
      <c r="A228" t="s">
        <v>3817</v>
      </c>
      <c r="B228" t="s">
        <v>4011</v>
      </c>
      <c r="C228" t="s">
        <v>3821</v>
      </c>
      <c r="D228">
        <v>36.882426459999998</v>
      </c>
      <c r="E228" t="s">
        <v>3818</v>
      </c>
      <c r="F228">
        <v>118.2389218</v>
      </c>
      <c r="G228" t="s">
        <v>3819</v>
      </c>
      <c r="H228">
        <v>74674</v>
      </c>
      <c r="I228" t="s">
        <v>3820</v>
      </c>
    </row>
    <row r="229" spans="1:9" x14ac:dyDescent="0.25">
      <c r="A229" t="s">
        <v>3817</v>
      </c>
      <c r="B229" t="s">
        <v>6669</v>
      </c>
      <c r="C229" t="s">
        <v>3821</v>
      </c>
      <c r="D229">
        <v>37.815946670000002</v>
      </c>
      <c r="E229" t="s">
        <v>3818</v>
      </c>
      <c r="F229">
        <v>118.0232644</v>
      </c>
      <c r="G229" t="s">
        <v>3819</v>
      </c>
      <c r="H229">
        <v>51426</v>
      </c>
      <c r="I229" t="s">
        <v>3820</v>
      </c>
    </row>
    <row r="230" spans="1:9" x14ac:dyDescent="0.25">
      <c r="A230" t="s">
        <v>3817</v>
      </c>
      <c r="B230" t="s">
        <v>6670</v>
      </c>
      <c r="C230" t="s">
        <v>3821</v>
      </c>
      <c r="D230">
        <v>37.057816860000003</v>
      </c>
      <c r="E230" t="s">
        <v>3818</v>
      </c>
      <c r="F230">
        <v>121.69821260000001</v>
      </c>
      <c r="G230" t="s">
        <v>3819</v>
      </c>
      <c r="H230">
        <v>29786</v>
      </c>
      <c r="I230" t="s">
        <v>3820</v>
      </c>
    </row>
    <row r="231" spans="1:9" x14ac:dyDescent="0.25">
      <c r="A231" t="s">
        <v>3817</v>
      </c>
      <c r="B231" t="s">
        <v>4714</v>
      </c>
      <c r="C231" t="s">
        <v>3821</v>
      </c>
      <c r="D231">
        <v>35.212705739999997</v>
      </c>
      <c r="E231" t="s">
        <v>3818</v>
      </c>
      <c r="F231">
        <v>117.36443</v>
      </c>
      <c r="G231" t="s">
        <v>3819</v>
      </c>
      <c r="H231">
        <v>51235</v>
      </c>
      <c r="I231" t="s">
        <v>3820</v>
      </c>
    </row>
    <row r="232" spans="1:9" x14ac:dyDescent="0.25">
      <c r="A232" t="s">
        <v>3817</v>
      </c>
      <c r="B232" t="s">
        <v>4752</v>
      </c>
      <c r="C232" t="s">
        <v>3821</v>
      </c>
      <c r="D232">
        <v>36.748970569999997</v>
      </c>
      <c r="E232" t="s">
        <v>3818</v>
      </c>
      <c r="F232">
        <v>118.10668339999999</v>
      </c>
      <c r="G232" t="s">
        <v>3819</v>
      </c>
      <c r="H232">
        <v>36434</v>
      </c>
      <c r="I232" t="s">
        <v>3820</v>
      </c>
    </row>
    <row r="233" spans="1:9" x14ac:dyDescent="0.25">
      <c r="A233" t="s">
        <v>3817</v>
      </c>
      <c r="B233" t="s">
        <v>4324</v>
      </c>
      <c r="C233" t="s">
        <v>3821</v>
      </c>
      <c r="D233">
        <v>35.462354740000002</v>
      </c>
      <c r="E233" t="s">
        <v>3818</v>
      </c>
      <c r="F233">
        <v>117.50071579999999</v>
      </c>
      <c r="G233" t="s">
        <v>3819</v>
      </c>
      <c r="H233">
        <v>31440</v>
      </c>
      <c r="I233" t="s">
        <v>3820</v>
      </c>
    </row>
    <row r="234" spans="1:9" x14ac:dyDescent="0.25">
      <c r="A234" t="s">
        <v>3817</v>
      </c>
      <c r="B234" t="s">
        <v>4715</v>
      </c>
      <c r="C234" t="s">
        <v>3821</v>
      </c>
      <c r="D234">
        <v>34.986027730000004</v>
      </c>
      <c r="E234" t="s">
        <v>3818</v>
      </c>
      <c r="F234">
        <v>117.51081929999999</v>
      </c>
      <c r="G234" t="s">
        <v>3819</v>
      </c>
      <c r="H234">
        <v>27978</v>
      </c>
      <c r="I234" t="s">
        <v>3820</v>
      </c>
    </row>
    <row r="235" spans="1:9" x14ac:dyDescent="0.25">
      <c r="A235" t="s">
        <v>3817</v>
      </c>
      <c r="B235" t="s">
        <v>4012</v>
      </c>
      <c r="C235" t="s">
        <v>3821</v>
      </c>
      <c r="D235">
        <v>35.500811810000002</v>
      </c>
      <c r="E235" t="s">
        <v>3818</v>
      </c>
      <c r="F235">
        <v>115.47644459999999</v>
      </c>
      <c r="G235" t="s">
        <v>3819</v>
      </c>
      <c r="H235">
        <v>31410</v>
      </c>
      <c r="I235" t="s">
        <v>3820</v>
      </c>
    </row>
    <row r="236" spans="1:9" x14ac:dyDescent="0.25">
      <c r="A236" t="s">
        <v>3817</v>
      </c>
      <c r="B236" t="s">
        <v>4013</v>
      </c>
      <c r="C236" t="s">
        <v>3821</v>
      </c>
      <c r="D236">
        <v>34.629999890000001</v>
      </c>
      <c r="E236" t="s">
        <v>3818</v>
      </c>
      <c r="F236">
        <v>115.9363379</v>
      </c>
      <c r="G236" t="s">
        <v>3819</v>
      </c>
      <c r="H236">
        <v>55092</v>
      </c>
      <c r="I236" t="s">
        <v>3820</v>
      </c>
    </row>
    <row r="237" spans="1:9" x14ac:dyDescent="0.25">
      <c r="A237" t="s">
        <v>3817</v>
      </c>
      <c r="B237" t="s">
        <v>4325</v>
      </c>
      <c r="C237" t="s">
        <v>3821</v>
      </c>
      <c r="D237">
        <v>36.060202940000003</v>
      </c>
      <c r="E237" t="s">
        <v>3818</v>
      </c>
      <c r="F237">
        <v>118.9587875</v>
      </c>
      <c r="G237" t="s">
        <v>3819</v>
      </c>
      <c r="H237">
        <v>35092</v>
      </c>
      <c r="I237" t="s">
        <v>3820</v>
      </c>
    </row>
    <row r="238" spans="1:9" x14ac:dyDescent="0.25">
      <c r="A238" t="s">
        <v>3817</v>
      </c>
      <c r="B238" t="s">
        <v>4753</v>
      </c>
      <c r="C238" t="s">
        <v>3821</v>
      </c>
      <c r="D238">
        <v>36.763404010000002</v>
      </c>
      <c r="E238" t="s">
        <v>3818</v>
      </c>
      <c r="F238">
        <v>117.99947299999999</v>
      </c>
      <c r="G238" t="s">
        <v>3819</v>
      </c>
      <c r="H238">
        <v>67652</v>
      </c>
      <c r="I238" t="s">
        <v>3820</v>
      </c>
    </row>
    <row r="239" spans="1:9" x14ac:dyDescent="0.25">
      <c r="A239" t="s">
        <v>3817</v>
      </c>
      <c r="B239" t="s">
        <v>4488</v>
      </c>
      <c r="C239" t="s">
        <v>3821</v>
      </c>
      <c r="D239">
        <v>35.841330679999999</v>
      </c>
      <c r="E239" t="s">
        <v>3818</v>
      </c>
      <c r="F239">
        <v>116.7728285</v>
      </c>
      <c r="G239" t="s">
        <v>3819</v>
      </c>
      <c r="H239">
        <v>57306</v>
      </c>
      <c r="I239" t="s">
        <v>3820</v>
      </c>
    </row>
    <row r="240" spans="1:9" x14ac:dyDescent="0.25">
      <c r="A240" t="s">
        <v>3817</v>
      </c>
      <c r="B240" t="s">
        <v>4642</v>
      </c>
      <c r="C240" t="s">
        <v>3821</v>
      </c>
      <c r="D240">
        <v>37.351842660000003</v>
      </c>
      <c r="E240" t="s">
        <v>3818</v>
      </c>
      <c r="F240">
        <v>120.5499635</v>
      </c>
      <c r="G240" t="s">
        <v>3819</v>
      </c>
      <c r="H240">
        <v>49749</v>
      </c>
      <c r="I240" t="s">
        <v>3820</v>
      </c>
    </row>
    <row r="241" spans="1:9" x14ac:dyDescent="0.25">
      <c r="A241" t="s">
        <v>3817</v>
      </c>
      <c r="B241" t="s">
        <v>4489</v>
      </c>
      <c r="C241" t="s">
        <v>3821</v>
      </c>
      <c r="D241">
        <v>35.86755823</v>
      </c>
      <c r="E241" t="s">
        <v>3818</v>
      </c>
      <c r="F241">
        <v>116.87146559999999</v>
      </c>
      <c r="G241" t="s">
        <v>3819</v>
      </c>
      <c r="H241">
        <v>70864</v>
      </c>
      <c r="I241" t="s">
        <v>3820</v>
      </c>
    </row>
    <row r="242" spans="1:9" x14ac:dyDescent="0.25">
      <c r="A242" t="s">
        <v>3817</v>
      </c>
      <c r="B242" t="s">
        <v>4326</v>
      </c>
      <c r="C242" t="s">
        <v>3821</v>
      </c>
      <c r="D242">
        <v>34.596045179999997</v>
      </c>
      <c r="E242" t="s">
        <v>3818</v>
      </c>
      <c r="F242">
        <v>118.2093624</v>
      </c>
      <c r="G242" t="s">
        <v>3819</v>
      </c>
      <c r="H242">
        <v>39669</v>
      </c>
      <c r="I242" t="s">
        <v>3820</v>
      </c>
    </row>
    <row r="243" spans="1:9" x14ac:dyDescent="0.25">
      <c r="A243" t="s">
        <v>3817</v>
      </c>
      <c r="B243" t="s">
        <v>4227</v>
      </c>
      <c r="C243" t="s">
        <v>3821</v>
      </c>
      <c r="D243">
        <v>36.632382980000003</v>
      </c>
      <c r="E243" t="s">
        <v>3818</v>
      </c>
      <c r="F243">
        <v>115.6023016</v>
      </c>
      <c r="G243" t="s">
        <v>3819</v>
      </c>
      <c r="H243">
        <v>42119</v>
      </c>
      <c r="I243" t="s">
        <v>3820</v>
      </c>
    </row>
    <row r="244" spans="1:9" x14ac:dyDescent="0.25">
      <c r="A244" t="s">
        <v>3817</v>
      </c>
      <c r="B244" t="s">
        <v>4594</v>
      </c>
      <c r="C244" t="s">
        <v>3821</v>
      </c>
      <c r="D244">
        <v>37.390918620000001</v>
      </c>
      <c r="E244" t="s">
        <v>3818</v>
      </c>
      <c r="F244">
        <v>122.44019299999999</v>
      </c>
      <c r="G244" t="s">
        <v>3819</v>
      </c>
      <c r="H244">
        <v>19246</v>
      </c>
      <c r="I244" t="s">
        <v>3820</v>
      </c>
    </row>
    <row r="245" spans="1:9" x14ac:dyDescent="0.25">
      <c r="A245" t="s">
        <v>3817</v>
      </c>
      <c r="B245" t="s">
        <v>4754</v>
      </c>
      <c r="C245" t="s">
        <v>3821</v>
      </c>
      <c r="D245">
        <v>37.1103825</v>
      </c>
      <c r="E245" t="s">
        <v>3818</v>
      </c>
      <c r="F245">
        <v>117.9504838</v>
      </c>
      <c r="G245" t="s">
        <v>3819</v>
      </c>
      <c r="H245">
        <v>38121</v>
      </c>
      <c r="I245" t="s">
        <v>3820</v>
      </c>
    </row>
    <row r="246" spans="1:9" x14ac:dyDescent="0.25">
      <c r="A246" t="s">
        <v>3817</v>
      </c>
      <c r="B246" t="s">
        <v>4595</v>
      </c>
      <c r="C246" t="s">
        <v>3821</v>
      </c>
      <c r="D246">
        <v>37.092846809999998</v>
      </c>
      <c r="E246" t="s">
        <v>3818</v>
      </c>
      <c r="F246">
        <v>122.1956931</v>
      </c>
      <c r="G246" t="s">
        <v>3819</v>
      </c>
      <c r="H246">
        <v>26603</v>
      </c>
      <c r="I246" t="s">
        <v>3820</v>
      </c>
    </row>
    <row r="247" spans="1:9" x14ac:dyDescent="0.25">
      <c r="A247" t="s">
        <v>3817</v>
      </c>
      <c r="B247" t="s">
        <v>4327</v>
      </c>
      <c r="C247" t="s">
        <v>3821</v>
      </c>
      <c r="D247">
        <v>35.827153410000001</v>
      </c>
      <c r="E247" t="s">
        <v>3818</v>
      </c>
      <c r="F247">
        <v>117.9418768</v>
      </c>
      <c r="G247" t="s">
        <v>3819</v>
      </c>
      <c r="H247">
        <v>28412</v>
      </c>
      <c r="I247" t="s">
        <v>3820</v>
      </c>
    </row>
    <row r="248" spans="1:9" x14ac:dyDescent="0.25">
      <c r="A248" t="s">
        <v>3817</v>
      </c>
      <c r="B248" t="s">
        <v>4328</v>
      </c>
      <c r="C248" t="s">
        <v>3821</v>
      </c>
      <c r="D248">
        <v>34.546199899999998</v>
      </c>
      <c r="E248" t="s">
        <v>3818</v>
      </c>
      <c r="F248">
        <v>118.36861879999999</v>
      </c>
      <c r="G248" t="s">
        <v>3819</v>
      </c>
      <c r="H248">
        <v>42688</v>
      </c>
      <c r="I248" t="s">
        <v>3820</v>
      </c>
    </row>
    <row r="249" spans="1:9" x14ac:dyDescent="0.25">
      <c r="A249" t="s">
        <v>3817</v>
      </c>
      <c r="B249" t="s">
        <v>4643</v>
      </c>
      <c r="C249" t="s">
        <v>3821</v>
      </c>
      <c r="D249">
        <v>36.720066940000002</v>
      </c>
      <c r="E249" t="s">
        <v>3818</v>
      </c>
      <c r="F249">
        <v>120.7755322</v>
      </c>
      <c r="G249" t="s">
        <v>3819</v>
      </c>
      <c r="H249">
        <v>29922</v>
      </c>
      <c r="I249" t="s">
        <v>3820</v>
      </c>
    </row>
    <row r="250" spans="1:9" x14ac:dyDescent="0.25">
      <c r="A250" t="s">
        <v>3817</v>
      </c>
      <c r="B250" t="s">
        <v>4228</v>
      </c>
      <c r="C250" t="s">
        <v>3821</v>
      </c>
      <c r="D250">
        <v>36.472143860000003</v>
      </c>
      <c r="E250" t="s">
        <v>3818</v>
      </c>
      <c r="F250">
        <v>116.3975344</v>
      </c>
      <c r="G250" t="s">
        <v>3819</v>
      </c>
      <c r="H250">
        <v>21769</v>
      </c>
      <c r="I250" t="s">
        <v>3820</v>
      </c>
    </row>
    <row r="251" spans="1:9" x14ac:dyDescent="0.25">
      <c r="A251" t="s">
        <v>3817</v>
      </c>
      <c r="B251" t="s">
        <v>4644</v>
      </c>
      <c r="C251" t="s">
        <v>3821</v>
      </c>
      <c r="D251">
        <v>37.273599509999997</v>
      </c>
      <c r="E251" t="s">
        <v>3818</v>
      </c>
      <c r="F251">
        <v>121.4983958</v>
      </c>
      <c r="G251" t="s">
        <v>3819</v>
      </c>
      <c r="H251">
        <v>32905</v>
      </c>
      <c r="I251" t="s">
        <v>3820</v>
      </c>
    </row>
    <row r="252" spans="1:9" x14ac:dyDescent="0.25">
      <c r="A252" t="s">
        <v>3817</v>
      </c>
      <c r="B252" t="s">
        <v>4540</v>
      </c>
      <c r="C252" t="s">
        <v>3821</v>
      </c>
      <c r="D252">
        <v>36.877487160000001</v>
      </c>
      <c r="E252" t="s">
        <v>3818</v>
      </c>
      <c r="F252">
        <v>118.50298359999999</v>
      </c>
      <c r="G252" t="s">
        <v>3819</v>
      </c>
      <c r="H252">
        <v>67339</v>
      </c>
      <c r="I252" t="s">
        <v>3820</v>
      </c>
    </row>
    <row r="253" spans="1:9" x14ac:dyDescent="0.25">
      <c r="A253" t="s">
        <v>3817</v>
      </c>
      <c r="B253" t="s">
        <v>4229</v>
      </c>
      <c r="C253" t="s">
        <v>3821</v>
      </c>
      <c r="D253">
        <v>36.042345429999997</v>
      </c>
      <c r="E253" t="s">
        <v>3818</v>
      </c>
      <c r="F253">
        <v>115.72452749999999</v>
      </c>
      <c r="G253" t="s">
        <v>3819</v>
      </c>
      <c r="H253">
        <v>37933</v>
      </c>
      <c r="I253" t="s">
        <v>3820</v>
      </c>
    </row>
    <row r="254" spans="1:9" x14ac:dyDescent="0.25">
      <c r="A254" t="s">
        <v>3817</v>
      </c>
      <c r="B254" t="s">
        <v>4329</v>
      </c>
      <c r="C254" t="s">
        <v>3821</v>
      </c>
      <c r="D254">
        <v>35.966402019999997</v>
      </c>
      <c r="E254" t="s">
        <v>3818</v>
      </c>
      <c r="F254">
        <v>118.6963822</v>
      </c>
      <c r="G254" t="s">
        <v>3819</v>
      </c>
      <c r="H254">
        <v>56033</v>
      </c>
      <c r="I254" t="s">
        <v>3820</v>
      </c>
    </row>
    <row r="255" spans="1:9" x14ac:dyDescent="0.25">
      <c r="A255" t="s">
        <v>3817</v>
      </c>
      <c r="B255" t="s">
        <v>4645</v>
      </c>
      <c r="C255" t="s">
        <v>3821</v>
      </c>
      <c r="D255">
        <v>37.486364279999997</v>
      </c>
      <c r="E255" t="s">
        <v>3818</v>
      </c>
      <c r="F255">
        <v>121.116519</v>
      </c>
      <c r="G255" t="s">
        <v>3819</v>
      </c>
      <c r="H255">
        <v>21159</v>
      </c>
      <c r="I255" t="s">
        <v>3820</v>
      </c>
    </row>
    <row r="256" spans="1:9" x14ac:dyDescent="0.25">
      <c r="A256" t="s">
        <v>3817</v>
      </c>
      <c r="B256" t="s">
        <v>4014</v>
      </c>
      <c r="C256" t="s">
        <v>3821</v>
      </c>
      <c r="D256">
        <v>34.60926087</v>
      </c>
      <c r="E256" t="s">
        <v>3818</v>
      </c>
      <c r="F256">
        <v>115.8302515</v>
      </c>
      <c r="G256" t="s">
        <v>3819</v>
      </c>
      <c r="H256">
        <v>37750</v>
      </c>
      <c r="I256" t="s">
        <v>3820</v>
      </c>
    </row>
    <row r="257" spans="1:9" x14ac:dyDescent="0.25">
      <c r="A257" t="s">
        <v>3817</v>
      </c>
      <c r="B257" t="s">
        <v>4446</v>
      </c>
      <c r="C257" t="s">
        <v>3821</v>
      </c>
      <c r="D257">
        <v>35.335723940000001</v>
      </c>
      <c r="E257" t="s">
        <v>3818</v>
      </c>
      <c r="F257">
        <v>119.3401348</v>
      </c>
      <c r="G257" t="s">
        <v>3819</v>
      </c>
      <c r="H257">
        <v>32875</v>
      </c>
      <c r="I257" t="s">
        <v>3820</v>
      </c>
    </row>
    <row r="258" spans="1:9" x14ac:dyDescent="0.25">
      <c r="A258" t="s">
        <v>3817</v>
      </c>
      <c r="B258" t="s">
        <v>4126</v>
      </c>
      <c r="C258" t="s">
        <v>3821</v>
      </c>
      <c r="D258">
        <v>35.739068899999999</v>
      </c>
      <c r="E258" t="s">
        <v>3818</v>
      </c>
      <c r="F258">
        <v>117.3165916</v>
      </c>
      <c r="G258" t="s">
        <v>3819</v>
      </c>
      <c r="H258">
        <v>37414</v>
      </c>
      <c r="I258" t="s">
        <v>3820</v>
      </c>
    </row>
    <row r="259" spans="1:9" x14ac:dyDescent="0.25">
      <c r="A259" t="s">
        <v>3817</v>
      </c>
      <c r="B259" t="s">
        <v>6671</v>
      </c>
      <c r="C259" t="s">
        <v>3821</v>
      </c>
      <c r="D259">
        <v>35.37600638</v>
      </c>
      <c r="E259" t="s">
        <v>3818</v>
      </c>
      <c r="F259">
        <v>115.3282316</v>
      </c>
      <c r="G259" t="s">
        <v>3819</v>
      </c>
      <c r="H259">
        <v>56476</v>
      </c>
      <c r="I259" t="s">
        <v>3820</v>
      </c>
    </row>
    <row r="260" spans="1:9" x14ac:dyDescent="0.25">
      <c r="A260" t="s">
        <v>3817</v>
      </c>
      <c r="B260" t="s">
        <v>6672</v>
      </c>
      <c r="C260" t="s">
        <v>3821</v>
      </c>
      <c r="D260">
        <v>35.834216099999999</v>
      </c>
      <c r="E260" t="s">
        <v>3818</v>
      </c>
      <c r="F260">
        <v>118.2544106</v>
      </c>
      <c r="G260" t="s">
        <v>3819</v>
      </c>
      <c r="H260">
        <v>43522</v>
      </c>
      <c r="I260" t="s">
        <v>3820</v>
      </c>
    </row>
    <row r="261" spans="1:9" x14ac:dyDescent="0.25">
      <c r="A261" t="s">
        <v>3817</v>
      </c>
      <c r="B261" t="s">
        <v>4596</v>
      </c>
      <c r="C261" t="s">
        <v>3821</v>
      </c>
      <c r="D261">
        <v>37.13014673</v>
      </c>
      <c r="E261" t="s">
        <v>3818</v>
      </c>
      <c r="F261">
        <v>121.81045659999999</v>
      </c>
      <c r="G261" t="s">
        <v>3819</v>
      </c>
      <c r="H261">
        <v>50354</v>
      </c>
      <c r="I261" t="s">
        <v>3820</v>
      </c>
    </row>
    <row r="262" spans="1:9" x14ac:dyDescent="0.25">
      <c r="A262" t="s">
        <v>3817</v>
      </c>
      <c r="B262" t="s">
        <v>4490</v>
      </c>
      <c r="C262" t="s">
        <v>3821</v>
      </c>
      <c r="D262">
        <v>35.802749910000003</v>
      </c>
      <c r="E262" t="s">
        <v>3818</v>
      </c>
      <c r="F262">
        <v>116.92898340000001</v>
      </c>
      <c r="G262" t="s">
        <v>3819</v>
      </c>
      <c r="H262">
        <v>56115</v>
      </c>
      <c r="I262" t="s">
        <v>3820</v>
      </c>
    </row>
    <row r="263" spans="1:9" x14ac:dyDescent="0.25">
      <c r="A263" t="s">
        <v>3817</v>
      </c>
      <c r="B263" t="s">
        <v>4491</v>
      </c>
      <c r="C263" t="s">
        <v>3821</v>
      </c>
      <c r="D263">
        <v>35.885674880000003</v>
      </c>
      <c r="E263" t="s">
        <v>3818</v>
      </c>
      <c r="F263">
        <v>117.426832</v>
      </c>
      <c r="G263" t="s">
        <v>3819</v>
      </c>
      <c r="H263">
        <v>51160</v>
      </c>
      <c r="I263" t="s">
        <v>3820</v>
      </c>
    </row>
    <row r="264" spans="1:9" x14ac:dyDescent="0.25">
      <c r="A264" t="s">
        <v>3817</v>
      </c>
      <c r="B264" t="s">
        <v>4230</v>
      </c>
      <c r="C264" t="s">
        <v>3821</v>
      </c>
      <c r="D264">
        <v>35.948602770000001</v>
      </c>
      <c r="E264" t="s">
        <v>3818</v>
      </c>
      <c r="F264">
        <v>115.39941709999999</v>
      </c>
      <c r="G264" t="s">
        <v>3819</v>
      </c>
      <c r="H264">
        <v>33742</v>
      </c>
      <c r="I264" t="s">
        <v>3820</v>
      </c>
    </row>
    <row r="265" spans="1:9" x14ac:dyDescent="0.25">
      <c r="A265" t="s">
        <v>3817</v>
      </c>
      <c r="B265" t="s">
        <v>4646</v>
      </c>
      <c r="C265" t="s">
        <v>3821</v>
      </c>
      <c r="D265">
        <v>37.214650499999998</v>
      </c>
      <c r="E265" t="s">
        <v>3818</v>
      </c>
      <c r="F265">
        <v>120.6161319</v>
      </c>
      <c r="G265" t="s">
        <v>3819</v>
      </c>
      <c r="H265">
        <v>28440</v>
      </c>
      <c r="I265" t="s">
        <v>3820</v>
      </c>
    </row>
    <row r="266" spans="1:9" x14ac:dyDescent="0.25">
      <c r="A266" t="s">
        <v>3817</v>
      </c>
      <c r="B266" t="s">
        <v>4231</v>
      </c>
      <c r="C266" t="s">
        <v>3821</v>
      </c>
      <c r="D266">
        <v>36.476748350000001</v>
      </c>
      <c r="E266" t="s">
        <v>3818</v>
      </c>
      <c r="F266">
        <v>116.169999</v>
      </c>
      <c r="G266" t="s">
        <v>3819</v>
      </c>
      <c r="H266">
        <v>28883</v>
      </c>
      <c r="I266" t="s">
        <v>3820</v>
      </c>
    </row>
    <row r="267" spans="1:9" x14ac:dyDescent="0.25">
      <c r="A267" t="s">
        <v>3817</v>
      </c>
      <c r="B267" t="s">
        <v>4647</v>
      </c>
      <c r="C267" t="s">
        <v>3821</v>
      </c>
      <c r="D267">
        <v>37.201698899999997</v>
      </c>
      <c r="E267" t="s">
        <v>3818</v>
      </c>
      <c r="F267">
        <v>120.7023299</v>
      </c>
      <c r="G267" t="s">
        <v>3819</v>
      </c>
      <c r="H267">
        <v>33022</v>
      </c>
      <c r="I267" t="s">
        <v>3820</v>
      </c>
    </row>
    <row r="268" spans="1:9" x14ac:dyDescent="0.25">
      <c r="A268" t="s">
        <v>3817</v>
      </c>
      <c r="B268" t="s">
        <v>4716</v>
      </c>
      <c r="C268" t="s">
        <v>3821</v>
      </c>
      <c r="D268">
        <v>34.937749519999997</v>
      </c>
      <c r="E268" t="s">
        <v>3818</v>
      </c>
      <c r="F268">
        <v>117.2326197</v>
      </c>
      <c r="G268" t="s">
        <v>3819</v>
      </c>
      <c r="H268">
        <v>62303</v>
      </c>
      <c r="I268" t="s">
        <v>3820</v>
      </c>
    </row>
    <row r="269" spans="1:9" x14ac:dyDescent="0.25">
      <c r="A269" t="s">
        <v>3817</v>
      </c>
      <c r="B269" t="s">
        <v>4648</v>
      </c>
      <c r="C269" t="s">
        <v>3821</v>
      </c>
      <c r="D269">
        <v>37.177550160000003</v>
      </c>
      <c r="E269" t="s">
        <v>3818</v>
      </c>
      <c r="F269">
        <v>121.2552148</v>
      </c>
      <c r="G269" t="s">
        <v>3819</v>
      </c>
      <c r="H269">
        <v>50377</v>
      </c>
      <c r="I269" t="s">
        <v>3820</v>
      </c>
    </row>
    <row r="270" spans="1:9" x14ac:dyDescent="0.25">
      <c r="A270" t="s">
        <v>3817</v>
      </c>
      <c r="B270" t="s">
        <v>4127</v>
      </c>
      <c r="C270" t="s">
        <v>3821</v>
      </c>
      <c r="D270">
        <v>35.784617240000003</v>
      </c>
      <c r="E270" t="s">
        <v>3818</v>
      </c>
      <c r="F270">
        <v>116.2152913</v>
      </c>
      <c r="G270" t="s">
        <v>3819</v>
      </c>
      <c r="H270">
        <v>46913</v>
      </c>
      <c r="I270" t="s">
        <v>3820</v>
      </c>
    </row>
    <row r="271" spans="1:9" x14ac:dyDescent="0.25">
      <c r="A271" t="s">
        <v>3817</v>
      </c>
      <c r="B271" t="s">
        <v>4541</v>
      </c>
      <c r="C271" t="s">
        <v>3821</v>
      </c>
      <c r="D271">
        <v>36.246893790000001</v>
      </c>
      <c r="E271" t="s">
        <v>3818</v>
      </c>
      <c r="F271">
        <v>119.1717258</v>
      </c>
      <c r="G271" t="s">
        <v>3819</v>
      </c>
      <c r="H271">
        <v>50826</v>
      </c>
      <c r="I271" t="s">
        <v>3820</v>
      </c>
    </row>
    <row r="272" spans="1:9" x14ac:dyDescent="0.25">
      <c r="A272" t="s">
        <v>3817</v>
      </c>
      <c r="B272" t="s">
        <v>6673</v>
      </c>
      <c r="C272" t="s">
        <v>3821</v>
      </c>
      <c r="D272">
        <v>37.699715210000001</v>
      </c>
      <c r="E272" t="s">
        <v>3818</v>
      </c>
      <c r="F272">
        <v>117.7839453</v>
      </c>
      <c r="G272" t="s">
        <v>3819</v>
      </c>
      <c r="H272">
        <v>24098</v>
      </c>
      <c r="I272" t="s">
        <v>3820</v>
      </c>
    </row>
    <row r="273" spans="1:9" x14ac:dyDescent="0.25">
      <c r="A273" t="s">
        <v>3817</v>
      </c>
      <c r="B273" t="s">
        <v>6674</v>
      </c>
      <c r="C273" t="s">
        <v>3821</v>
      </c>
      <c r="D273">
        <v>35.963929409999999</v>
      </c>
      <c r="E273" t="s">
        <v>3818</v>
      </c>
      <c r="F273">
        <v>115.624923</v>
      </c>
      <c r="G273" t="s">
        <v>3819</v>
      </c>
      <c r="H273">
        <v>49650</v>
      </c>
      <c r="I273" t="s">
        <v>3820</v>
      </c>
    </row>
    <row r="274" spans="1:9" x14ac:dyDescent="0.25">
      <c r="A274" t="s">
        <v>3817</v>
      </c>
      <c r="B274" t="s">
        <v>3960</v>
      </c>
      <c r="C274" t="s">
        <v>3821</v>
      </c>
      <c r="D274">
        <v>37.848770000000002</v>
      </c>
      <c r="E274" t="s">
        <v>3818</v>
      </c>
      <c r="F274">
        <v>118.7715615</v>
      </c>
      <c r="G274" t="s">
        <v>3819</v>
      </c>
      <c r="H274">
        <v>46068</v>
      </c>
      <c r="I274" t="s">
        <v>3820</v>
      </c>
    </row>
    <row r="275" spans="1:9" x14ac:dyDescent="0.25">
      <c r="A275" t="s">
        <v>3817</v>
      </c>
      <c r="B275" t="s">
        <v>4232</v>
      </c>
      <c r="C275" t="s">
        <v>3821</v>
      </c>
      <c r="D275">
        <v>36.334817889999997</v>
      </c>
      <c r="E275" t="s">
        <v>3818</v>
      </c>
      <c r="F275">
        <v>116.1456452</v>
      </c>
      <c r="G275" t="s">
        <v>3819</v>
      </c>
      <c r="H275">
        <v>35209</v>
      </c>
      <c r="I275" t="s">
        <v>3820</v>
      </c>
    </row>
    <row r="276" spans="1:9" x14ac:dyDescent="0.25">
      <c r="A276" t="s">
        <v>3817</v>
      </c>
      <c r="B276" t="s">
        <v>4233</v>
      </c>
      <c r="C276" t="s">
        <v>3821</v>
      </c>
      <c r="D276">
        <v>36.902873649999997</v>
      </c>
      <c r="E276" t="s">
        <v>3818</v>
      </c>
      <c r="F276">
        <v>116.3955749</v>
      </c>
      <c r="G276" t="s">
        <v>3819</v>
      </c>
      <c r="H276">
        <v>34741</v>
      </c>
      <c r="I276" t="s">
        <v>3820</v>
      </c>
    </row>
    <row r="277" spans="1:9" x14ac:dyDescent="0.25">
      <c r="A277" t="s">
        <v>3817</v>
      </c>
      <c r="B277" t="s">
        <v>4492</v>
      </c>
      <c r="C277" t="s">
        <v>3821</v>
      </c>
      <c r="D277">
        <v>35.884492600000002</v>
      </c>
      <c r="E277" t="s">
        <v>3818</v>
      </c>
      <c r="F277">
        <v>117.5011603</v>
      </c>
      <c r="G277" t="s">
        <v>3819</v>
      </c>
      <c r="H277">
        <v>49080</v>
      </c>
      <c r="I277" t="s">
        <v>3820</v>
      </c>
    </row>
    <row r="278" spans="1:9" x14ac:dyDescent="0.25">
      <c r="A278" t="s">
        <v>3817</v>
      </c>
      <c r="B278" t="s">
        <v>4128</v>
      </c>
      <c r="C278" t="s">
        <v>3821</v>
      </c>
      <c r="D278">
        <v>35.802115749999999</v>
      </c>
      <c r="E278" t="s">
        <v>3818</v>
      </c>
      <c r="F278">
        <v>116.4833024</v>
      </c>
      <c r="G278" t="s">
        <v>3819</v>
      </c>
      <c r="H278">
        <v>31067</v>
      </c>
      <c r="I278" t="s">
        <v>3820</v>
      </c>
    </row>
    <row r="279" spans="1:9" x14ac:dyDescent="0.25">
      <c r="A279" t="s">
        <v>3817</v>
      </c>
      <c r="B279" t="s">
        <v>4649</v>
      </c>
      <c r="C279" t="s">
        <v>3821</v>
      </c>
      <c r="D279">
        <v>37.046601940000002</v>
      </c>
      <c r="E279" t="s">
        <v>3818</v>
      </c>
      <c r="F279">
        <v>121.1231248</v>
      </c>
      <c r="G279" t="s">
        <v>3819</v>
      </c>
      <c r="H279">
        <v>32892</v>
      </c>
      <c r="I279" t="s">
        <v>3820</v>
      </c>
    </row>
    <row r="280" spans="1:9" x14ac:dyDescent="0.25">
      <c r="A280" t="s">
        <v>3817</v>
      </c>
      <c r="B280" t="s">
        <v>4015</v>
      </c>
      <c r="C280" t="s">
        <v>3821</v>
      </c>
      <c r="D280">
        <v>34.768687460000002</v>
      </c>
      <c r="E280" t="s">
        <v>3818</v>
      </c>
      <c r="F280">
        <v>115.923231</v>
      </c>
      <c r="G280" t="s">
        <v>3819</v>
      </c>
      <c r="H280">
        <v>64595</v>
      </c>
      <c r="I280" t="s">
        <v>3820</v>
      </c>
    </row>
    <row r="281" spans="1:9" x14ac:dyDescent="0.25">
      <c r="A281" t="s">
        <v>3817</v>
      </c>
      <c r="B281" t="s">
        <v>4234</v>
      </c>
      <c r="C281" t="s">
        <v>3821</v>
      </c>
      <c r="D281">
        <v>36.277715690000001</v>
      </c>
      <c r="E281" t="s">
        <v>3818</v>
      </c>
      <c r="F281">
        <v>115.90957589999999</v>
      </c>
      <c r="G281" t="s">
        <v>3819</v>
      </c>
      <c r="H281">
        <v>26852</v>
      </c>
      <c r="I281" t="s">
        <v>3820</v>
      </c>
    </row>
    <row r="282" spans="1:9" x14ac:dyDescent="0.25">
      <c r="A282" t="s">
        <v>3817</v>
      </c>
      <c r="B282" t="s">
        <v>4493</v>
      </c>
      <c r="C282" t="s">
        <v>3821</v>
      </c>
      <c r="D282">
        <v>35.960111570000002</v>
      </c>
      <c r="E282" t="s">
        <v>3818</v>
      </c>
      <c r="F282">
        <v>117.4990495</v>
      </c>
      <c r="G282" t="s">
        <v>3819</v>
      </c>
      <c r="H282">
        <v>33594</v>
      </c>
      <c r="I282" t="s">
        <v>3820</v>
      </c>
    </row>
    <row r="283" spans="1:9" x14ac:dyDescent="0.25">
      <c r="A283" t="s">
        <v>3817</v>
      </c>
      <c r="B283" t="s">
        <v>4650</v>
      </c>
      <c r="C283" t="s">
        <v>3821</v>
      </c>
      <c r="D283">
        <v>37.098078229999999</v>
      </c>
      <c r="E283" t="s">
        <v>3818</v>
      </c>
      <c r="F283">
        <v>120.1512924</v>
      </c>
      <c r="G283" t="s">
        <v>3819</v>
      </c>
      <c r="H283">
        <v>50544</v>
      </c>
      <c r="I283" t="s">
        <v>3820</v>
      </c>
    </row>
    <row r="284" spans="1:9" x14ac:dyDescent="0.25">
      <c r="A284" t="s">
        <v>3817</v>
      </c>
      <c r="B284" t="s">
        <v>4129</v>
      </c>
      <c r="C284" t="s">
        <v>3821</v>
      </c>
      <c r="D284">
        <v>35.214317690000001</v>
      </c>
      <c r="E284" t="s">
        <v>3818</v>
      </c>
      <c r="F284">
        <v>116.81712</v>
      </c>
      <c r="G284" t="s">
        <v>3819</v>
      </c>
      <c r="H284">
        <v>42555</v>
      </c>
      <c r="I284" t="s">
        <v>3820</v>
      </c>
    </row>
    <row r="285" spans="1:9" x14ac:dyDescent="0.25">
      <c r="A285" t="s">
        <v>3817</v>
      </c>
      <c r="B285" t="s">
        <v>4755</v>
      </c>
      <c r="C285" t="s">
        <v>3821</v>
      </c>
      <c r="D285">
        <v>36.909036299999997</v>
      </c>
      <c r="E285" t="s">
        <v>3818</v>
      </c>
      <c r="F285">
        <v>118.0537327</v>
      </c>
      <c r="G285" t="s">
        <v>3819</v>
      </c>
      <c r="H285">
        <v>67340</v>
      </c>
      <c r="I285" t="s">
        <v>3820</v>
      </c>
    </row>
    <row r="286" spans="1:9" x14ac:dyDescent="0.25">
      <c r="A286" t="s">
        <v>3817</v>
      </c>
      <c r="B286" t="s">
        <v>4130</v>
      </c>
      <c r="C286" t="s">
        <v>3821</v>
      </c>
      <c r="D286">
        <v>35.77787618</v>
      </c>
      <c r="E286" t="s">
        <v>3818</v>
      </c>
      <c r="F286">
        <v>116.38303670000001</v>
      </c>
      <c r="G286" t="s">
        <v>3819</v>
      </c>
      <c r="H286">
        <v>39780</v>
      </c>
      <c r="I286" t="s">
        <v>3820</v>
      </c>
    </row>
    <row r="287" spans="1:9" x14ac:dyDescent="0.25">
      <c r="A287" t="s">
        <v>3817</v>
      </c>
      <c r="B287" t="s">
        <v>4016</v>
      </c>
      <c r="C287" t="s">
        <v>3821</v>
      </c>
      <c r="D287">
        <v>35.47715007</v>
      </c>
      <c r="E287" t="s">
        <v>3818</v>
      </c>
      <c r="F287">
        <v>115.93478380000001</v>
      </c>
      <c r="G287" t="s">
        <v>3819</v>
      </c>
      <c r="H287">
        <v>33021</v>
      </c>
      <c r="I287" t="s">
        <v>3820</v>
      </c>
    </row>
    <row r="288" spans="1:9" x14ac:dyDescent="0.25">
      <c r="A288" t="s">
        <v>3817</v>
      </c>
      <c r="B288" t="s">
        <v>4447</v>
      </c>
      <c r="C288" t="s">
        <v>3821</v>
      </c>
      <c r="D288">
        <v>35.774265069999998</v>
      </c>
      <c r="E288" t="s">
        <v>3818</v>
      </c>
      <c r="F288">
        <v>118.73982049999999</v>
      </c>
      <c r="G288" t="s">
        <v>3819</v>
      </c>
      <c r="H288">
        <v>28360</v>
      </c>
      <c r="I288" t="s">
        <v>3820</v>
      </c>
    </row>
    <row r="289" spans="1:9" x14ac:dyDescent="0.25">
      <c r="A289" t="s">
        <v>3817</v>
      </c>
      <c r="B289" t="s">
        <v>4597</v>
      </c>
      <c r="C289" t="s">
        <v>3821</v>
      </c>
      <c r="D289">
        <v>37.419222310000002</v>
      </c>
      <c r="E289" t="s">
        <v>3818</v>
      </c>
      <c r="F289">
        <v>122.24333300000001</v>
      </c>
      <c r="G289" t="s">
        <v>3819</v>
      </c>
      <c r="H289">
        <v>24834</v>
      </c>
      <c r="I289" t="s">
        <v>3820</v>
      </c>
    </row>
    <row r="290" spans="1:9" x14ac:dyDescent="0.25">
      <c r="A290" t="s">
        <v>3817</v>
      </c>
      <c r="B290" t="s">
        <v>4717</v>
      </c>
      <c r="C290" t="s">
        <v>3821</v>
      </c>
      <c r="D290">
        <v>34.611790200000002</v>
      </c>
      <c r="E290" t="s">
        <v>3818</v>
      </c>
      <c r="F290">
        <v>117.50268920000001</v>
      </c>
      <c r="G290" t="s">
        <v>3819</v>
      </c>
      <c r="H290">
        <v>66112</v>
      </c>
      <c r="I290" t="s">
        <v>3820</v>
      </c>
    </row>
    <row r="291" spans="1:9" x14ac:dyDescent="0.25">
      <c r="A291" t="s">
        <v>3817</v>
      </c>
      <c r="B291" t="s">
        <v>4414</v>
      </c>
      <c r="C291" t="s">
        <v>3821</v>
      </c>
      <c r="D291">
        <v>36.738202649999998</v>
      </c>
      <c r="E291" t="s">
        <v>3818</v>
      </c>
      <c r="F291">
        <v>120.22169529999999</v>
      </c>
      <c r="G291" t="s">
        <v>3819</v>
      </c>
      <c r="H291">
        <v>44533</v>
      </c>
      <c r="I291" t="s">
        <v>3820</v>
      </c>
    </row>
    <row r="292" spans="1:9" x14ac:dyDescent="0.25">
      <c r="A292" t="s">
        <v>3817</v>
      </c>
      <c r="B292" t="s">
        <v>4017</v>
      </c>
      <c r="C292" t="s">
        <v>3821</v>
      </c>
      <c r="D292">
        <v>34.923022699999997</v>
      </c>
      <c r="E292" t="s">
        <v>3818</v>
      </c>
      <c r="F292">
        <v>115.6817154</v>
      </c>
      <c r="G292" t="s">
        <v>3819</v>
      </c>
      <c r="H292">
        <v>72807</v>
      </c>
      <c r="I292" t="s">
        <v>3820</v>
      </c>
    </row>
    <row r="293" spans="1:9" x14ac:dyDescent="0.25">
      <c r="A293" t="s">
        <v>3817</v>
      </c>
      <c r="B293" t="s">
        <v>4235</v>
      </c>
      <c r="C293" t="s">
        <v>3821</v>
      </c>
      <c r="D293">
        <v>35.825046479999997</v>
      </c>
      <c r="E293" t="s">
        <v>3818</v>
      </c>
      <c r="F293">
        <v>115.3714549</v>
      </c>
      <c r="G293" t="s">
        <v>3819</v>
      </c>
      <c r="H293">
        <v>50717</v>
      </c>
      <c r="I293" t="s">
        <v>3820</v>
      </c>
    </row>
    <row r="294" spans="1:9" x14ac:dyDescent="0.25">
      <c r="A294" t="s">
        <v>3817</v>
      </c>
      <c r="B294" t="s">
        <v>4415</v>
      </c>
      <c r="C294" t="s">
        <v>3821</v>
      </c>
      <c r="D294">
        <v>35.65117412</v>
      </c>
      <c r="E294" t="s">
        <v>3818</v>
      </c>
      <c r="F294">
        <v>119.5589524</v>
      </c>
      <c r="G294" t="s">
        <v>3819</v>
      </c>
      <c r="H294">
        <v>33964</v>
      </c>
      <c r="I294" t="s">
        <v>3820</v>
      </c>
    </row>
    <row r="295" spans="1:9" x14ac:dyDescent="0.25">
      <c r="A295" t="s">
        <v>3817</v>
      </c>
      <c r="B295" t="s">
        <v>4598</v>
      </c>
      <c r="C295" t="s">
        <v>3821</v>
      </c>
      <c r="D295">
        <v>36.779911319999997</v>
      </c>
      <c r="E295" t="s">
        <v>3818</v>
      </c>
      <c r="F295">
        <v>121.5724116</v>
      </c>
      <c r="G295" t="s">
        <v>3819</v>
      </c>
      <c r="H295">
        <v>29851</v>
      </c>
      <c r="I295" t="s">
        <v>3820</v>
      </c>
    </row>
    <row r="296" spans="1:9" x14ac:dyDescent="0.25">
      <c r="A296" t="s">
        <v>3817</v>
      </c>
      <c r="B296" t="s">
        <v>3834</v>
      </c>
      <c r="C296" t="s">
        <v>3821</v>
      </c>
      <c r="D296">
        <v>36.94504242</v>
      </c>
      <c r="E296" t="s">
        <v>3818</v>
      </c>
      <c r="F296">
        <v>117.72854340000001</v>
      </c>
      <c r="G296" t="s">
        <v>3819</v>
      </c>
      <c r="H296">
        <v>40133</v>
      </c>
      <c r="I296" t="s">
        <v>3820</v>
      </c>
    </row>
    <row r="297" spans="1:9" x14ac:dyDescent="0.25">
      <c r="A297" t="s">
        <v>3817</v>
      </c>
      <c r="B297" t="s">
        <v>4131</v>
      </c>
      <c r="C297" t="s">
        <v>3821</v>
      </c>
      <c r="D297">
        <v>35.661765260000003</v>
      </c>
      <c r="E297" t="s">
        <v>3818</v>
      </c>
      <c r="F297">
        <v>116.2926004</v>
      </c>
      <c r="G297" t="s">
        <v>3819</v>
      </c>
      <c r="H297">
        <v>54871</v>
      </c>
      <c r="I297" t="s">
        <v>3820</v>
      </c>
    </row>
    <row r="298" spans="1:9" x14ac:dyDescent="0.25">
      <c r="A298" t="s">
        <v>3817</v>
      </c>
      <c r="B298" t="s">
        <v>4132</v>
      </c>
      <c r="C298" t="s">
        <v>3821</v>
      </c>
      <c r="D298">
        <v>35.73205695</v>
      </c>
      <c r="E298" t="s">
        <v>3818</v>
      </c>
      <c r="F298">
        <v>116.27604409999999</v>
      </c>
      <c r="G298" t="s">
        <v>3819</v>
      </c>
      <c r="H298">
        <v>55142</v>
      </c>
      <c r="I298" t="s">
        <v>3820</v>
      </c>
    </row>
    <row r="299" spans="1:9" x14ac:dyDescent="0.25">
      <c r="A299" t="s">
        <v>3817</v>
      </c>
      <c r="B299" t="s">
        <v>6675</v>
      </c>
      <c r="C299" t="s">
        <v>3821</v>
      </c>
      <c r="D299">
        <v>35.009711420000002</v>
      </c>
      <c r="E299" t="s">
        <v>3818</v>
      </c>
      <c r="F299">
        <v>115.3503168</v>
      </c>
      <c r="G299" t="s">
        <v>3819</v>
      </c>
      <c r="H299">
        <v>48622</v>
      </c>
      <c r="I299" t="s">
        <v>3820</v>
      </c>
    </row>
    <row r="300" spans="1:9" x14ac:dyDescent="0.25">
      <c r="A300" t="s">
        <v>3817</v>
      </c>
      <c r="B300" t="s">
        <v>6676</v>
      </c>
      <c r="C300" t="s">
        <v>3821</v>
      </c>
      <c r="D300">
        <v>36.410369000000003</v>
      </c>
      <c r="E300" t="s">
        <v>3818</v>
      </c>
      <c r="F300">
        <v>116.1780431</v>
      </c>
      <c r="G300" t="s">
        <v>3819</v>
      </c>
      <c r="H300">
        <v>28156</v>
      </c>
      <c r="I300" t="s">
        <v>3820</v>
      </c>
    </row>
    <row r="301" spans="1:9" x14ac:dyDescent="0.25">
      <c r="A301" t="s">
        <v>3817</v>
      </c>
      <c r="B301" t="s">
        <v>4094</v>
      </c>
      <c r="C301" t="s">
        <v>3821</v>
      </c>
      <c r="D301">
        <v>37.487101760000002</v>
      </c>
      <c r="E301" t="s">
        <v>3818</v>
      </c>
      <c r="F301">
        <v>117.2412159</v>
      </c>
      <c r="G301" t="s">
        <v>3819</v>
      </c>
      <c r="H301">
        <v>30633</v>
      </c>
      <c r="I301" t="s">
        <v>3820</v>
      </c>
    </row>
    <row r="302" spans="1:9" x14ac:dyDescent="0.25">
      <c r="A302" t="s">
        <v>3817</v>
      </c>
      <c r="B302" t="s">
        <v>4236</v>
      </c>
      <c r="C302" t="s">
        <v>3821</v>
      </c>
      <c r="D302">
        <v>36.681025650000002</v>
      </c>
      <c r="E302" t="s">
        <v>3818</v>
      </c>
      <c r="F302">
        <v>116.12841</v>
      </c>
      <c r="G302" t="s">
        <v>3819</v>
      </c>
      <c r="H302">
        <v>29374</v>
      </c>
      <c r="I302" t="s">
        <v>3820</v>
      </c>
    </row>
    <row r="303" spans="1:9" x14ac:dyDescent="0.25">
      <c r="A303" t="s">
        <v>3817</v>
      </c>
      <c r="B303" t="s">
        <v>4133</v>
      </c>
      <c r="C303" t="s">
        <v>3821</v>
      </c>
      <c r="D303">
        <v>34.647393520000001</v>
      </c>
      <c r="E303" t="s">
        <v>3818</v>
      </c>
      <c r="F303">
        <v>117.31035230000001</v>
      </c>
      <c r="G303" t="s">
        <v>3819</v>
      </c>
      <c r="H303">
        <v>57342</v>
      </c>
      <c r="I303" t="s">
        <v>3820</v>
      </c>
    </row>
    <row r="304" spans="1:9" x14ac:dyDescent="0.25">
      <c r="A304" t="s">
        <v>3817</v>
      </c>
      <c r="B304" t="s">
        <v>3961</v>
      </c>
      <c r="C304" t="s">
        <v>3821</v>
      </c>
      <c r="D304">
        <v>37.446551329999998</v>
      </c>
      <c r="E304" t="s">
        <v>3818</v>
      </c>
      <c r="F304">
        <v>118.37183400000001</v>
      </c>
      <c r="G304" t="s">
        <v>3819</v>
      </c>
      <c r="H304">
        <v>16241</v>
      </c>
      <c r="I304" t="s">
        <v>3820</v>
      </c>
    </row>
    <row r="305" spans="1:9" x14ac:dyDescent="0.25">
      <c r="A305" t="s">
        <v>3817</v>
      </c>
      <c r="B305" t="s">
        <v>3892</v>
      </c>
      <c r="C305" t="s">
        <v>3821</v>
      </c>
      <c r="D305">
        <v>37.255240970000003</v>
      </c>
      <c r="E305" t="s">
        <v>3818</v>
      </c>
      <c r="F305">
        <v>116.2265349</v>
      </c>
      <c r="G305" t="s">
        <v>3819</v>
      </c>
      <c r="H305">
        <v>40688</v>
      </c>
      <c r="I305" t="s">
        <v>3820</v>
      </c>
    </row>
    <row r="306" spans="1:9" x14ac:dyDescent="0.25">
      <c r="A306" t="s">
        <v>3817</v>
      </c>
      <c r="B306" t="s">
        <v>4237</v>
      </c>
      <c r="C306" t="s">
        <v>3821</v>
      </c>
      <c r="D306">
        <v>36.356454280000001</v>
      </c>
      <c r="E306" t="s">
        <v>3818</v>
      </c>
      <c r="F306">
        <v>115.6645171</v>
      </c>
      <c r="G306" t="s">
        <v>3819</v>
      </c>
      <c r="H306">
        <v>33886</v>
      </c>
      <c r="I306" t="s">
        <v>3820</v>
      </c>
    </row>
    <row r="307" spans="1:9" x14ac:dyDescent="0.25">
      <c r="A307" t="s">
        <v>3817</v>
      </c>
      <c r="B307" t="s">
        <v>4542</v>
      </c>
      <c r="C307" t="s">
        <v>3821</v>
      </c>
      <c r="D307">
        <v>36.853019949999997</v>
      </c>
      <c r="E307" t="s">
        <v>3818</v>
      </c>
      <c r="F307">
        <v>118.5867046</v>
      </c>
      <c r="G307" t="s">
        <v>3819</v>
      </c>
      <c r="H307">
        <v>73470</v>
      </c>
      <c r="I307" t="s">
        <v>3820</v>
      </c>
    </row>
    <row r="308" spans="1:9" x14ac:dyDescent="0.25">
      <c r="A308" t="s">
        <v>3817</v>
      </c>
      <c r="B308" t="s">
        <v>4134</v>
      </c>
      <c r="C308" t="s">
        <v>3821</v>
      </c>
      <c r="D308">
        <v>35.848342500000001</v>
      </c>
      <c r="E308" t="s">
        <v>3818</v>
      </c>
      <c r="F308">
        <v>115.90109320000001</v>
      </c>
      <c r="G308" t="s">
        <v>3819</v>
      </c>
      <c r="H308">
        <v>28819</v>
      </c>
      <c r="I308" t="s">
        <v>3820</v>
      </c>
    </row>
    <row r="309" spans="1:9" x14ac:dyDescent="0.25">
      <c r="A309" t="s">
        <v>3817</v>
      </c>
      <c r="B309" t="s">
        <v>4756</v>
      </c>
      <c r="C309" t="s">
        <v>3821</v>
      </c>
      <c r="D309">
        <v>37.12131669</v>
      </c>
      <c r="E309" t="s">
        <v>3818</v>
      </c>
      <c r="F309">
        <v>117.6233371</v>
      </c>
      <c r="G309" t="s">
        <v>3819</v>
      </c>
      <c r="H309">
        <v>39312</v>
      </c>
      <c r="I309" t="s">
        <v>3820</v>
      </c>
    </row>
    <row r="310" spans="1:9" x14ac:dyDescent="0.25">
      <c r="A310" t="s">
        <v>3817</v>
      </c>
      <c r="B310" t="s">
        <v>3835</v>
      </c>
      <c r="C310" t="s">
        <v>3821</v>
      </c>
      <c r="D310">
        <v>37.603217010000002</v>
      </c>
      <c r="E310" t="s">
        <v>3818</v>
      </c>
      <c r="F310">
        <v>117.6127209</v>
      </c>
      <c r="G310" t="s">
        <v>3819</v>
      </c>
      <c r="H310">
        <v>38962</v>
      </c>
      <c r="I310" t="s">
        <v>3820</v>
      </c>
    </row>
    <row r="311" spans="1:9" x14ac:dyDescent="0.25">
      <c r="A311" t="s">
        <v>3817</v>
      </c>
      <c r="B311" t="s">
        <v>4651</v>
      </c>
      <c r="C311" t="s">
        <v>3821</v>
      </c>
      <c r="D311">
        <v>37.041576470000003</v>
      </c>
      <c r="E311" t="s">
        <v>3818</v>
      </c>
      <c r="F311">
        <v>120.70629169999999</v>
      </c>
      <c r="G311" t="s">
        <v>3819</v>
      </c>
      <c r="H311">
        <v>22488</v>
      </c>
      <c r="I311" t="s">
        <v>3820</v>
      </c>
    </row>
    <row r="312" spans="1:9" x14ac:dyDescent="0.25">
      <c r="A312" t="s">
        <v>3817</v>
      </c>
      <c r="B312" t="s">
        <v>4448</v>
      </c>
      <c r="C312" t="s">
        <v>3821</v>
      </c>
      <c r="D312">
        <v>35.542213240000002</v>
      </c>
      <c r="E312" t="s">
        <v>3818</v>
      </c>
      <c r="F312">
        <v>119.4889673</v>
      </c>
      <c r="G312" t="s">
        <v>3819</v>
      </c>
      <c r="H312">
        <v>28784</v>
      </c>
      <c r="I312" t="s">
        <v>3820</v>
      </c>
    </row>
    <row r="313" spans="1:9" x14ac:dyDescent="0.25">
      <c r="A313" t="s">
        <v>3817</v>
      </c>
      <c r="B313" t="s">
        <v>4494</v>
      </c>
      <c r="C313" t="s">
        <v>3821</v>
      </c>
      <c r="D313">
        <v>35.869635639999998</v>
      </c>
      <c r="E313" t="s">
        <v>3818</v>
      </c>
      <c r="F313">
        <v>116.68247390000001</v>
      </c>
      <c r="G313" t="s">
        <v>3819</v>
      </c>
      <c r="H313">
        <v>44226</v>
      </c>
      <c r="I313" t="s">
        <v>3820</v>
      </c>
    </row>
    <row r="314" spans="1:9" x14ac:dyDescent="0.25">
      <c r="A314" t="s">
        <v>3817</v>
      </c>
      <c r="B314" t="s">
        <v>4018</v>
      </c>
      <c r="C314" t="s">
        <v>3821</v>
      </c>
      <c r="D314">
        <v>35.233737269999999</v>
      </c>
      <c r="E314" t="s">
        <v>3818</v>
      </c>
      <c r="F314">
        <v>116.2506322</v>
      </c>
      <c r="G314" t="s">
        <v>3819</v>
      </c>
      <c r="H314">
        <v>27488</v>
      </c>
      <c r="I314" t="s">
        <v>3820</v>
      </c>
    </row>
    <row r="315" spans="1:9" x14ac:dyDescent="0.25">
      <c r="A315" t="s">
        <v>3817</v>
      </c>
      <c r="B315" t="s">
        <v>4416</v>
      </c>
      <c r="C315" t="s">
        <v>3821</v>
      </c>
      <c r="D315">
        <v>37.003659409999997</v>
      </c>
      <c r="E315" t="s">
        <v>3818</v>
      </c>
      <c r="F315">
        <v>120.5234947</v>
      </c>
      <c r="G315" t="s">
        <v>3819</v>
      </c>
      <c r="H315">
        <v>38398</v>
      </c>
      <c r="I315" t="s">
        <v>3820</v>
      </c>
    </row>
    <row r="316" spans="1:9" x14ac:dyDescent="0.25">
      <c r="A316" t="s">
        <v>3817</v>
      </c>
      <c r="B316" t="s">
        <v>4095</v>
      </c>
      <c r="C316" t="s">
        <v>3821</v>
      </c>
      <c r="D316">
        <v>36.405349999999999</v>
      </c>
      <c r="E316" t="s">
        <v>3818</v>
      </c>
      <c r="F316">
        <v>117.8085</v>
      </c>
      <c r="G316" t="s">
        <v>3819</v>
      </c>
      <c r="H316">
        <v>23576</v>
      </c>
      <c r="I316" t="s">
        <v>3820</v>
      </c>
    </row>
    <row r="317" spans="1:9" x14ac:dyDescent="0.25">
      <c r="A317" t="s">
        <v>3817</v>
      </c>
      <c r="B317" t="s">
        <v>4019</v>
      </c>
      <c r="C317" t="s">
        <v>3821</v>
      </c>
      <c r="D317">
        <v>35.537208939999999</v>
      </c>
      <c r="E317" t="s">
        <v>3818</v>
      </c>
      <c r="F317">
        <v>115.6750966</v>
      </c>
      <c r="G317" t="s">
        <v>3819</v>
      </c>
      <c r="H317">
        <v>30354</v>
      </c>
      <c r="I317" t="s">
        <v>3820</v>
      </c>
    </row>
    <row r="318" spans="1:9" x14ac:dyDescent="0.25">
      <c r="A318" t="s">
        <v>3817</v>
      </c>
      <c r="B318" t="s">
        <v>4096</v>
      </c>
      <c r="C318" t="s">
        <v>3821</v>
      </c>
      <c r="D318">
        <v>36.09978856</v>
      </c>
      <c r="E318" t="s">
        <v>3818</v>
      </c>
      <c r="F318">
        <v>116.3054846</v>
      </c>
      <c r="G318" t="s">
        <v>3819</v>
      </c>
      <c r="H318">
        <v>20762</v>
      </c>
      <c r="I318" t="s">
        <v>3820</v>
      </c>
    </row>
    <row r="319" spans="1:9" x14ac:dyDescent="0.25">
      <c r="A319" t="s">
        <v>3817</v>
      </c>
      <c r="B319" t="s">
        <v>4238</v>
      </c>
      <c r="C319" t="s">
        <v>3821</v>
      </c>
      <c r="D319">
        <v>36.578272040000002</v>
      </c>
      <c r="E319" t="s">
        <v>3818</v>
      </c>
      <c r="F319">
        <v>115.9533129</v>
      </c>
      <c r="G319" t="s">
        <v>3819</v>
      </c>
      <c r="H319">
        <v>21859</v>
      </c>
      <c r="I319" t="s">
        <v>3820</v>
      </c>
    </row>
    <row r="320" spans="1:9" x14ac:dyDescent="0.25">
      <c r="A320" t="s">
        <v>3817</v>
      </c>
      <c r="B320" t="s">
        <v>4543</v>
      </c>
      <c r="C320" t="s">
        <v>3821</v>
      </c>
      <c r="D320">
        <v>36.426721700000002</v>
      </c>
      <c r="E320" t="s">
        <v>3818</v>
      </c>
      <c r="F320">
        <v>118.953981</v>
      </c>
      <c r="G320" t="s">
        <v>3819</v>
      </c>
      <c r="H320">
        <v>88458</v>
      </c>
      <c r="I320" t="s">
        <v>3820</v>
      </c>
    </row>
    <row r="321" spans="1:9" x14ac:dyDescent="0.25">
      <c r="A321" t="s">
        <v>3817</v>
      </c>
      <c r="B321" t="s">
        <v>4330</v>
      </c>
      <c r="C321" t="s">
        <v>3821</v>
      </c>
      <c r="D321">
        <v>34.471219929999997</v>
      </c>
      <c r="E321" t="s">
        <v>3818</v>
      </c>
      <c r="F321">
        <v>118.3526566</v>
      </c>
      <c r="G321" t="s">
        <v>3819</v>
      </c>
      <c r="H321">
        <v>59392</v>
      </c>
      <c r="I321" t="s">
        <v>3820</v>
      </c>
    </row>
    <row r="322" spans="1:9" x14ac:dyDescent="0.25">
      <c r="A322" t="s">
        <v>3817</v>
      </c>
      <c r="B322" t="s">
        <v>4757</v>
      </c>
      <c r="C322" t="s">
        <v>3821</v>
      </c>
      <c r="D322">
        <v>36.607004930000002</v>
      </c>
      <c r="E322" t="s">
        <v>3818</v>
      </c>
      <c r="F322">
        <v>118.0162639</v>
      </c>
      <c r="G322" t="s">
        <v>3819</v>
      </c>
      <c r="H322">
        <v>50470</v>
      </c>
      <c r="I322" t="s">
        <v>3820</v>
      </c>
    </row>
    <row r="323" spans="1:9" x14ac:dyDescent="0.25">
      <c r="A323" t="s">
        <v>3817</v>
      </c>
      <c r="B323" t="s">
        <v>4718</v>
      </c>
      <c r="C323" t="s">
        <v>3821</v>
      </c>
      <c r="D323">
        <v>35.032179900000003</v>
      </c>
      <c r="E323" t="s">
        <v>3818</v>
      </c>
      <c r="F323">
        <v>117.10986560000001</v>
      </c>
      <c r="G323" t="s">
        <v>3819</v>
      </c>
      <c r="H323">
        <v>37088</v>
      </c>
      <c r="I323" t="s">
        <v>3820</v>
      </c>
    </row>
    <row r="324" spans="1:9" x14ac:dyDescent="0.25">
      <c r="A324" t="s">
        <v>3817</v>
      </c>
      <c r="B324" t="s">
        <v>4544</v>
      </c>
      <c r="C324" t="s">
        <v>3821</v>
      </c>
      <c r="D324">
        <v>37.006807709999997</v>
      </c>
      <c r="E324" t="s">
        <v>3818</v>
      </c>
      <c r="F324">
        <v>118.9943628</v>
      </c>
      <c r="G324" t="s">
        <v>3819</v>
      </c>
      <c r="H324">
        <v>96737</v>
      </c>
      <c r="I324" t="s">
        <v>3820</v>
      </c>
    </row>
    <row r="325" spans="1:9" x14ac:dyDescent="0.25">
      <c r="A325" t="s">
        <v>3817</v>
      </c>
      <c r="B325" t="s">
        <v>4449</v>
      </c>
      <c r="C325" t="s">
        <v>3821</v>
      </c>
      <c r="D325">
        <v>35.386980080000001</v>
      </c>
      <c r="E325" t="s">
        <v>3818</v>
      </c>
      <c r="F325">
        <v>119.2876864</v>
      </c>
      <c r="G325" t="s">
        <v>3819</v>
      </c>
      <c r="H325">
        <v>53533</v>
      </c>
      <c r="I325" t="s">
        <v>3820</v>
      </c>
    </row>
    <row r="326" spans="1:9" x14ac:dyDescent="0.25">
      <c r="A326" t="s">
        <v>3817</v>
      </c>
      <c r="B326" t="s">
        <v>4020</v>
      </c>
      <c r="C326" t="s">
        <v>3821</v>
      </c>
      <c r="D326">
        <v>34.831944880000002</v>
      </c>
      <c r="E326" t="s">
        <v>3818</v>
      </c>
      <c r="F326">
        <v>115.7197458</v>
      </c>
      <c r="G326" t="s">
        <v>3819</v>
      </c>
      <c r="H326">
        <v>34698</v>
      </c>
      <c r="I326" t="s">
        <v>3820</v>
      </c>
    </row>
    <row r="327" spans="1:9" x14ac:dyDescent="0.25">
      <c r="A327" t="s">
        <v>3817</v>
      </c>
      <c r="B327" t="s">
        <v>4599</v>
      </c>
      <c r="C327" t="s">
        <v>3821</v>
      </c>
      <c r="D327">
        <v>37.019491709999997</v>
      </c>
      <c r="E327" t="s">
        <v>3818</v>
      </c>
      <c r="F327">
        <v>122.0882886</v>
      </c>
      <c r="G327" t="s">
        <v>3819</v>
      </c>
      <c r="H327">
        <v>22210</v>
      </c>
      <c r="I327" t="s">
        <v>3820</v>
      </c>
    </row>
    <row r="328" spans="1:9" x14ac:dyDescent="0.25">
      <c r="A328" t="s">
        <v>3817</v>
      </c>
      <c r="B328" t="s">
        <v>4021</v>
      </c>
      <c r="C328" t="s">
        <v>3821</v>
      </c>
      <c r="D328">
        <v>35.730112120000001</v>
      </c>
      <c r="E328" t="s">
        <v>3818</v>
      </c>
      <c r="F328">
        <v>115.822436</v>
      </c>
      <c r="G328" t="s">
        <v>3819</v>
      </c>
      <c r="H328">
        <v>54258</v>
      </c>
      <c r="I328" t="s">
        <v>3820</v>
      </c>
    </row>
    <row r="329" spans="1:9" x14ac:dyDescent="0.25">
      <c r="A329" t="s">
        <v>3817</v>
      </c>
      <c r="B329" t="s">
        <v>4239</v>
      </c>
      <c r="C329" t="s">
        <v>3821</v>
      </c>
      <c r="D329">
        <v>36.389635030000001</v>
      </c>
      <c r="E329" t="s">
        <v>3818</v>
      </c>
      <c r="F329">
        <v>115.86645710000001</v>
      </c>
      <c r="G329" t="s">
        <v>3819</v>
      </c>
      <c r="H329">
        <v>44481</v>
      </c>
      <c r="I329" t="s">
        <v>3820</v>
      </c>
    </row>
    <row r="330" spans="1:9" x14ac:dyDescent="0.25">
      <c r="A330" t="s">
        <v>3817</v>
      </c>
      <c r="B330" t="s">
        <v>4135</v>
      </c>
      <c r="C330" t="s">
        <v>3821</v>
      </c>
      <c r="D330">
        <v>35.685991129999998</v>
      </c>
      <c r="E330" t="s">
        <v>3818</v>
      </c>
      <c r="F330">
        <v>117.4682875</v>
      </c>
      <c r="G330" t="s">
        <v>3819</v>
      </c>
      <c r="H330">
        <v>21550</v>
      </c>
      <c r="I330" t="s">
        <v>3820</v>
      </c>
    </row>
    <row r="331" spans="1:9" x14ac:dyDescent="0.25">
      <c r="A331" t="s">
        <v>3817</v>
      </c>
      <c r="B331" t="s">
        <v>3893</v>
      </c>
      <c r="C331" t="s">
        <v>3821</v>
      </c>
      <c r="D331">
        <v>36.801122599999999</v>
      </c>
      <c r="E331" t="s">
        <v>3818</v>
      </c>
      <c r="F331">
        <v>116.6542893</v>
      </c>
      <c r="G331" t="s">
        <v>3819</v>
      </c>
      <c r="H331">
        <v>23684</v>
      </c>
      <c r="I331" t="s">
        <v>3820</v>
      </c>
    </row>
    <row r="332" spans="1:9" x14ac:dyDescent="0.25">
      <c r="A332" t="s">
        <v>3817</v>
      </c>
      <c r="B332" t="s">
        <v>4495</v>
      </c>
      <c r="C332" t="s">
        <v>3821</v>
      </c>
      <c r="D332">
        <v>35.8559938</v>
      </c>
      <c r="E332" t="s">
        <v>3818</v>
      </c>
      <c r="F332">
        <v>117.13881859999999</v>
      </c>
      <c r="G332" t="s">
        <v>3819</v>
      </c>
      <c r="H332">
        <v>87989</v>
      </c>
      <c r="I332" t="s">
        <v>3820</v>
      </c>
    </row>
    <row r="333" spans="1:9" x14ac:dyDescent="0.25">
      <c r="A333" t="s">
        <v>3817</v>
      </c>
      <c r="B333" t="s">
        <v>4758</v>
      </c>
      <c r="C333" t="s">
        <v>3821</v>
      </c>
      <c r="D333">
        <v>37.113248550000002</v>
      </c>
      <c r="E333" t="s">
        <v>3818</v>
      </c>
      <c r="F333">
        <v>117.7510583</v>
      </c>
      <c r="G333" t="s">
        <v>3819</v>
      </c>
      <c r="H333">
        <v>52961</v>
      </c>
      <c r="I333" t="s">
        <v>3820</v>
      </c>
    </row>
    <row r="334" spans="1:9" x14ac:dyDescent="0.25">
      <c r="A334" t="s">
        <v>3817</v>
      </c>
      <c r="B334" t="s">
        <v>3962</v>
      </c>
      <c r="C334" t="s">
        <v>3821</v>
      </c>
      <c r="D334">
        <v>37.18957691</v>
      </c>
      <c r="E334" t="s">
        <v>3818</v>
      </c>
      <c r="F334">
        <v>118.4254107</v>
      </c>
      <c r="G334" t="s">
        <v>3819</v>
      </c>
      <c r="H334">
        <v>38180</v>
      </c>
      <c r="I334" t="s">
        <v>3820</v>
      </c>
    </row>
    <row r="335" spans="1:9" x14ac:dyDescent="0.25">
      <c r="A335" t="s">
        <v>3817</v>
      </c>
      <c r="B335" t="s">
        <v>4097</v>
      </c>
      <c r="C335" t="s">
        <v>3821</v>
      </c>
      <c r="D335">
        <v>37.396505320000003</v>
      </c>
      <c r="E335" t="s">
        <v>3818</v>
      </c>
      <c r="F335">
        <v>117.04603299999999</v>
      </c>
      <c r="G335" t="s">
        <v>3819</v>
      </c>
      <c r="H335">
        <v>28928</v>
      </c>
      <c r="I335" t="s">
        <v>3820</v>
      </c>
    </row>
    <row r="336" spans="1:9" x14ac:dyDescent="0.25">
      <c r="A336" t="s">
        <v>3817</v>
      </c>
      <c r="B336" t="s">
        <v>4545</v>
      </c>
      <c r="C336" t="s">
        <v>3821</v>
      </c>
      <c r="D336">
        <v>36.958025339999999</v>
      </c>
      <c r="E336" t="s">
        <v>3818</v>
      </c>
      <c r="F336">
        <v>118.6109862</v>
      </c>
      <c r="G336" t="s">
        <v>3819</v>
      </c>
      <c r="H336">
        <v>52660</v>
      </c>
      <c r="I336" t="s">
        <v>3820</v>
      </c>
    </row>
    <row r="337" spans="1:9" x14ac:dyDescent="0.25">
      <c r="A337" t="s">
        <v>3817</v>
      </c>
      <c r="B337" t="s">
        <v>3894</v>
      </c>
      <c r="C337" t="s">
        <v>3821</v>
      </c>
      <c r="D337">
        <v>37.536862499999998</v>
      </c>
      <c r="E337" t="s">
        <v>3818</v>
      </c>
      <c r="F337">
        <v>117.0301164</v>
      </c>
      <c r="G337" t="s">
        <v>3819</v>
      </c>
      <c r="H337">
        <v>36917</v>
      </c>
      <c r="I337" t="s">
        <v>3820</v>
      </c>
    </row>
    <row r="338" spans="1:9" x14ac:dyDescent="0.25">
      <c r="A338" t="s">
        <v>3817</v>
      </c>
      <c r="B338" t="s">
        <v>4136</v>
      </c>
      <c r="C338" t="s">
        <v>3821</v>
      </c>
      <c r="D338">
        <v>34.895487529999997</v>
      </c>
      <c r="E338" t="s">
        <v>3818</v>
      </c>
      <c r="F338">
        <v>117.0311066</v>
      </c>
      <c r="G338" t="s">
        <v>3819</v>
      </c>
      <c r="H338">
        <v>84056</v>
      </c>
      <c r="I338" t="s">
        <v>3820</v>
      </c>
    </row>
    <row r="339" spans="1:9" x14ac:dyDescent="0.25">
      <c r="A339" t="s">
        <v>3817</v>
      </c>
      <c r="B339" t="s">
        <v>4022</v>
      </c>
      <c r="C339" t="s">
        <v>3821</v>
      </c>
      <c r="D339">
        <v>35.452319379999999</v>
      </c>
      <c r="E339" t="s">
        <v>3818</v>
      </c>
      <c r="F339">
        <v>115.745625</v>
      </c>
      <c r="G339" t="s">
        <v>3819</v>
      </c>
      <c r="H339">
        <v>56167</v>
      </c>
      <c r="I339" t="s">
        <v>3820</v>
      </c>
    </row>
    <row r="340" spans="1:9" x14ac:dyDescent="0.25">
      <c r="A340" t="s">
        <v>3817</v>
      </c>
      <c r="B340" t="s">
        <v>4759</v>
      </c>
      <c r="C340" t="s">
        <v>3821</v>
      </c>
      <c r="D340">
        <v>36.899464260000002</v>
      </c>
      <c r="E340" t="s">
        <v>3818</v>
      </c>
      <c r="F340">
        <v>118.4276713</v>
      </c>
      <c r="G340" t="s">
        <v>3819</v>
      </c>
      <c r="H340">
        <v>49583</v>
      </c>
      <c r="I340" t="s">
        <v>3820</v>
      </c>
    </row>
    <row r="341" spans="1:9" x14ac:dyDescent="0.25">
      <c r="A341" t="s">
        <v>3817</v>
      </c>
      <c r="B341" t="s">
        <v>4023</v>
      </c>
      <c r="C341" t="s">
        <v>3821</v>
      </c>
      <c r="D341">
        <v>35.092149710000001</v>
      </c>
      <c r="E341" t="s">
        <v>3818</v>
      </c>
      <c r="F341">
        <v>115.72516229999999</v>
      </c>
      <c r="G341" t="s">
        <v>3819</v>
      </c>
      <c r="H341">
        <v>60840</v>
      </c>
      <c r="I341" t="s">
        <v>3820</v>
      </c>
    </row>
    <row r="342" spans="1:9" x14ac:dyDescent="0.25">
      <c r="A342" t="s">
        <v>3817</v>
      </c>
      <c r="B342" t="s">
        <v>4450</v>
      </c>
      <c r="C342" t="s">
        <v>3821</v>
      </c>
      <c r="D342">
        <v>35.392687549999998</v>
      </c>
      <c r="E342" t="s">
        <v>3818</v>
      </c>
      <c r="F342">
        <v>119.1115432</v>
      </c>
      <c r="G342" t="s">
        <v>3819</v>
      </c>
      <c r="H342">
        <v>44250</v>
      </c>
      <c r="I342" t="s">
        <v>3820</v>
      </c>
    </row>
    <row r="343" spans="1:9" x14ac:dyDescent="0.25">
      <c r="A343" t="s">
        <v>3817</v>
      </c>
      <c r="B343" t="s">
        <v>4137</v>
      </c>
      <c r="C343" t="s">
        <v>3821</v>
      </c>
      <c r="D343">
        <v>35.607108240000002</v>
      </c>
      <c r="E343" t="s">
        <v>3818</v>
      </c>
      <c r="F343">
        <v>116.1494627</v>
      </c>
      <c r="G343" t="s">
        <v>3819</v>
      </c>
      <c r="H343">
        <v>30821</v>
      </c>
      <c r="I343" t="s">
        <v>3820</v>
      </c>
    </row>
    <row r="344" spans="1:9" x14ac:dyDescent="0.25">
      <c r="A344" t="s">
        <v>3817</v>
      </c>
      <c r="B344" t="s">
        <v>4025</v>
      </c>
      <c r="C344" t="s">
        <v>3821</v>
      </c>
      <c r="D344">
        <v>34.660036929999997</v>
      </c>
      <c r="E344" t="s">
        <v>3818</v>
      </c>
      <c r="F344">
        <v>116.06358299999999</v>
      </c>
      <c r="G344" t="s">
        <v>3819</v>
      </c>
      <c r="H344">
        <v>66540</v>
      </c>
      <c r="I344" t="s">
        <v>3820</v>
      </c>
    </row>
    <row r="345" spans="1:9" x14ac:dyDescent="0.25">
      <c r="A345" t="s">
        <v>3817</v>
      </c>
      <c r="B345" t="s">
        <v>4024</v>
      </c>
      <c r="C345" t="s">
        <v>3821</v>
      </c>
      <c r="D345">
        <v>35.350982219999999</v>
      </c>
      <c r="E345" t="s">
        <v>3818</v>
      </c>
      <c r="F345">
        <v>115.515716</v>
      </c>
      <c r="G345" t="s">
        <v>3819</v>
      </c>
      <c r="H345">
        <v>66150</v>
      </c>
      <c r="I345" t="s">
        <v>3820</v>
      </c>
    </row>
    <row r="346" spans="1:9" x14ac:dyDescent="0.25">
      <c r="A346" t="s">
        <v>3817</v>
      </c>
      <c r="B346" t="s">
        <v>3963</v>
      </c>
      <c r="C346" t="s">
        <v>3821</v>
      </c>
      <c r="D346">
        <v>37.721061409999997</v>
      </c>
      <c r="E346" t="s">
        <v>3818</v>
      </c>
      <c r="F346">
        <v>118.9621831</v>
      </c>
      <c r="G346" t="s">
        <v>3819</v>
      </c>
      <c r="H346">
        <v>23383</v>
      </c>
      <c r="I346" t="s">
        <v>3820</v>
      </c>
    </row>
    <row r="347" spans="1:9" x14ac:dyDescent="0.25">
      <c r="A347" t="s">
        <v>3817</v>
      </c>
      <c r="B347" t="s">
        <v>3895</v>
      </c>
      <c r="C347" t="s">
        <v>3821</v>
      </c>
      <c r="D347">
        <v>37.331414340000002</v>
      </c>
      <c r="E347" t="s">
        <v>3818</v>
      </c>
      <c r="F347">
        <v>116.31864729999999</v>
      </c>
      <c r="G347" t="s">
        <v>3819</v>
      </c>
      <c r="H347">
        <v>49250</v>
      </c>
      <c r="I347" t="s">
        <v>3820</v>
      </c>
    </row>
    <row r="348" spans="1:9" x14ac:dyDescent="0.25">
      <c r="A348" t="s">
        <v>3817</v>
      </c>
      <c r="B348" t="s">
        <v>4546</v>
      </c>
      <c r="C348" t="s">
        <v>3821</v>
      </c>
      <c r="D348">
        <v>35.871288300000003</v>
      </c>
      <c r="E348" t="s">
        <v>3818</v>
      </c>
      <c r="F348">
        <v>119.43652040000001</v>
      </c>
      <c r="G348" t="s">
        <v>3819</v>
      </c>
      <c r="H348">
        <v>65646</v>
      </c>
      <c r="I348" t="s">
        <v>3820</v>
      </c>
    </row>
    <row r="349" spans="1:9" x14ac:dyDescent="0.25">
      <c r="A349" t="s">
        <v>3817</v>
      </c>
      <c r="B349" t="s">
        <v>4026</v>
      </c>
      <c r="C349" t="s">
        <v>3821</v>
      </c>
      <c r="D349">
        <v>35.80401475</v>
      </c>
      <c r="E349" t="s">
        <v>3818</v>
      </c>
      <c r="F349">
        <v>115.8523684</v>
      </c>
      <c r="G349" t="s">
        <v>3819</v>
      </c>
      <c r="H349">
        <v>38738</v>
      </c>
      <c r="I349" t="s">
        <v>3820</v>
      </c>
    </row>
    <row r="350" spans="1:9" x14ac:dyDescent="0.25">
      <c r="A350" t="s">
        <v>3817</v>
      </c>
      <c r="B350" t="s">
        <v>3896</v>
      </c>
      <c r="C350" t="s">
        <v>3821</v>
      </c>
      <c r="D350">
        <v>37.779303910000003</v>
      </c>
      <c r="E350" t="s">
        <v>3818</v>
      </c>
      <c r="F350">
        <v>117.0486097</v>
      </c>
      <c r="G350" t="s">
        <v>3819</v>
      </c>
      <c r="H350">
        <v>57084</v>
      </c>
      <c r="I350" t="s">
        <v>3820</v>
      </c>
    </row>
    <row r="351" spans="1:9" x14ac:dyDescent="0.25">
      <c r="A351" t="s">
        <v>3817</v>
      </c>
      <c r="B351" t="s">
        <v>4027</v>
      </c>
      <c r="C351" t="s">
        <v>3821</v>
      </c>
      <c r="D351">
        <v>35.5323007</v>
      </c>
      <c r="E351" t="s">
        <v>3818</v>
      </c>
      <c r="F351">
        <v>116.08226980000001</v>
      </c>
      <c r="G351" t="s">
        <v>3819</v>
      </c>
      <c r="H351">
        <v>34456</v>
      </c>
      <c r="I351" t="s">
        <v>3820</v>
      </c>
    </row>
    <row r="352" spans="1:9" x14ac:dyDescent="0.25">
      <c r="A352" t="s">
        <v>3817</v>
      </c>
      <c r="B352" t="s">
        <v>4496</v>
      </c>
      <c r="C352" t="s">
        <v>3821</v>
      </c>
      <c r="D352">
        <v>36.32709199</v>
      </c>
      <c r="E352" t="s">
        <v>3818</v>
      </c>
      <c r="F352">
        <v>117.2086771</v>
      </c>
      <c r="G352" t="s">
        <v>3819</v>
      </c>
      <c r="H352">
        <v>31942</v>
      </c>
      <c r="I352" t="s">
        <v>3820</v>
      </c>
    </row>
    <row r="353" spans="1:9" x14ac:dyDescent="0.25">
      <c r="A353" t="s">
        <v>3817</v>
      </c>
      <c r="B353" t="s">
        <v>4332</v>
      </c>
      <c r="C353" t="s">
        <v>3821</v>
      </c>
      <c r="D353">
        <v>34.835225000000001</v>
      </c>
      <c r="E353" t="s">
        <v>3818</v>
      </c>
      <c r="F353">
        <v>118.3130029</v>
      </c>
      <c r="G353" t="s">
        <v>3819</v>
      </c>
      <c r="H353">
        <v>45372</v>
      </c>
      <c r="I353" t="s">
        <v>3820</v>
      </c>
    </row>
    <row r="354" spans="1:9" x14ac:dyDescent="0.25">
      <c r="A354" t="s">
        <v>3817</v>
      </c>
      <c r="B354" t="s">
        <v>4652</v>
      </c>
      <c r="C354" t="s">
        <v>3821</v>
      </c>
      <c r="D354">
        <v>37.567022799999997</v>
      </c>
      <c r="E354" t="s">
        <v>3818</v>
      </c>
      <c r="F354">
        <v>120.2665377</v>
      </c>
      <c r="G354" t="s">
        <v>3819</v>
      </c>
      <c r="H354">
        <v>11044</v>
      </c>
      <c r="I354" t="s">
        <v>3820</v>
      </c>
    </row>
    <row r="355" spans="1:9" x14ac:dyDescent="0.25">
      <c r="A355" t="s">
        <v>3817</v>
      </c>
      <c r="B355" t="s">
        <v>4331</v>
      </c>
      <c r="C355" t="s">
        <v>3821</v>
      </c>
      <c r="D355">
        <v>35.790034310000003</v>
      </c>
      <c r="E355" t="s">
        <v>3818</v>
      </c>
      <c r="F355">
        <v>118.5069465</v>
      </c>
      <c r="G355" t="s">
        <v>3819</v>
      </c>
      <c r="H355">
        <v>42347</v>
      </c>
      <c r="I355" t="s">
        <v>3820</v>
      </c>
    </row>
    <row r="356" spans="1:9" x14ac:dyDescent="0.25">
      <c r="A356" t="s">
        <v>3817</v>
      </c>
      <c r="B356" t="s">
        <v>3836</v>
      </c>
      <c r="C356" t="s">
        <v>3821</v>
      </c>
      <c r="D356">
        <v>37.627763139999999</v>
      </c>
      <c r="E356" t="s">
        <v>3818</v>
      </c>
      <c r="F356">
        <v>117.977262</v>
      </c>
      <c r="G356" t="s">
        <v>3819</v>
      </c>
      <c r="H356">
        <v>21856</v>
      </c>
      <c r="I356" t="s">
        <v>3820</v>
      </c>
    </row>
    <row r="357" spans="1:9" x14ac:dyDescent="0.25">
      <c r="A357" t="s">
        <v>3817</v>
      </c>
      <c r="B357" t="s">
        <v>4138</v>
      </c>
      <c r="C357" t="s">
        <v>3821</v>
      </c>
      <c r="D357">
        <v>34.985990819999998</v>
      </c>
      <c r="E357" t="s">
        <v>3818</v>
      </c>
      <c r="F357">
        <v>116.3725101</v>
      </c>
      <c r="G357" t="s">
        <v>3819</v>
      </c>
      <c r="H357">
        <v>45798</v>
      </c>
      <c r="I357" t="s">
        <v>3820</v>
      </c>
    </row>
    <row r="358" spans="1:9" x14ac:dyDescent="0.25">
      <c r="A358" t="s">
        <v>3817</v>
      </c>
      <c r="B358" t="s">
        <v>6677</v>
      </c>
      <c r="C358" t="s">
        <v>3821</v>
      </c>
      <c r="D358">
        <v>37.583374190000001</v>
      </c>
      <c r="E358" t="s">
        <v>3818</v>
      </c>
      <c r="F358">
        <v>117.2337093</v>
      </c>
      <c r="G358" t="s">
        <v>3819</v>
      </c>
      <c r="H358">
        <v>43233</v>
      </c>
      <c r="I358" t="s">
        <v>3820</v>
      </c>
    </row>
    <row r="359" spans="1:9" x14ac:dyDescent="0.25">
      <c r="A359" t="s">
        <v>3817</v>
      </c>
      <c r="B359" t="s">
        <v>6678</v>
      </c>
      <c r="C359" t="s">
        <v>3821</v>
      </c>
      <c r="D359">
        <v>34.508174969999999</v>
      </c>
      <c r="E359" t="s">
        <v>3818</v>
      </c>
      <c r="F359">
        <v>118.1933408</v>
      </c>
      <c r="G359" t="s">
        <v>3819</v>
      </c>
      <c r="H359">
        <v>44463</v>
      </c>
      <c r="I359" t="s">
        <v>3820</v>
      </c>
    </row>
    <row r="360" spans="1:9" x14ac:dyDescent="0.25">
      <c r="A360" t="s">
        <v>3817</v>
      </c>
      <c r="B360" t="s">
        <v>3837</v>
      </c>
      <c r="C360" t="s">
        <v>3821</v>
      </c>
      <c r="D360">
        <v>37.086828250000003</v>
      </c>
      <c r="E360" t="s">
        <v>3818</v>
      </c>
      <c r="F360">
        <v>118.1967732</v>
      </c>
      <c r="G360" t="s">
        <v>3819</v>
      </c>
      <c r="H360">
        <v>43743</v>
      </c>
      <c r="I360" t="s">
        <v>3820</v>
      </c>
    </row>
    <row r="361" spans="1:9" x14ac:dyDescent="0.25">
      <c r="A361" t="s">
        <v>3817</v>
      </c>
      <c r="B361" t="s">
        <v>3897</v>
      </c>
      <c r="C361" t="s">
        <v>3821</v>
      </c>
      <c r="D361">
        <v>36.582500969999998</v>
      </c>
      <c r="E361" t="s">
        <v>3818</v>
      </c>
      <c r="F361">
        <v>116.59273520000001</v>
      </c>
      <c r="G361" t="s">
        <v>3819</v>
      </c>
      <c r="H361">
        <v>35342</v>
      </c>
      <c r="I361" t="s">
        <v>3820</v>
      </c>
    </row>
    <row r="362" spans="1:9" x14ac:dyDescent="0.25">
      <c r="A362" t="s">
        <v>3817</v>
      </c>
      <c r="B362" t="s">
        <v>4653</v>
      </c>
      <c r="C362" t="s">
        <v>3821</v>
      </c>
      <c r="D362">
        <v>37.312879109999997</v>
      </c>
      <c r="E362" t="s">
        <v>3818</v>
      </c>
      <c r="F362">
        <v>121.2907991</v>
      </c>
      <c r="G362" t="s">
        <v>3819</v>
      </c>
      <c r="H362">
        <v>27471</v>
      </c>
      <c r="I362" t="s">
        <v>3820</v>
      </c>
    </row>
    <row r="363" spans="1:9" x14ac:dyDescent="0.25">
      <c r="A363" t="s">
        <v>3817</v>
      </c>
      <c r="B363" t="s">
        <v>4547</v>
      </c>
      <c r="C363" t="s">
        <v>3821</v>
      </c>
      <c r="D363">
        <v>36.254251779999997</v>
      </c>
      <c r="E363" t="s">
        <v>3818</v>
      </c>
      <c r="F363">
        <v>119.0144184</v>
      </c>
      <c r="G363" t="s">
        <v>3819</v>
      </c>
      <c r="H363">
        <v>59323</v>
      </c>
      <c r="I363" t="s">
        <v>3820</v>
      </c>
    </row>
    <row r="364" spans="1:9" x14ac:dyDescent="0.25">
      <c r="A364" t="s">
        <v>3817</v>
      </c>
      <c r="B364" t="s">
        <v>3898</v>
      </c>
      <c r="C364" t="s">
        <v>3821</v>
      </c>
      <c r="D364">
        <v>37.477093590000003</v>
      </c>
      <c r="E364" t="s">
        <v>3818</v>
      </c>
      <c r="F364">
        <v>116.64474269999999</v>
      </c>
      <c r="G364" t="s">
        <v>3819</v>
      </c>
      <c r="H364">
        <v>42377</v>
      </c>
      <c r="I364" t="s">
        <v>3820</v>
      </c>
    </row>
    <row r="365" spans="1:9" x14ac:dyDescent="0.25">
      <c r="A365" t="s">
        <v>3817</v>
      </c>
      <c r="B365" t="s">
        <v>6679</v>
      </c>
      <c r="C365" t="s">
        <v>3821</v>
      </c>
      <c r="D365">
        <v>37.387559549999999</v>
      </c>
      <c r="E365" t="s">
        <v>3818</v>
      </c>
      <c r="F365">
        <v>117.7492702</v>
      </c>
      <c r="G365" t="s">
        <v>3819</v>
      </c>
      <c r="H365">
        <v>55177</v>
      </c>
      <c r="I365" t="s">
        <v>3820</v>
      </c>
    </row>
    <row r="366" spans="1:9" x14ac:dyDescent="0.25">
      <c r="A366" t="s">
        <v>3817</v>
      </c>
      <c r="B366" t="s">
        <v>6680</v>
      </c>
      <c r="C366" t="s">
        <v>3821</v>
      </c>
      <c r="D366">
        <v>35.397016039999997</v>
      </c>
      <c r="E366" t="s">
        <v>3818</v>
      </c>
      <c r="F366">
        <v>115.6862866</v>
      </c>
      <c r="G366" t="s">
        <v>3819</v>
      </c>
      <c r="H366">
        <v>34397</v>
      </c>
      <c r="I366" t="s">
        <v>3820</v>
      </c>
    </row>
    <row r="367" spans="1:9" x14ac:dyDescent="0.25">
      <c r="A367" t="s">
        <v>3817</v>
      </c>
      <c r="B367" t="s">
        <v>6681</v>
      </c>
      <c r="C367" t="s">
        <v>3821</v>
      </c>
      <c r="D367">
        <v>35.18756758</v>
      </c>
      <c r="E367" t="s">
        <v>3818</v>
      </c>
      <c r="F367">
        <v>116.35411929999999</v>
      </c>
      <c r="G367" t="s">
        <v>3819</v>
      </c>
      <c r="H367">
        <v>59504</v>
      </c>
      <c r="I367" t="s">
        <v>3820</v>
      </c>
    </row>
    <row r="368" spans="1:9" x14ac:dyDescent="0.25">
      <c r="A368" t="s">
        <v>3817</v>
      </c>
      <c r="B368" t="s">
        <v>6682</v>
      </c>
      <c r="C368" t="s">
        <v>3821</v>
      </c>
      <c r="D368">
        <v>35.177451589999997</v>
      </c>
      <c r="E368" t="s">
        <v>3818</v>
      </c>
      <c r="F368">
        <v>119.32830989999999</v>
      </c>
      <c r="G368" t="s">
        <v>3819</v>
      </c>
      <c r="H368">
        <v>65625</v>
      </c>
      <c r="I368" t="s">
        <v>3820</v>
      </c>
    </row>
    <row r="369" spans="1:9" x14ac:dyDescent="0.25">
      <c r="A369" t="s">
        <v>3817</v>
      </c>
      <c r="B369" t="s">
        <v>6683</v>
      </c>
      <c r="C369" t="s">
        <v>3821</v>
      </c>
      <c r="D369">
        <v>36.941379560000001</v>
      </c>
      <c r="E369" t="s">
        <v>3818</v>
      </c>
      <c r="F369">
        <v>122.21160279999999</v>
      </c>
      <c r="G369" t="s">
        <v>3819</v>
      </c>
      <c r="H369">
        <v>38179</v>
      </c>
      <c r="I369" t="s">
        <v>3820</v>
      </c>
    </row>
    <row r="370" spans="1:9" x14ac:dyDescent="0.25">
      <c r="A370" t="s">
        <v>3817</v>
      </c>
      <c r="B370" t="s">
        <v>4333</v>
      </c>
      <c r="C370" t="s">
        <v>3821</v>
      </c>
      <c r="D370">
        <v>35.602139630000003</v>
      </c>
      <c r="E370" t="s">
        <v>3818</v>
      </c>
      <c r="F370">
        <v>118.6542645</v>
      </c>
      <c r="G370" t="s">
        <v>3819</v>
      </c>
      <c r="H370">
        <v>42485</v>
      </c>
      <c r="I370" t="s">
        <v>3820</v>
      </c>
    </row>
    <row r="371" spans="1:9" x14ac:dyDescent="0.25">
      <c r="A371" t="s">
        <v>3817</v>
      </c>
      <c r="B371" t="s">
        <v>4654</v>
      </c>
      <c r="C371" t="s">
        <v>3821</v>
      </c>
      <c r="D371">
        <v>37.149767539999999</v>
      </c>
      <c r="E371" t="s">
        <v>3818</v>
      </c>
      <c r="F371">
        <v>119.83228939999999</v>
      </c>
      <c r="G371" t="s">
        <v>3819</v>
      </c>
      <c r="H371">
        <v>48456</v>
      </c>
      <c r="I371" t="s">
        <v>3820</v>
      </c>
    </row>
    <row r="372" spans="1:9" x14ac:dyDescent="0.25">
      <c r="A372" t="s">
        <v>3817</v>
      </c>
      <c r="B372" t="s">
        <v>6684</v>
      </c>
      <c r="C372" t="s">
        <v>3821</v>
      </c>
      <c r="D372">
        <v>36.674702590000003</v>
      </c>
      <c r="E372" t="s">
        <v>3818</v>
      </c>
      <c r="F372">
        <v>116.206907</v>
      </c>
      <c r="G372" t="s">
        <v>3819</v>
      </c>
      <c r="H372">
        <v>23250</v>
      </c>
      <c r="I372" t="s">
        <v>3820</v>
      </c>
    </row>
    <row r="373" spans="1:9" x14ac:dyDescent="0.25">
      <c r="A373" t="s">
        <v>3817</v>
      </c>
      <c r="B373" t="s">
        <v>6685</v>
      </c>
      <c r="C373" t="s">
        <v>3821</v>
      </c>
      <c r="D373">
        <v>36.231576189999998</v>
      </c>
      <c r="E373" t="s">
        <v>3818</v>
      </c>
      <c r="F373">
        <v>116.613725</v>
      </c>
      <c r="G373" t="s">
        <v>3819</v>
      </c>
      <c r="H373">
        <v>72838</v>
      </c>
      <c r="I373" t="s">
        <v>3820</v>
      </c>
    </row>
    <row r="374" spans="1:9" x14ac:dyDescent="0.25">
      <c r="A374" t="s">
        <v>3817</v>
      </c>
      <c r="B374" t="s">
        <v>4334</v>
      </c>
      <c r="C374" t="s">
        <v>3821</v>
      </c>
      <c r="D374">
        <v>35.285191050000002</v>
      </c>
      <c r="E374" t="s">
        <v>3818</v>
      </c>
      <c r="F374">
        <v>118.0910214</v>
      </c>
      <c r="G374" t="s">
        <v>3819</v>
      </c>
      <c r="H374">
        <v>40219</v>
      </c>
      <c r="I374" t="s">
        <v>3820</v>
      </c>
    </row>
    <row r="375" spans="1:9" x14ac:dyDescent="0.25">
      <c r="A375" t="s">
        <v>3817</v>
      </c>
      <c r="B375" t="s">
        <v>4242</v>
      </c>
      <c r="C375" t="s">
        <v>3821</v>
      </c>
      <c r="D375">
        <v>36.509107880000002</v>
      </c>
      <c r="E375" t="s">
        <v>3818</v>
      </c>
      <c r="F375">
        <v>115.594472</v>
      </c>
      <c r="G375" t="s">
        <v>3819</v>
      </c>
      <c r="H375">
        <v>38752</v>
      </c>
      <c r="I375" t="s">
        <v>3820</v>
      </c>
    </row>
    <row r="376" spans="1:9" x14ac:dyDescent="0.25">
      <c r="A376" t="s">
        <v>3817</v>
      </c>
      <c r="B376" t="s">
        <v>3899</v>
      </c>
      <c r="C376" t="s">
        <v>3821</v>
      </c>
      <c r="D376">
        <v>37.231803480000004</v>
      </c>
      <c r="E376" t="s">
        <v>3818</v>
      </c>
      <c r="F376">
        <v>115.97722229999999</v>
      </c>
      <c r="G376" t="s">
        <v>3819</v>
      </c>
      <c r="H376">
        <v>31818</v>
      </c>
      <c r="I376" t="s">
        <v>3820</v>
      </c>
    </row>
    <row r="377" spans="1:9" x14ac:dyDescent="0.25">
      <c r="A377" t="s">
        <v>3817</v>
      </c>
      <c r="B377" t="s">
        <v>4240</v>
      </c>
      <c r="C377" t="s">
        <v>3821</v>
      </c>
      <c r="D377">
        <v>36.759595879999999</v>
      </c>
      <c r="E377" t="s">
        <v>3818</v>
      </c>
      <c r="F377">
        <v>116.243966</v>
      </c>
      <c r="G377" t="s">
        <v>3819</v>
      </c>
      <c r="H377">
        <v>37830</v>
      </c>
      <c r="I377" t="s">
        <v>3820</v>
      </c>
    </row>
    <row r="378" spans="1:9" x14ac:dyDescent="0.25">
      <c r="A378" t="s">
        <v>3817</v>
      </c>
      <c r="B378" t="s">
        <v>4497</v>
      </c>
      <c r="C378" t="s">
        <v>3821</v>
      </c>
      <c r="D378">
        <v>35.904647990000001</v>
      </c>
      <c r="E378" t="s">
        <v>3818</v>
      </c>
      <c r="F378">
        <v>116.9775075</v>
      </c>
      <c r="G378" t="s">
        <v>3819</v>
      </c>
      <c r="H378">
        <v>43140</v>
      </c>
      <c r="I378" t="s">
        <v>3820</v>
      </c>
    </row>
    <row r="379" spans="1:9" x14ac:dyDescent="0.25">
      <c r="A379" t="s">
        <v>3817</v>
      </c>
      <c r="B379" t="s">
        <v>6686</v>
      </c>
      <c r="C379" t="s">
        <v>3821</v>
      </c>
      <c r="D379">
        <v>37.238012589999997</v>
      </c>
      <c r="E379" t="s">
        <v>3818</v>
      </c>
      <c r="F379">
        <v>117.477418</v>
      </c>
      <c r="G379" t="s">
        <v>3819</v>
      </c>
      <c r="H379">
        <v>53101</v>
      </c>
      <c r="I379" t="s">
        <v>3820</v>
      </c>
    </row>
    <row r="380" spans="1:9" x14ac:dyDescent="0.25">
      <c r="A380" t="s">
        <v>3817</v>
      </c>
      <c r="B380" t="s">
        <v>6687</v>
      </c>
      <c r="C380" t="s">
        <v>3821</v>
      </c>
      <c r="D380">
        <v>36.26740058</v>
      </c>
      <c r="E380" t="s">
        <v>3818</v>
      </c>
      <c r="F380">
        <v>116.17861120000001</v>
      </c>
      <c r="G380" t="s">
        <v>3819</v>
      </c>
      <c r="H380">
        <v>25731</v>
      </c>
      <c r="I380" t="s">
        <v>3820</v>
      </c>
    </row>
    <row r="381" spans="1:9" x14ac:dyDescent="0.25">
      <c r="A381" t="s">
        <v>3817</v>
      </c>
      <c r="B381" t="s">
        <v>4417</v>
      </c>
      <c r="C381" t="s">
        <v>3821</v>
      </c>
      <c r="D381">
        <v>36.672015379999998</v>
      </c>
      <c r="E381" t="s">
        <v>3818</v>
      </c>
      <c r="F381">
        <v>120.5500657</v>
      </c>
      <c r="G381" t="s">
        <v>3819</v>
      </c>
      <c r="H381">
        <v>86642</v>
      </c>
      <c r="I381" t="s">
        <v>3820</v>
      </c>
    </row>
    <row r="382" spans="1:9" x14ac:dyDescent="0.25">
      <c r="A382" t="s">
        <v>3817</v>
      </c>
      <c r="B382" t="s">
        <v>4655</v>
      </c>
      <c r="C382" t="s">
        <v>3821</v>
      </c>
      <c r="D382">
        <v>36.80586564</v>
      </c>
      <c r="E382" t="s">
        <v>3818</v>
      </c>
      <c r="F382">
        <v>120.7209312</v>
      </c>
      <c r="G382" t="s">
        <v>3819</v>
      </c>
      <c r="H382">
        <v>53285</v>
      </c>
      <c r="I382" t="s">
        <v>3820</v>
      </c>
    </row>
    <row r="383" spans="1:9" x14ac:dyDescent="0.25">
      <c r="A383" t="s">
        <v>3817</v>
      </c>
      <c r="B383" t="s">
        <v>4719</v>
      </c>
      <c r="C383" t="s">
        <v>3821</v>
      </c>
      <c r="D383">
        <v>35.087805959999997</v>
      </c>
      <c r="E383" t="s">
        <v>3818</v>
      </c>
      <c r="F383">
        <v>117.0644108</v>
      </c>
      <c r="G383" t="s">
        <v>3819</v>
      </c>
      <c r="H383">
        <v>76836</v>
      </c>
      <c r="I383" t="s">
        <v>3820</v>
      </c>
    </row>
    <row r="384" spans="1:9" x14ac:dyDescent="0.25">
      <c r="A384" t="s">
        <v>3817</v>
      </c>
      <c r="B384" t="s">
        <v>4548</v>
      </c>
      <c r="C384" t="s">
        <v>3821</v>
      </c>
      <c r="D384">
        <v>36.253771870000001</v>
      </c>
      <c r="E384" t="s">
        <v>3818</v>
      </c>
      <c r="F384">
        <v>118.6806931</v>
      </c>
      <c r="G384" t="s">
        <v>3819</v>
      </c>
      <c r="H384">
        <v>78408</v>
      </c>
      <c r="I384" t="s">
        <v>3820</v>
      </c>
    </row>
    <row r="385" spans="1:9" x14ac:dyDescent="0.25">
      <c r="A385" t="s">
        <v>3817</v>
      </c>
      <c r="B385" t="s">
        <v>4549</v>
      </c>
      <c r="C385" t="s">
        <v>3821</v>
      </c>
      <c r="D385">
        <v>36.4973703</v>
      </c>
      <c r="E385" t="s">
        <v>3818</v>
      </c>
      <c r="F385">
        <v>119.77183359999999</v>
      </c>
      <c r="G385" t="s">
        <v>3819</v>
      </c>
      <c r="H385">
        <v>72453</v>
      </c>
      <c r="I385" t="s">
        <v>3820</v>
      </c>
    </row>
    <row r="386" spans="1:9" x14ac:dyDescent="0.25">
      <c r="A386" t="s">
        <v>3817</v>
      </c>
      <c r="B386" t="s">
        <v>4720</v>
      </c>
      <c r="C386" t="s">
        <v>3821</v>
      </c>
      <c r="D386">
        <v>34.533652019999998</v>
      </c>
      <c r="E386" t="s">
        <v>3818</v>
      </c>
      <c r="F386">
        <v>117.5943875</v>
      </c>
      <c r="G386" t="s">
        <v>3819</v>
      </c>
      <c r="H386">
        <v>53631</v>
      </c>
      <c r="I386" t="s">
        <v>3820</v>
      </c>
    </row>
    <row r="387" spans="1:9" x14ac:dyDescent="0.25">
      <c r="A387" t="s">
        <v>3817</v>
      </c>
      <c r="B387" t="s">
        <v>4335</v>
      </c>
      <c r="C387" t="s">
        <v>3821</v>
      </c>
      <c r="D387">
        <v>34.861892480000002</v>
      </c>
      <c r="E387" t="s">
        <v>3818</v>
      </c>
      <c r="F387">
        <v>118.7395928</v>
      </c>
      <c r="G387" t="s">
        <v>3819</v>
      </c>
      <c r="H387">
        <v>36712</v>
      </c>
      <c r="I387" t="s">
        <v>3820</v>
      </c>
    </row>
    <row r="388" spans="1:9" x14ac:dyDescent="0.25">
      <c r="A388" t="s">
        <v>3817</v>
      </c>
      <c r="B388" t="s">
        <v>3900</v>
      </c>
      <c r="C388" t="s">
        <v>3821</v>
      </c>
      <c r="D388">
        <v>36.648506089999998</v>
      </c>
      <c r="E388" t="s">
        <v>3818</v>
      </c>
      <c r="F388">
        <v>116.6674999</v>
      </c>
      <c r="G388" t="s">
        <v>3819</v>
      </c>
      <c r="H388">
        <v>50590</v>
      </c>
      <c r="I388" t="s">
        <v>3820</v>
      </c>
    </row>
    <row r="389" spans="1:9" x14ac:dyDescent="0.25">
      <c r="A389" t="s">
        <v>3817</v>
      </c>
      <c r="B389" t="s">
        <v>3838</v>
      </c>
      <c r="C389" t="s">
        <v>3821</v>
      </c>
      <c r="D389">
        <v>37.000270190000002</v>
      </c>
      <c r="E389" t="s">
        <v>3818</v>
      </c>
      <c r="F389">
        <v>117.8081949</v>
      </c>
      <c r="G389" t="s">
        <v>3819</v>
      </c>
      <c r="H389">
        <v>36183</v>
      </c>
      <c r="I389" t="s">
        <v>3820</v>
      </c>
    </row>
    <row r="390" spans="1:9" x14ac:dyDescent="0.25">
      <c r="A390" t="s">
        <v>3817</v>
      </c>
      <c r="B390" t="s">
        <v>4451</v>
      </c>
      <c r="C390" t="s">
        <v>3821</v>
      </c>
      <c r="D390">
        <v>35.628662820000002</v>
      </c>
      <c r="E390" t="s">
        <v>3818</v>
      </c>
      <c r="F390">
        <v>118.97089080000001</v>
      </c>
      <c r="G390" t="s">
        <v>3819</v>
      </c>
      <c r="H390">
        <v>49224</v>
      </c>
      <c r="I390" t="s">
        <v>3820</v>
      </c>
    </row>
    <row r="391" spans="1:9" x14ac:dyDescent="0.25">
      <c r="A391" t="s">
        <v>3817</v>
      </c>
      <c r="B391" t="s">
        <v>4498</v>
      </c>
      <c r="C391" t="s">
        <v>3821</v>
      </c>
      <c r="D391">
        <v>36.149615959999998</v>
      </c>
      <c r="E391" t="s">
        <v>3818</v>
      </c>
      <c r="F391">
        <v>117.4108585</v>
      </c>
      <c r="G391" t="s">
        <v>3819</v>
      </c>
      <c r="H391">
        <v>30285</v>
      </c>
      <c r="I391" t="s">
        <v>3820</v>
      </c>
    </row>
    <row r="392" spans="1:9" x14ac:dyDescent="0.25">
      <c r="A392" t="s">
        <v>3817</v>
      </c>
      <c r="B392" t="s">
        <v>4550</v>
      </c>
      <c r="C392" t="s">
        <v>3821</v>
      </c>
      <c r="D392">
        <v>36.038775489999999</v>
      </c>
      <c r="E392" t="s">
        <v>3818</v>
      </c>
      <c r="F392">
        <v>119.1336546</v>
      </c>
      <c r="G392" t="s">
        <v>3819</v>
      </c>
      <c r="H392">
        <v>93228</v>
      </c>
      <c r="I392" t="s">
        <v>3820</v>
      </c>
    </row>
    <row r="393" spans="1:9" x14ac:dyDescent="0.25">
      <c r="A393" t="s">
        <v>3817</v>
      </c>
      <c r="B393" t="s">
        <v>4241</v>
      </c>
      <c r="C393" t="s">
        <v>3821</v>
      </c>
      <c r="D393">
        <v>36.647391650000003</v>
      </c>
      <c r="E393" t="s">
        <v>3818</v>
      </c>
      <c r="F393">
        <v>115.9462724</v>
      </c>
      <c r="G393" t="s">
        <v>3819</v>
      </c>
      <c r="H393">
        <v>24741</v>
      </c>
      <c r="I393" t="s">
        <v>3820</v>
      </c>
    </row>
    <row r="394" spans="1:9" x14ac:dyDescent="0.25">
      <c r="A394" t="s">
        <v>3817</v>
      </c>
      <c r="B394" t="s">
        <v>4098</v>
      </c>
      <c r="C394" t="s">
        <v>3821</v>
      </c>
      <c r="D394">
        <v>37.28916486</v>
      </c>
      <c r="E394" t="s">
        <v>3818</v>
      </c>
      <c r="F394">
        <v>117.0551141</v>
      </c>
      <c r="G394" t="s">
        <v>3819</v>
      </c>
      <c r="H394">
        <v>46225</v>
      </c>
      <c r="I394" t="s">
        <v>3820</v>
      </c>
    </row>
    <row r="395" spans="1:9" x14ac:dyDescent="0.25">
      <c r="A395" t="s">
        <v>3817</v>
      </c>
      <c r="B395" t="s">
        <v>4721</v>
      </c>
      <c r="C395" t="s">
        <v>3821</v>
      </c>
      <c r="D395">
        <v>35.19062667</v>
      </c>
      <c r="E395" t="s">
        <v>3818</v>
      </c>
      <c r="F395">
        <v>117.07442279999999</v>
      </c>
      <c r="G395" t="s">
        <v>3819</v>
      </c>
      <c r="H395">
        <v>65974</v>
      </c>
      <c r="I395" t="s">
        <v>3820</v>
      </c>
    </row>
    <row r="396" spans="1:9" x14ac:dyDescent="0.25">
      <c r="A396" t="s">
        <v>3817</v>
      </c>
      <c r="B396" t="s">
        <v>4499</v>
      </c>
      <c r="C396" t="s">
        <v>3821</v>
      </c>
      <c r="D396">
        <v>35.976347359999998</v>
      </c>
      <c r="E396" t="s">
        <v>3818</v>
      </c>
      <c r="F396">
        <v>116.5726023</v>
      </c>
      <c r="G396" t="s">
        <v>3819</v>
      </c>
      <c r="H396">
        <v>56194</v>
      </c>
      <c r="I396" t="s">
        <v>3820</v>
      </c>
    </row>
    <row r="397" spans="1:9" x14ac:dyDescent="0.25">
      <c r="A397" t="s">
        <v>3817</v>
      </c>
      <c r="B397" t="s">
        <v>4600</v>
      </c>
      <c r="C397" t="s">
        <v>3821</v>
      </c>
      <c r="D397">
        <v>37.256836829999997</v>
      </c>
      <c r="E397" t="s">
        <v>3818</v>
      </c>
      <c r="F397">
        <v>121.8511839</v>
      </c>
      <c r="G397" t="s">
        <v>3819</v>
      </c>
      <c r="H397">
        <v>29008</v>
      </c>
      <c r="I397" t="s">
        <v>3820</v>
      </c>
    </row>
    <row r="398" spans="1:9" x14ac:dyDescent="0.25">
      <c r="A398" t="s">
        <v>3817</v>
      </c>
      <c r="B398" t="s">
        <v>3839</v>
      </c>
      <c r="C398" t="s">
        <v>3821</v>
      </c>
      <c r="D398">
        <v>37.997350320000002</v>
      </c>
      <c r="E398" t="s">
        <v>3818</v>
      </c>
      <c r="F398">
        <v>117.67690469999999</v>
      </c>
      <c r="G398" t="s">
        <v>3819</v>
      </c>
      <c r="H398">
        <v>22970</v>
      </c>
      <c r="I398" t="s">
        <v>3820</v>
      </c>
    </row>
    <row r="399" spans="1:9" x14ac:dyDescent="0.25">
      <c r="A399" t="s">
        <v>3817</v>
      </c>
      <c r="B399" t="s">
        <v>4452</v>
      </c>
      <c r="C399" t="s">
        <v>3821</v>
      </c>
      <c r="D399">
        <v>35.60615636</v>
      </c>
      <c r="E399" t="s">
        <v>3818</v>
      </c>
      <c r="F399">
        <v>119.2541368</v>
      </c>
      <c r="G399" t="s">
        <v>3819</v>
      </c>
      <c r="H399">
        <v>54860</v>
      </c>
      <c r="I399" t="s">
        <v>3820</v>
      </c>
    </row>
    <row r="400" spans="1:9" x14ac:dyDescent="0.25">
      <c r="A400" t="s">
        <v>3817</v>
      </c>
      <c r="B400" t="s">
        <v>4656</v>
      </c>
      <c r="C400" t="s">
        <v>3821</v>
      </c>
      <c r="D400">
        <v>37.427077519999997</v>
      </c>
      <c r="E400" t="s">
        <v>3818</v>
      </c>
      <c r="F400">
        <v>120.0917115</v>
      </c>
      <c r="G400" t="s">
        <v>3819</v>
      </c>
      <c r="H400">
        <v>34004</v>
      </c>
      <c r="I400" t="s">
        <v>3820</v>
      </c>
    </row>
    <row r="401" spans="1:9" x14ac:dyDescent="0.25">
      <c r="A401" t="s">
        <v>3817</v>
      </c>
      <c r="B401" t="s">
        <v>4243</v>
      </c>
      <c r="C401" t="s">
        <v>3821</v>
      </c>
      <c r="D401">
        <v>35.971196749999997</v>
      </c>
      <c r="E401" t="s">
        <v>3818</v>
      </c>
      <c r="F401">
        <v>115.6879232</v>
      </c>
      <c r="G401" t="s">
        <v>3819</v>
      </c>
      <c r="H401">
        <v>28530</v>
      </c>
      <c r="I401" t="s">
        <v>3820</v>
      </c>
    </row>
    <row r="402" spans="1:9" x14ac:dyDescent="0.25">
      <c r="A402" t="s">
        <v>3817</v>
      </c>
      <c r="B402" t="s">
        <v>4551</v>
      </c>
      <c r="C402" t="s">
        <v>3821</v>
      </c>
      <c r="D402">
        <v>36.306664079999997</v>
      </c>
      <c r="E402" t="s">
        <v>3818</v>
      </c>
      <c r="F402">
        <v>119.5905092</v>
      </c>
      <c r="G402" t="s">
        <v>3819</v>
      </c>
      <c r="H402">
        <v>62917</v>
      </c>
      <c r="I402" t="s">
        <v>3820</v>
      </c>
    </row>
    <row r="403" spans="1:9" x14ac:dyDescent="0.25">
      <c r="A403" t="s">
        <v>3817</v>
      </c>
      <c r="B403" t="s">
        <v>4760</v>
      </c>
      <c r="C403" t="s">
        <v>3821</v>
      </c>
      <c r="D403">
        <v>37.061230250000001</v>
      </c>
      <c r="E403" t="s">
        <v>3818</v>
      </c>
      <c r="F403">
        <v>117.9908982</v>
      </c>
      <c r="G403" t="s">
        <v>3819</v>
      </c>
      <c r="H403">
        <v>41375</v>
      </c>
      <c r="I403" t="s">
        <v>3820</v>
      </c>
    </row>
    <row r="404" spans="1:9" x14ac:dyDescent="0.25">
      <c r="A404" t="s">
        <v>3817</v>
      </c>
      <c r="B404" t="s">
        <v>4552</v>
      </c>
      <c r="C404" t="s">
        <v>3821</v>
      </c>
      <c r="D404">
        <v>36.273959249999997</v>
      </c>
      <c r="E404" t="s">
        <v>3818</v>
      </c>
      <c r="F404">
        <v>119.334084</v>
      </c>
      <c r="G404" t="s">
        <v>3819</v>
      </c>
      <c r="H404">
        <v>126703</v>
      </c>
      <c r="I404" t="s">
        <v>3820</v>
      </c>
    </row>
    <row r="405" spans="1:9" x14ac:dyDescent="0.25">
      <c r="A405" t="s">
        <v>3817</v>
      </c>
      <c r="B405" t="s">
        <v>4761</v>
      </c>
      <c r="C405" t="s">
        <v>3821</v>
      </c>
      <c r="D405">
        <v>36.939593549999998</v>
      </c>
      <c r="E405" t="s">
        <v>3818</v>
      </c>
      <c r="F405">
        <v>118.3332623</v>
      </c>
      <c r="G405" t="s">
        <v>3819</v>
      </c>
      <c r="H405">
        <v>30935</v>
      </c>
      <c r="I405" t="s">
        <v>3820</v>
      </c>
    </row>
    <row r="406" spans="1:9" x14ac:dyDescent="0.25">
      <c r="A406" t="s">
        <v>3817</v>
      </c>
      <c r="B406" t="s">
        <v>4244</v>
      </c>
      <c r="C406" t="s">
        <v>3821</v>
      </c>
      <c r="D406">
        <v>36.844635359999998</v>
      </c>
      <c r="E406" t="s">
        <v>3818</v>
      </c>
      <c r="F406">
        <v>115.98743020000001</v>
      </c>
      <c r="G406" t="s">
        <v>3819</v>
      </c>
      <c r="H406">
        <v>50869</v>
      </c>
      <c r="I406" t="s">
        <v>3820</v>
      </c>
    </row>
    <row r="407" spans="1:9" x14ac:dyDescent="0.25">
      <c r="A407" t="s">
        <v>3817</v>
      </c>
      <c r="B407" t="s">
        <v>4418</v>
      </c>
      <c r="C407" t="s">
        <v>3821</v>
      </c>
      <c r="D407">
        <v>36.544533919999999</v>
      </c>
      <c r="E407" t="s">
        <v>3818</v>
      </c>
      <c r="F407">
        <v>120.67914089999999</v>
      </c>
      <c r="G407" t="s">
        <v>3819</v>
      </c>
      <c r="H407">
        <v>73598</v>
      </c>
      <c r="I407" t="s">
        <v>3820</v>
      </c>
    </row>
    <row r="408" spans="1:9" x14ac:dyDescent="0.25">
      <c r="A408" t="s">
        <v>3817</v>
      </c>
      <c r="B408" t="s">
        <v>6688</v>
      </c>
      <c r="C408" t="s">
        <v>3821</v>
      </c>
      <c r="D408">
        <v>37.379938719999998</v>
      </c>
      <c r="E408" t="s">
        <v>3818</v>
      </c>
      <c r="F408">
        <v>120.3025533</v>
      </c>
      <c r="G408" t="s">
        <v>3819</v>
      </c>
      <c r="H408">
        <v>37209</v>
      </c>
      <c r="I408" t="s">
        <v>3820</v>
      </c>
    </row>
    <row r="409" spans="1:9" x14ac:dyDescent="0.25">
      <c r="A409" t="s">
        <v>3817</v>
      </c>
      <c r="B409" t="s">
        <v>6689</v>
      </c>
      <c r="C409" t="s">
        <v>3821</v>
      </c>
      <c r="D409">
        <v>36.795336669999998</v>
      </c>
      <c r="E409" t="s">
        <v>3818</v>
      </c>
      <c r="F409">
        <v>118.18582050000001</v>
      </c>
      <c r="G409" t="s">
        <v>3819</v>
      </c>
      <c r="H409">
        <v>15667</v>
      </c>
      <c r="I409" t="s">
        <v>3820</v>
      </c>
    </row>
    <row r="410" spans="1:9" x14ac:dyDescent="0.25">
      <c r="A410" t="s">
        <v>3817</v>
      </c>
      <c r="B410" t="s">
        <v>4762</v>
      </c>
      <c r="C410" t="s">
        <v>3821</v>
      </c>
      <c r="D410">
        <v>36.715968400000001</v>
      </c>
      <c r="E410" t="s">
        <v>3818</v>
      </c>
      <c r="F410">
        <v>118.19194400000001</v>
      </c>
      <c r="G410" t="s">
        <v>3819</v>
      </c>
      <c r="H410">
        <v>83784</v>
      </c>
      <c r="I410" t="s">
        <v>3820</v>
      </c>
    </row>
    <row r="411" spans="1:9" x14ac:dyDescent="0.25">
      <c r="A411" t="s">
        <v>3817</v>
      </c>
      <c r="B411" t="s">
        <v>4139</v>
      </c>
      <c r="C411" t="s">
        <v>3821</v>
      </c>
      <c r="D411">
        <v>35.272065640000001</v>
      </c>
      <c r="E411" t="s">
        <v>3818</v>
      </c>
      <c r="F411">
        <v>116.4149324</v>
      </c>
      <c r="G411" t="s">
        <v>3819</v>
      </c>
      <c r="H411">
        <v>58967</v>
      </c>
      <c r="I411" t="s">
        <v>3820</v>
      </c>
    </row>
    <row r="412" spans="1:9" x14ac:dyDescent="0.25">
      <c r="A412" t="s">
        <v>3817</v>
      </c>
      <c r="B412" t="s">
        <v>4553</v>
      </c>
      <c r="C412" t="s">
        <v>3821</v>
      </c>
      <c r="D412">
        <v>36.338415529999999</v>
      </c>
      <c r="E412" t="s">
        <v>3818</v>
      </c>
      <c r="F412">
        <v>119.2490562</v>
      </c>
      <c r="G412" t="s">
        <v>3819</v>
      </c>
      <c r="H412">
        <v>39054</v>
      </c>
      <c r="I412" t="s">
        <v>3820</v>
      </c>
    </row>
    <row r="413" spans="1:9" x14ac:dyDescent="0.25">
      <c r="A413" t="s">
        <v>3817</v>
      </c>
      <c r="B413" t="s">
        <v>4140</v>
      </c>
      <c r="C413" t="s">
        <v>3821</v>
      </c>
      <c r="D413">
        <v>35.624965209999999</v>
      </c>
      <c r="E413" t="s">
        <v>3818</v>
      </c>
      <c r="F413">
        <v>117.194677</v>
      </c>
      <c r="G413" t="s">
        <v>3819</v>
      </c>
      <c r="H413">
        <v>47288</v>
      </c>
      <c r="I413" t="s">
        <v>3820</v>
      </c>
    </row>
    <row r="414" spans="1:9" x14ac:dyDescent="0.25">
      <c r="A414" t="s">
        <v>3817</v>
      </c>
      <c r="B414" t="s">
        <v>4028</v>
      </c>
      <c r="C414" t="s">
        <v>3821</v>
      </c>
      <c r="D414">
        <v>35.615536720000001</v>
      </c>
      <c r="E414" t="s">
        <v>3818</v>
      </c>
      <c r="F414">
        <v>115.65482369999999</v>
      </c>
      <c r="G414" t="s">
        <v>3819</v>
      </c>
      <c r="H414">
        <v>46597</v>
      </c>
      <c r="I414" t="s">
        <v>3820</v>
      </c>
    </row>
    <row r="415" spans="1:9" x14ac:dyDescent="0.25">
      <c r="A415" t="s">
        <v>3817</v>
      </c>
      <c r="B415" t="s">
        <v>4141</v>
      </c>
      <c r="C415" t="s">
        <v>3821</v>
      </c>
      <c r="D415">
        <v>34.977414520000004</v>
      </c>
      <c r="E415" t="s">
        <v>3818</v>
      </c>
      <c r="F415">
        <v>116.21267349999999</v>
      </c>
      <c r="G415" t="s">
        <v>3819</v>
      </c>
      <c r="H415">
        <v>58829</v>
      </c>
      <c r="I415" t="s">
        <v>3820</v>
      </c>
    </row>
    <row r="416" spans="1:9" x14ac:dyDescent="0.25">
      <c r="A416" t="s">
        <v>3817</v>
      </c>
      <c r="B416" t="s">
        <v>4722</v>
      </c>
      <c r="C416" t="s">
        <v>3821</v>
      </c>
      <c r="D416">
        <v>35.024986480000003</v>
      </c>
      <c r="E416" t="s">
        <v>3818</v>
      </c>
      <c r="F416">
        <v>116.99426099999999</v>
      </c>
      <c r="G416" t="s">
        <v>3819</v>
      </c>
      <c r="H416">
        <v>80657</v>
      </c>
      <c r="I416" t="s">
        <v>3820</v>
      </c>
    </row>
    <row r="417" spans="1:9" x14ac:dyDescent="0.25">
      <c r="A417" t="s">
        <v>3817</v>
      </c>
      <c r="B417" t="s">
        <v>4554</v>
      </c>
      <c r="C417" t="s">
        <v>3821</v>
      </c>
      <c r="D417">
        <v>36.773120259999999</v>
      </c>
      <c r="E417" t="s">
        <v>3818</v>
      </c>
      <c r="F417">
        <v>118.7660087</v>
      </c>
      <c r="G417" t="s">
        <v>3819</v>
      </c>
      <c r="H417">
        <v>52144</v>
      </c>
      <c r="I417" t="s">
        <v>3820</v>
      </c>
    </row>
    <row r="418" spans="1:9" x14ac:dyDescent="0.25">
      <c r="A418" t="s">
        <v>3817</v>
      </c>
      <c r="B418" t="s">
        <v>4029</v>
      </c>
      <c r="C418" t="s">
        <v>3821</v>
      </c>
      <c r="D418">
        <v>35.649645200000002</v>
      </c>
      <c r="E418" t="s">
        <v>3818</v>
      </c>
      <c r="F418">
        <v>115.4805336</v>
      </c>
      <c r="G418" t="s">
        <v>3819</v>
      </c>
      <c r="H418">
        <v>55028</v>
      </c>
      <c r="I418" t="s">
        <v>3820</v>
      </c>
    </row>
    <row r="419" spans="1:9" x14ac:dyDescent="0.25">
      <c r="A419" t="s">
        <v>3817</v>
      </c>
      <c r="B419" t="s">
        <v>4419</v>
      </c>
      <c r="C419" t="s">
        <v>3821</v>
      </c>
      <c r="D419">
        <v>36.949186949999998</v>
      </c>
      <c r="E419" t="s">
        <v>3818</v>
      </c>
      <c r="F419">
        <v>120.17257119999999</v>
      </c>
      <c r="G419" t="s">
        <v>3819</v>
      </c>
      <c r="H419">
        <v>97604</v>
      </c>
      <c r="I419" t="s">
        <v>3820</v>
      </c>
    </row>
    <row r="420" spans="1:9" x14ac:dyDescent="0.25">
      <c r="A420" t="s">
        <v>3817</v>
      </c>
      <c r="B420" t="s">
        <v>3840</v>
      </c>
      <c r="C420" t="s">
        <v>3821</v>
      </c>
      <c r="D420">
        <v>37.041354720000001</v>
      </c>
      <c r="E420" t="s">
        <v>3818</v>
      </c>
      <c r="F420">
        <v>117.60864479999999</v>
      </c>
      <c r="G420" t="s">
        <v>3819</v>
      </c>
      <c r="H420">
        <v>38921</v>
      </c>
      <c r="I420" t="s">
        <v>3820</v>
      </c>
    </row>
    <row r="421" spans="1:9" x14ac:dyDescent="0.25">
      <c r="A421" t="s">
        <v>3817</v>
      </c>
      <c r="B421" t="s">
        <v>4555</v>
      </c>
      <c r="C421" t="s">
        <v>3821</v>
      </c>
      <c r="D421">
        <v>36.182204169999999</v>
      </c>
      <c r="E421" t="s">
        <v>3818</v>
      </c>
      <c r="F421">
        <v>118.4877086</v>
      </c>
      <c r="G421" t="s">
        <v>3819</v>
      </c>
      <c r="H421">
        <v>44420</v>
      </c>
      <c r="I421" t="s">
        <v>3820</v>
      </c>
    </row>
    <row r="422" spans="1:9" x14ac:dyDescent="0.25">
      <c r="A422" t="s">
        <v>3817</v>
      </c>
      <c r="B422" t="s">
        <v>3901</v>
      </c>
      <c r="C422" t="s">
        <v>3821</v>
      </c>
      <c r="D422">
        <v>36.706992200000002</v>
      </c>
      <c r="E422" t="s">
        <v>3818</v>
      </c>
      <c r="F422">
        <v>116.48375040000001</v>
      </c>
      <c r="G422" t="s">
        <v>3819</v>
      </c>
      <c r="H422">
        <v>45435</v>
      </c>
      <c r="I422" t="s">
        <v>3820</v>
      </c>
    </row>
    <row r="423" spans="1:9" x14ac:dyDescent="0.25">
      <c r="A423" t="s">
        <v>3817</v>
      </c>
      <c r="B423" t="s">
        <v>4453</v>
      </c>
      <c r="C423" t="s">
        <v>3821</v>
      </c>
      <c r="D423">
        <v>35.284401770000002</v>
      </c>
      <c r="E423" t="s">
        <v>3818</v>
      </c>
      <c r="F423">
        <v>119.23216410000001</v>
      </c>
      <c r="G423" t="s">
        <v>3819</v>
      </c>
      <c r="H423">
        <v>68872</v>
      </c>
      <c r="I423" t="s">
        <v>3820</v>
      </c>
    </row>
    <row r="424" spans="1:9" x14ac:dyDescent="0.25">
      <c r="A424" t="s">
        <v>3817</v>
      </c>
      <c r="B424" t="s">
        <v>4657</v>
      </c>
      <c r="C424" t="s">
        <v>3821</v>
      </c>
      <c r="D424">
        <v>37.167520199999998</v>
      </c>
      <c r="E424" t="s">
        <v>3818</v>
      </c>
      <c r="F424">
        <v>121.6859853</v>
      </c>
      <c r="G424" t="s">
        <v>3819</v>
      </c>
      <c r="H424">
        <v>17393</v>
      </c>
      <c r="I424" t="s">
        <v>3820</v>
      </c>
    </row>
    <row r="425" spans="1:9" x14ac:dyDescent="0.25">
      <c r="A425" t="s">
        <v>3817</v>
      </c>
      <c r="B425" t="s">
        <v>4142</v>
      </c>
      <c r="C425" t="s">
        <v>3821</v>
      </c>
      <c r="D425">
        <v>35.572626800000002</v>
      </c>
      <c r="E425" t="s">
        <v>3818</v>
      </c>
      <c r="F425">
        <v>116.5109934</v>
      </c>
      <c r="G425" t="s">
        <v>3819</v>
      </c>
      <c r="H425">
        <v>69191</v>
      </c>
      <c r="I425" t="s">
        <v>3820</v>
      </c>
    </row>
    <row r="426" spans="1:9" x14ac:dyDescent="0.25">
      <c r="A426" t="s">
        <v>3817</v>
      </c>
      <c r="B426" t="s">
        <v>4245</v>
      </c>
      <c r="C426" t="s">
        <v>3821</v>
      </c>
      <c r="D426">
        <v>36.760857510000001</v>
      </c>
      <c r="E426" t="s">
        <v>3818</v>
      </c>
      <c r="F426">
        <v>115.9401508</v>
      </c>
      <c r="G426" t="s">
        <v>3819</v>
      </c>
      <c r="H426">
        <v>57636</v>
      </c>
      <c r="I426" t="s">
        <v>3820</v>
      </c>
    </row>
    <row r="427" spans="1:9" x14ac:dyDescent="0.25">
      <c r="A427" t="s">
        <v>3817</v>
      </c>
      <c r="B427" t="s">
        <v>4556</v>
      </c>
      <c r="C427" t="s">
        <v>3821</v>
      </c>
      <c r="D427">
        <v>36.388944809999998</v>
      </c>
      <c r="E427" t="s">
        <v>3818</v>
      </c>
      <c r="F427">
        <v>119.57569959999999</v>
      </c>
      <c r="G427" t="s">
        <v>3819</v>
      </c>
      <c r="H427">
        <v>75669</v>
      </c>
      <c r="I427" t="s">
        <v>3820</v>
      </c>
    </row>
    <row r="428" spans="1:9" x14ac:dyDescent="0.25">
      <c r="A428" t="s">
        <v>3817</v>
      </c>
      <c r="B428" t="s">
        <v>4143</v>
      </c>
      <c r="C428" t="s">
        <v>3821</v>
      </c>
      <c r="D428">
        <v>35.254823979999998</v>
      </c>
      <c r="E428" t="s">
        <v>3818</v>
      </c>
      <c r="F428">
        <v>117.0667827</v>
      </c>
      <c r="G428" t="s">
        <v>3819</v>
      </c>
      <c r="H428">
        <v>31460</v>
      </c>
      <c r="I428" t="s">
        <v>3820</v>
      </c>
    </row>
    <row r="429" spans="1:9" x14ac:dyDescent="0.25">
      <c r="A429" t="s">
        <v>3817</v>
      </c>
      <c r="B429" t="s">
        <v>3902</v>
      </c>
      <c r="C429" t="s">
        <v>3821</v>
      </c>
      <c r="D429">
        <v>37.613111609999997</v>
      </c>
      <c r="E429" t="s">
        <v>3818</v>
      </c>
      <c r="F429">
        <v>117.0193115</v>
      </c>
      <c r="G429" t="s">
        <v>3819</v>
      </c>
      <c r="H429">
        <v>48186</v>
      </c>
      <c r="I429" t="s">
        <v>3820</v>
      </c>
    </row>
    <row r="430" spans="1:9" x14ac:dyDescent="0.25">
      <c r="A430" t="s">
        <v>3817</v>
      </c>
      <c r="B430" t="s">
        <v>4099</v>
      </c>
      <c r="C430" t="s">
        <v>3821</v>
      </c>
      <c r="D430">
        <v>36.166040850000002</v>
      </c>
      <c r="E430" t="s">
        <v>3818</v>
      </c>
      <c r="F430">
        <v>116.42565260000001</v>
      </c>
      <c r="G430" t="s">
        <v>3819</v>
      </c>
      <c r="H430">
        <v>33117</v>
      </c>
      <c r="I430" t="s">
        <v>3820</v>
      </c>
    </row>
    <row r="431" spans="1:9" x14ac:dyDescent="0.25">
      <c r="A431" t="s">
        <v>3817</v>
      </c>
      <c r="B431" t="s">
        <v>4454</v>
      </c>
      <c r="C431" t="s">
        <v>3821</v>
      </c>
      <c r="D431">
        <v>35.688450940000003</v>
      </c>
      <c r="E431" t="s">
        <v>3818</v>
      </c>
      <c r="F431">
        <v>119.43657260000001</v>
      </c>
      <c r="G431" t="s">
        <v>3819</v>
      </c>
      <c r="H431">
        <v>25763</v>
      </c>
      <c r="I431" t="s">
        <v>3820</v>
      </c>
    </row>
    <row r="432" spans="1:9" x14ac:dyDescent="0.25">
      <c r="A432" t="s">
        <v>3817</v>
      </c>
      <c r="B432" t="s">
        <v>4336</v>
      </c>
      <c r="C432" t="s">
        <v>3821</v>
      </c>
      <c r="D432">
        <v>35.050239689999998</v>
      </c>
      <c r="E432" t="s">
        <v>3818</v>
      </c>
      <c r="F432">
        <v>118.0664494</v>
      </c>
      <c r="G432" t="s">
        <v>3819</v>
      </c>
      <c r="H432">
        <v>33200</v>
      </c>
      <c r="I432" t="s">
        <v>3820</v>
      </c>
    </row>
    <row r="433" spans="1:9" x14ac:dyDescent="0.25">
      <c r="A433" t="s">
        <v>3817</v>
      </c>
      <c r="B433" t="s">
        <v>4763</v>
      </c>
      <c r="C433" t="s">
        <v>3821</v>
      </c>
      <c r="D433">
        <v>36.600466580000003</v>
      </c>
      <c r="E433" t="s">
        <v>3818</v>
      </c>
      <c r="F433">
        <v>117.8636901</v>
      </c>
      <c r="G433" t="s">
        <v>3819</v>
      </c>
      <c r="H433">
        <v>74287</v>
      </c>
      <c r="I433" t="s">
        <v>3820</v>
      </c>
    </row>
    <row r="434" spans="1:9" x14ac:dyDescent="0.25">
      <c r="A434" t="s">
        <v>3817</v>
      </c>
      <c r="B434" t="s">
        <v>4030</v>
      </c>
      <c r="C434" t="s">
        <v>3821</v>
      </c>
      <c r="D434">
        <v>34.767142560000003</v>
      </c>
      <c r="E434" t="s">
        <v>3818</v>
      </c>
      <c r="F434">
        <v>116.00961409999999</v>
      </c>
      <c r="G434" t="s">
        <v>3819</v>
      </c>
      <c r="H434">
        <v>47402</v>
      </c>
      <c r="I434" t="s">
        <v>3820</v>
      </c>
    </row>
    <row r="435" spans="1:9" x14ac:dyDescent="0.25">
      <c r="A435" t="s">
        <v>3817</v>
      </c>
      <c r="B435" t="s">
        <v>4658</v>
      </c>
      <c r="C435" t="s">
        <v>3821</v>
      </c>
      <c r="D435">
        <v>37.611763910000001</v>
      </c>
      <c r="E435" t="s">
        <v>3818</v>
      </c>
      <c r="F435">
        <v>120.60265649999999</v>
      </c>
      <c r="G435" t="s">
        <v>3819</v>
      </c>
      <c r="H435">
        <v>42643</v>
      </c>
      <c r="I435" t="s">
        <v>3820</v>
      </c>
    </row>
    <row r="436" spans="1:9" x14ac:dyDescent="0.25">
      <c r="A436" t="s">
        <v>3817</v>
      </c>
      <c r="B436" t="s">
        <v>4420</v>
      </c>
      <c r="C436" t="s">
        <v>3821</v>
      </c>
      <c r="D436">
        <v>35.677664630000002</v>
      </c>
      <c r="E436" t="s">
        <v>3818</v>
      </c>
      <c r="F436">
        <v>119.8739917</v>
      </c>
      <c r="G436" t="s">
        <v>3819</v>
      </c>
      <c r="H436">
        <v>35743</v>
      </c>
      <c r="I436" t="s">
        <v>3820</v>
      </c>
    </row>
    <row r="437" spans="1:9" x14ac:dyDescent="0.25">
      <c r="A437" t="s">
        <v>3817</v>
      </c>
      <c r="B437" t="s">
        <v>4337</v>
      </c>
      <c r="C437" t="s">
        <v>3821</v>
      </c>
      <c r="D437">
        <v>34.720760810000002</v>
      </c>
      <c r="E437" t="s">
        <v>3818</v>
      </c>
      <c r="F437">
        <v>117.8714971</v>
      </c>
      <c r="G437" t="s">
        <v>3819</v>
      </c>
      <c r="H437">
        <v>97103</v>
      </c>
      <c r="I437" t="s">
        <v>3820</v>
      </c>
    </row>
    <row r="438" spans="1:9" x14ac:dyDescent="0.25">
      <c r="A438" t="s">
        <v>3817</v>
      </c>
      <c r="B438" t="s">
        <v>3903</v>
      </c>
      <c r="C438" t="s">
        <v>3821</v>
      </c>
      <c r="D438">
        <v>37.122008399999999</v>
      </c>
      <c r="E438" t="s">
        <v>3818</v>
      </c>
      <c r="F438">
        <v>115.91453199999999</v>
      </c>
      <c r="G438" t="s">
        <v>3819</v>
      </c>
      <c r="H438">
        <v>60467</v>
      </c>
      <c r="I438" t="s">
        <v>3820</v>
      </c>
    </row>
    <row r="439" spans="1:9" x14ac:dyDescent="0.25">
      <c r="A439" t="s">
        <v>3817</v>
      </c>
      <c r="B439" t="s">
        <v>3841</v>
      </c>
      <c r="C439" t="s">
        <v>3821</v>
      </c>
      <c r="D439">
        <v>37.658873470000003</v>
      </c>
      <c r="E439" t="s">
        <v>3818</v>
      </c>
      <c r="F439">
        <v>117.6818643</v>
      </c>
      <c r="G439" t="s">
        <v>3819</v>
      </c>
      <c r="H439">
        <v>42011</v>
      </c>
      <c r="I439" t="s">
        <v>3820</v>
      </c>
    </row>
    <row r="440" spans="1:9" x14ac:dyDescent="0.25">
      <c r="A440" t="s">
        <v>3817</v>
      </c>
      <c r="B440" t="s">
        <v>4500</v>
      </c>
      <c r="C440" t="s">
        <v>3821</v>
      </c>
      <c r="D440">
        <v>35.9878085</v>
      </c>
      <c r="E440" t="s">
        <v>3818</v>
      </c>
      <c r="F440">
        <v>116.2749446</v>
      </c>
      <c r="G440" t="s">
        <v>3819</v>
      </c>
      <c r="H440">
        <v>60800</v>
      </c>
      <c r="I440" t="s">
        <v>3820</v>
      </c>
    </row>
    <row r="441" spans="1:9" x14ac:dyDescent="0.25">
      <c r="A441" t="s">
        <v>3817</v>
      </c>
      <c r="B441" t="s">
        <v>4338</v>
      </c>
      <c r="C441" t="s">
        <v>3821</v>
      </c>
      <c r="D441">
        <v>35.28415888</v>
      </c>
      <c r="E441" t="s">
        <v>3818</v>
      </c>
      <c r="F441">
        <v>118.9290871</v>
      </c>
      <c r="G441" t="s">
        <v>3819</v>
      </c>
      <c r="H441">
        <v>48504</v>
      </c>
      <c r="I441" t="s">
        <v>3820</v>
      </c>
    </row>
    <row r="442" spans="1:9" x14ac:dyDescent="0.25">
      <c r="A442" t="s">
        <v>3817</v>
      </c>
      <c r="B442" t="s">
        <v>4144</v>
      </c>
      <c r="C442" t="s">
        <v>3821</v>
      </c>
      <c r="D442">
        <v>35.528927340000003</v>
      </c>
      <c r="E442" t="s">
        <v>3818</v>
      </c>
      <c r="F442">
        <v>116.15919</v>
      </c>
      <c r="G442" t="s">
        <v>3819</v>
      </c>
      <c r="H442">
        <v>38458</v>
      </c>
      <c r="I442" t="s">
        <v>3820</v>
      </c>
    </row>
    <row r="443" spans="1:9" x14ac:dyDescent="0.25">
      <c r="A443" t="s">
        <v>3817</v>
      </c>
      <c r="B443" t="s">
        <v>4145</v>
      </c>
      <c r="C443" t="s">
        <v>3821</v>
      </c>
      <c r="D443">
        <v>34.953647670000002</v>
      </c>
      <c r="E443" t="s">
        <v>3818</v>
      </c>
      <c r="F443">
        <v>116.74995610000001</v>
      </c>
      <c r="G443" t="s">
        <v>3819</v>
      </c>
      <c r="H443">
        <v>24593</v>
      </c>
      <c r="I443" t="s">
        <v>3820</v>
      </c>
    </row>
    <row r="444" spans="1:9" x14ac:dyDescent="0.25">
      <c r="A444" t="s">
        <v>3817</v>
      </c>
      <c r="B444" t="s">
        <v>4246</v>
      </c>
      <c r="C444" t="s">
        <v>3821</v>
      </c>
      <c r="D444">
        <v>36.83007422</v>
      </c>
      <c r="E444" t="s">
        <v>3818</v>
      </c>
      <c r="F444">
        <v>115.8639356</v>
      </c>
      <c r="G444" t="s">
        <v>3819</v>
      </c>
      <c r="H444">
        <v>40589</v>
      </c>
      <c r="I444" t="s">
        <v>3820</v>
      </c>
    </row>
    <row r="445" spans="1:9" x14ac:dyDescent="0.25">
      <c r="A445" t="s">
        <v>3817</v>
      </c>
      <c r="B445" t="s">
        <v>3904</v>
      </c>
      <c r="C445" t="s">
        <v>3821</v>
      </c>
      <c r="D445">
        <v>37.074533270000003</v>
      </c>
      <c r="E445" t="s">
        <v>3818</v>
      </c>
      <c r="F445">
        <v>116.20010259999999</v>
      </c>
      <c r="G445" t="s">
        <v>3819</v>
      </c>
      <c r="H445">
        <v>37630</v>
      </c>
      <c r="I445" t="s">
        <v>3820</v>
      </c>
    </row>
    <row r="446" spans="1:9" x14ac:dyDescent="0.25">
      <c r="A446" t="s">
        <v>3817</v>
      </c>
      <c r="B446" t="s">
        <v>4247</v>
      </c>
      <c r="C446" t="s">
        <v>3821</v>
      </c>
      <c r="D446">
        <v>36.466421879999999</v>
      </c>
      <c r="E446" t="s">
        <v>3818</v>
      </c>
      <c r="F446">
        <v>116.28244239999999</v>
      </c>
      <c r="G446" t="s">
        <v>3819</v>
      </c>
      <c r="H446">
        <v>48112</v>
      </c>
      <c r="I446" t="s">
        <v>3820</v>
      </c>
    </row>
    <row r="447" spans="1:9" x14ac:dyDescent="0.25">
      <c r="A447" t="s">
        <v>3817</v>
      </c>
      <c r="B447" t="s">
        <v>4339</v>
      </c>
      <c r="C447" t="s">
        <v>3821</v>
      </c>
      <c r="D447">
        <v>35.668033729999998</v>
      </c>
      <c r="E447" t="s">
        <v>3818</v>
      </c>
      <c r="F447">
        <v>117.8332863</v>
      </c>
      <c r="G447" t="s">
        <v>3819</v>
      </c>
      <c r="H447">
        <v>42524</v>
      </c>
      <c r="I447" t="s">
        <v>3820</v>
      </c>
    </row>
    <row r="448" spans="1:9" x14ac:dyDescent="0.25">
      <c r="A448" t="s">
        <v>3817</v>
      </c>
      <c r="B448" t="s">
        <v>4146</v>
      </c>
      <c r="C448" t="s">
        <v>3821</v>
      </c>
      <c r="D448">
        <v>35.582930330000003</v>
      </c>
      <c r="E448" t="s">
        <v>3818</v>
      </c>
      <c r="F448">
        <v>116.23776030000001</v>
      </c>
      <c r="G448" t="s">
        <v>3819</v>
      </c>
      <c r="H448">
        <v>64944</v>
      </c>
      <c r="I448" t="s">
        <v>3820</v>
      </c>
    </row>
    <row r="449" spans="1:9" x14ac:dyDescent="0.25">
      <c r="A449" t="s">
        <v>3817</v>
      </c>
      <c r="B449" t="s">
        <v>4147</v>
      </c>
      <c r="C449" t="s">
        <v>3821</v>
      </c>
      <c r="D449">
        <v>35.134293730000003</v>
      </c>
      <c r="E449" t="s">
        <v>3818</v>
      </c>
      <c r="F449">
        <v>116.7608323</v>
      </c>
      <c r="G449" t="s">
        <v>3819</v>
      </c>
      <c r="H449">
        <v>60258</v>
      </c>
      <c r="I449" t="s">
        <v>3820</v>
      </c>
    </row>
    <row r="450" spans="1:9" x14ac:dyDescent="0.25">
      <c r="A450" t="s">
        <v>3817</v>
      </c>
      <c r="B450" t="s">
        <v>4248</v>
      </c>
      <c r="C450" t="s">
        <v>3821</v>
      </c>
      <c r="D450">
        <v>36.960552139999997</v>
      </c>
      <c r="E450" t="s">
        <v>3818</v>
      </c>
      <c r="F450">
        <v>116.2379658</v>
      </c>
      <c r="G450" t="s">
        <v>3819</v>
      </c>
      <c r="H450">
        <v>36639</v>
      </c>
      <c r="I450" t="s">
        <v>3820</v>
      </c>
    </row>
    <row r="451" spans="1:9" x14ac:dyDescent="0.25">
      <c r="A451" t="s">
        <v>3817</v>
      </c>
      <c r="B451" t="s">
        <v>4031</v>
      </c>
      <c r="C451" t="s">
        <v>3821</v>
      </c>
      <c r="D451">
        <v>34.61558205</v>
      </c>
      <c r="E451" t="s">
        <v>3818</v>
      </c>
      <c r="F451">
        <v>115.5785832</v>
      </c>
      <c r="G451" t="s">
        <v>3819</v>
      </c>
      <c r="H451">
        <v>38240</v>
      </c>
      <c r="I451" t="s">
        <v>3820</v>
      </c>
    </row>
    <row r="452" spans="1:9" x14ac:dyDescent="0.25">
      <c r="A452" t="s">
        <v>3817</v>
      </c>
      <c r="B452" t="s">
        <v>3905</v>
      </c>
      <c r="C452" t="s">
        <v>3821</v>
      </c>
      <c r="D452">
        <v>37.032930110000002</v>
      </c>
      <c r="E452" t="s">
        <v>3818</v>
      </c>
      <c r="F452">
        <v>116.6675044</v>
      </c>
      <c r="G452" t="s">
        <v>3819</v>
      </c>
      <c r="H452">
        <v>40147</v>
      </c>
      <c r="I452" t="s">
        <v>3820</v>
      </c>
    </row>
    <row r="453" spans="1:9" x14ac:dyDescent="0.25">
      <c r="A453" t="s">
        <v>3817</v>
      </c>
      <c r="B453" t="s">
        <v>4340</v>
      </c>
      <c r="C453" t="s">
        <v>3821</v>
      </c>
      <c r="D453">
        <v>35.145056449999998</v>
      </c>
      <c r="E453" t="s">
        <v>3818</v>
      </c>
      <c r="F453">
        <v>117.7424183</v>
      </c>
      <c r="G453" t="s">
        <v>3819</v>
      </c>
      <c r="H453">
        <v>79786</v>
      </c>
      <c r="I453" t="s">
        <v>3820</v>
      </c>
    </row>
    <row r="454" spans="1:9" x14ac:dyDescent="0.25">
      <c r="A454" t="s">
        <v>3817</v>
      </c>
      <c r="B454" t="s">
        <v>4249</v>
      </c>
      <c r="C454" t="s">
        <v>3821</v>
      </c>
      <c r="D454">
        <v>36.589109669999999</v>
      </c>
      <c r="E454" t="s">
        <v>3818</v>
      </c>
      <c r="F454">
        <v>115.836313</v>
      </c>
      <c r="G454" t="s">
        <v>3819</v>
      </c>
      <c r="H454">
        <v>62061</v>
      </c>
      <c r="I454" t="s">
        <v>3820</v>
      </c>
    </row>
    <row r="455" spans="1:9" x14ac:dyDescent="0.25">
      <c r="A455" t="s">
        <v>3817</v>
      </c>
      <c r="B455" t="s">
        <v>4250</v>
      </c>
      <c r="C455" t="s">
        <v>3821</v>
      </c>
      <c r="D455">
        <v>36.404529400000001</v>
      </c>
      <c r="E455" t="s">
        <v>3818</v>
      </c>
      <c r="F455">
        <v>115.4542368</v>
      </c>
      <c r="G455" t="s">
        <v>3819</v>
      </c>
      <c r="H455">
        <v>32237</v>
      </c>
      <c r="I455" t="s">
        <v>3820</v>
      </c>
    </row>
    <row r="456" spans="1:9" x14ac:dyDescent="0.25">
      <c r="A456" t="s">
        <v>3817</v>
      </c>
      <c r="B456" t="s">
        <v>4501</v>
      </c>
      <c r="C456" t="s">
        <v>3821</v>
      </c>
      <c r="D456">
        <v>35.960065659999998</v>
      </c>
      <c r="E456" t="s">
        <v>3818</v>
      </c>
      <c r="F456">
        <v>117.2672252</v>
      </c>
      <c r="G456" t="s">
        <v>3819</v>
      </c>
      <c r="H456">
        <v>69986</v>
      </c>
      <c r="I456" t="s">
        <v>3820</v>
      </c>
    </row>
    <row r="457" spans="1:9" x14ac:dyDescent="0.25">
      <c r="A457" t="s">
        <v>3817</v>
      </c>
      <c r="B457" t="s">
        <v>4421</v>
      </c>
      <c r="C457" t="s">
        <v>3821</v>
      </c>
      <c r="D457">
        <v>36.621775599999999</v>
      </c>
      <c r="E457" t="s">
        <v>3818</v>
      </c>
      <c r="F457">
        <v>119.8968263</v>
      </c>
      <c r="G457" t="s">
        <v>3819</v>
      </c>
      <c r="H457">
        <v>84306</v>
      </c>
      <c r="I457" t="s">
        <v>3820</v>
      </c>
    </row>
    <row r="458" spans="1:9" x14ac:dyDescent="0.25">
      <c r="A458" t="s">
        <v>3817</v>
      </c>
      <c r="B458" t="s">
        <v>4422</v>
      </c>
      <c r="C458" t="s">
        <v>3821</v>
      </c>
      <c r="D458">
        <v>36.088816979999997</v>
      </c>
      <c r="E458" t="s">
        <v>3818</v>
      </c>
      <c r="F458">
        <v>119.7945977</v>
      </c>
      <c r="G458" t="s">
        <v>3819</v>
      </c>
      <c r="H458">
        <v>55140</v>
      </c>
      <c r="I458" t="s">
        <v>3820</v>
      </c>
    </row>
    <row r="459" spans="1:9" x14ac:dyDescent="0.25">
      <c r="A459" t="s">
        <v>3817</v>
      </c>
      <c r="B459" t="s">
        <v>4032</v>
      </c>
      <c r="C459" t="s">
        <v>3821</v>
      </c>
      <c r="D459">
        <v>35.403848320000002</v>
      </c>
      <c r="E459" t="s">
        <v>3818</v>
      </c>
      <c r="F459">
        <v>115.2594474</v>
      </c>
      <c r="G459" t="s">
        <v>3819</v>
      </c>
      <c r="H459">
        <v>52868</v>
      </c>
      <c r="I459" t="s">
        <v>3820</v>
      </c>
    </row>
    <row r="460" spans="1:9" x14ac:dyDescent="0.25">
      <c r="A460" t="s">
        <v>3817</v>
      </c>
      <c r="B460" t="s">
        <v>4601</v>
      </c>
      <c r="C460" t="s">
        <v>3821</v>
      </c>
      <c r="D460">
        <v>37.256099859999999</v>
      </c>
      <c r="E460" t="s">
        <v>3818</v>
      </c>
      <c r="F460">
        <v>122.5376033</v>
      </c>
      <c r="G460" t="s">
        <v>3819</v>
      </c>
      <c r="H460">
        <v>42137</v>
      </c>
      <c r="I460" t="s">
        <v>3820</v>
      </c>
    </row>
    <row r="461" spans="1:9" x14ac:dyDescent="0.25">
      <c r="A461" t="s">
        <v>3817</v>
      </c>
      <c r="B461" t="s">
        <v>4148</v>
      </c>
      <c r="C461" t="s">
        <v>3821</v>
      </c>
      <c r="D461">
        <v>35.00328348</v>
      </c>
      <c r="E461" t="s">
        <v>3818</v>
      </c>
      <c r="F461">
        <v>116.4609327</v>
      </c>
      <c r="G461" t="s">
        <v>3819</v>
      </c>
      <c r="H461">
        <v>37330</v>
      </c>
      <c r="I461" t="s">
        <v>3820</v>
      </c>
    </row>
    <row r="462" spans="1:9" x14ac:dyDescent="0.25">
      <c r="A462" t="s">
        <v>3817</v>
      </c>
      <c r="B462" t="s">
        <v>4423</v>
      </c>
      <c r="C462" t="s">
        <v>3821</v>
      </c>
      <c r="D462">
        <v>36.357016559999998</v>
      </c>
      <c r="E462" t="s">
        <v>3818</v>
      </c>
      <c r="F462">
        <v>120.1507256</v>
      </c>
      <c r="G462" t="s">
        <v>3819</v>
      </c>
      <c r="H462">
        <v>65714</v>
      </c>
      <c r="I462" t="s">
        <v>3820</v>
      </c>
    </row>
    <row r="463" spans="1:9" x14ac:dyDescent="0.25">
      <c r="A463" t="s">
        <v>3817</v>
      </c>
      <c r="B463" t="s">
        <v>4341</v>
      </c>
      <c r="C463" t="s">
        <v>3821</v>
      </c>
      <c r="D463">
        <v>35.294175840000001</v>
      </c>
      <c r="E463" t="s">
        <v>3818</v>
      </c>
      <c r="F463">
        <v>118.4088294</v>
      </c>
      <c r="G463" t="s">
        <v>3819</v>
      </c>
      <c r="H463">
        <v>42035</v>
      </c>
      <c r="I463" t="s">
        <v>3820</v>
      </c>
    </row>
    <row r="464" spans="1:9" x14ac:dyDescent="0.25">
      <c r="A464" t="s">
        <v>3817</v>
      </c>
      <c r="B464" t="s">
        <v>3906</v>
      </c>
      <c r="C464" t="s">
        <v>3821</v>
      </c>
      <c r="D464">
        <v>37.358999939999997</v>
      </c>
      <c r="E464" t="s">
        <v>3818</v>
      </c>
      <c r="F464">
        <v>116.9554132</v>
      </c>
      <c r="G464" t="s">
        <v>3819</v>
      </c>
      <c r="H464">
        <v>25574</v>
      </c>
      <c r="I464" t="s">
        <v>3820</v>
      </c>
    </row>
    <row r="465" spans="1:9" x14ac:dyDescent="0.25">
      <c r="A465" t="s">
        <v>3817</v>
      </c>
      <c r="B465" t="s">
        <v>4034</v>
      </c>
      <c r="C465" t="s">
        <v>3821</v>
      </c>
      <c r="D465">
        <v>35.79387114</v>
      </c>
      <c r="E465" t="s">
        <v>3818</v>
      </c>
      <c r="F465">
        <v>115.74790419999999</v>
      </c>
      <c r="G465" t="s">
        <v>3819</v>
      </c>
      <c r="H465">
        <v>45596</v>
      </c>
      <c r="I465" t="s">
        <v>3820</v>
      </c>
    </row>
    <row r="466" spans="1:9" x14ac:dyDescent="0.25">
      <c r="A466" t="s">
        <v>3817</v>
      </c>
      <c r="B466" t="s">
        <v>3907</v>
      </c>
      <c r="C466" t="s">
        <v>3821</v>
      </c>
      <c r="D466">
        <v>37.145045500000002</v>
      </c>
      <c r="E466" t="s">
        <v>3818</v>
      </c>
      <c r="F466">
        <v>115.99910300000001</v>
      </c>
      <c r="G466" t="s">
        <v>3819</v>
      </c>
      <c r="H466">
        <v>27263</v>
      </c>
      <c r="I466" t="s">
        <v>3820</v>
      </c>
    </row>
    <row r="467" spans="1:9" x14ac:dyDescent="0.25">
      <c r="A467" t="s">
        <v>3817</v>
      </c>
      <c r="B467" t="s">
        <v>4033</v>
      </c>
      <c r="C467" t="s">
        <v>3821</v>
      </c>
      <c r="D467">
        <v>35.698319840000003</v>
      </c>
      <c r="E467" t="s">
        <v>3818</v>
      </c>
      <c r="F467">
        <v>115.55316639999999</v>
      </c>
      <c r="G467" t="s">
        <v>3819</v>
      </c>
      <c r="H467">
        <v>24589</v>
      </c>
      <c r="I467" t="s">
        <v>3820</v>
      </c>
    </row>
    <row r="468" spans="1:9" x14ac:dyDescent="0.25">
      <c r="A468" t="s">
        <v>3817</v>
      </c>
      <c r="B468" t="s">
        <v>3842</v>
      </c>
      <c r="C468" t="s">
        <v>3821</v>
      </c>
      <c r="D468">
        <v>36.734510720000003</v>
      </c>
      <c r="E468" t="s">
        <v>3818</v>
      </c>
      <c r="F468">
        <v>117.77461719999999</v>
      </c>
      <c r="G468" t="s">
        <v>3819</v>
      </c>
      <c r="H468">
        <v>28802</v>
      </c>
      <c r="I468" t="s">
        <v>3820</v>
      </c>
    </row>
    <row r="469" spans="1:9" x14ac:dyDescent="0.25">
      <c r="A469" t="s">
        <v>3817</v>
      </c>
      <c r="B469" t="s">
        <v>4149</v>
      </c>
      <c r="C469" t="s">
        <v>3821</v>
      </c>
      <c r="D469">
        <v>35.530875649999999</v>
      </c>
      <c r="E469" t="s">
        <v>3818</v>
      </c>
      <c r="F469">
        <v>116.9121</v>
      </c>
      <c r="G469" t="s">
        <v>3819</v>
      </c>
      <c r="H469">
        <v>60259</v>
      </c>
      <c r="I469" t="s">
        <v>3820</v>
      </c>
    </row>
    <row r="470" spans="1:9" x14ac:dyDescent="0.25">
      <c r="A470" t="s">
        <v>3817</v>
      </c>
      <c r="B470" t="s">
        <v>4659</v>
      </c>
      <c r="C470" t="s">
        <v>3821</v>
      </c>
      <c r="D470">
        <v>37.424743540000001</v>
      </c>
      <c r="E470" t="s">
        <v>3818</v>
      </c>
      <c r="F470">
        <v>120.48674870000001</v>
      </c>
      <c r="G470" t="s">
        <v>3819</v>
      </c>
      <c r="H470">
        <v>27888</v>
      </c>
      <c r="I470" t="s">
        <v>3820</v>
      </c>
    </row>
    <row r="471" spans="1:9" x14ac:dyDescent="0.25">
      <c r="A471" t="s">
        <v>3817</v>
      </c>
      <c r="B471" t="s">
        <v>4342</v>
      </c>
      <c r="C471" t="s">
        <v>3821</v>
      </c>
      <c r="D471">
        <v>35.21834999</v>
      </c>
      <c r="E471" t="s">
        <v>3818</v>
      </c>
      <c r="F471">
        <v>118.7160143</v>
      </c>
      <c r="G471" t="s">
        <v>3819</v>
      </c>
      <c r="H471">
        <v>36277</v>
      </c>
      <c r="I471" t="s">
        <v>3820</v>
      </c>
    </row>
    <row r="472" spans="1:9" x14ac:dyDescent="0.25">
      <c r="A472" t="s">
        <v>3817</v>
      </c>
      <c r="B472" t="s">
        <v>4764</v>
      </c>
      <c r="C472" t="s">
        <v>3821</v>
      </c>
      <c r="D472">
        <v>36.616395959999998</v>
      </c>
      <c r="E472" t="s">
        <v>3818</v>
      </c>
      <c r="F472">
        <v>117.7492247</v>
      </c>
      <c r="G472" t="s">
        <v>3819</v>
      </c>
      <c r="H472">
        <v>35205</v>
      </c>
      <c r="I472" t="s">
        <v>3820</v>
      </c>
    </row>
    <row r="473" spans="1:9" x14ac:dyDescent="0.25">
      <c r="A473" t="s">
        <v>3817</v>
      </c>
      <c r="B473" t="s">
        <v>4557</v>
      </c>
      <c r="C473" t="s">
        <v>3821</v>
      </c>
      <c r="D473">
        <v>35.933990719999997</v>
      </c>
      <c r="E473" t="s">
        <v>3818</v>
      </c>
      <c r="F473">
        <v>119.62406489999999</v>
      </c>
      <c r="G473" t="s">
        <v>3819</v>
      </c>
      <c r="H473">
        <v>88509</v>
      </c>
      <c r="I473" t="s">
        <v>3820</v>
      </c>
    </row>
    <row r="474" spans="1:9" x14ac:dyDescent="0.25">
      <c r="A474" t="s">
        <v>3817</v>
      </c>
      <c r="B474" t="s">
        <v>4343</v>
      </c>
      <c r="C474" t="s">
        <v>3821</v>
      </c>
      <c r="D474">
        <v>35.357804690000002</v>
      </c>
      <c r="E474" t="s">
        <v>3818</v>
      </c>
      <c r="F474">
        <v>117.5059672</v>
      </c>
      <c r="G474" t="s">
        <v>3819</v>
      </c>
      <c r="H474">
        <v>37543</v>
      </c>
      <c r="I474" t="s">
        <v>3820</v>
      </c>
    </row>
    <row r="475" spans="1:9" x14ac:dyDescent="0.25">
      <c r="A475" t="s">
        <v>3817</v>
      </c>
      <c r="B475" t="s">
        <v>3908</v>
      </c>
      <c r="C475" t="s">
        <v>3821</v>
      </c>
      <c r="D475">
        <v>37.062188560000003</v>
      </c>
      <c r="E475" t="s">
        <v>3818</v>
      </c>
      <c r="F475">
        <v>116.8710937</v>
      </c>
      <c r="G475" t="s">
        <v>3819</v>
      </c>
      <c r="H475">
        <v>42432</v>
      </c>
      <c r="I475" t="s">
        <v>3820</v>
      </c>
    </row>
    <row r="476" spans="1:9" x14ac:dyDescent="0.25">
      <c r="A476" t="s">
        <v>3817</v>
      </c>
      <c r="B476" t="s">
        <v>4035</v>
      </c>
      <c r="C476" t="s">
        <v>3821</v>
      </c>
      <c r="D476">
        <v>35.459482710000003</v>
      </c>
      <c r="E476" t="s">
        <v>3818</v>
      </c>
      <c r="F476">
        <v>115.36057839999999</v>
      </c>
      <c r="G476" t="s">
        <v>3819</v>
      </c>
      <c r="H476">
        <v>32725</v>
      </c>
      <c r="I476" t="s">
        <v>3820</v>
      </c>
    </row>
    <row r="477" spans="1:9" x14ac:dyDescent="0.25">
      <c r="A477" t="s">
        <v>3817</v>
      </c>
      <c r="B477" t="s">
        <v>3909</v>
      </c>
      <c r="C477" t="s">
        <v>3821</v>
      </c>
      <c r="D477">
        <v>37.240583770000001</v>
      </c>
      <c r="E477" t="s">
        <v>3818</v>
      </c>
      <c r="F477">
        <v>116.9002201</v>
      </c>
      <c r="G477" t="s">
        <v>3819</v>
      </c>
      <c r="H477">
        <v>45667</v>
      </c>
      <c r="I477" t="s">
        <v>3820</v>
      </c>
    </row>
    <row r="478" spans="1:9" x14ac:dyDescent="0.25">
      <c r="A478" t="s">
        <v>3817</v>
      </c>
      <c r="B478" t="s">
        <v>3910</v>
      </c>
      <c r="C478" t="s">
        <v>3821</v>
      </c>
      <c r="D478">
        <v>37.304086349999999</v>
      </c>
      <c r="E478" t="s">
        <v>3818</v>
      </c>
      <c r="F478">
        <v>116.8587991</v>
      </c>
      <c r="G478" t="s">
        <v>3819</v>
      </c>
      <c r="H478">
        <v>21812</v>
      </c>
      <c r="I478" t="s">
        <v>3820</v>
      </c>
    </row>
    <row r="479" spans="1:9" x14ac:dyDescent="0.25">
      <c r="A479" t="s">
        <v>3817</v>
      </c>
      <c r="B479" t="s">
        <v>3964</v>
      </c>
      <c r="C479" t="s">
        <v>3821</v>
      </c>
      <c r="D479">
        <v>36.996832140000002</v>
      </c>
      <c r="E479" t="s">
        <v>3818</v>
      </c>
      <c r="F479">
        <v>118.3446386</v>
      </c>
      <c r="G479" t="s">
        <v>3819</v>
      </c>
      <c r="H479">
        <v>34672</v>
      </c>
      <c r="I479" t="s">
        <v>3820</v>
      </c>
    </row>
    <row r="480" spans="1:9" x14ac:dyDescent="0.25">
      <c r="A480" t="s">
        <v>3817</v>
      </c>
      <c r="B480" t="s">
        <v>4251</v>
      </c>
      <c r="C480" t="s">
        <v>3821</v>
      </c>
      <c r="D480">
        <v>35.999723979999999</v>
      </c>
      <c r="E480" t="s">
        <v>3818</v>
      </c>
      <c r="F480">
        <v>115.75205219999999</v>
      </c>
      <c r="G480" t="s">
        <v>3819</v>
      </c>
      <c r="H480">
        <v>35814</v>
      </c>
      <c r="I480" t="s">
        <v>3820</v>
      </c>
    </row>
    <row r="481" spans="1:9" x14ac:dyDescent="0.25">
      <c r="A481" t="s">
        <v>3817</v>
      </c>
      <c r="B481" t="s">
        <v>4036</v>
      </c>
      <c r="C481" t="s">
        <v>3821</v>
      </c>
      <c r="D481">
        <v>34.77730305</v>
      </c>
      <c r="E481" t="s">
        <v>3818</v>
      </c>
      <c r="F481">
        <v>116.20109739999999</v>
      </c>
      <c r="G481" t="s">
        <v>3819</v>
      </c>
      <c r="H481">
        <v>43067</v>
      </c>
      <c r="I481" t="s">
        <v>3820</v>
      </c>
    </row>
    <row r="482" spans="1:9" x14ac:dyDescent="0.25">
      <c r="A482" t="s">
        <v>3817</v>
      </c>
      <c r="B482" t="s">
        <v>3843</v>
      </c>
      <c r="C482" t="s">
        <v>3821</v>
      </c>
      <c r="D482">
        <v>37.944140079999997</v>
      </c>
      <c r="E482" t="s">
        <v>3818</v>
      </c>
      <c r="F482">
        <v>117.84397079999999</v>
      </c>
      <c r="G482" t="s">
        <v>3819</v>
      </c>
      <c r="H482">
        <v>30119</v>
      </c>
      <c r="I482" t="s">
        <v>3820</v>
      </c>
    </row>
    <row r="483" spans="1:9" x14ac:dyDescent="0.25">
      <c r="A483" t="s">
        <v>3817</v>
      </c>
      <c r="B483" t="s">
        <v>4502</v>
      </c>
      <c r="C483" t="s">
        <v>3821</v>
      </c>
      <c r="D483">
        <v>35.839657559999999</v>
      </c>
      <c r="E483" t="s">
        <v>3818</v>
      </c>
      <c r="F483">
        <v>117.5826465</v>
      </c>
      <c r="G483" t="s">
        <v>3819</v>
      </c>
      <c r="H483">
        <v>28492</v>
      </c>
      <c r="I483" t="s">
        <v>3820</v>
      </c>
    </row>
    <row r="484" spans="1:9" x14ac:dyDescent="0.25">
      <c r="A484" t="s">
        <v>3817</v>
      </c>
      <c r="B484" t="s">
        <v>4252</v>
      </c>
      <c r="C484" t="s">
        <v>3821</v>
      </c>
      <c r="D484">
        <v>36.732925889999997</v>
      </c>
      <c r="E484" t="s">
        <v>3818</v>
      </c>
      <c r="F484">
        <v>115.7861236</v>
      </c>
      <c r="G484" t="s">
        <v>3819</v>
      </c>
      <c r="H484">
        <v>27587</v>
      </c>
      <c r="I484" t="s">
        <v>3820</v>
      </c>
    </row>
    <row r="485" spans="1:9" x14ac:dyDescent="0.25">
      <c r="A485" t="s">
        <v>3817</v>
      </c>
      <c r="B485" t="s">
        <v>4660</v>
      </c>
      <c r="C485" t="s">
        <v>3821</v>
      </c>
      <c r="D485">
        <v>36.773860259999999</v>
      </c>
      <c r="E485" t="s">
        <v>3818</v>
      </c>
      <c r="F485">
        <v>121.3483779</v>
      </c>
      <c r="G485" t="s">
        <v>3819</v>
      </c>
      <c r="H485">
        <v>59418</v>
      </c>
      <c r="I485" t="s">
        <v>3820</v>
      </c>
    </row>
    <row r="486" spans="1:9" x14ac:dyDescent="0.25">
      <c r="A486" t="s">
        <v>3817</v>
      </c>
      <c r="B486" t="s">
        <v>4455</v>
      </c>
      <c r="C486" t="s">
        <v>3821</v>
      </c>
      <c r="D486">
        <v>35.524072680000003</v>
      </c>
      <c r="E486" t="s">
        <v>3818</v>
      </c>
      <c r="F486">
        <v>118.7577505</v>
      </c>
      <c r="G486" t="s">
        <v>3819</v>
      </c>
      <c r="H486">
        <v>59552</v>
      </c>
      <c r="I486" t="s">
        <v>3820</v>
      </c>
    </row>
    <row r="487" spans="1:9" x14ac:dyDescent="0.25">
      <c r="A487" t="s">
        <v>3817</v>
      </c>
      <c r="B487" t="s">
        <v>3965</v>
      </c>
      <c r="C487" t="s">
        <v>3821</v>
      </c>
      <c r="D487">
        <v>37.356969579999998</v>
      </c>
      <c r="E487" t="s">
        <v>3818</v>
      </c>
      <c r="F487">
        <v>118.6231944</v>
      </c>
      <c r="G487" t="s">
        <v>3819</v>
      </c>
      <c r="H487">
        <v>16219</v>
      </c>
      <c r="I487" t="s">
        <v>3820</v>
      </c>
    </row>
    <row r="488" spans="1:9" x14ac:dyDescent="0.25">
      <c r="A488" t="s">
        <v>3817</v>
      </c>
      <c r="B488" t="s">
        <v>4253</v>
      </c>
      <c r="C488" t="s">
        <v>3821</v>
      </c>
      <c r="D488">
        <v>36.20812909</v>
      </c>
      <c r="E488" t="s">
        <v>3818</v>
      </c>
      <c r="F488">
        <v>116.1058003</v>
      </c>
      <c r="G488" t="s">
        <v>3819</v>
      </c>
      <c r="H488">
        <v>59761</v>
      </c>
      <c r="I488" t="s">
        <v>3820</v>
      </c>
    </row>
    <row r="489" spans="1:9" x14ac:dyDescent="0.25">
      <c r="A489" t="s">
        <v>3817</v>
      </c>
      <c r="B489" t="s">
        <v>4661</v>
      </c>
      <c r="C489" t="s">
        <v>3821</v>
      </c>
      <c r="D489">
        <v>37.742195449999997</v>
      </c>
      <c r="E489" t="s">
        <v>3818</v>
      </c>
      <c r="F489">
        <v>120.92012250000001</v>
      </c>
      <c r="G489" t="s">
        <v>3819</v>
      </c>
      <c r="H489">
        <v>28547</v>
      </c>
      <c r="I489" t="s">
        <v>3820</v>
      </c>
    </row>
    <row r="490" spans="1:9" x14ac:dyDescent="0.25">
      <c r="A490" t="s">
        <v>3817</v>
      </c>
      <c r="B490" t="s">
        <v>6690</v>
      </c>
      <c r="C490" t="s">
        <v>3821</v>
      </c>
      <c r="D490">
        <v>35.197466890000001</v>
      </c>
      <c r="E490" t="s">
        <v>3818</v>
      </c>
      <c r="F490">
        <v>115.8365956</v>
      </c>
      <c r="G490" t="s">
        <v>3819</v>
      </c>
      <c r="H490">
        <v>50907</v>
      </c>
      <c r="I490" t="s">
        <v>3820</v>
      </c>
    </row>
    <row r="491" spans="1:9" x14ac:dyDescent="0.25">
      <c r="A491" t="s">
        <v>3817</v>
      </c>
      <c r="B491" t="s">
        <v>6691</v>
      </c>
      <c r="C491" t="s">
        <v>3821</v>
      </c>
      <c r="D491">
        <v>36.652555569999997</v>
      </c>
      <c r="E491" t="s">
        <v>3818</v>
      </c>
      <c r="F491">
        <v>115.7030963</v>
      </c>
      <c r="G491" t="s">
        <v>3819</v>
      </c>
      <c r="H491">
        <v>49376</v>
      </c>
      <c r="I491" t="s">
        <v>3820</v>
      </c>
    </row>
    <row r="492" spans="1:9" x14ac:dyDescent="0.25">
      <c r="A492" t="s">
        <v>3817</v>
      </c>
      <c r="B492" t="s">
        <v>4254</v>
      </c>
      <c r="C492" t="s">
        <v>3821</v>
      </c>
      <c r="D492">
        <v>36.700415720000002</v>
      </c>
      <c r="E492" t="s">
        <v>3818</v>
      </c>
      <c r="F492">
        <v>116.3481441</v>
      </c>
      <c r="G492" t="s">
        <v>3819</v>
      </c>
      <c r="H492">
        <v>31444</v>
      </c>
      <c r="I492" t="s">
        <v>3820</v>
      </c>
    </row>
    <row r="493" spans="1:9" x14ac:dyDescent="0.25">
      <c r="A493" t="s">
        <v>3817</v>
      </c>
      <c r="B493" t="s">
        <v>6692</v>
      </c>
      <c r="C493" t="s">
        <v>3821</v>
      </c>
      <c r="D493">
        <v>35.140160819999998</v>
      </c>
      <c r="E493" t="s">
        <v>3818</v>
      </c>
      <c r="F493">
        <v>114.9906076</v>
      </c>
      <c r="G493" t="s">
        <v>3819</v>
      </c>
      <c r="H493">
        <v>42438</v>
      </c>
      <c r="I493" t="s">
        <v>3820</v>
      </c>
    </row>
    <row r="494" spans="1:9" x14ac:dyDescent="0.25">
      <c r="A494" t="s">
        <v>3817</v>
      </c>
      <c r="B494" t="s">
        <v>6693</v>
      </c>
      <c r="C494" t="s">
        <v>3821</v>
      </c>
      <c r="D494">
        <v>35.608748110000001</v>
      </c>
      <c r="E494" t="s">
        <v>3818</v>
      </c>
      <c r="F494">
        <v>116.4041907</v>
      </c>
      <c r="G494" t="s">
        <v>3819</v>
      </c>
      <c r="H494">
        <v>33429</v>
      </c>
      <c r="I494" t="s">
        <v>3820</v>
      </c>
    </row>
    <row r="495" spans="1:9" x14ac:dyDescent="0.25">
      <c r="A495" t="s">
        <v>3817</v>
      </c>
      <c r="B495" t="s">
        <v>3844</v>
      </c>
      <c r="C495" t="s">
        <v>3821</v>
      </c>
      <c r="D495">
        <v>37.627238050000003</v>
      </c>
      <c r="E495" t="s">
        <v>3818</v>
      </c>
      <c r="F495">
        <v>117.423928</v>
      </c>
      <c r="G495" t="s">
        <v>3819</v>
      </c>
      <c r="H495">
        <v>38395</v>
      </c>
      <c r="I495" t="s">
        <v>3820</v>
      </c>
    </row>
    <row r="496" spans="1:9" x14ac:dyDescent="0.25">
      <c r="A496" t="s">
        <v>3817</v>
      </c>
      <c r="B496" t="s">
        <v>3911</v>
      </c>
      <c r="C496" t="s">
        <v>3821</v>
      </c>
      <c r="D496">
        <v>36.71238795</v>
      </c>
      <c r="E496" t="s">
        <v>3818</v>
      </c>
      <c r="F496">
        <v>116.60046389999999</v>
      </c>
      <c r="G496" t="s">
        <v>3819</v>
      </c>
      <c r="H496">
        <v>34649</v>
      </c>
      <c r="I496" t="s">
        <v>3820</v>
      </c>
    </row>
    <row r="497" spans="1:9" x14ac:dyDescent="0.25">
      <c r="A497" t="s">
        <v>3817</v>
      </c>
      <c r="B497" t="s">
        <v>4558</v>
      </c>
      <c r="C497" t="s">
        <v>3821</v>
      </c>
      <c r="D497">
        <v>36.436420519999999</v>
      </c>
      <c r="E497" t="s">
        <v>3818</v>
      </c>
      <c r="F497">
        <v>118.7469674</v>
      </c>
      <c r="G497" t="s">
        <v>3819</v>
      </c>
      <c r="H497">
        <v>33992</v>
      </c>
      <c r="I497" t="s">
        <v>3820</v>
      </c>
    </row>
    <row r="498" spans="1:9" x14ac:dyDescent="0.25">
      <c r="A498" t="s">
        <v>3817</v>
      </c>
      <c r="B498" t="s">
        <v>4559</v>
      </c>
      <c r="C498" t="s">
        <v>3821</v>
      </c>
      <c r="D498">
        <v>37.039185029999999</v>
      </c>
      <c r="E498" t="s">
        <v>3818</v>
      </c>
      <c r="F498">
        <v>119.39928310000001</v>
      </c>
      <c r="G498" t="s">
        <v>3819</v>
      </c>
      <c r="H498">
        <v>48469</v>
      </c>
      <c r="I498" t="s">
        <v>3820</v>
      </c>
    </row>
    <row r="499" spans="1:9" x14ac:dyDescent="0.25">
      <c r="A499" t="s">
        <v>3817</v>
      </c>
      <c r="B499" t="s">
        <v>4424</v>
      </c>
      <c r="C499" t="s">
        <v>3821</v>
      </c>
      <c r="D499">
        <v>35.954626140000002</v>
      </c>
      <c r="E499" t="s">
        <v>3818</v>
      </c>
      <c r="F499">
        <v>119.7637019</v>
      </c>
      <c r="G499" t="s">
        <v>3819</v>
      </c>
      <c r="H499">
        <v>42384</v>
      </c>
      <c r="I499" t="s">
        <v>3820</v>
      </c>
    </row>
    <row r="500" spans="1:9" x14ac:dyDescent="0.25">
      <c r="A500" t="s">
        <v>3817</v>
      </c>
      <c r="B500" t="s">
        <v>4344</v>
      </c>
      <c r="C500" t="s">
        <v>3821</v>
      </c>
      <c r="D500">
        <v>35.384771200000003</v>
      </c>
      <c r="E500" t="s">
        <v>3818</v>
      </c>
      <c r="F500">
        <v>117.5956134</v>
      </c>
      <c r="G500" t="s">
        <v>3819</v>
      </c>
      <c r="H500">
        <v>46133</v>
      </c>
      <c r="I500" t="s">
        <v>3820</v>
      </c>
    </row>
    <row r="501" spans="1:9" x14ac:dyDescent="0.25">
      <c r="A501" t="s">
        <v>3817</v>
      </c>
      <c r="B501" t="s">
        <v>4723</v>
      </c>
      <c r="C501" t="s">
        <v>3821</v>
      </c>
      <c r="D501">
        <v>34.743770920000003</v>
      </c>
      <c r="E501" t="s">
        <v>3818</v>
      </c>
      <c r="F501">
        <v>117.490848</v>
      </c>
      <c r="G501" t="s">
        <v>3819</v>
      </c>
      <c r="H501">
        <v>56488</v>
      </c>
      <c r="I501" t="s">
        <v>3820</v>
      </c>
    </row>
    <row r="502" spans="1:9" x14ac:dyDescent="0.25">
      <c r="A502" t="s">
        <v>3817</v>
      </c>
      <c r="B502" t="s">
        <v>4150</v>
      </c>
      <c r="C502" t="s">
        <v>3821</v>
      </c>
      <c r="D502">
        <v>35.007660100000003</v>
      </c>
      <c r="E502" t="s">
        <v>3818</v>
      </c>
      <c r="F502">
        <v>116.89100310000001</v>
      </c>
      <c r="G502" t="s">
        <v>3819</v>
      </c>
      <c r="H502">
        <v>50386</v>
      </c>
      <c r="I502" t="s">
        <v>3820</v>
      </c>
    </row>
    <row r="503" spans="1:9" x14ac:dyDescent="0.25">
      <c r="A503" t="s">
        <v>3817</v>
      </c>
      <c r="B503" t="s">
        <v>4037</v>
      </c>
      <c r="C503" t="s">
        <v>3821</v>
      </c>
      <c r="D503">
        <v>34.90205692</v>
      </c>
      <c r="E503" t="s">
        <v>3818</v>
      </c>
      <c r="F503">
        <v>116.0674389</v>
      </c>
      <c r="G503" t="s">
        <v>3819</v>
      </c>
      <c r="H503">
        <v>34010</v>
      </c>
      <c r="I503" t="s">
        <v>3820</v>
      </c>
    </row>
    <row r="504" spans="1:9" x14ac:dyDescent="0.25">
      <c r="A504" t="s">
        <v>3817</v>
      </c>
      <c r="B504" t="s">
        <v>3845</v>
      </c>
      <c r="C504" t="s">
        <v>3821</v>
      </c>
      <c r="D504">
        <v>37.267292300000001</v>
      </c>
      <c r="E504" t="s">
        <v>3818</v>
      </c>
      <c r="F504">
        <v>117.5856543</v>
      </c>
      <c r="G504" t="s">
        <v>3819</v>
      </c>
      <c r="H504">
        <v>52457</v>
      </c>
      <c r="I504" t="s">
        <v>3820</v>
      </c>
    </row>
    <row r="505" spans="1:9" x14ac:dyDescent="0.25">
      <c r="A505" t="s">
        <v>3817</v>
      </c>
      <c r="B505" t="s">
        <v>3845</v>
      </c>
      <c r="C505" t="s">
        <v>3821</v>
      </c>
      <c r="D505">
        <v>34.845316220000001</v>
      </c>
      <c r="E505" t="s">
        <v>3818</v>
      </c>
      <c r="F505">
        <v>118.4025319</v>
      </c>
      <c r="G505" t="s">
        <v>3819</v>
      </c>
      <c r="H505">
        <v>95118</v>
      </c>
      <c r="I505" t="s">
        <v>3820</v>
      </c>
    </row>
    <row r="506" spans="1:9" x14ac:dyDescent="0.25">
      <c r="A506" t="s">
        <v>3817</v>
      </c>
      <c r="B506" t="s">
        <v>4560</v>
      </c>
      <c r="C506" t="s">
        <v>3821</v>
      </c>
      <c r="D506">
        <v>37.00193264</v>
      </c>
      <c r="E506" t="s">
        <v>3818</v>
      </c>
      <c r="F506">
        <v>119.2953667</v>
      </c>
      <c r="G506" t="s">
        <v>3819</v>
      </c>
      <c r="H506">
        <v>25923</v>
      </c>
      <c r="I506" t="s">
        <v>3820</v>
      </c>
    </row>
    <row r="507" spans="1:9" x14ac:dyDescent="0.25">
      <c r="A507" t="s">
        <v>3817</v>
      </c>
      <c r="B507" t="s">
        <v>4038</v>
      </c>
      <c r="C507" t="s">
        <v>3821</v>
      </c>
      <c r="D507">
        <v>35.28437727</v>
      </c>
      <c r="E507" t="s">
        <v>3818</v>
      </c>
      <c r="F507">
        <v>115.86170009999999</v>
      </c>
      <c r="G507" t="s">
        <v>3819</v>
      </c>
      <c r="H507">
        <v>54953</v>
      </c>
      <c r="I507" t="s">
        <v>3820</v>
      </c>
    </row>
    <row r="508" spans="1:9" x14ac:dyDescent="0.25">
      <c r="A508" t="s">
        <v>3817</v>
      </c>
      <c r="B508" t="s">
        <v>3966</v>
      </c>
      <c r="C508" t="s">
        <v>3821</v>
      </c>
      <c r="D508">
        <v>37.374056629999998</v>
      </c>
      <c r="E508" t="s">
        <v>3818</v>
      </c>
      <c r="F508">
        <v>118.2968169</v>
      </c>
      <c r="G508" t="s">
        <v>3819</v>
      </c>
      <c r="H508">
        <v>31934</v>
      </c>
      <c r="I508" t="s">
        <v>3820</v>
      </c>
    </row>
    <row r="509" spans="1:9" x14ac:dyDescent="0.25">
      <c r="A509" t="s">
        <v>3817</v>
      </c>
      <c r="B509" t="s">
        <v>6694</v>
      </c>
      <c r="C509" t="s">
        <v>3821</v>
      </c>
      <c r="D509">
        <v>37.345554649999997</v>
      </c>
      <c r="E509" t="s">
        <v>3818</v>
      </c>
      <c r="F509">
        <v>121.7773663</v>
      </c>
      <c r="G509" t="s">
        <v>3819</v>
      </c>
      <c r="H509">
        <v>24154</v>
      </c>
      <c r="I509" t="s">
        <v>3820</v>
      </c>
    </row>
    <row r="510" spans="1:9" x14ac:dyDescent="0.25">
      <c r="A510" t="s">
        <v>3817</v>
      </c>
      <c r="B510" t="s">
        <v>6695</v>
      </c>
      <c r="C510" t="s">
        <v>3821</v>
      </c>
      <c r="D510">
        <v>36.574451060000001</v>
      </c>
      <c r="E510" t="s">
        <v>3818</v>
      </c>
      <c r="F510">
        <v>117.96988709999999</v>
      </c>
      <c r="G510" t="s">
        <v>3819</v>
      </c>
      <c r="H510">
        <v>40380</v>
      </c>
      <c r="I510" t="s">
        <v>3820</v>
      </c>
    </row>
    <row r="511" spans="1:9" x14ac:dyDescent="0.25">
      <c r="A511" t="s">
        <v>3817</v>
      </c>
      <c r="B511" t="s">
        <v>4100</v>
      </c>
      <c r="C511" t="s">
        <v>3821</v>
      </c>
      <c r="D511">
        <v>37.373527320000001</v>
      </c>
      <c r="E511" t="s">
        <v>3818</v>
      </c>
      <c r="F511">
        <v>117.3270155</v>
      </c>
      <c r="G511" t="s">
        <v>3819</v>
      </c>
      <c r="H511">
        <v>38933</v>
      </c>
      <c r="I511" t="s">
        <v>3820</v>
      </c>
    </row>
    <row r="512" spans="1:9" x14ac:dyDescent="0.25">
      <c r="A512" t="s">
        <v>3817</v>
      </c>
      <c r="B512" t="s">
        <v>4456</v>
      </c>
      <c r="C512" t="s">
        <v>3821</v>
      </c>
      <c r="D512">
        <v>35.526986909999998</v>
      </c>
      <c r="E512" t="s">
        <v>3818</v>
      </c>
      <c r="F512">
        <v>118.9893356</v>
      </c>
      <c r="G512" t="s">
        <v>3819</v>
      </c>
      <c r="H512">
        <v>35253</v>
      </c>
      <c r="I512" t="s">
        <v>3820</v>
      </c>
    </row>
    <row r="513" spans="1:9" x14ac:dyDescent="0.25">
      <c r="A513" t="s">
        <v>3817</v>
      </c>
      <c r="B513" t="s">
        <v>4503</v>
      </c>
      <c r="C513" t="s">
        <v>3821</v>
      </c>
      <c r="D513">
        <v>35.926521479999998</v>
      </c>
      <c r="E513" t="s">
        <v>3818</v>
      </c>
      <c r="F513">
        <v>117.89779919999999</v>
      </c>
      <c r="G513" t="s">
        <v>3819</v>
      </c>
      <c r="H513">
        <v>57549</v>
      </c>
      <c r="I513" t="s">
        <v>3820</v>
      </c>
    </row>
    <row r="514" spans="1:9" x14ac:dyDescent="0.25">
      <c r="A514" t="s">
        <v>3817</v>
      </c>
      <c r="B514" t="s">
        <v>4039</v>
      </c>
      <c r="C514" t="s">
        <v>3821</v>
      </c>
      <c r="D514">
        <v>34.682312209999999</v>
      </c>
      <c r="E514" t="s">
        <v>3818</v>
      </c>
      <c r="F514">
        <v>116.1692058</v>
      </c>
      <c r="G514" t="s">
        <v>3819</v>
      </c>
      <c r="H514">
        <v>48085</v>
      </c>
      <c r="I514" t="s">
        <v>3820</v>
      </c>
    </row>
    <row r="515" spans="1:9" x14ac:dyDescent="0.25">
      <c r="A515" t="s">
        <v>3817</v>
      </c>
      <c r="B515" t="s">
        <v>4724</v>
      </c>
      <c r="C515" t="s">
        <v>3821</v>
      </c>
      <c r="D515">
        <v>35.18752662</v>
      </c>
      <c r="E515" t="s">
        <v>3818</v>
      </c>
      <c r="F515">
        <v>117.16352240000001</v>
      </c>
      <c r="G515" t="s">
        <v>3819</v>
      </c>
      <c r="H515">
        <v>65634</v>
      </c>
      <c r="I515" t="s">
        <v>3820</v>
      </c>
    </row>
    <row r="516" spans="1:9" x14ac:dyDescent="0.25">
      <c r="A516" t="s">
        <v>3817</v>
      </c>
      <c r="B516" t="s">
        <v>4504</v>
      </c>
      <c r="C516" t="s">
        <v>3821</v>
      </c>
      <c r="D516">
        <v>35.858202679999998</v>
      </c>
      <c r="E516" t="s">
        <v>3818</v>
      </c>
      <c r="F516">
        <v>117.3137278</v>
      </c>
      <c r="G516" t="s">
        <v>3819</v>
      </c>
      <c r="H516">
        <v>67853</v>
      </c>
      <c r="I516" t="s">
        <v>3820</v>
      </c>
    </row>
    <row r="517" spans="1:9" x14ac:dyDescent="0.25">
      <c r="A517" t="s">
        <v>3817</v>
      </c>
      <c r="B517" t="s">
        <v>4345</v>
      </c>
      <c r="C517" t="s">
        <v>3821</v>
      </c>
      <c r="D517">
        <v>34.895791780000003</v>
      </c>
      <c r="E517" t="s">
        <v>3818</v>
      </c>
      <c r="F517">
        <v>117.7592211</v>
      </c>
      <c r="G517" t="s">
        <v>3819</v>
      </c>
      <c r="H517">
        <v>36443</v>
      </c>
      <c r="I517" t="s">
        <v>3820</v>
      </c>
    </row>
    <row r="518" spans="1:9" x14ac:dyDescent="0.25">
      <c r="A518" t="s">
        <v>3817</v>
      </c>
      <c r="B518" t="s">
        <v>4765</v>
      </c>
      <c r="C518" t="s">
        <v>3821</v>
      </c>
      <c r="D518">
        <v>36.17763961</v>
      </c>
      <c r="E518" t="s">
        <v>3818</v>
      </c>
      <c r="F518">
        <v>117.9927813</v>
      </c>
      <c r="G518" t="s">
        <v>3819</v>
      </c>
      <c r="H518">
        <v>70413</v>
      </c>
      <c r="I518" t="s">
        <v>3820</v>
      </c>
    </row>
    <row r="519" spans="1:9" x14ac:dyDescent="0.25">
      <c r="A519" t="s">
        <v>3817</v>
      </c>
      <c r="B519" t="s">
        <v>4662</v>
      </c>
      <c r="C519" t="s">
        <v>3821</v>
      </c>
      <c r="D519">
        <v>36.85545655</v>
      </c>
      <c r="E519" t="s">
        <v>3818</v>
      </c>
      <c r="F519">
        <v>120.6308069</v>
      </c>
      <c r="G519" t="s">
        <v>3819</v>
      </c>
      <c r="H519">
        <v>26142</v>
      </c>
      <c r="I519" t="s">
        <v>3820</v>
      </c>
    </row>
    <row r="520" spans="1:9" x14ac:dyDescent="0.25">
      <c r="A520" t="s">
        <v>3817</v>
      </c>
      <c r="B520" t="s">
        <v>4040</v>
      </c>
      <c r="C520" t="s">
        <v>3821</v>
      </c>
      <c r="D520">
        <v>35.277795419999997</v>
      </c>
      <c r="E520" t="s">
        <v>3818</v>
      </c>
      <c r="F520">
        <v>115.29934040000001</v>
      </c>
      <c r="G520" t="s">
        <v>3819</v>
      </c>
      <c r="H520">
        <v>51967</v>
      </c>
      <c r="I520" t="s">
        <v>3820</v>
      </c>
    </row>
    <row r="521" spans="1:9" x14ac:dyDescent="0.25">
      <c r="A521" t="s">
        <v>3817</v>
      </c>
      <c r="B521" t="s">
        <v>3912</v>
      </c>
      <c r="C521" t="s">
        <v>3821</v>
      </c>
      <c r="D521">
        <v>36.782443219999998</v>
      </c>
      <c r="E521" t="s">
        <v>3818</v>
      </c>
      <c r="F521">
        <v>116.55150980000001</v>
      </c>
      <c r="G521" t="s">
        <v>3819</v>
      </c>
      <c r="H521">
        <v>35545</v>
      </c>
      <c r="I521" t="s">
        <v>3820</v>
      </c>
    </row>
    <row r="522" spans="1:9" x14ac:dyDescent="0.25">
      <c r="A522" t="s">
        <v>3817</v>
      </c>
      <c r="B522" t="s">
        <v>4766</v>
      </c>
      <c r="C522" t="s">
        <v>3821</v>
      </c>
      <c r="D522">
        <v>36.684287910000002</v>
      </c>
      <c r="E522" t="s">
        <v>3818</v>
      </c>
      <c r="F522">
        <v>118.0747229</v>
      </c>
      <c r="G522" t="s">
        <v>3819</v>
      </c>
      <c r="H522">
        <v>56302</v>
      </c>
      <c r="I522" t="s">
        <v>3820</v>
      </c>
    </row>
    <row r="523" spans="1:9" x14ac:dyDescent="0.25">
      <c r="A523" t="s">
        <v>3817</v>
      </c>
      <c r="B523" t="s">
        <v>4457</v>
      </c>
      <c r="C523" t="s">
        <v>3821</v>
      </c>
      <c r="D523">
        <v>35.747968120000003</v>
      </c>
      <c r="E523" t="s">
        <v>3818</v>
      </c>
      <c r="F523">
        <v>118.82815189999999</v>
      </c>
      <c r="G523" t="s">
        <v>3819</v>
      </c>
      <c r="H523">
        <v>38938</v>
      </c>
      <c r="I523" t="s">
        <v>3820</v>
      </c>
    </row>
    <row r="524" spans="1:9" x14ac:dyDescent="0.25">
      <c r="A524" t="s">
        <v>3817</v>
      </c>
      <c r="B524" t="s">
        <v>4151</v>
      </c>
      <c r="C524" t="s">
        <v>3821</v>
      </c>
      <c r="D524">
        <v>35.066077759999999</v>
      </c>
      <c r="E524" t="s">
        <v>3818</v>
      </c>
      <c r="F524">
        <v>116.43926740000001</v>
      </c>
      <c r="G524" t="s">
        <v>3819</v>
      </c>
      <c r="H524">
        <v>28925</v>
      </c>
      <c r="I524" t="s">
        <v>3820</v>
      </c>
    </row>
    <row r="525" spans="1:9" x14ac:dyDescent="0.25">
      <c r="A525" t="s">
        <v>3817</v>
      </c>
      <c r="B525" t="s">
        <v>4152</v>
      </c>
      <c r="C525" t="s">
        <v>3821</v>
      </c>
      <c r="D525">
        <v>35.200755399999998</v>
      </c>
      <c r="E525" t="s">
        <v>3818</v>
      </c>
      <c r="F525">
        <v>116.7173148</v>
      </c>
      <c r="G525" t="s">
        <v>3819</v>
      </c>
      <c r="H525">
        <v>44325</v>
      </c>
      <c r="I525" t="s">
        <v>3820</v>
      </c>
    </row>
    <row r="526" spans="1:9" x14ac:dyDescent="0.25">
      <c r="A526" t="s">
        <v>3817</v>
      </c>
      <c r="B526" t="s">
        <v>4041</v>
      </c>
      <c r="C526" t="s">
        <v>3821</v>
      </c>
      <c r="D526">
        <v>35.239709879999999</v>
      </c>
      <c r="E526" t="s">
        <v>3818</v>
      </c>
      <c r="F526">
        <v>115.20540099999999</v>
      </c>
      <c r="G526" t="s">
        <v>3819</v>
      </c>
      <c r="H526">
        <v>75006</v>
      </c>
      <c r="I526" t="s">
        <v>3820</v>
      </c>
    </row>
    <row r="527" spans="1:9" x14ac:dyDescent="0.25">
      <c r="A527" t="s">
        <v>3817</v>
      </c>
      <c r="B527" t="s">
        <v>3913</v>
      </c>
      <c r="C527" t="s">
        <v>3821</v>
      </c>
      <c r="D527">
        <v>37.311217259999999</v>
      </c>
      <c r="E527" t="s">
        <v>3818</v>
      </c>
      <c r="F527">
        <v>116.0655849</v>
      </c>
      <c r="G527" t="s">
        <v>3819</v>
      </c>
      <c r="H527">
        <v>85427</v>
      </c>
      <c r="I527" t="s">
        <v>3820</v>
      </c>
    </row>
    <row r="528" spans="1:9" x14ac:dyDescent="0.25">
      <c r="A528" t="s">
        <v>3817</v>
      </c>
      <c r="B528" t="s">
        <v>4663</v>
      </c>
      <c r="C528" t="s">
        <v>3821</v>
      </c>
      <c r="D528">
        <v>37.575048369999998</v>
      </c>
      <c r="E528" t="s">
        <v>3818</v>
      </c>
      <c r="F528">
        <v>120.44277219999999</v>
      </c>
      <c r="G528" t="s">
        <v>3819</v>
      </c>
      <c r="H528">
        <v>31130</v>
      </c>
      <c r="I528" t="s">
        <v>3820</v>
      </c>
    </row>
    <row r="529" spans="1:9" x14ac:dyDescent="0.25">
      <c r="A529" t="s">
        <v>3817</v>
      </c>
      <c r="B529" t="s">
        <v>3846</v>
      </c>
      <c r="C529" t="s">
        <v>3821</v>
      </c>
      <c r="D529">
        <v>37.184574939999997</v>
      </c>
      <c r="E529" t="s">
        <v>3818</v>
      </c>
      <c r="F529">
        <v>118.2992143</v>
      </c>
      <c r="G529" t="s">
        <v>3819</v>
      </c>
      <c r="H529">
        <v>44843</v>
      </c>
      <c r="I529" t="s">
        <v>3820</v>
      </c>
    </row>
    <row r="530" spans="1:9" x14ac:dyDescent="0.25">
      <c r="A530" t="s">
        <v>3817</v>
      </c>
      <c r="B530" t="s">
        <v>4346</v>
      </c>
      <c r="C530" t="s">
        <v>3821</v>
      </c>
      <c r="D530">
        <v>34.76437911</v>
      </c>
      <c r="E530" t="s">
        <v>3818</v>
      </c>
      <c r="F530">
        <v>118.0552102</v>
      </c>
      <c r="G530" t="s">
        <v>3819</v>
      </c>
      <c r="H530">
        <v>33192</v>
      </c>
      <c r="I530" t="s">
        <v>3820</v>
      </c>
    </row>
    <row r="531" spans="1:9" x14ac:dyDescent="0.25">
      <c r="A531" t="s">
        <v>3817</v>
      </c>
      <c r="B531" t="s">
        <v>4347</v>
      </c>
      <c r="C531" t="s">
        <v>3821</v>
      </c>
      <c r="D531">
        <v>35.072542249999998</v>
      </c>
      <c r="E531" t="s">
        <v>3818</v>
      </c>
      <c r="F531">
        <v>118.1763772</v>
      </c>
      <c r="G531" t="s">
        <v>3819</v>
      </c>
      <c r="H531">
        <v>56507</v>
      </c>
      <c r="I531" t="s">
        <v>3820</v>
      </c>
    </row>
    <row r="532" spans="1:9" x14ac:dyDescent="0.25">
      <c r="A532" t="s">
        <v>3817</v>
      </c>
      <c r="B532" t="s">
        <v>4153</v>
      </c>
      <c r="C532" t="s">
        <v>3821</v>
      </c>
      <c r="D532">
        <v>35.503014749999998</v>
      </c>
      <c r="E532" t="s">
        <v>3818</v>
      </c>
      <c r="F532">
        <v>116.2821637</v>
      </c>
      <c r="G532" t="s">
        <v>3819</v>
      </c>
      <c r="H532">
        <v>41359</v>
      </c>
      <c r="I532" t="s">
        <v>3820</v>
      </c>
    </row>
    <row r="533" spans="1:9" x14ac:dyDescent="0.25">
      <c r="A533" t="s">
        <v>3817</v>
      </c>
      <c r="B533" t="s">
        <v>3847</v>
      </c>
      <c r="C533" t="s">
        <v>3821</v>
      </c>
      <c r="D533">
        <v>37.420824580000001</v>
      </c>
      <c r="E533" t="s">
        <v>3818</v>
      </c>
      <c r="F533">
        <v>117.6488164</v>
      </c>
      <c r="G533" t="s">
        <v>3819</v>
      </c>
      <c r="H533">
        <v>27755</v>
      </c>
      <c r="I533" t="s">
        <v>3820</v>
      </c>
    </row>
    <row r="534" spans="1:9" x14ac:dyDescent="0.25">
      <c r="A534" t="s">
        <v>3817</v>
      </c>
      <c r="B534" t="s">
        <v>6696</v>
      </c>
      <c r="C534" t="s">
        <v>3821</v>
      </c>
      <c r="D534">
        <v>36.448714199999998</v>
      </c>
      <c r="E534" t="s">
        <v>3818</v>
      </c>
      <c r="F534">
        <v>116.53599060000001</v>
      </c>
      <c r="G534" t="s">
        <v>3819</v>
      </c>
      <c r="H534">
        <v>30208</v>
      </c>
      <c r="I534" t="s">
        <v>3820</v>
      </c>
    </row>
    <row r="535" spans="1:9" x14ac:dyDescent="0.25">
      <c r="A535" t="s">
        <v>3817</v>
      </c>
      <c r="B535" t="s">
        <v>6697</v>
      </c>
      <c r="C535" t="s">
        <v>3821</v>
      </c>
      <c r="D535">
        <v>35.041276029999999</v>
      </c>
      <c r="E535" t="s">
        <v>3818</v>
      </c>
      <c r="F535">
        <v>115.4724832</v>
      </c>
      <c r="G535" t="s">
        <v>3819</v>
      </c>
      <c r="H535">
        <v>45304</v>
      </c>
      <c r="I535" t="s">
        <v>3820</v>
      </c>
    </row>
    <row r="536" spans="1:9" x14ac:dyDescent="0.25">
      <c r="A536" t="s">
        <v>3817</v>
      </c>
      <c r="B536" t="s">
        <v>6698</v>
      </c>
      <c r="C536" t="s">
        <v>3821</v>
      </c>
      <c r="D536">
        <v>35.350432290000001</v>
      </c>
      <c r="E536" t="s">
        <v>3818</v>
      </c>
      <c r="F536">
        <v>116.3865751</v>
      </c>
      <c r="G536" t="s">
        <v>3819</v>
      </c>
      <c r="H536">
        <v>37526</v>
      </c>
      <c r="I536" t="s">
        <v>3820</v>
      </c>
    </row>
    <row r="537" spans="1:9" x14ac:dyDescent="0.25">
      <c r="A537" t="s">
        <v>3817</v>
      </c>
      <c r="B537" t="s">
        <v>4725</v>
      </c>
      <c r="C537" t="s">
        <v>3821</v>
      </c>
      <c r="D537">
        <v>34.60283338</v>
      </c>
      <c r="E537" t="s">
        <v>3818</v>
      </c>
      <c r="F537">
        <v>117.6642153</v>
      </c>
      <c r="G537" t="s">
        <v>3819</v>
      </c>
      <c r="H537">
        <v>59500</v>
      </c>
      <c r="I537" t="s">
        <v>3820</v>
      </c>
    </row>
    <row r="538" spans="1:9" x14ac:dyDescent="0.25">
      <c r="A538" t="s">
        <v>3817</v>
      </c>
      <c r="B538" t="s">
        <v>4425</v>
      </c>
      <c r="C538" t="s">
        <v>3821</v>
      </c>
      <c r="D538">
        <v>37.078205629999999</v>
      </c>
      <c r="E538" t="s">
        <v>3818</v>
      </c>
      <c r="F538">
        <v>120.45537760000001</v>
      </c>
      <c r="G538" t="s">
        <v>3819</v>
      </c>
      <c r="H538">
        <v>42197</v>
      </c>
      <c r="I538" t="s">
        <v>3820</v>
      </c>
    </row>
    <row r="539" spans="1:9" x14ac:dyDescent="0.25">
      <c r="A539" t="s">
        <v>3817</v>
      </c>
      <c r="B539" t="s">
        <v>4042</v>
      </c>
      <c r="C539" t="s">
        <v>3821</v>
      </c>
      <c r="D539">
        <v>35.194105049999997</v>
      </c>
      <c r="E539" t="s">
        <v>3818</v>
      </c>
      <c r="F539">
        <v>115.3216168</v>
      </c>
      <c r="G539" t="s">
        <v>3819</v>
      </c>
      <c r="H539">
        <v>85107</v>
      </c>
      <c r="I539" t="s">
        <v>3820</v>
      </c>
    </row>
    <row r="540" spans="1:9" x14ac:dyDescent="0.25">
      <c r="A540" t="s">
        <v>3817</v>
      </c>
      <c r="B540" t="s">
        <v>4154</v>
      </c>
      <c r="C540" t="s">
        <v>3821</v>
      </c>
      <c r="D540">
        <v>35.055460930000002</v>
      </c>
      <c r="E540" t="s">
        <v>3818</v>
      </c>
      <c r="F540">
        <v>116.1685039</v>
      </c>
      <c r="G540" t="s">
        <v>3819</v>
      </c>
      <c r="H540">
        <v>52762</v>
      </c>
      <c r="I540" t="s">
        <v>3820</v>
      </c>
    </row>
    <row r="541" spans="1:9" x14ac:dyDescent="0.25">
      <c r="A541" t="s">
        <v>3817</v>
      </c>
      <c r="B541" t="s">
        <v>4155</v>
      </c>
      <c r="C541" t="s">
        <v>3821</v>
      </c>
      <c r="D541">
        <v>35.228391709999997</v>
      </c>
      <c r="E541" t="s">
        <v>3818</v>
      </c>
      <c r="F541">
        <v>116.3105786</v>
      </c>
      <c r="G541" t="s">
        <v>3819</v>
      </c>
      <c r="H541">
        <v>31997</v>
      </c>
      <c r="I541" t="s">
        <v>3820</v>
      </c>
    </row>
    <row r="542" spans="1:9" x14ac:dyDescent="0.25">
      <c r="A542" t="s">
        <v>3817</v>
      </c>
      <c r="B542" t="s">
        <v>4505</v>
      </c>
      <c r="C542" t="s">
        <v>3821</v>
      </c>
      <c r="D542">
        <v>36.064116749999997</v>
      </c>
      <c r="E542" t="s">
        <v>3818</v>
      </c>
      <c r="F542">
        <v>117.05551440000001</v>
      </c>
      <c r="G542" t="s">
        <v>3819</v>
      </c>
      <c r="H542">
        <v>69246</v>
      </c>
      <c r="I542" t="s">
        <v>3820</v>
      </c>
    </row>
    <row r="543" spans="1:9" x14ac:dyDescent="0.25">
      <c r="A543" t="s">
        <v>3817</v>
      </c>
      <c r="B543" t="s">
        <v>4156</v>
      </c>
      <c r="C543" t="s">
        <v>3821</v>
      </c>
      <c r="D543">
        <v>35.269686309999997</v>
      </c>
      <c r="E543" t="s">
        <v>3818</v>
      </c>
      <c r="F543">
        <v>116.7451354</v>
      </c>
      <c r="G543" t="s">
        <v>3819</v>
      </c>
      <c r="H543">
        <v>53155</v>
      </c>
      <c r="I543" t="s">
        <v>3820</v>
      </c>
    </row>
    <row r="544" spans="1:9" x14ac:dyDescent="0.25">
      <c r="A544" t="s">
        <v>3817</v>
      </c>
      <c r="B544" t="s">
        <v>4767</v>
      </c>
      <c r="C544" t="s">
        <v>3821</v>
      </c>
      <c r="D544">
        <v>37.029892169999997</v>
      </c>
      <c r="E544" t="s">
        <v>3818</v>
      </c>
      <c r="F544">
        <v>117.8955426</v>
      </c>
      <c r="G544" t="s">
        <v>3819</v>
      </c>
      <c r="H544">
        <v>51207</v>
      </c>
      <c r="I544" t="s">
        <v>3820</v>
      </c>
    </row>
    <row r="545" spans="1:9" x14ac:dyDescent="0.25">
      <c r="A545" t="s">
        <v>3817</v>
      </c>
      <c r="B545" t="s">
        <v>4101</v>
      </c>
      <c r="C545" t="s">
        <v>3821</v>
      </c>
      <c r="D545">
        <v>36.369602460000003</v>
      </c>
      <c r="E545" t="s">
        <v>3818</v>
      </c>
      <c r="F545">
        <v>116.77749</v>
      </c>
      <c r="G545" t="s">
        <v>3819</v>
      </c>
      <c r="H545">
        <v>25670</v>
      </c>
      <c r="I545" t="s">
        <v>3820</v>
      </c>
    </row>
    <row r="546" spans="1:9" x14ac:dyDescent="0.25">
      <c r="A546" t="s">
        <v>3817</v>
      </c>
      <c r="B546" t="s">
        <v>3848</v>
      </c>
      <c r="C546" t="s">
        <v>3821</v>
      </c>
      <c r="D546">
        <v>38.076005629999997</v>
      </c>
      <c r="E546" t="s">
        <v>3818</v>
      </c>
      <c r="F546">
        <v>117.9246582</v>
      </c>
      <c r="G546" t="s">
        <v>3819</v>
      </c>
      <c r="H546">
        <v>26960</v>
      </c>
      <c r="I546" t="s">
        <v>3820</v>
      </c>
    </row>
    <row r="547" spans="1:9" x14ac:dyDescent="0.25">
      <c r="A547" t="s">
        <v>3817</v>
      </c>
      <c r="B547" t="s">
        <v>6699</v>
      </c>
      <c r="C547" t="s">
        <v>3821</v>
      </c>
      <c r="D547">
        <v>37.024350550000001</v>
      </c>
      <c r="E547" t="s">
        <v>3818</v>
      </c>
      <c r="F547">
        <v>117.38747979999999</v>
      </c>
      <c r="G547" t="s">
        <v>3819</v>
      </c>
      <c r="H547">
        <v>41766</v>
      </c>
      <c r="I547" t="s">
        <v>3820</v>
      </c>
    </row>
    <row r="548" spans="1:9" x14ac:dyDescent="0.25">
      <c r="A548" t="s">
        <v>3817</v>
      </c>
      <c r="B548" t="s">
        <v>6700</v>
      </c>
      <c r="C548" t="s">
        <v>3821</v>
      </c>
      <c r="D548">
        <v>35.03521155</v>
      </c>
      <c r="E548" t="s">
        <v>3818</v>
      </c>
      <c r="F548">
        <v>115.09663879999999</v>
      </c>
      <c r="G548" t="s">
        <v>3819</v>
      </c>
      <c r="H548">
        <v>37665</v>
      </c>
      <c r="I548" t="s">
        <v>3820</v>
      </c>
    </row>
    <row r="549" spans="1:9" x14ac:dyDescent="0.25">
      <c r="A549" t="s">
        <v>3817</v>
      </c>
      <c r="B549" t="s">
        <v>6701</v>
      </c>
      <c r="C549" t="s">
        <v>3821</v>
      </c>
      <c r="D549">
        <v>34.609885169999998</v>
      </c>
      <c r="E549" t="s">
        <v>3818</v>
      </c>
      <c r="F549">
        <v>118.2699581</v>
      </c>
      <c r="G549" t="s">
        <v>3819</v>
      </c>
      <c r="H549">
        <v>74766</v>
      </c>
      <c r="I549" t="s">
        <v>3820</v>
      </c>
    </row>
    <row r="550" spans="1:9" x14ac:dyDescent="0.25">
      <c r="A550" t="s">
        <v>3817</v>
      </c>
      <c r="B550" t="s">
        <v>4157</v>
      </c>
      <c r="C550" t="s">
        <v>3821</v>
      </c>
      <c r="D550">
        <v>35.776373399999997</v>
      </c>
      <c r="E550" t="s">
        <v>3818</v>
      </c>
      <c r="F550">
        <v>116.0237305</v>
      </c>
      <c r="G550" t="s">
        <v>3819</v>
      </c>
      <c r="H550">
        <v>30916</v>
      </c>
      <c r="I550" t="s">
        <v>3820</v>
      </c>
    </row>
    <row r="551" spans="1:9" x14ac:dyDescent="0.25">
      <c r="A551" t="s">
        <v>3817</v>
      </c>
      <c r="B551" t="s">
        <v>4348</v>
      </c>
      <c r="C551" t="s">
        <v>3821</v>
      </c>
      <c r="D551">
        <v>36.075294309999997</v>
      </c>
      <c r="E551" t="s">
        <v>3818</v>
      </c>
      <c r="F551">
        <v>118.7332081</v>
      </c>
      <c r="G551" t="s">
        <v>3819</v>
      </c>
      <c r="H551">
        <v>60050</v>
      </c>
      <c r="I551" t="s">
        <v>3820</v>
      </c>
    </row>
    <row r="552" spans="1:9" x14ac:dyDescent="0.25">
      <c r="A552" t="s">
        <v>3817</v>
      </c>
      <c r="B552" t="s">
        <v>4349</v>
      </c>
      <c r="C552" t="s">
        <v>3821</v>
      </c>
      <c r="D552">
        <v>35.992859879999997</v>
      </c>
      <c r="E552" t="s">
        <v>3818</v>
      </c>
      <c r="F552">
        <v>116.9959272</v>
      </c>
      <c r="G552" t="s">
        <v>3819</v>
      </c>
      <c r="H552">
        <v>47272</v>
      </c>
      <c r="I552" t="s">
        <v>3820</v>
      </c>
    </row>
    <row r="553" spans="1:9" x14ac:dyDescent="0.25">
      <c r="A553" t="s">
        <v>3817</v>
      </c>
      <c r="B553" t="s">
        <v>4349</v>
      </c>
      <c r="C553" t="s">
        <v>3821</v>
      </c>
      <c r="D553">
        <v>35.14162554</v>
      </c>
      <c r="E553" t="s">
        <v>3818</v>
      </c>
      <c r="F553">
        <v>117.9805327</v>
      </c>
      <c r="G553" t="s">
        <v>3819</v>
      </c>
      <c r="H553">
        <v>51721</v>
      </c>
      <c r="I553" t="s">
        <v>3820</v>
      </c>
    </row>
    <row r="554" spans="1:9" x14ac:dyDescent="0.25">
      <c r="A554" t="s">
        <v>3817</v>
      </c>
      <c r="B554" t="s">
        <v>4102</v>
      </c>
      <c r="C554" t="s">
        <v>3821</v>
      </c>
      <c r="D554">
        <v>36.237491609999999</v>
      </c>
      <c r="E554" t="s">
        <v>3818</v>
      </c>
      <c r="F554">
        <v>116.3651642</v>
      </c>
      <c r="G554" t="s">
        <v>3819</v>
      </c>
      <c r="H554">
        <v>35598</v>
      </c>
      <c r="I554" t="s">
        <v>3820</v>
      </c>
    </row>
    <row r="555" spans="1:9" x14ac:dyDescent="0.25">
      <c r="A555" t="s">
        <v>3817</v>
      </c>
      <c r="B555" t="s">
        <v>4255</v>
      </c>
      <c r="C555" t="s">
        <v>3821</v>
      </c>
      <c r="D555">
        <v>36.115974540000003</v>
      </c>
      <c r="E555" t="s">
        <v>3818</v>
      </c>
      <c r="F555">
        <v>115.5448997</v>
      </c>
      <c r="G555" t="s">
        <v>3819</v>
      </c>
      <c r="H555">
        <v>46584</v>
      </c>
      <c r="I555" t="s">
        <v>3820</v>
      </c>
    </row>
    <row r="556" spans="1:9" x14ac:dyDescent="0.25">
      <c r="A556" t="s">
        <v>3817</v>
      </c>
      <c r="B556" t="s">
        <v>4158</v>
      </c>
      <c r="C556" t="s">
        <v>3821</v>
      </c>
      <c r="D556">
        <v>35.473914049999998</v>
      </c>
      <c r="E556" t="s">
        <v>3818</v>
      </c>
      <c r="F556">
        <v>116.1938128</v>
      </c>
      <c r="G556" t="s">
        <v>3819</v>
      </c>
      <c r="H556">
        <v>37751</v>
      </c>
      <c r="I556" t="s">
        <v>3820</v>
      </c>
    </row>
    <row r="557" spans="1:9" x14ac:dyDescent="0.25">
      <c r="A557" t="s">
        <v>3817</v>
      </c>
      <c r="B557" t="s">
        <v>4043</v>
      </c>
      <c r="C557" t="s">
        <v>3821</v>
      </c>
      <c r="D557">
        <v>35.18119884</v>
      </c>
      <c r="E557" t="s">
        <v>3818</v>
      </c>
      <c r="F557">
        <v>115.75460200000001</v>
      </c>
      <c r="G557" t="s">
        <v>3819</v>
      </c>
      <c r="H557">
        <v>35301</v>
      </c>
      <c r="I557" t="s">
        <v>3820</v>
      </c>
    </row>
    <row r="558" spans="1:9" x14ac:dyDescent="0.25">
      <c r="A558" t="s">
        <v>3817</v>
      </c>
      <c r="B558" t="s">
        <v>4768</v>
      </c>
      <c r="C558" t="s">
        <v>3821</v>
      </c>
      <c r="D558">
        <v>36.71887976</v>
      </c>
      <c r="E558" t="s">
        <v>3818</v>
      </c>
      <c r="F558">
        <v>117.89170559999999</v>
      </c>
      <c r="G558" t="s">
        <v>3819</v>
      </c>
      <c r="H558">
        <v>27815</v>
      </c>
      <c r="I558" t="s">
        <v>3820</v>
      </c>
    </row>
    <row r="559" spans="1:9" x14ac:dyDescent="0.25">
      <c r="A559" t="s">
        <v>3817</v>
      </c>
      <c r="B559" t="s">
        <v>3914</v>
      </c>
      <c r="C559" t="s">
        <v>3821</v>
      </c>
      <c r="D559">
        <v>37.168556010000003</v>
      </c>
      <c r="E559" t="s">
        <v>3818</v>
      </c>
      <c r="F559">
        <v>116.9882104</v>
      </c>
      <c r="G559" t="s">
        <v>3819</v>
      </c>
      <c r="H559">
        <v>41060</v>
      </c>
      <c r="I559" t="s">
        <v>3820</v>
      </c>
    </row>
    <row r="560" spans="1:9" x14ac:dyDescent="0.25">
      <c r="A560" t="s">
        <v>3817</v>
      </c>
      <c r="B560" t="s">
        <v>4726</v>
      </c>
      <c r="C560" t="s">
        <v>3821</v>
      </c>
      <c r="D560">
        <v>34.91276354</v>
      </c>
      <c r="E560" t="s">
        <v>3818</v>
      </c>
      <c r="F560">
        <v>117.649846</v>
      </c>
      <c r="G560" t="s">
        <v>3819</v>
      </c>
      <c r="H560">
        <v>30184</v>
      </c>
      <c r="I560" t="s">
        <v>3820</v>
      </c>
    </row>
    <row r="561" spans="1:9" x14ac:dyDescent="0.25">
      <c r="A561" t="s">
        <v>3817</v>
      </c>
      <c r="B561" t="s">
        <v>3915</v>
      </c>
      <c r="C561" t="s">
        <v>3821</v>
      </c>
      <c r="D561">
        <v>37.452521130000001</v>
      </c>
      <c r="E561" t="s">
        <v>3818</v>
      </c>
      <c r="F561">
        <v>116.8448726</v>
      </c>
      <c r="G561" t="s">
        <v>3819</v>
      </c>
      <c r="H561">
        <v>47903</v>
      </c>
      <c r="I561" t="s">
        <v>3820</v>
      </c>
    </row>
    <row r="562" spans="1:9" x14ac:dyDescent="0.25">
      <c r="A562" t="s">
        <v>3817</v>
      </c>
      <c r="B562" t="s">
        <v>4159</v>
      </c>
      <c r="C562" t="s">
        <v>3821</v>
      </c>
      <c r="D562">
        <v>35.608170639999997</v>
      </c>
      <c r="E562" t="s">
        <v>3818</v>
      </c>
      <c r="F562">
        <v>117.40115779999999</v>
      </c>
      <c r="G562" t="s">
        <v>3819</v>
      </c>
      <c r="H562">
        <v>44700</v>
      </c>
      <c r="I562" t="s">
        <v>3820</v>
      </c>
    </row>
    <row r="563" spans="1:9" x14ac:dyDescent="0.25">
      <c r="A563" t="s">
        <v>3817</v>
      </c>
      <c r="B563" t="s">
        <v>4664</v>
      </c>
      <c r="C563" t="s">
        <v>3821</v>
      </c>
      <c r="D563">
        <v>37.360638590000001</v>
      </c>
      <c r="E563" t="s">
        <v>3818</v>
      </c>
      <c r="F563">
        <v>121.0801318</v>
      </c>
      <c r="G563" t="s">
        <v>3819</v>
      </c>
      <c r="H563">
        <v>17795</v>
      </c>
      <c r="I563" t="s">
        <v>3820</v>
      </c>
    </row>
    <row r="564" spans="1:9" x14ac:dyDescent="0.25">
      <c r="A564" t="s">
        <v>3817</v>
      </c>
      <c r="B564" t="s">
        <v>4103</v>
      </c>
      <c r="C564" t="s">
        <v>3821</v>
      </c>
      <c r="D564">
        <v>36.316110999999999</v>
      </c>
      <c r="E564" t="s">
        <v>3818</v>
      </c>
      <c r="F564">
        <v>117.794167</v>
      </c>
      <c r="G564" t="s">
        <v>3819</v>
      </c>
      <c r="H564">
        <v>47195</v>
      </c>
      <c r="I564" t="s">
        <v>3820</v>
      </c>
    </row>
    <row r="565" spans="1:9" x14ac:dyDescent="0.25">
      <c r="A565" t="s">
        <v>3817</v>
      </c>
      <c r="B565" t="s">
        <v>4350</v>
      </c>
      <c r="C565" t="s">
        <v>3821</v>
      </c>
      <c r="D565">
        <v>34.749025459999999</v>
      </c>
      <c r="E565" t="s">
        <v>3818</v>
      </c>
      <c r="F565">
        <v>118.3421804</v>
      </c>
      <c r="G565" t="s">
        <v>3819</v>
      </c>
      <c r="H565">
        <v>45356</v>
      </c>
      <c r="I565" t="s">
        <v>3820</v>
      </c>
    </row>
    <row r="566" spans="1:9" x14ac:dyDescent="0.25">
      <c r="A566" t="s">
        <v>3817</v>
      </c>
      <c r="B566" t="s">
        <v>4561</v>
      </c>
      <c r="C566" t="s">
        <v>3821</v>
      </c>
      <c r="D566">
        <v>36.56034726</v>
      </c>
      <c r="E566" t="s">
        <v>3818</v>
      </c>
      <c r="F566">
        <v>118.2412163</v>
      </c>
      <c r="G566" t="s">
        <v>3819</v>
      </c>
      <c r="H566">
        <v>38147</v>
      </c>
      <c r="I566" t="s">
        <v>3820</v>
      </c>
    </row>
    <row r="567" spans="1:9" x14ac:dyDescent="0.25">
      <c r="A567" t="s">
        <v>3817</v>
      </c>
      <c r="B567" t="s">
        <v>4562</v>
      </c>
      <c r="C567" t="s">
        <v>3821</v>
      </c>
      <c r="D567">
        <v>36.594826470000001</v>
      </c>
      <c r="E567" t="s">
        <v>3818</v>
      </c>
      <c r="F567">
        <v>118.52235520000001</v>
      </c>
      <c r="G567" t="s">
        <v>3819</v>
      </c>
      <c r="H567">
        <v>49545</v>
      </c>
      <c r="I567" t="s">
        <v>3820</v>
      </c>
    </row>
    <row r="568" spans="1:9" x14ac:dyDescent="0.25">
      <c r="A568" t="s">
        <v>3817</v>
      </c>
      <c r="B568" t="s">
        <v>4426</v>
      </c>
      <c r="C568" t="s">
        <v>3821</v>
      </c>
      <c r="D568">
        <v>36.746827949999997</v>
      </c>
      <c r="E568" t="s">
        <v>3818</v>
      </c>
      <c r="F568">
        <v>119.6261073</v>
      </c>
      <c r="G568" t="s">
        <v>3819</v>
      </c>
      <c r="H568">
        <v>53926</v>
      </c>
      <c r="I568" t="s">
        <v>3820</v>
      </c>
    </row>
    <row r="569" spans="1:9" x14ac:dyDescent="0.25">
      <c r="A569" t="s">
        <v>3817</v>
      </c>
      <c r="B569" t="s">
        <v>3849</v>
      </c>
      <c r="C569" t="s">
        <v>3821</v>
      </c>
      <c r="D569">
        <v>36.93084494</v>
      </c>
      <c r="E569" t="s">
        <v>3818</v>
      </c>
      <c r="F569">
        <v>117.6128331</v>
      </c>
      <c r="G569" t="s">
        <v>3819</v>
      </c>
      <c r="H569">
        <v>35287</v>
      </c>
      <c r="I569" t="s">
        <v>3820</v>
      </c>
    </row>
    <row r="570" spans="1:9" x14ac:dyDescent="0.25">
      <c r="A570" t="s">
        <v>3817</v>
      </c>
      <c r="B570" t="s">
        <v>4602</v>
      </c>
      <c r="C570" t="s">
        <v>3821</v>
      </c>
      <c r="D570">
        <v>37.160955340000001</v>
      </c>
      <c r="E570" t="s">
        <v>3818</v>
      </c>
      <c r="F570">
        <v>121.9349237</v>
      </c>
      <c r="G570" t="s">
        <v>3819</v>
      </c>
      <c r="H570">
        <v>25428</v>
      </c>
      <c r="I570" t="s">
        <v>3820</v>
      </c>
    </row>
    <row r="571" spans="1:9" x14ac:dyDescent="0.25">
      <c r="A571" t="s">
        <v>3817</v>
      </c>
      <c r="B571" t="s">
        <v>4351</v>
      </c>
      <c r="C571" t="s">
        <v>3821</v>
      </c>
      <c r="D571">
        <v>34.80363861</v>
      </c>
      <c r="E571" t="s">
        <v>3818</v>
      </c>
      <c r="F571">
        <v>118.139315</v>
      </c>
      <c r="G571" t="s">
        <v>3819</v>
      </c>
      <c r="H571">
        <v>65691</v>
      </c>
      <c r="I571" t="s">
        <v>3820</v>
      </c>
    </row>
    <row r="572" spans="1:9" x14ac:dyDescent="0.25">
      <c r="A572" t="s">
        <v>3817</v>
      </c>
      <c r="B572" t="s">
        <v>4769</v>
      </c>
      <c r="C572" t="s">
        <v>3821</v>
      </c>
      <c r="D572">
        <v>37.232572679999997</v>
      </c>
      <c r="E572" t="s">
        <v>3818</v>
      </c>
      <c r="F572">
        <v>117.69157559999999</v>
      </c>
      <c r="G572" t="s">
        <v>3819</v>
      </c>
      <c r="H572">
        <v>30794</v>
      </c>
      <c r="I572" t="s">
        <v>3820</v>
      </c>
    </row>
    <row r="573" spans="1:9" x14ac:dyDescent="0.25">
      <c r="A573" t="s">
        <v>3817</v>
      </c>
      <c r="B573" t="s">
        <v>4727</v>
      </c>
      <c r="C573" t="s">
        <v>3821</v>
      </c>
      <c r="D573">
        <v>35.005500050000002</v>
      </c>
      <c r="E573" t="s">
        <v>3818</v>
      </c>
      <c r="F573">
        <v>117.2784013</v>
      </c>
      <c r="G573" t="s">
        <v>3819</v>
      </c>
      <c r="H573">
        <v>44234</v>
      </c>
      <c r="I573" t="s">
        <v>3820</v>
      </c>
    </row>
    <row r="574" spans="1:9" x14ac:dyDescent="0.25">
      <c r="A574" t="s">
        <v>3817</v>
      </c>
      <c r="B574" t="s">
        <v>4665</v>
      </c>
      <c r="C574" t="s">
        <v>3821</v>
      </c>
      <c r="D574">
        <v>37.075233699999998</v>
      </c>
      <c r="E574" t="s">
        <v>3818</v>
      </c>
      <c r="F574">
        <v>120.79706229999999</v>
      </c>
      <c r="G574" t="s">
        <v>3819</v>
      </c>
      <c r="H574">
        <v>63130</v>
      </c>
      <c r="I574" t="s">
        <v>3820</v>
      </c>
    </row>
    <row r="575" spans="1:9" x14ac:dyDescent="0.25">
      <c r="A575" t="s">
        <v>3817</v>
      </c>
      <c r="B575" t="s">
        <v>3916</v>
      </c>
      <c r="C575" t="s">
        <v>3821</v>
      </c>
      <c r="D575">
        <v>36.912346280000001</v>
      </c>
      <c r="E575" t="s">
        <v>3818</v>
      </c>
      <c r="F575">
        <v>116.02854019999999</v>
      </c>
      <c r="G575" t="s">
        <v>3819</v>
      </c>
      <c r="H575">
        <v>39507</v>
      </c>
      <c r="I575" t="s">
        <v>3820</v>
      </c>
    </row>
    <row r="576" spans="1:9" x14ac:dyDescent="0.25">
      <c r="A576" t="s">
        <v>3817</v>
      </c>
      <c r="B576" t="s">
        <v>4427</v>
      </c>
      <c r="C576" t="s">
        <v>3821</v>
      </c>
      <c r="D576">
        <v>36.570899240000003</v>
      </c>
      <c r="E576" t="s">
        <v>3818</v>
      </c>
      <c r="F576">
        <v>120.0585943</v>
      </c>
      <c r="G576" t="s">
        <v>3819</v>
      </c>
      <c r="H576">
        <v>124210</v>
      </c>
      <c r="I576" t="s">
        <v>3820</v>
      </c>
    </row>
    <row r="577" spans="1:9" x14ac:dyDescent="0.25">
      <c r="A577" t="s">
        <v>3817</v>
      </c>
      <c r="B577" t="s">
        <v>4770</v>
      </c>
      <c r="C577" t="s">
        <v>3821</v>
      </c>
      <c r="D577">
        <v>36.744167859999997</v>
      </c>
      <c r="E577" t="s">
        <v>3818</v>
      </c>
      <c r="F577">
        <v>118.04934129999999</v>
      </c>
      <c r="G577" t="s">
        <v>3819</v>
      </c>
      <c r="H577">
        <v>90448</v>
      </c>
      <c r="I577" t="s">
        <v>3820</v>
      </c>
    </row>
    <row r="578" spans="1:9" x14ac:dyDescent="0.25">
      <c r="A578" t="s">
        <v>3817</v>
      </c>
      <c r="B578" t="s">
        <v>4458</v>
      </c>
      <c r="C578" t="s">
        <v>3821</v>
      </c>
      <c r="D578">
        <v>35.507752359999998</v>
      </c>
      <c r="E578" t="s">
        <v>3818</v>
      </c>
      <c r="F578">
        <v>119.3685471</v>
      </c>
      <c r="G578" t="s">
        <v>3819</v>
      </c>
      <c r="H578">
        <v>61034</v>
      </c>
      <c r="I578" t="s">
        <v>3820</v>
      </c>
    </row>
    <row r="579" spans="1:9" x14ac:dyDescent="0.25">
      <c r="A579" t="s">
        <v>3817</v>
      </c>
      <c r="B579" t="s">
        <v>4603</v>
      </c>
      <c r="C579" t="s">
        <v>3821</v>
      </c>
      <c r="D579">
        <v>36.961027880000003</v>
      </c>
      <c r="E579" t="s">
        <v>3818</v>
      </c>
      <c r="F579">
        <v>121.7761422</v>
      </c>
      <c r="G579" t="s">
        <v>3819</v>
      </c>
      <c r="H579">
        <v>23500</v>
      </c>
      <c r="I579" t="s">
        <v>3820</v>
      </c>
    </row>
    <row r="580" spans="1:9" x14ac:dyDescent="0.25">
      <c r="A580" t="s">
        <v>3817</v>
      </c>
      <c r="B580" t="s">
        <v>4771</v>
      </c>
      <c r="C580" t="s">
        <v>3821</v>
      </c>
      <c r="D580">
        <v>36.766802519999999</v>
      </c>
      <c r="E580" t="s">
        <v>3818</v>
      </c>
      <c r="F580">
        <v>117.9012602</v>
      </c>
      <c r="G580" t="s">
        <v>3819</v>
      </c>
      <c r="H580">
        <v>38155</v>
      </c>
      <c r="I580" t="s">
        <v>3820</v>
      </c>
    </row>
    <row r="581" spans="1:9" x14ac:dyDescent="0.25">
      <c r="A581" t="s">
        <v>3817</v>
      </c>
      <c r="B581" t="s">
        <v>4772</v>
      </c>
      <c r="C581" t="s">
        <v>3821</v>
      </c>
      <c r="D581">
        <v>36.286004890000001</v>
      </c>
      <c r="E581" t="s">
        <v>3818</v>
      </c>
      <c r="F581">
        <v>118.1459356</v>
      </c>
      <c r="G581" t="s">
        <v>3819</v>
      </c>
      <c r="H581">
        <v>35214</v>
      </c>
      <c r="I581" t="s">
        <v>3820</v>
      </c>
    </row>
    <row r="582" spans="1:9" x14ac:dyDescent="0.25">
      <c r="A582" t="s">
        <v>3817</v>
      </c>
      <c r="B582" t="s">
        <v>4352</v>
      </c>
      <c r="C582" t="s">
        <v>3821</v>
      </c>
      <c r="D582">
        <v>34.709616969999999</v>
      </c>
      <c r="E582" t="s">
        <v>3818</v>
      </c>
      <c r="F582">
        <v>117.9745849</v>
      </c>
      <c r="G582" t="s">
        <v>3819</v>
      </c>
      <c r="H582">
        <v>57732</v>
      </c>
      <c r="I582" t="s">
        <v>3820</v>
      </c>
    </row>
    <row r="583" spans="1:9" x14ac:dyDescent="0.25">
      <c r="A583" t="s">
        <v>3817</v>
      </c>
      <c r="B583" t="s">
        <v>4728</v>
      </c>
      <c r="C583" t="s">
        <v>3821</v>
      </c>
      <c r="D583">
        <v>35.012329039999997</v>
      </c>
      <c r="E583" t="s">
        <v>3818</v>
      </c>
      <c r="F583">
        <v>117.2099991</v>
      </c>
      <c r="G583" t="s">
        <v>3819</v>
      </c>
      <c r="H583">
        <v>44289</v>
      </c>
      <c r="I583" t="s">
        <v>3820</v>
      </c>
    </row>
    <row r="584" spans="1:9" x14ac:dyDescent="0.25">
      <c r="A584" t="s">
        <v>3817</v>
      </c>
      <c r="B584" t="s">
        <v>4428</v>
      </c>
      <c r="C584" t="s">
        <v>3821</v>
      </c>
      <c r="D584">
        <v>37.055185979999997</v>
      </c>
      <c r="E584" t="s">
        <v>3818</v>
      </c>
      <c r="F584">
        <v>120.30073470000001</v>
      </c>
      <c r="G584" t="s">
        <v>3819</v>
      </c>
      <c r="H584">
        <v>40188</v>
      </c>
      <c r="I584" t="s">
        <v>3820</v>
      </c>
    </row>
    <row r="585" spans="1:9" x14ac:dyDescent="0.25">
      <c r="A585" t="s">
        <v>3817</v>
      </c>
      <c r="B585" t="s">
        <v>4160</v>
      </c>
      <c r="C585" t="s">
        <v>3821</v>
      </c>
      <c r="D585">
        <v>35.572088239999999</v>
      </c>
      <c r="E585" t="s">
        <v>3818</v>
      </c>
      <c r="F585">
        <v>116.3785479</v>
      </c>
      <c r="G585" t="s">
        <v>3819</v>
      </c>
      <c r="H585">
        <v>52452</v>
      </c>
      <c r="I585" t="s">
        <v>3820</v>
      </c>
    </row>
    <row r="586" spans="1:9" x14ac:dyDescent="0.25">
      <c r="A586" t="s">
        <v>3817</v>
      </c>
      <c r="B586" t="s">
        <v>4044</v>
      </c>
      <c r="C586" t="s">
        <v>3821</v>
      </c>
      <c r="D586">
        <v>35.016836750000003</v>
      </c>
      <c r="E586" t="s">
        <v>3818</v>
      </c>
      <c r="F586">
        <v>115.5740945</v>
      </c>
      <c r="G586" t="s">
        <v>3819</v>
      </c>
      <c r="H586">
        <v>24514</v>
      </c>
      <c r="I586" t="s">
        <v>3820</v>
      </c>
    </row>
    <row r="587" spans="1:9" x14ac:dyDescent="0.25">
      <c r="A587" t="s">
        <v>3817</v>
      </c>
      <c r="B587" t="s">
        <v>4161</v>
      </c>
      <c r="C587" t="s">
        <v>3821</v>
      </c>
      <c r="D587">
        <v>35.050526810000001</v>
      </c>
      <c r="E587" t="s">
        <v>3818</v>
      </c>
      <c r="F587">
        <v>116.73971419999999</v>
      </c>
      <c r="G587" t="s">
        <v>3819</v>
      </c>
      <c r="H587">
        <v>24467</v>
      </c>
      <c r="I587" t="s">
        <v>3820</v>
      </c>
    </row>
    <row r="588" spans="1:9" x14ac:dyDescent="0.25">
      <c r="A588" t="s">
        <v>3817</v>
      </c>
      <c r="B588" t="s">
        <v>4045</v>
      </c>
      <c r="C588" t="s">
        <v>3821</v>
      </c>
      <c r="D588">
        <v>35.402641770000002</v>
      </c>
      <c r="E588" t="s">
        <v>3818</v>
      </c>
      <c r="F588">
        <v>115.9120442</v>
      </c>
      <c r="G588" t="s">
        <v>3819</v>
      </c>
      <c r="H588">
        <v>35051</v>
      </c>
      <c r="I588" t="s">
        <v>3820</v>
      </c>
    </row>
    <row r="589" spans="1:9" x14ac:dyDescent="0.25">
      <c r="A589" t="s">
        <v>3817</v>
      </c>
      <c r="B589" t="s">
        <v>4729</v>
      </c>
      <c r="C589" t="s">
        <v>3821</v>
      </c>
      <c r="D589">
        <v>34.67351318</v>
      </c>
      <c r="E589" t="s">
        <v>3818</v>
      </c>
      <c r="F589">
        <v>117.6930547</v>
      </c>
      <c r="G589" t="s">
        <v>3819</v>
      </c>
      <c r="H589">
        <v>56533</v>
      </c>
      <c r="I589" t="s">
        <v>3820</v>
      </c>
    </row>
    <row r="590" spans="1:9" x14ac:dyDescent="0.25">
      <c r="A590" t="s">
        <v>3817</v>
      </c>
      <c r="B590" t="s">
        <v>4162</v>
      </c>
      <c r="C590" t="s">
        <v>3821</v>
      </c>
      <c r="D590">
        <v>35.50282</v>
      </c>
      <c r="E590" t="s">
        <v>3818</v>
      </c>
      <c r="F590">
        <v>117.1576343</v>
      </c>
      <c r="G590" t="s">
        <v>3819</v>
      </c>
      <c r="H590">
        <v>47677</v>
      </c>
      <c r="I590" t="s">
        <v>3820</v>
      </c>
    </row>
    <row r="591" spans="1:9" x14ac:dyDescent="0.25">
      <c r="A591" t="s">
        <v>3817</v>
      </c>
      <c r="B591" t="s">
        <v>4256</v>
      </c>
      <c r="C591" t="s">
        <v>3821</v>
      </c>
      <c r="D591">
        <v>36.400690840000003</v>
      </c>
      <c r="E591" t="s">
        <v>3818</v>
      </c>
      <c r="F591">
        <v>116.46105660000001</v>
      </c>
      <c r="G591" t="s">
        <v>3819</v>
      </c>
      <c r="H591">
        <v>42705</v>
      </c>
      <c r="I591" t="s">
        <v>3820</v>
      </c>
    </row>
    <row r="592" spans="1:9" x14ac:dyDescent="0.25">
      <c r="A592" t="s">
        <v>3817</v>
      </c>
      <c r="B592" t="s">
        <v>4104</v>
      </c>
      <c r="C592" t="s">
        <v>3821</v>
      </c>
      <c r="D592">
        <v>36.192740000000001</v>
      </c>
      <c r="E592" t="s">
        <v>3818</v>
      </c>
      <c r="F592">
        <v>117.53872</v>
      </c>
      <c r="G592" t="s">
        <v>3819</v>
      </c>
      <c r="H592">
        <v>65981</v>
      </c>
      <c r="I592" t="s">
        <v>3820</v>
      </c>
    </row>
    <row r="593" spans="1:9" x14ac:dyDescent="0.25">
      <c r="A593" t="s">
        <v>3817</v>
      </c>
      <c r="B593" t="s">
        <v>3967</v>
      </c>
      <c r="C593" t="s">
        <v>3821</v>
      </c>
      <c r="D593">
        <v>37.322169989999999</v>
      </c>
      <c r="E593" t="s">
        <v>3818</v>
      </c>
      <c r="F593">
        <v>118.44453249999999</v>
      </c>
      <c r="G593" t="s">
        <v>3819</v>
      </c>
      <c r="H593">
        <v>35021</v>
      </c>
      <c r="I593" t="s">
        <v>3820</v>
      </c>
    </row>
    <row r="594" spans="1:9" x14ac:dyDescent="0.25">
      <c r="A594" t="s">
        <v>3817</v>
      </c>
      <c r="B594" t="s">
        <v>3917</v>
      </c>
      <c r="C594" t="s">
        <v>3821</v>
      </c>
      <c r="D594">
        <v>36.641046160000002</v>
      </c>
      <c r="E594" t="s">
        <v>3818</v>
      </c>
      <c r="F594">
        <v>116.4743823</v>
      </c>
      <c r="G594" t="s">
        <v>3819</v>
      </c>
      <c r="H594">
        <v>48546</v>
      </c>
      <c r="I594" t="s">
        <v>3820</v>
      </c>
    </row>
    <row r="595" spans="1:9" x14ac:dyDescent="0.25">
      <c r="A595" t="s">
        <v>3817</v>
      </c>
      <c r="B595" t="s">
        <v>4046</v>
      </c>
      <c r="C595" t="s">
        <v>3821</v>
      </c>
      <c r="D595">
        <v>35.678325979999997</v>
      </c>
      <c r="E595" t="s">
        <v>3818</v>
      </c>
      <c r="F595">
        <v>115.93239629999999</v>
      </c>
      <c r="G595" t="s">
        <v>3819</v>
      </c>
      <c r="H595">
        <v>45446</v>
      </c>
      <c r="I595" t="s">
        <v>3820</v>
      </c>
    </row>
    <row r="596" spans="1:9" x14ac:dyDescent="0.25">
      <c r="A596" t="s">
        <v>3817</v>
      </c>
      <c r="B596" t="s">
        <v>3850</v>
      </c>
      <c r="C596" t="s">
        <v>3821</v>
      </c>
      <c r="D596">
        <v>37.229600009999999</v>
      </c>
      <c r="E596" t="s">
        <v>3818</v>
      </c>
      <c r="F596">
        <v>118.1181143</v>
      </c>
      <c r="G596" t="s">
        <v>3819</v>
      </c>
      <c r="H596">
        <v>24838</v>
      </c>
      <c r="I596" t="s">
        <v>3820</v>
      </c>
    </row>
    <row r="597" spans="1:9" x14ac:dyDescent="0.25">
      <c r="A597" t="s">
        <v>3817</v>
      </c>
      <c r="B597" t="s">
        <v>4666</v>
      </c>
      <c r="C597" t="s">
        <v>3821</v>
      </c>
      <c r="D597">
        <v>36.88182338</v>
      </c>
      <c r="E597" t="s">
        <v>3818</v>
      </c>
      <c r="F597">
        <v>121.2719318</v>
      </c>
      <c r="G597" t="s">
        <v>3819</v>
      </c>
      <c r="H597">
        <v>27572</v>
      </c>
      <c r="I597" t="s">
        <v>3820</v>
      </c>
    </row>
    <row r="598" spans="1:9" x14ac:dyDescent="0.25">
      <c r="A598" t="s">
        <v>3817</v>
      </c>
      <c r="B598" t="s">
        <v>4257</v>
      </c>
      <c r="C598" t="s">
        <v>3821</v>
      </c>
      <c r="D598">
        <v>36.68675812</v>
      </c>
      <c r="E598" t="s">
        <v>3818</v>
      </c>
      <c r="F598">
        <v>115.5158402</v>
      </c>
      <c r="G598" t="s">
        <v>3819</v>
      </c>
      <c r="H598">
        <v>34984</v>
      </c>
      <c r="I598" t="s">
        <v>3820</v>
      </c>
    </row>
    <row r="599" spans="1:9" x14ac:dyDescent="0.25">
      <c r="A599" t="s">
        <v>3817</v>
      </c>
      <c r="B599" t="s">
        <v>4047</v>
      </c>
      <c r="C599" t="s">
        <v>3821</v>
      </c>
      <c r="D599">
        <v>35.412812889999998</v>
      </c>
      <c r="E599" t="s">
        <v>3818</v>
      </c>
      <c r="F599">
        <v>115.5712527</v>
      </c>
      <c r="G599" t="s">
        <v>3819</v>
      </c>
      <c r="H599">
        <v>52541</v>
      </c>
      <c r="I599" t="s">
        <v>3820</v>
      </c>
    </row>
    <row r="600" spans="1:9" x14ac:dyDescent="0.25">
      <c r="A600" t="s">
        <v>3817</v>
      </c>
      <c r="B600" t="s">
        <v>4667</v>
      </c>
      <c r="C600" t="s">
        <v>3821</v>
      </c>
      <c r="D600">
        <v>37.28035663</v>
      </c>
      <c r="E600" t="s">
        <v>3818</v>
      </c>
      <c r="F600">
        <v>120.04774999999999</v>
      </c>
      <c r="G600" t="s">
        <v>3819</v>
      </c>
      <c r="H600">
        <v>41544</v>
      </c>
      <c r="I600" t="s">
        <v>3820</v>
      </c>
    </row>
    <row r="601" spans="1:9" x14ac:dyDescent="0.25">
      <c r="A601" t="s">
        <v>3817</v>
      </c>
      <c r="B601" t="s">
        <v>4353</v>
      </c>
      <c r="C601" t="s">
        <v>3821</v>
      </c>
      <c r="D601">
        <v>35.20523171</v>
      </c>
      <c r="E601" t="s">
        <v>3818</v>
      </c>
      <c r="F601">
        <v>119.0746822</v>
      </c>
      <c r="G601" t="s">
        <v>3819</v>
      </c>
      <c r="H601">
        <v>55658</v>
      </c>
      <c r="I601" t="s">
        <v>3820</v>
      </c>
    </row>
    <row r="602" spans="1:9" x14ac:dyDescent="0.25">
      <c r="A602" t="s">
        <v>3817</v>
      </c>
      <c r="B602" t="s">
        <v>4730</v>
      </c>
      <c r="C602" t="s">
        <v>3821</v>
      </c>
      <c r="D602">
        <v>34.59332792</v>
      </c>
      <c r="E602" t="s">
        <v>3818</v>
      </c>
      <c r="F602">
        <v>117.7675875</v>
      </c>
      <c r="G602" t="s">
        <v>3819</v>
      </c>
      <c r="H602">
        <v>26970</v>
      </c>
      <c r="I602" t="s">
        <v>3820</v>
      </c>
    </row>
    <row r="603" spans="1:9" x14ac:dyDescent="0.25">
      <c r="A603" t="s">
        <v>3817</v>
      </c>
      <c r="B603" t="s">
        <v>4429</v>
      </c>
      <c r="C603" t="s">
        <v>3821</v>
      </c>
      <c r="D603">
        <v>36.119679400000003</v>
      </c>
      <c r="E603" t="s">
        <v>3818</v>
      </c>
      <c r="F603">
        <v>119.70045159999999</v>
      </c>
      <c r="G603" t="s">
        <v>3819</v>
      </c>
      <c r="H603">
        <v>52563</v>
      </c>
      <c r="I603" t="s">
        <v>3820</v>
      </c>
    </row>
    <row r="604" spans="1:9" x14ac:dyDescent="0.25">
      <c r="A604" t="s">
        <v>3817</v>
      </c>
      <c r="B604" t="s">
        <v>4048</v>
      </c>
      <c r="C604" t="s">
        <v>3821</v>
      </c>
      <c r="D604">
        <v>34.921527660000002</v>
      </c>
      <c r="E604" t="s">
        <v>3818</v>
      </c>
      <c r="F604">
        <v>115.6017841</v>
      </c>
      <c r="G604" t="s">
        <v>3819</v>
      </c>
      <c r="H604">
        <v>33914</v>
      </c>
      <c r="I604" t="s">
        <v>3820</v>
      </c>
    </row>
    <row r="605" spans="1:9" x14ac:dyDescent="0.25">
      <c r="A605" t="s">
        <v>3817</v>
      </c>
      <c r="B605" t="s">
        <v>4354</v>
      </c>
      <c r="C605" t="s">
        <v>3821</v>
      </c>
      <c r="D605">
        <v>35.504822130000001</v>
      </c>
      <c r="E605" t="s">
        <v>3818</v>
      </c>
      <c r="F605">
        <v>118.6653427</v>
      </c>
      <c r="G605" t="s">
        <v>3819</v>
      </c>
      <c r="H605">
        <v>46171</v>
      </c>
      <c r="I605" t="s">
        <v>3820</v>
      </c>
    </row>
    <row r="606" spans="1:9" x14ac:dyDescent="0.25">
      <c r="A606" t="s">
        <v>3817</v>
      </c>
      <c r="B606" t="s">
        <v>3918</v>
      </c>
      <c r="C606" t="s">
        <v>3821</v>
      </c>
      <c r="D606">
        <v>37.110929169999999</v>
      </c>
      <c r="E606" t="s">
        <v>3818</v>
      </c>
      <c r="F606">
        <v>116.5317486</v>
      </c>
      <c r="G606" t="s">
        <v>3819</v>
      </c>
      <c r="H606">
        <v>47909</v>
      </c>
      <c r="I606" t="s">
        <v>3820</v>
      </c>
    </row>
    <row r="607" spans="1:9" x14ac:dyDescent="0.25">
      <c r="A607" t="s">
        <v>3817</v>
      </c>
      <c r="B607" t="s">
        <v>3919</v>
      </c>
      <c r="C607" t="s">
        <v>3821</v>
      </c>
      <c r="D607">
        <v>37.53776783</v>
      </c>
      <c r="E607" t="s">
        <v>3818</v>
      </c>
      <c r="F607">
        <v>116.6974148</v>
      </c>
      <c r="G607" t="s">
        <v>3819</v>
      </c>
      <c r="H607">
        <v>28236</v>
      </c>
      <c r="I607" t="s">
        <v>3820</v>
      </c>
    </row>
    <row r="608" spans="1:9" x14ac:dyDescent="0.25">
      <c r="A608" t="s">
        <v>3817</v>
      </c>
      <c r="B608" t="s">
        <v>4563</v>
      </c>
      <c r="C608" t="s">
        <v>3821</v>
      </c>
      <c r="D608">
        <v>36.559155570000001</v>
      </c>
      <c r="E608" t="s">
        <v>3818</v>
      </c>
      <c r="F608">
        <v>118.8472696</v>
      </c>
      <c r="G608" t="s">
        <v>3819</v>
      </c>
      <c r="H608">
        <v>82467</v>
      </c>
      <c r="I608" t="s">
        <v>3820</v>
      </c>
    </row>
    <row r="609" spans="1:9" x14ac:dyDescent="0.25">
      <c r="A609" t="s">
        <v>3817</v>
      </c>
      <c r="B609" t="s">
        <v>4604</v>
      </c>
      <c r="C609" t="s">
        <v>3821</v>
      </c>
      <c r="D609">
        <v>37.313447940000003</v>
      </c>
      <c r="E609" t="s">
        <v>3818</v>
      </c>
      <c r="F609">
        <v>122.2739452</v>
      </c>
      <c r="G609" t="s">
        <v>3819</v>
      </c>
      <c r="H609">
        <v>28345</v>
      </c>
      <c r="I609" t="s">
        <v>3820</v>
      </c>
    </row>
    <row r="610" spans="1:9" x14ac:dyDescent="0.25">
      <c r="A610" t="s">
        <v>3817</v>
      </c>
      <c r="B610" t="s">
        <v>3851</v>
      </c>
      <c r="C610" t="s">
        <v>3821</v>
      </c>
      <c r="D610">
        <v>37.333809870000003</v>
      </c>
      <c r="E610" t="s">
        <v>3818</v>
      </c>
      <c r="F610">
        <v>118.1918191</v>
      </c>
      <c r="G610" t="s">
        <v>3819</v>
      </c>
      <c r="H610">
        <v>30314</v>
      </c>
      <c r="I610" t="s">
        <v>3820</v>
      </c>
    </row>
    <row r="611" spans="1:9" x14ac:dyDescent="0.25">
      <c r="A611" t="s">
        <v>3817</v>
      </c>
      <c r="B611" t="s">
        <v>4731</v>
      </c>
      <c r="C611" t="s">
        <v>3821</v>
      </c>
      <c r="D611">
        <v>34.906780959999999</v>
      </c>
      <c r="E611" t="s">
        <v>3818</v>
      </c>
      <c r="F611">
        <v>117.5308588</v>
      </c>
      <c r="G611" t="s">
        <v>3819</v>
      </c>
      <c r="H611">
        <v>72027</v>
      </c>
      <c r="I611" t="s">
        <v>3820</v>
      </c>
    </row>
    <row r="612" spans="1:9" x14ac:dyDescent="0.25">
      <c r="A612" t="s">
        <v>3817</v>
      </c>
      <c r="B612" t="s">
        <v>4773</v>
      </c>
      <c r="C612" t="s">
        <v>3821</v>
      </c>
      <c r="D612">
        <v>36.862050150000002</v>
      </c>
      <c r="E612" t="s">
        <v>3818</v>
      </c>
      <c r="F612">
        <v>118.3411815</v>
      </c>
      <c r="G612" t="s">
        <v>3819</v>
      </c>
      <c r="H612">
        <v>47367</v>
      </c>
      <c r="I612" t="s">
        <v>3820</v>
      </c>
    </row>
    <row r="613" spans="1:9" x14ac:dyDescent="0.25">
      <c r="A613" t="s">
        <v>3817</v>
      </c>
      <c r="B613" t="s">
        <v>4774</v>
      </c>
      <c r="C613" t="s">
        <v>3821</v>
      </c>
      <c r="D613">
        <v>37.058981750000001</v>
      </c>
      <c r="E613" t="s">
        <v>3818</v>
      </c>
      <c r="F613">
        <v>118.09176239999999</v>
      </c>
      <c r="G613" t="s">
        <v>3819</v>
      </c>
      <c r="H613">
        <v>52700</v>
      </c>
      <c r="I613" t="s">
        <v>3820</v>
      </c>
    </row>
    <row r="614" spans="1:9" x14ac:dyDescent="0.25">
      <c r="A614" t="s">
        <v>3817</v>
      </c>
      <c r="B614" t="s">
        <v>4258</v>
      </c>
      <c r="C614" t="s">
        <v>3821</v>
      </c>
      <c r="D614">
        <v>36.246187990000003</v>
      </c>
      <c r="E614" t="s">
        <v>3818</v>
      </c>
      <c r="F614">
        <v>116.0199477</v>
      </c>
      <c r="G614" t="s">
        <v>3819</v>
      </c>
      <c r="H614">
        <v>36208</v>
      </c>
      <c r="I614" t="s">
        <v>3820</v>
      </c>
    </row>
    <row r="615" spans="1:9" x14ac:dyDescent="0.25">
      <c r="A615" t="s">
        <v>3817</v>
      </c>
      <c r="B615" t="s">
        <v>4668</v>
      </c>
      <c r="C615" t="s">
        <v>3821</v>
      </c>
      <c r="D615">
        <v>37.5177592</v>
      </c>
      <c r="E615" t="s">
        <v>3818</v>
      </c>
      <c r="F615">
        <v>120.5988713</v>
      </c>
      <c r="G615" t="s">
        <v>3819</v>
      </c>
      <c r="H615">
        <v>24313</v>
      </c>
      <c r="I615" t="s">
        <v>3820</v>
      </c>
    </row>
    <row r="616" spans="1:9" x14ac:dyDescent="0.25">
      <c r="A616" t="s">
        <v>3817</v>
      </c>
      <c r="B616" t="s">
        <v>4049</v>
      </c>
      <c r="C616" t="s">
        <v>3821</v>
      </c>
      <c r="D616">
        <v>35.379895650000002</v>
      </c>
      <c r="E616" t="s">
        <v>3818</v>
      </c>
      <c r="F616">
        <v>116.1636548</v>
      </c>
      <c r="G616" t="s">
        <v>3819</v>
      </c>
      <c r="H616">
        <v>56147</v>
      </c>
      <c r="I616" t="s">
        <v>3820</v>
      </c>
    </row>
    <row r="617" spans="1:9" x14ac:dyDescent="0.25">
      <c r="A617" t="s">
        <v>3817</v>
      </c>
      <c r="B617" t="s">
        <v>4775</v>
      </c>
      <c r="C617" t="s">
        <v>3821</v>
      </c>
      <c r="D617">
        <v>37.182615120000001</v>
      </c>
      <c r="E617" t="s">
        <v>3818</v>
      </c>
      <c r="F617">
        <v>117.670804</v>
      </c>
      <c r="G617" t="s">
        <v>3819</v>
      </c>
      <c r="H617">
        <v>31961</v>
      </c>
      <c r="I617" t="s">
        <v>3820</v>
      </c>
    </row>
    <row r="618" spans="1:9" x14ac:dyDescent="0.25">
      <c r="A618" t="s">
        <v>3817</v>
      </c>
      <c r="B618" t="s">
        <v>4050</v>
      </c>
      <c r="C618" t="s">
        <v>3821</v>
      </c>
      <c r="D618">
        <v>34.97840995</v>
      </c>
      <c r="E618" t="s">
        <v>3818</v>
      </c>
      <c r="F618">
        <v>115.4857128</v>
      </c>
      <c r="G618" t="s">
        <v>3819</v>
      </c>
      <c r="H618">
        <v>45875</v>
      </c>
      <c r="I618" t="s">
        <v>3820</v>
      </c>
    </row>
    <row r="619" spans="1:9" x14ac:dyDescent="0.25">
      <c r="A619" t="s">
        <v>3817</v>
      </c>
      <c r="B619" t="s">
        <v>4051</v>
      </c>
      <c r="C619" t="s">
        <v>3821</v>
      </c>
      <c r="D619">
        <v>34.660556819999996</v>
      </c>
      <c r="E619" t="s">
        <v>3818</v>
      </c>
      <c r="F619">
        <v>115.766902</v>
      </c>
      <c r="G619" t="s">
        <v>3819</v>
      </c>
      <c r="H619">
        <v>84437</v>
      </c>
      <c r="I619" t="s">
        <v>3820</v>
      </c>
    </row>
    <row r="620" spans="1:9" x14ac:dyDescent="0.25">
      <c r="A620" t="s">
        <v>3817</v>
      </c>
      <c r="B620" t="s">
        <v>6702</v>
      </c>
      <c r="C620" t="s">
        <v>3821</v>
      </c>
      <c r="D620">
        <v>37.302126149999999</v>
      </c>
      <c r="E620" t="s">
        <v>3818</v>
      </c>
      <c r="F620">
        <v>117.6838249</v>
      </c>
      <c r="G620" t="s">
        <v>3819</v>
      </c>
      <c r="H620">
        <v>31609</v>
      </c>
      <c r="I620" t="s">
        <v>3820</v>
      </c>
    </row>
    <row r="621" spans="1:9" x14ac:dyDescent="0.25">
      <c r="A621" t="s">
        <v>3817</v>
      </c>
      <c r="B621" t="s">
        <v>6703</v>
      </c>
      <c r="C621" t="s">
        <v>3821</v>
      </c>
      <c r="D621">
        <v>35.093493860000002</v>
      </c>
      <c r="E621" t="s">
        <v>3818</v>
      </c>
      <c r="F621">
        <v>116.5101844</v>
      </c>
      <c r="G621" t="s">
        <v>3819</v>
      </c>
      <c r="H621">
        <v>40098</v>
      </c>
      <c r="I621" t="s">
        <v>3820</v>
      </c>
    </row>
    <row r="622" spans="1:9" x14ac:dyDescent="0.25">
      <c r="A622" t="s">
        <v>3817</v>
      </c>
      <c r="B622" t="s">
        <v>4259</v>
      </c>
      <c r="C622" t="s">
        <v>3821</v>
      </c>
      <c r="D622">
        <v>36.77013839</v>
      </c>
      <c r="E622" t="s">
        <v>3818</v>
      </c>
      <c r="F622">
        <v>116.0787504</v>
      </c>
      <c r="G622" t="s">
        <v>3819</v>
      </c>
      <c r="H622">
        <v>40258</v>
      </c>
      <c r="I622" t="s">
        <v>3820</v>
      </c>
    </row>
    <row r="623" spans="1:9" x14ac:dyDescent="0.25">
      <c r="A623" t="s">
        <v>3817</v>
      </c>
      <c r="B623" t="s">
        <v>4605</v>
      </c>
      <c r="C623" t="s">
        <v>3821</v>
      </c>
      <c r="D623">
        <v>37.279393630000001</v>
      </c>
      <c r="E623" t="s">
        <v>3818</v>
      </c>
      <c r="F623">
        <v>122.0202635</v>
      </c>
      <c r="G623" t="s">
        <v>3819</v>
      </c>
      <c r="H623">
        <v>39827</v>
      </c>
      <c r="I623" t="s">
        <v>3820</v>
      </c>
    </row>
    <row r="624" spans="1:9" x14ac:dyDescent="0.25">
      <c r="A624" t="s">
        <v>3817</v>
      </c>
      <c r="B624" t="s">
        <v>4260</v>
      </c>
      <c r="C624" t="s">
        <v>3821</v>
      </c>
      <c r="D624">
        <v>36.627303830000002</v>
      </c>
      <c r="E624" t="s">
        <v>3818</v>
      </c>
      <c r="F624">
        <v>115.5208662</v>
      </c>
      <c r="G624" t="s">
        <v>3819</v>
      </c>
      <c r="H624">
        <v>34403</v>
      </c>
      <c r="I624" t="s">
        <v>3820</v>
      </c>
    </row>
    <row r="625" spans="1:9" x14ac:dyDescent="0.25">
      <c r="A625" t="s">
        <v>3817</v>
      </c>
      <c r="B625" t="s">
        <v>4355</v>
      </c>
      <c r="C625" t="s">
        <v>3821</v>
      </c>
      <c r="D625">
        <v>35.385320329999999</v>
      </c>
      <c r="E625" t="s">
        <v>3818</v>
      </c>
      <c r="F625">
        <v>118.3263152</v>
      </c>
      <c r="G625" t="s">
        <v>3819</v>
      </c>
      <c r="H625">
        <v>55168</v>
      </c>
      <c r="I625" t="s">
        <v>3820</v>
      </c>
    </row>
    <row r="626" spans="1:9" x14ac:dyDescent="0.25">
      <c r="A626" t="s">
        <v>3817</v>
      </c>
      <c r="B626" t="s">
        <v>3852</v>
      </c>
      <c r="C626" t="s">
        <v>3821</v>
      </c>
      <c r="D626">
        <v>36.85799841</v>
      </c>
      <c r="E626" t="s">
        <v>3818</v>
      </c>
      <c r="F626">
        <v>117.6151043</v>
      </c>
      <c r="G626" t="s">
        <v>3819</v>
      </c>
      <c r="H626">
        <v>34944</v>
      </c>
      <c r="I626" t="s">
        <v>3820</v>
      </c>
    </row>
    <row r="627" spans="1:9" x14ac:dyDescent="0.25">
      <c r="A627" t="s">
        <v>3817</v>
      </c>
      <c r="B627" t="s">
        <v>3920</v>
      </c>
      <c r="C627" t="s">
        <v>3821</v>
      </c>
      <c r="D627">
        <v>37.80620235</v>
      </c>
      <c r="E627" t="s">
        <v>3818</v>
      </c>
      <c r="F627">
        <v>117.3765231</v>
      </c>
      <c r="G627" t="s">
        <v>3819</v>
      </c>
      <c r="H627">
        <v>36135</v>
      </c>
      <c r="I627" t="s">
        <v>3820</v>
      </c>
    </row>
    <row r="628" spans="1:9" x14ac:dyDescent="0.25">
      <c r="A628" t="s">
        <v>3817</v>
      </c>
      <c r="B628" t="s">
        <v>4356</v>
      </c>
      <c r="C628" t="s">
        <v>3821</v>
      </c>
      <c r="D628">
        <v>35.028185729999997</v>
      </c>
      <c r="E628" t="s">
        <v>3818</v>
      </c>
      <c r="F628">
        <v>118.6611937</v>
      </c>
      <c r="G628" t="s">
        <v>3819</v>
      </c>
      <c r="H628">
        <v>44881</v>
      </c>
      <c r="I628" t="s">
        <v>3820</v>
      </c>
    </row>
    <row r="629" spans="1:9" x14ac:dyDescent="0.25">
      <c r="A629" t="s">
        <v>3817</v>
      </c>
      <c r="B629" t="s">
        <v>6704</v>
      </c>
      <c r="C629" t="s">
        <v>3821</v>
      </c>
      <c r="D629">
        <v>35.875337649999999</v>
      </c>
      <c r="E629" t="s">
        <v>3818</v>
      </c>
      <c r="F629">
        <v>118.8660665</v>
      </c>
      <c r="G629" t="s">
        <v>3819</v>
      </c>
      <c r="H629">
        <v>59930</v>
      </c>
      <c r="I629" t="s">
        <v>3820</v>
      </c>
    </row>
    <row r="630" spans="1:9" x14ac:dyDescent="0.25">
      <c r="A630" t="s">
        <v>3817</v>
      </c>
      <c r="B630" t="s">
        <v>6705</v>
      </c>
      <c r="C630" t="s">
        <v>3821</v>
      </c>
      <c r="D630">
        <v>37.253991800000001</v>
      </c>
      <c r="E630" t="s">
        <v>3818</v>
      </c>
      <c r="F630">
        <v>120.3766184</v>
      </c>
      <c r="G630" t="s">
        <v>3819</v>
      </c>
      <c r="H630">
        <v>37865</v>
      </c>
      <c r="I630" t="s">
        <v>3820</v>
      </c>
    </row>
    <row r="631" spans="1:9" x14ac:dyDescent="0.25">
      <c r="A631" t="s">
        <v>3817</v>
      </c>
      <c r="B631" t="s">
        <v>4506</v>
      </c>
      <c r="C631" t="s">
        <v>3821</v>
      </c>
      <c r="D631">
        <v>36.156148969999997</v>
      </c>
      <c r="E631" t="s">
        <v>3818</v>
      </c>
      <c r="F631">
        <v>117.25790619999999</v>
      </c>
      <c r="G631" t="s">
        <v>3819</v>
      </c>
      <c r="H631">
        <v>62026</v>
      </c>
      <c r="I631" t="s">
        <v>3820</v>
      </c>
    </row>
    <row r="632" spans="1:9" x14ac:dyDescent="0.25">
      <c r="A632" t="s">
        <v>3817</v>
      </c>
      <c r="B632" t="s">
        <v>4507</v>
      </c>
      <c r="C632" t="s">
        <v>3821</v>
      </c>
      <c r="D632">
        <v>36.009366849999999</v>
      </c>
      <c r="E632" t="s">
        <v>3818</v>
      </c>
      <c r="F632">
        <v>117.6699074</v>
      </c>
      <c r="G632" t="s">
        <v>3819</v>
      </c>
      <c r="H632">
        <v>48511</v>
      </c>
      <c r="I632" t="s">
        <v>3820</v>
      </c>
    </row>
    <row r="633" spans="1:9" x14ac:dyDescent="0.25">
      <c r="A633" t="s">
        <v>3817</v>
      </c>
      <c r="B633" t="s">
        <v>4163</v>
      </c>
      <c r="C633" t="s">
        <v>3821</v>
      </c>
      <c r="D633">
        <v>35.616878249999999</v>
      </c>
      <c r="E633" t="s">
        <v>3818</v>
      </c>
      <c r="F633">
        <v>117.52856199999999</v>
      </c>
      <c r="G633" t="s">
        <v>3819</v>
      </c>
      <c r="H633">
        <v>56213</v>
      </c>
      <c r="I633" t="s">
        <v>3820</v>
      </c>
    </row>
    <row r="634" spans="1:9" x14ac:dyDescent="0.25">
      <c r="A634" t="s">
        <v>3817</v>
      </c>
      <c r="B634" t="s">
        <v>4164</v>
      </c>
      <c r="C634" t="s">
        <v>3821</v>
      </c>
      <c r="D634">
        <v>35.680501659999997</v>
      </c>
      <c r="E634" t="s">
        <v>3818</v>
      </c>
      <c r="F634">
        <v>116.16549240000001</v>
      </c>
      <c r="G634" t="s">
        <v>3819</v>
      </c>
      <c r="H634">
        <v>111714</v>
      </c>
      <c r="I634" t="s">
        <v>3820</v>
      </c>
    </row>
    <row r="635" spans="1:9" x14ac:dyDescent="0.25">
      <c r="A635" t="s">
        <v>3817</v>
      </c>
      <c r="B635" t="s">
        <v>4357</v>
      </c>
      <c r="C635" t="s">
        <v>3821</v>
      </c>
      <c r="D635">
        <v>34.735159510000003</v>
      </c>
      <c r="E635" t="s">
        <v>3818</v>
      </c>
      <c r="F635">
        <v>118.4524732</v>
      </c>
      <c r="G635" t="s">
        <v>3819</v>
      </c>
      <c r="H635">
        <v>45963</v>
      </c>
      <c r="I635" t="s">
        <v>3820</v>
      </c>
    </row>
    <row r="636" spans="1:9" x14ac:dyDescent="0.25">
      <c r="A636" t="s">
        <v>3817</v>
      </c>
      <c r="B636" t="s">
        <v>4358</v>
      </c>
      <c r="C636" t="s">
        <v>3821</v>
      </c>
      <c r="D636">
        <v>35.925270589999997</v>
      </c>
      <c r="E636" t="s">
        <v>3818</v>
      </c>
      <c r="F636">
        <v>118.3884166</v>
      </c>
      <c r="G636" t="s">
        <v>3819</v>
      </c>
      <c r="H636">
        <v>28233</v>
      </c>
      <c r="I636" t="s">
        <v>3820</v>
      </c>
    </row>
    <row r="637" spans="1:9" x14ac:dyDescent="0.25">
      <c r="A637" t="s">
        <v>3817</v>
      </c>
      <c r="B637" t="s">
        <v>4052</v>
      </c>
      <c r="C637" t="s">
        <v>3821</v>
      </c>
      <c r="D637">
        <v>35.006653210000003</v>
      </c>
      <c r="E637" t="s">
        <v>3818</v>
      </c>
      <c r="F637">
        <v>115.70016149999999</v>
      </c>
      <c r="G637" t="s">
        <v>3819</v>
      </c>
      <c r="H637">
        <v>75263</v>
      </c>
      <c r="I637" t="s">
        <v>3820</v>
      </c>
    </row>
    <row r="638" spans="1:9" x14ac:dyDescent="0.25">
      <c r="A638" t="s">
        <v>3817</v>
      </c>
      <c r="B638" t="s">
        <v>4105</v>
      </c>
      <c r="C638" t="s">
        <v>3821</v>
      </c>
      <c r="D638">
        <v>37.148462979999998</v>
      </c>
      <c r="E638" t="s">
        <v>3818</v>
      </c>
      <c r="F638">
        <v>117.38853779999999</v>
      </c>
      <c r="G638" t="s">
        <v>3819</v>
      </c>
      <c r="H638">
        <v>56853</v>
      </c>
      <c r="I638" t="s">
        <v>3820</v>
      </c>
    </row>
    <row r="639" spans="1:9" x14ac:dyDescent="0.25">
      <c r="A639" t="s">
        <v>3817</v>
      </c>
      <c r="B639" t="s">
        <v>4606</v>
      </c>
      <c r="C639" t="s">
        <v>3821</v>
      </c>
      <c r="D639">
        <v>36.87380246</v>
      </c>
      <c r="E639" t="s">
        <v>3818</v>
      </c>
      <c r="F639">
        <v>122.27235450000001</v>
      </c>
      <c r="G639" t="s">
        <v>3819</v>
      </c>
      <c r="H639">
        <v>67868</v>
      </c>
      <c r="I639" t="s">
        <v>3820</v>
      </c>
    </row>
    <row r="640" spans="1:9" x14ac:dyDescent="0.25">
      <c r="A640" t="s">
        <v>3817</v>
      </c>
      <c r="B640" t="s">
        <v>3921</v>
      </c>
      <c r="C640" t="s">
        <v>3821</v>
      </c>
      <c r="D640">
        <v>36.542875449999997</v>
      </c>
      <c r="E640" t="s">
        <v>3818</v>
      </c>
      <c r="F640">
        <v>116.46310680000001</v>
      </c>
      <c r="G640" t="s">
        <v>3819</v>
      </c>
      <c r="H640">
        <v>47790</v>
      </c>
      <c r="I640" t="s">
        <v>3820</v>
      </c>
    </row>
    <row r="641" spans="1:9" x14ac:dyDescent="0.25">
      <c r="A641" t="s">
        <v>3817</v>
      </c>
      <c r="B641" t="s">
        <v>4430</v>
      </c>
      <c r="C641" t="s">
        <v>3821</v>
      </c>
      <c r="D641">
        <v>36.651208390000001</v>
      </c>
      <c r="E641" t="s">
        <v>3818</v>
      </c>
      <c r="F641">
        <v>120.20173459999999</v>
      </c>
      <c r="G641" t="s">
        <v>3819</v>
      </c>
      <c r="H641">
        <v>64569</v>
      </c>
      <c r="I641" t="s">
        <v>3820</v>
      </c>
    </row>
    <row r="642" spans="1:9" x14ac:dyDescent="0.25">
      <c r="A642" t="s">
        <v>3817</v>
      </c>
      <c r="B642" t="s">
        <v>4431</v>
      </c>
      <c r="C642" t="s">
        <v>3821</v>
      </c>
      <c r="D642">
        <v>36.948556799999999</v>
      </c>
      <c r="E642" t="s">
        <v>3818</v>
      </c>
      <c r="F642">
        <v>120.3582171</v>
      </c>
      <c r="G642" t="s">
        <v>3819</v>
      </c>
      <c r="H642">
        <v>43758</v>
      </c>
      <c r="I642" t="s">
        <v>3820</v>
      </c>
    </row>
    <row r="643" spans="1:9" x14ac:dyDescent="0.25">
      <c r="A643" t="s">
        <v>3817</v>
      </c>
      <c r="B643" t="s">
        <v>4607</v>
      </c>
      <c r="C643" t="s">
        <v>3821</v>
      </c>
      <c r="D643">
        <v>36.848962729999997</v>
      </c>
      <c r="E643" t="s">
        <v>3818</v>
      </c>
      <c r="F643">
        <v>121.5198149</v>
      </c>
      <c r="G643" t="s">
        <v>3819</v>
      </c>
      <c r="H643">
        <v>31986</v>
      </c>
      <c r="I643" t="s">
        <v>3820</v>
      </c>
    </row>
    <row r="644" spans="1:9" x14ac:dyDescent="0.25">
      <c r="A644" t="s">
        <v>3817</v>
      </c>
      <c r="B644" t="s">
        <v>4608</v>
      </c>
      <c r="C644" t="s">
        <v>3821</v>
      </c>
      <c r="D644">
        <v>36.864591390000001</v>
      </c>
      <c r="E644" t="s">
        <v>3818</v>
      </c>
      <c r="F644">
        <v>121.4161593</v>
      </c>
      <c r="G644" t="s">
        <v>3819</v>
      </c>
      <c r="H644">
        <v>30699</v>
      </c>
      <c r="I644" t="s">
        <v>3820</v>
      </c>
    </row>
    <row r="645" spans="1:9" x14ac:dyDescent="0.25">
      <c r="A645" t="s">
        <v>3817</v>
      </c>
      <c r="B645" t="s">
        <v>4053</v>
      </c>
      <c r="C645" t="s">
        <v>3821</v>
      </c>
      <c r="D645">
        <v>35.032894550000002</v>
      </c>
      <c r="E645" t="s">
        <v>3818</v>
      </c>
      <c r="F645">
        <v>114.9891976</v>
      </c>
      <c r="G645" t="s">
        <v>3819</v>
      </c>
      <c r="H645">
        <v>36692</v>
      </c>
      <c r="I645" t="s">
        <v>3820</v>
      </c>
    </row>
    <row r="646" spans="1:9" x14ac:dyDescent="0.25">
      <c r="A646" t="s">
        <v>3817</v>
      </c>
      <c r="B646" t="s">
        <v>4261</v>
      </c>
      <c r="C646" t="s">
        <v>3821</v>
      </c>
      <c r="D646">
        <v>36.42726365</v>
      </c>
      <c r="E646" t="s">
        <v>3818</v>
      </c>
      <c r="F646">
        <v>115.5779435</v>
      </c>
      <c r="G646" t="s">
        <v>3819</v>
      </c>
      <c r="H646">
        <v>60484</v>
      </c>
      <c r="I646" t="s">
        <v>3820</v>
      </c>
    </row>
    <row r="647" spans="1:9" x14ac:dyDescent="0.25">
      <c r="A647" t="s">
        <v>3817</v>
      </c>
      <c r="B647" t="s">
        <v>4732</v>
      </c>
      <c r="C647" t="s">
        <v>3821</v>
      </c>
      <c r="D647">
        <v>35.093024219999997</v>
      </c>
      <c r="E647" t="s">
        <v>3818</v>
      </c>
      <c r="F647">
        <v>117.3413745</v>
      </c>
      <c r="G647" t="s">
        <v>3819</v>
      </c>
      <c r="H647">
        <v>56551</v>
      </c>
      <c r="I647" t="s">
        <v>3820</v>
      </c>
    </row>
    <row r="648" spans="1:9" x14ac:dyDescent="0.25">
      <c r="A648" t="s">
        <v>3817</v>
      </c>
      <c r="B648" t="s">
        <v>3853</v>
      </c>
      <c r="C648" t="s">
        <v>3821</v>
      </c>
      <c r="D648">
        <v>37.48139372</v>
      </c>
      <c r="E648" t="s">
        <v>3818</v>
      </c>
      <c r="F648">
        <v>117.73925010000001</v>
      </c>
      <c r="G648" t="s">
        <v>3819</v>
      </c>
      <c r="H648">
        <v>25292</v>
      </c>
      <c r="I648" t="s">
        <v>3820</v>
      </c>
    </row>
    <row r="649" spans="1:9" x14ac:dyDescent="0.25">
      <c r="A649" t="s">
        <v>3817</v>
      </c>
      <c r="B649" t="s">
        <v>4459</v>
      </c>
      <c r="C649" t="s">
        <v>3821</v>
      </c>
      <c r="D649">
        <v>35.683927949999998</v>
      </c>
      <c r="E649" t="s">
        <v>3818</v>
      </c>
      <c r="F649">
        <v>119.0362915</v>
      </c>
      <c r="G649" t="s">
        <v>3819</v>
      </c>
      <c r="H649">
        <v>45160</v>
      </c>
      <c r="I649" t="s">
        <v>3820</v>
      </c>
    </row>
    <row r="650" spans="1:9" x14ac:dyDescent="0.25">
      <c r="A650" t="s">
        <v>3817</v>
      </c>
      <c r="B650" t="s">
        <v>3854</v>
      </c>
      <c r="C650" t="s">
        <v>3821</v>
      </c>
      <c r="D650">
        <v>37.522598260000002</v>
      </c>
      <c r="E650" t="s">
        <v>3818</v>
      </c>
      <c r="F650">
        <v>117.84501779999999</v>
      </c>
      <c r="G650" t="s">
        <v>3819</v>
      </c>
      <c r="H650">
        <v>41469</v>
      </c>
      <c r="I650" t="s">
        <v>3820</v>
      </c>
    </row>
    <row r="651" spans="1:9" x14ac:dyDescent="0.25">
      <c r="A651" t="s">
        <v>3817</v>
      </c>
      <c r="B651" t="s">
        <v>4262</v>
      </c>
      <c r="C651" t="s">
        <v>3821</v>
      </c>
      <c r="D651">
        <v>36.851422139999997</v>
      </c>
      <c r="E651" t="s">
        <v>3818</v>
      </c>
      <c r="F651">
        <v>116.0818684</v>
      </c>
      <c r="G651" t="s">
        <v>3819</v>
      </c>
      <c r="H651">
        <v>24677</v>
      </c>
      <c r="I651" t="s">
        <v>3820</v>
      </c>
    </row>
    <row r="652" spans="1:9" x14ac:dyDescent="0.25">
      <c r="A652" t="s">
        <v>3817</v>
      </c>
      <c r="B652" t="s">
        <v>4460</v>
      </c>
      <c r="C652" t="s">
        <v>3821</v>
      </c>
      <c r="D652">
        <v>35.5085385</v>
      </c>
      <c r="E652" t="s">
        <v>3818</v>
      </c>
      <c r="F652">
        <v>119.1281089</v>
      </c>
      <c r="G652" t="s">
        <v>3819</v>
      </c>
      <c r="H652">
        <v>52214</v>
      </c>
      <c r="I652" t="s">
        <v>3820</v>
      </c>
    </row>
    <row r="653" spans="1:9" x14ac:dyDescent="0.25">
      <c r="A653" t="s">
        <v>3817</v>
      </c>
      <c r="B653" t="s">
        <v>6706</v>
      </c>
      <c r="C653" t="s">
        <v>3821</v>
      </c>
      <c r="D653">
        <v>36.090432419999999</v>
      </c>
      <c r="E653" t="s">
        <v>3818</v>
      </c>
      <c r="F653">
        <v>118.61170989999999</v>
      </c>
      <c r="G653" t="s">
        <v>3819</v>
      </c>
      <c r="H653">
        <v>52492</v>
      </c>
      <c r="I653" t="s">
        <v>3820</v>
      </c>
    </row>
    <row r="654" spans="1:9" x14ac:dyDescent="0.25">
      <c r="A654" t="s">
        <v>3817</v>
      </c>
      <c r="B654" t="s">
        <v>6707</v>
      </c>
      <c r="C654" t="s">
        <v>3821</v>
      </c>
      <c r="D654">
        <v>34.74350141</v>
      </c>
      <c r="E654" t="s">
        <v>3818</v>
      </c>
      <c r="F654">
        <v>117.324805</v>
      </c>
      <c r="G654" t="s">
        <v>3819</v>
      </c>
      <c r="H654">
        <v>46673</v>
      </c>
      <c r="I654" t="s">
        <v>3820</v>
      </c>
    </row>
    <row r="655" spans="1:9" x14ac:dyDescent="0.25">
      <c r="A655" t="s">
        <v>3817</v>
      </c>
      <c r="B655" t="s">
        <v>6708</v>
      </c>
      <c r="C655" t="s">
        <v>3821</v>
      </c>
      <c r="D655">
        <v>37.416330899999998</v>
      </c>
      <c r="E655" t="s">
        <v>3818</v>
      </c>
      <c r="F655">
        <v>117.26341170000001</v>
      </c>
      <c r="G655" t="s">
        <v>3819</v>
      </c>
      <c r="H655">
        <v>38186</v>
      </c>
      <c r="I655" t="s">
        <v>3820</v>
      </c>
    </row>
    <row r="656" spans="1:9" x14ac:dyDescent="0.25">
      <c r="A656" t="s">
        <v>3817</v>
      </c>
      <c r="B656" t="s">
        <v>6709</v>
      </c>
      <c r="C656" t="s">
        <v>3821</v>
      </c>
      <c r="D656">
        <v>37.059450269999999</v>
      </c>
      <c r="E656" t="s">
        <v>3818</v>
      </c>
      <c r="F656">
        <v>119.79039539999999</v>
      </c>
      <c r="G656" t="s">
        <v>3819</v>
      </c>
      <c r="H656">
        <v>102735</v>
      </c>
      <c r="I656" t="s">
        <v>3820</v>
      </c>
    </row>
    <row r="657" spans="1:9" x14ac:dyDescent="0.25">
      <c r="A657" t="s">
        <v>3817</v>
      </c>
      <c r="B657" t="s">
        <v>4508</v>
      </c>
      <c r="C657" t="s">
        <v>3821</v>
      </c>
      <c r="D657">
        <v>35.830289370000003</v>
      </c>
      <c r="E657" t="s">
        <v>3818</v>
      </c>
      <c r="F657">
        <v>116.38727040000001</v>
      </c>
      <c r="G657" t="s">
        <v>3819</v>
      </c>
      <c r="H657">
        <v>54614</v>
      </c>
      <c r="I657" t="s">
        <v>3820</v>
      </c>
    </row>
    <row r="658" spans="1:9" x14ac:dyDescent="0.25">
      <c r="A658" t="s">
        <v>3817</v>
      </c>
      <c r="B658" t="s">
        <v>4263</v>
      </c>
      <c r="C658" t="s">
        <v>3821</v>
      </c>
      <c r="D658">
        <v>36.713377719999997</v>
      </c>
      <c r="E658" t="s">
        <v>3818</v>
      </c>
      <c r="F658">
        <v>115.68922499999999</v>
      </c>
      <c r="G658" t="s">
        <v>3819</v>
      </c>
      <c r="H658">
        <v>29535</v>
      </c>
      <c r="I658" t="s">
        <v>3820</v>
      </c>
    </row>
    <row r="659" spans="1:9" x14ac:dyDescent="0.25">
      <c r="A659" t="s">
        <v>3817</v>
      </c>
      <c r="B659" t="s">
        <v>3855</v>
      </c>
      <c r="C659" t="s">
        <v>3821</v>
      </c>
      <c r="D659">
        <v>37.535355690000003</v>
      </c>
      <c r="E659" t="s">
        <v>3818</v>
      </c>
      <c r="F659">
        <v>117.6689102</v>
      </c>
      <c r="G659" t="s">
        <v>3819</v>
      </c>
      <c r="H659">
        <v>46003</v>
      </c>
      <c r="I659" t="s">
        <v>3820</v>
      </c>
    </row>
    <row r="660" spans="1:9" x14ac:dyDescent="0.25">
      <c r="A660" t="s">
        <v>3817</v>
      </c>
      <c r="B660" t="s">
        <v>4776</v>
      </c>
      <c r="C660" t="s">
        <v>3821</v>
      </c>
      <c r="D660">
        <v>36.670251110000002</v>
      </c>
      <c r="E660" t="s">
        <v>3818</v>
      </c>
      <c r="F660">
        <v>117.82963119999999</v>
      </c>
      <c r="G660" t="s">
        <v>3819</v>
      </c>
      <c r="H660">
        <v>19673</v>
      </c>
      <c r="I660" t="s">
        <v>3820</v>
      </c>
    </row>
    <row r="661" spans="1:9" x14ac:dyDescent="0.25">
      <c r="A661" t="s">
        <v>3817</v>
      </c>
      <c r="B661" t="s">
        <v>4564</v>
      </c>
      <c r="C661" t="s">
        <v>3821</v>
      </c>
      <c r="D661">
        <v>36.979498890000002</v>
      </c>
      <c r="E661" t="s">
        <v>3818</v>
      </c>
      <c r="F661">
        <v>118.8819393</v>
      </c>
      <c r="G661" t="s">
        <v>3819</v>
      </c>
      <c r="H661">
        <v>65770</v>
      </c>
      <c r="I661" t="s">
        <v>3820</v>
      </c>
    </row>
    <row r="662" spans="1:9" x14ac:dyDescent="0.25">
      <c r="A662" t="s">
        <v>3817</v>
      </c>
      <c r="B662" t="s">
        <v>3922</v>
      </c>
      <c r="C662" t="s">
        <v>3821</v>
      </c>
      <c r="D662">
        <v>37.715005810000001</v>
      </c>
      <c r="E662" t="s">
        <v>3818</v>
      </c>
      <c r="F662">
        <v>117.42196370000001</v>
      </c>
      <c r="G662" t="s">
        <v>3819</v>
      </c>
      <c r="H662">
        <v>57241</v>
      </c>
      <c r="I662" t="s">
        <v>3820</v>
      </c>
    </row>
    <row r="663" spans="1:9" x14ac:dyDescent="0.25">
      <c r="A663" t="s">
        <v>3817</v>
      </c>
      <c r="B663" t="s">
        <v>4359</v>
      </c>
      <c r="C663" t="s">
        <v>3821</v>
      </c>
      <c r="D663">
        <v>34.885866960000001</v>
      </c>
      <c r="E663" t="s">
        <v>3818</v>
      </c>
      <c r="F663">
        <v>117.85623579999999</v>
      </c>
      <c r="G663" t="s">
        <v>3819</v>
      </c>
      <c r="H663">
        <v>40008</v>
      </c>
      <c r="I663" t="s">
        <v>3820</v>
      </c>
    </row>
    <row r="664" spans="1:9" x14ac:dyDescent="0.25">
      <c r="A664" t="s">
        <v>3817</v>
      </c>
      <c r="B664" t="s">
        <v>4360</v>
      </c>
      <c r="C664" t="s">
        <v>3821</v>
      </c>
      <c r="D664">
        <v>35.383745480000002</v>
      </c>
      <c r="E664" t="s">
        <v>3818</v>
      </c>
      <c r="F664">
        <v>117.9300452</v>
      </c>
      <c r="G664" t="s">
        <v>3819</v>
      </c>
      <c r="H664">
        <v>54487</v>
      </c>
      <c r="I664" t="s">
        <v>3820</v>
      </c>
    </row>
    <row r="665" spans="1:9" x14ac:dyDescent="0.25">
      <c r="A665" t="s">
        <v>3817</v>
      </c>
      <c r="B665" t="s">
        <v>4609</v>
      </c>
      <c r="C665" t="s">
        <v>3821</v>
      </c>
      <c r="D665">
        <v>37.00659933</v>
      </c>
      <c r="E665" t="s">
        <v>3818</v>
      </c>
      <c r="F665">
        <v>122.2680058</v>
      </c>
      <c r="G665" t="s">
        <v>3819</v>
      </c>
      <c r="H665">
        <v>22890</v>
      </c>
      <c r="I665" t="s">
        <v>3820</v>
      </c>
    </row>
    <row r="666" spans="1:9" x14ac:dyDescent="0.25">
      <c r="A666" t="s">
        <v>3817</v>
      </c>
      <c r="B666" t="s">
        <v>4509</v>
      </c>
      <c r="C666" t="s">
        <v>3821</v>
      </c>
      <c r="D666">
        <v>36.244184740000001</v>
      </c>
      <c r="E666" t="s">
        <v>3818</v>
      </c>
      <c r="F666">
        <v>117.2634027</v>
      </c>
      <c r="G666" t="s">
        <v>3819</v>
      </c>
      <c r="H666">
        <v>50238</v>
      </c>
      <c r="I666" t="s">
        <v>3820</v>
      </c>
    </row>
    <row r="667" spans="1:9" x14ac:dyDescent="0.25">
      <c r="A667" t="s">
        <v>3817</v>
      </c>
      <c r="B667" t="s">
        <v>4669</v>
      </c>
      <c r="C667" t="s">
        <v>3821</v>
      </c>
      <c r="D667">
        <v>37.019478720000002</v>
      </c>
      <c r="E667" t="s">
        <v>3818</v>
      </c>
      <c r="F667">
        <v>120.90617469999999</v>
      </c>
      <c r="G667" t="s">
        <v>3819</v>
      </c>
      <c r="H667">
        <v>27748</v>
      </c>
      <c r="I667" t="s">
        <v>3820</v>
      </c>
    </row>
    <row r="668" spans="1:9" x14ac:dyDescent="0.25">
      <c r="A668" t="s">
        <v>3817</v>
      </c>
      <c r="B668" t="s">
        <v>4565</v>
      </c>
      <c r="C668" t="s">
        <v>3821</v>
      </c>
      <c r="D668">
        <v>36.548591199999997</v>
      </c>
      <c r="E668" t="s">
        <v>3818</v>
      </c>
      <c r="F668">
        <v>118.6769024</v>
      </c>
      <c r="G668" t="s">
        <v>3819</v>
      </c>
      <c r="H668">
        <v>63195</v>
      </c>
      <c r="I668" t="s">
        <v>3820</v>
      </c>
    </row>
    <row r="669" spans="1:9" x14ac:dyDescent="0.25">
      <c r="A669" t="s">
        <v>3817</v>
      </c>
      <c r="B669" t="s">
        <v>4566</v>
      </c>
      <c r="C669" t="s">
        <v>3821</v>
      </c>
      <c r="D669">
        <v>36.720701239999997</v>
      </c>
      <c r="E669" t="s">
        <v>3818</v>
      </c>
      <c r="F669">
        <v>118.3402483</v>
      </c>
      <c r="G669" t="s">
        <v>3819</v>
      </c>
      <c r="H669">
        <v>66728</v>
      </c>
      <c r="I669" t="s">
        <v>3820</v>
      </c>
    </row>
    <row r="670" spans="1:9" x14ac:dyDescent="0.25">
      <c r="A670" t="s">
        <v>3817</v>
      </c>
      <c r="B670" t="s">
        <v>4054</v>
      </c>
      <c r="C670" t="s">
        <v>3821</v>
      </c>
      <c r="D670">
        <v>35.310537949999997</v>
      </c>
      <c r="E670" t="s">
        <v>3818</v>
      </c>
      <c r="F670">
        <v>115.7526518</v>
      </c>
      <c r="G670" t="s">
        <v>3819</v>
      </c>
      <c r="H670">
        <v>85006</v>
      </c>
      <c r="I670" t="s">
        <v>3820</v>
      </c>
    </row>
    <row r="671" spans="1:9" x14ac:dyDescent="0.25">
      <c r="A671" t="s">
        <v>3817</v>
      </c>
      <c r="B671" t="s">
        <v>4055</v>
      </c>
      <c r="C671" t="s">
        <v>3821</v>
      </c>
      <c r="D671">
        <v>35.256472170000002</v>
      </c>
      <c r="E671" t="s">
        <v>3818</v>
      </c>
      <c r="F671">
        <v>114.99792290000001</v>
      </c>
      <c r="G671" t="s">
        <v>3819</v>
      </c>
      <c r="H671">
        <v>63538</v>
      </c>
      <c r="I671" t="s">
        <v>3820</v>
      </c>
    </row>
    <row r="672" spans="1:9" x14ac:dyDescent="0.25">
      <c r="A672" t="s">
        <v>3817</v>
      </c>
      <c r="B672" t="s">
        <v>4264</v>
      </c>
      <c r="C672" t="s">
        <v>3821</v>
      </c>
      <c r="D672">
        <v>36.32610056</v>
      </c>
      <c r="E672" t="s">
        <v>3818</v>
      </c>
      <c r="F672">
        <v>115.7821879</v>
      </c>
      <c r="G672" t="s">
        <v>3819</v>
      </c>
      <c r="H672">
        <v>85731</v>
      </c>
      <c r="I672" t="s">
        <v>3820</v>
      </c>
    </row>
    <row r="673" spans="1:9" x14ac:dyDescent="0.25">
      <c r="A673" t="s">
        <v>3817</v>
      </c>
      <c r="B673" t="s">
        <v>3856</v>
      </c>
      <c r="C673" t="s">
        <v>3821</v>
      </c>
      <c r="D673">
        <v>37.793037460000001</v>
      </c>
      <c r="E673" t="s">
        <v>3818</v>
      </c>
      <c r="F673">
        <v>117.84131379999999</v>
      </c>
      <c r="G673" t="s">
        <v>3819</v>
      </c>
      <c r="H673">
        <v>28720</v>
      </c>
      <c r="I673" t="s">
        <v>3820</v>
      </c>
    </row>
    <row r="674" spans="1:9" x14ac:dyDescent="0.25">
      <c r="A674" t="s">
        <v>3817</v>
      </c>
      <c r="B674" t="s">
        <v>4361</v>
      </c>
      <c r="C674" t="s">
        <v>3821</v>
      </c>
      <c r="D674">
        <v>34.685704489999999</v>
      </c>
      <c r="E674" t="s">
        <v>3818</v>
      </c>
      <c r="F674">
        <v>118.23377790000001</v>
      </c>
      <c r="G674" t="s">
        <v>3819</v>
      </c>
      <c r="H674">
        <v>41376</v>
      </c>
      <c r="I674" t="s">
        <v>3820</v>
      </c>
    </row>
    <row r="675" spans="1:9" x14ac:dyDescent="0.25">
      <c r="A675" t="s">
        <v>3817</v>
      </c>
      <c r="B675" t="s">
        <v>4165</v>
      </c>
      <c r="C675" t="s">
        <v>3821</v>
      </c>
      <c r="D675">
        <v>35.535277239999999</v>
      </c>
      <c r="E675" t="s">
        <v>3818</v>
      </c>
      <c r="F675">
        <v>117.2804795</v>
      </c>
      <c r="G675" t="s">
        <v>3819</v>
      </c>
      <c r="H675">
        <v>37335</v>
      </c>
      <c r="I675" t="s">
        <v>3820</v>
      </c>
    </row>
    <row r="676" spans="1:9" x14ac:dyDescent="0.25">
      <c r="A676" t="s">
        <v>3817</v>
      </c>
      <c r="B676" t="s">
        <v>3968</v>
      </c>
      <c r="C676" t="s">
        <v>3821</v>
      </c>
      <c r="D676">
        <v>37.553966430000003</v>
      </c>
      <c r="E676" t="s">
        <v>3818</v>
      </c>
      <c r="F676">
        <v>118.4053083</v>
      </c>
      <c r="G676" t="s">
        <v>3819</v>
      </c>
      <c r="H676">
        <v>57109</v>
      </c>
      <c r="I676" t="s">
        <v>3820</v>
      </c>
    </row>
    <row r="677" spans="1:9" x14ac:dyDescent="0.25">
      <c r="A677" t="s">
        <v>3817</v>
      </c>
      <c r="B677" t="s">
        <v>4510</v>
      </c>
      <c r="C677" t="s">
        <v>3821</v>
      </c>
      <c r="D677">
        <v>36.197113469999998</v>
      </c>
      <c r="E677" t="s">
        <v>3818</v>
      </c>
      <c r="F677">
        <v>117.2026912</v>
      </c>
      <c r="G677" t="s">
        <v>3819</v>
      </c>
      <c r="H677">
        <v>62541</v>
      </c>
      <c r="I677" t="s">
        <v>3820</v>
      </c>
    </row>
    <row r="678" spans="1:9" x14ac:dyDescent="0.25">
      <c r="A678" t="s">
        <v>3817</v>
      </c>
      <c r="B678" t="s">
        <v>4362</v>
      </c>
      <c r="C678" t="s">
        <v>3821</v>
      </c>
      <c r="D678">
        <v>34.87618423</v>
      </c>
      <c r="E678" t="s">
        <v>3818</v>
      </c>
      <c r="F678">
        <v>118.1671463</v>
      </c>
      <c r="G678" t="s">
        <v>3819</v>
      </c>
      <c r="H678">
        <v>51874</v>
      </c>
      <c r="I678" t="s">
        <v>3820</v>
      </c>
    </row>
    <row r="679" spans="1:9" x14ac:dyDescent="0.25">
      <c r="A679" t="s">
        <v>3817</v>
      </c>
      <c r="B679" t="s">
        <v>3923</v>
      </c>
      <c r="C679" t="s">
        <v>3821</v>
      </c>
      <c r="D679">
        <v>37.388021989999999</v>
      </c>
      <c r="E679" t="s">
        <v>3818</v>
      </c>
      <c r="F679">
        <v>116.71434410000001</v>
      </c>
      <c r="G679" t="s">
        <v>3819</v>
      </c>
      <c r="H679">
        <v>51497</v>
      </c>
      <c r="I679" t="s">
        <v>3820</v>
      </c>
    </row>
    <row r="680" spans="1:9" x14ac:dyDescent="0.25">
      <c r="A680" t="s">
        <v>3817</v>
      </c>
      <c r="B680" t="s">
        <v>4670</v>
      </c>
      <c r="C680" t="s">
        <v>3821</v>
      </c>
      <c r="D680">
        <v>37.180492299999997</v>
      </c>
      <c r="E680" t="s">
        <v>3818</v>
      </c>
      <c r="F680">
        <v>120.8969905</v>
      </c>
      <c r="G680" t="s">
        <v>3819</v>
      </c>
      <c r="H680">
        <v>58162</v>
      </c>
      <c r="I680" t="s">
        <v>3820</v>
      </c>
    </row>
    <row r="681" spans="1:9" x14ac:dyDescent="0.25">
      <c r="A681" t="s">
        <v>3817</v>
      </c>
      <c r="B681" t="s">
        <v>4265</v>
      </c>
      <c r="C681" t="s">
        <v>3821</v>
      </c>
      <c r="D681">
        <v>36.149353699999999</v>
      </c>
      <c r="E681" t="s">
        <v>3818</v>
      </c>
      <c r="F681">
        <v>115.6273388</v>
      </c>
      <c r="G681" t="s">
        <v>3819</v>
      </c>
      <c r="H681">
        <v>39251</v>
      </c>
      <c r="I681" t="s">
        <v>3820</v>
      </c>
    </row>
    <row r="682" spans="1:9" x14ac:dyDescent="0.25">
      <c r="A682" t="s">
        <v>3817</v>
      </c>
      <c r="B682" t="s">
        <v>4567</v>
      </c>
      <c r="C682" t="s">
        <v>3821</v>
      </c>
      <c r="D682">
        <v>36.14912631</v>
      </c>
      <c r="E682" t="s">
        <v>3818</v>
      </c>
      <c r="F682">
        <v>119.0634294</v>
      </c>
      <c r="G682" t="s">
        <v>3819</v>
      </c>
      <c r="H682">
        <v>58333</v>
      </c>
      <c r="I682" t="s">
        <v>3820</v>
      </c>
    </row>
    <row r="683" spans="1:9" x14ac:dyDescent="0.25">
      <c r="A683" t="s">
        <v>3817</v>
      </c>
      <c r="B683" t="s">
        <v>4568</v>
      </c>
      <c r="C683" t="s">
        <v>3821</v>
      </c>
      <c r="D683">
        <v>36.393636880000003</v>
      </c>
      <c r="E683" t="s">
        <v>3818</v>
      </c>
      <c r="F683">
        <v>119.3147608</v>
      </c>
      <c r="G683" t="s">
        <v>3819</v>
      </c>
      <c r="H683">
        <v>35367</v>
      </c>
      <c r="I683" t="s">
        <v>3820</v>
      </c>
    </row>
    <row r="684" spans="1:9" x14ac:dyDescent="0.25">
      <c r="A684" t="s">
        <v>3817</v>
      </c>
      <c r="B684" t="s">
        <v>4266</v>
      </c>
      <c r="C684" t="s">
        <v>3821</v>
      </c>
      <c r="D684">
        <v>36.225700500000002</v>
      </c>
      <c r="E684" t="s">
        <v>3818</v>
      </c>
      <c r="F684">
        <v>115.85191039999999</v>
      </c>
      <c r="G684" t="s">
        <v>3819</v>
      </c>
      <c r="H684">
        <v>34387</v>
      </c>
      <c r="I684" t="s">
        <v>3820</v>
      </c>
    </row>
    <row r="685" spans="1:9" x14ac:dyDescent="0.25">
      <c r="A685" t="s">
        <v>3817</v>
      </c>
      <c r="B685" t="s">
        <v>4511</v>
      </c>
      <c r="C685" t="s">
        <v>3821</v>
      </c>
      <c r="D685">
        <v>36.19941669</v>
      </c>
      <c r="E685" t="s">
        <v>3818</v>
      </c>
      <c r="F685">
        <v>116.5376053</v>
      </c>
      <c r="G685" t="s">
        <v>3819</v>
      </c>
      <c r="H685">
        <v>80515</v>
      </c>
      <c r="I685" t="s">
        <v>3820</v>
      </c>
    </row>
    <row r="686" spans="1:9" x14ac:dyDescent="0.25">
      <c r="A686" t="s">
        <v>3817</v>
      </c>
      <c r="B686" t="s">
        <v>6710</v>
      </c>
      <c r="C686" t="s">
        <v>3821</v>
      </c>
      <c r="D686">
        <v>37.696479490000002</v>
      </c>
      <c r="E686" t="s">
        <v>3818</v>
      </c>
      <c r="F686">
        <v>116.7655721</v>
      </c>
      <c r="G686" t="s">
        <v>3819</v>
      </c>
      <c r="H686">
        <v>28882</v>
      </c>
      <c r="I686" t="s">
        <v>3820</v>
      </c>
    </row>
    <row r="687" spans="1:9" x14ac:dyDescent="0.25">
      <c r="A687" t="s">
        <v>3817</v>
      </c>
      <c r="B687" t="s">
        <v>6711</v>
      </c>
      <c r="C687" t="s">
        <v>3821</v>
      </c>
      <c r="D687">
        <v>35.438940950000003</v>
      </c>
      <c r="E687" t="s">
        <v>3818</v>
      </c>
      <c r="F687">
        <v>115.45654450000001</v>
      </c>
      <c r="G687" t="s">
        <v>3819</v>
      </c>
      <c r="H687">
        <v>54024</v>
      </c>
      <c r="I687" t="s">
        <v>3820</v>
      </c>
    </row>
    <row r="688" spans="1:9" x14ac:dyDescent="0.25">
      <c r="A688" t="s">
        <v>3817</v>
      </c>
      <c r="B688" t="s">
        <v>4363</v>
      </c>
      <c r="C688" t="s">
        <v>3821</v>
      </c>
      <c r="D688">
        <v>35.070808739999997</v>
      </c>
      <c r="E688" t="s">
        <v>3818</v>
      </c>
      <c r="F688">
        <v>117.7395918</v>
      </c>
      <c r="G688" t="s">
        <v>3819</v>
      </c>
      <c r="H688">
        <v>31683</v>
      </c>
      <c r="I688" t="s">
        <v>3820</v>
      </c>
    </row>
    <row r="689" spans="1:9" x14ac:dyDescent="0.25">
      <c r="A689" t="s">
        <v>3817</v>
      </c>
      <c r="B689" t="s">
        <v>3969</v>
      </c>
      <c r="C689" t="s">
        <v>3821</v>
      </c>
      <c r="D689">
        <v>37.388582040000003</v>
      </c>
      <c r="E689" t="s">
        <v>3818</v>
      </c>
      <c r="F689">
        <v>118.38692810000001</v>
      </c>
      <c r="G689" t="s">
        <v>3819</v>
      </c>
      <c r="H689">
        <v>34501</v>
      </c>
      <c r="I689" t="s">
        <v>3820</v>
      </c>
    </row>
    <row r="690" spans="1:9" x14ac:dyDescent="0.25">
      <c r="A690" t="s">
        <v>3817</v>
      </c>
      <c r="B690" t="s">
        <v>4512</v>
      </c>
      <c r="C690" t="s">
        <v>3821</v>
      </c>
      <c r="D690">
        <v>35.758298009999997</v>
      </c>
      <c r="E690" t="s">
        <v>3818</v>
      </c>
      <c r="F690">
        <v>117.5192909</v>
      </c>
      <c r="G690" t="s">
        <v>3819</v>
      </c>
      <c r="H690">
        <v>60091</v>
      </c>
      <c r="I690" t="s">
        <v>3820</v>
      </c>
    </row>
    <row r="691" spans="1:9" x14ac:dyDescent="0.25">
      <c r="A691" t="s">
        <v>3817</v>
      </c>
      <c r="B691" t="s">
        <v>4671</v>
      </c>
      <c r="C691" t="s">
        <v>3821</v>
      </c>
      <c r="D691">
        <v>37.558084610000002</v>
      </c>
      <c r="E691" t="s">
        <v>3818</v>
      </c>
      <c r="F691">
        <v>120.6860171</v>
      </c>
      <c r="G691" t="s">
        <v>3819</v>
      </c>
      <c r="H691">
        <v>55362</v>
      </c>
      <c r="I691" t="s">
        <v>3820</v>
      </c>
    </row>
    <row r="692" spans="1:9" x14ac:dyDescent="0.25">
      <c r="A692" t="s">
        <v>3817</v>
      </c>
      <c r="B692" t="s">
        <v>4364</v>
      </c>
      <c r="C692" t="s">
        <v>3821</v>
      </c>
      <c r="D692">
        <v>35.32572717</v>
      </c>
      <c r="E692" t="s">
        <v>3818</v>
      </c>
      <c r="F692">
        <v>118.6259001</v>
      </c>
      <c r="G692" t="s">
        <v>3819</v>
      </c>
      <c r="H692">
        <v>60661</v>
      </c>
      <c r="I692" t="s">
        <v>3820</v>
      </c>
    </row>
    <row r="693" spans="1:9" x14ac:dyDescent="0.25">
      <c r="A693" t="s">
        <v>3817</v>
      </c>
      <c r="B693" t="s">
        <v>3924</v>
      </c>
      <c r="C693" t="s">
        <v>3821</v>
      </c>
      <c r="D693">
        <v>36.967923470000002</v>
      </c>
      <c r="E693" t="s">
        <v>3818</v>
      </c>
      <c r="F693">
        <v>116.6005804</v>
      </c>
      <c r="G693" t="s">
        <v>3819</v>
      </c>
      <c r="H693">
        <v>29929</v>
      </c>
      <c r="I693" t="s">
        <v>3820</v>
      </c>
    </row>
    <row r="694" spans="1:9" x14ac:dyDescent="0.25">
      <c r="A694" t="s">
        <v>3817</v>
      </c>
      <c r="B694" t="s">
        <v>4056</v>
      </c>
      <c r="C694" t="s">
        <v>3821</v>
      </c>
      <c r="D694">
        <v>34.821106329999999</v>
      </c>
      <c r="E694" t="s">
        <v>3818</v>
      </c>
      <c r="F694">
        <v>116.2708557</v>
      </c>
      <c r="G694" t="s">
        <v>3819</v>
      </c>
      <c r="H694">
        <v>37098</v>
      </c>
      <c r="I694" t="s">
        <v>3820</v>
      </c>
    </row>
    <row r="695" spans="1:9" x14ac:dyDescent="0.25">
      <c r="A695" t="s">
        <v>3817</v>
      </c>
      <c r="B695" t="s">
        <v>4777</v>
      </c>
      <c r="C695" t="s">
        <v>3821</v>
      </c>
      <c r="D695">
        <v>36.408167849999998</v>
      </c>
      <c r="E695" t="s">
        <v>3818</v>
      </c>
      <c r="F695">
        <v>117.88956210000001</v>
      </c>
      <c r="G695" t="s">
        <v>3819</v>
      </c>
      <c r="H695">
        <v>21865</v>
      </c>
      <c r="I695" t="s">
        <v>3820</v>
      </c>
    </row>
    <row r="696" spans="1:9" x14ac:dyDescent="0.25">
      <c r="A696" t="s">
        <v>3817</v>
      </c>
      <c r="B696" t="s">
        <v>4365</v>
      </c>
      <c r="C696" t="s">
        <v>3821</v>
      </c>
      <c r="D696">
        <v>34.741324130000002</v>
      </c>
      <c r="E696" t="s">
        <v>3818</v>
      </c>
      <c r="F696">
        <v>118.58924759999999</v>
      </c>
      <c r="G696" t="s">
        <v>3819</v>
      </c>
      <c r="H696">
        <v>47827</v>
      </c>
      <c r="I696" t="s">
        <v>3820</v>
      </c>
    </row>
    <row r="697" spans="1:9" x14ac:dyDescent="0.25">
      <c r="A697" t="s">
        <v>3817</v>
      </c>
      <c r="B697" t="s">
        <v>4166</v>
      </c>
      <c r="C697" t="s">
        <v>3821</v>
      </c>
      <c r="D697">
        <v>35.747673810000002</v>
      </c>
      <c r="E697" t="s">
        <v>3818</v>
      </c>
      <c r="F697">
        <v>117.07010390000001</v>
      </c>
      <c r="G697" t="s">
        <v>3819</v>
      </c>
      <c r="H697">
        <v>40046</v>
      </c>
      <c r="I697" t="s">
        <v>3820</v>
      </c>
    </row>
    <row r="698" spans="1:9" x14ac:dyDescent="0.25">
      <c r="A698" t="s">
        <v>3817</v>
      </c>
      <c r="B698" t="s">
        <v>3857</v>
      </c>
      <c r="C698" t="s">
        <v>3821</v>
      </c>
      <c r="D698">
        <v>37.462331089999999</v>
      </c>
      <c r="E698" t="s">
        <v>3818</v>
      </c>
      <c r="F698">
        <v>117.3830669</v>
      </c>
      <c r="G698" t="s">
        <v>3819</v>
      </c>
      <c r="H698">
        <v>51790</v>
      </c>
      <c r="I698" t="s">
        <v>3820</v>
      </c>
    </row>
    <row r="699" spans="1:9" x14ac:dyDescent="0.25">
      <c r="A699" t="s">
        <v>3817</v>
      </c>
      <c r="B699" t="s">
        <v>4167</v>
      </c>
      <c r="C699" t="s">
        <v>3821</v>
      </c>
      <c r="D699">
        <v>35.240435419999997</v>
      </c>
      <c r="E699" t="s">
        <v>3818</v>
      </c>
      <c r="F699">
        <v>116.9227305</v>
      </c>
      <c r="G699" t="s">
        <v>3819</v>
      </c>
      <c r="H699">
        <v>70098</v>
      </c>
      <c r="I699" t="s">
        <v>3820</v>
      </c>
    </row>
    <row r="700" spans="1:9" x14ac:dyDescent="0.25">
      <c r="A700" t="s">
        <v>3817</v>
      </c>
      <c r="B700" t="s">
        <v>6712</v>
      </c>
      <c r="C700" t="s">
        <v>3821</v>
      </c>
      <c r="D700">
        <v>35.308171940000001</v>
      </c>
      <c r="E700" t="s">
        <v>3818</v>
      </c>
      <c r="F700">
        <v>116.6777798</v>
      </c>
      <c r="G700" t="s">
        <v>3819</v>
      </c>
      <c r="H700">
        <v>46665</v>
      </c>
      <c r="I700" t="s">
        <v>3820</v>
      </c>
    </row>
    <row r="701" spans="1:9" x14ac:dyDescent="0.25">
      <c r="A701" t="s">
        <v>3817</v>
      </c>
      <c r="B701" t="s">
        <v>6713</v>
      </c>
      <c r="C701" t="s">
        <v>3821</v>
      </c>
      <c r="D701">
        <v>36.14549186</v>
      </c>
      <c r="E701" t="s">
        <v>3818</v>
      </c>
      <c r="F701">
        <v>118.3418238</v>
      </c>
      <c r="G701" t="s">
        <v>3819</v>
      </c>
      <c r="H701">
        <v>27385</v>
      </c>
      <c r="I701" t="s">
        <v>3820</v>
      </c>
    </row>
    <row r="702" spans="1:9" x14ac:dyDescent="0.25">
      <c r="A702" t="s">
        <v>3817</v>
      </c>
      <c r="B702" t="s">
        <v>4569</v>
      </c>
      <c r="C702" t="s">
        <v>3821</v>
      </c>
      <c r="D702">
        <v>36.143619100000002</v>
      </c>
      <c r="E702" t="s">
        <v>3818</v>
      </c>
      <c r="F702">
        <v>119.24184630000001</v>
      </c>
      <c r="G702" t="s">
        <v>3819</v>
      </c>
      <c r="H702">
        <v>58538</v>
      </c>
      <c r="I702" t="s">
        <v>3820</v>
      </c>
    </row>
    <row r="703" spans="1:9" x14ac:dyDescent="0.25">
      <c r="A703" t="s">
        <v>3817</v>
      </c>
      <c r="B703" t="s">
        <v>4267</v>
      </c>
      <c r="C703" t="s">
        <v>3821</v>
      </c>
      <c r="D703">
        <v>36.062961489999999</v>
      </c>
      <c r="E703" t="s">
        <v>3818</v>
      </c>
      <c r="F703">
        <v>115.92139760000001</v>
      </c>
      <c r="G703" t="s">
        <v>3819</v>
      </c>
      <c r="H703">
        <v>42271</v>
      </c>
      <c r="I703" t="s">
        <v>3820</v>
      </c>
    </row>
    <row r="704" spans="1:9" x14ac:dyDescent="0.25">
      <c r="A704" t="s">
        <v>3817</v>
      </c>
      <c r="B704" t="s">
        <v>4268</v>
      </c>
      <c r="C704" t="s">
        <v>3821</v>
      </c>
      <c r="D704">
        <v>35.975706459999998</v>
      </c>
      <c r="E704" t="s">
        <v>3818</v>
      </c>
      <c r="F704">
        <v>115.5499174</v>
      </c>
      <c r="G704" t="s">
        <v>3819</v>
      </c>
      <c r="H704">
        <v>30345</v>
      </c>
      <c r="I704" t="s">
        <v>3820</v>
      </c>
    </row>
    <row r="705" spans="1:9" x14ac:dyDescent="0.25">
      <c r="A705" t="s">
        <v>3817</v>
      </c>
      <c r="B705" t="s">
        <v>4269</v>
      </c>
      <c r="C705" t="s">
        <v>3821</v>
      </c>
      <c r="D705">
        <v>36.041666560000003</v>
      </c>
      <c r="E705" t="s">
        <v>3818</v>
      </c>
      <c r="F705">
        <v>115.83683499999999</v>
      </c>
      <c r="G705" t="s">
        <v>3819</v>
      </c>
      <c r="H705">
        <v>65436</v>
      </c>
      <c r="I705" t="s">
        <v>3820</v>
      </c>
    </row>
    <row r="706" spans="1:9" x14ac:dyDescent="0.25">
      <c r="A706" t="s">
        <v>3817</v>
      </c>
      <c r="B706" t="s">
        <v>4168</v>
      </c>
      <c r="C706" t="s">
        <v>3821</v>
      </c>
      <c r="D706">
        <v>35.869610870000002</v>
      </c>
      <c r="E706" t="s">
        <v>3818</v>
      </c>
      <c r="F706">
        <v>116.0440092</v>
      </c>
      <c r="G706" t="s">
        <v>3819</v>
      </c>
      <c r="H706">
        <v>34462</v>
      </c>
      <c r="I706" t="s">
        <v>3820</v>
      </c>
    </row>
    <row r="707" spans="1:9" x14ac:dyDescent="0.25">
      <c r="A707" t="s">
        <v>3817</v>
      </c>
      <c r="B707" t="s">
        <v>4366</v>
      </c>
      <c r="C707" t="s">
        <v>3821</v>
      </c>
      <c r="D707">
        <v>35.467672630000003</v>
      </c>
      <c r="E707" t="s">
        <v>3818</v>
      </c>
      <c r="F707">
        <v>118.208198</v>
      </c>
      <c r="G707" t="s">
        <v>3819</v>
      </c>
      <c r="H707">
        <v>35800</v>
      </c>
      <c r="I707" t="s">
        <v>3820</v>
      </c>
    </row>
    <row r="708" spans="1:9" x14ac:dyDescent="0.25">
      <c r="A708" t="s">
        <v>3817</v>
      </c>
      <c r="B708" t="s">
        <v>3925</v>
      </c>
      <c r="C708" t="s">
        <v>3821</v>
      </c>
      <c r="D708">
        <v>36.970841440000001</v>
      </c>
      <c r="E708" t="s">
        <v>3818</v>
      </c>
      <c r="F708">
        <v>115.914136</v>
      </c>
      <c r="G708" t="s">
        <v>3819</v>
      </c>
      <c r="H708">
        <v>24595</v>
      </c>
      <c r="I708" t="s">
        <v>3820</v>
      </c>
    </row>
    <row r="709" spans="1:9" x14ac:dyDescent="0.25">
      <c r="A709" t="s">
        <v>3817</v>
      </c>
      <c r="B709" t="s">
        <v>4057</v>
      </c>
      <c r="C709" t="s">
        <v>3821</v>
      </c>
      <c r="D709">
        <v>35.559096089999997</v>
      </c>
      <c r="E709" t="s">
        <v>3818</v>
      </c>
      <c r="F709">
        <v>115.8505727</v>
      </c>
      <c r="G709" t="s">
        <v>3819</v>
      </c>
      <c r="H709">
        <v>48048</v>
      </c>
      <c r="I709" t="s">
        <v>3820</v>
      </c>
    </row>
    <row r="710" spans="1:9" x14ac:dyDescent="0.25">
      <c r="A710" t="s">
        <v>3817</v>
      </c>
      <c r="B710" t="s">
        <v>4106</v>
      </c>
      <c r="C710" t="s">
        <v>3821</v>
      </c>
      <c r="D710">
        <v>36.332161229999997</v>
      </c>
      <c r="E710" t="s">
        <v>3818</v>
      </c>
      <c r="F710">
        <v>116.70114909999999</v>
      </c>
      <c r="G710" t="s">
        <v>3819</v>
      </c>
      <c r="H710">
        <v>21674</v>
      </c>
      <c r="I710" t="s">
        <v>3820</v>
      </c>
    </row>
    <row r="711" spans="1:9" x14ac:dyDescent="0.25">
      <c r="A711" t="s">
        <v>3817</v>
      </c>
      <c r="B711" t="s">
        <v>4778</v>
      </c>
      <c r="C711" t="s">
        <v>3821</v>
      </c>
      <c r="D711">
        <v>36.710280070000003</v>
      </c>
      <c r="E711" t="s">
        <v>3818</v>
      </c>
      <c r="F711">
        <v>117.9836485</v>
      </c>
      <c r="G711" t="s">
        <v>3819</v>
      </c>
      <c r="H711">
        <v>71561</v>
      </c>
      <c r="I711" t="s">
        <v>3820</v>
      </c>
    </row>
    <row r="712" spans="1:9" x14ac:dyDescent="0.25">
      <c r="A712" t="s">
        <v>3817</v>
      </c>
      <c r="B712" t="s">
        <v>4672</v>
      </c>
      <c r="C712" t="s">
        <v>3821</v>
      </c>
      <c r="D712">
        <v>37.168236419999999</v>
      </c>
      <c r="E712" t="s">
        <v>3818</v>
      </c>
      <c r="F712">
        <v>121.5265096</v>
      </c>
      <c r="G712" t="s">
        <v>3819</v>
      </c>
      <c r="H712">
        <v>29664</v>
      </c>
      <c r="I712" t="s">
        <v>3820</v>
      </c>
    </row>
    <row r="713" spans="1:9" x14ac:dyDescent="0.25">
      <c r="A713" t="s">
        <v>3817</v>
      </c>
      <c r="B713" t="s">
        <v>4733</v>
      </c>
      <c r="C713" t="s">
        <v>3821</v>
      </c>
      <c r="D713">
        <v>34.859273119999997</v>
      </c>
      <c r="E713" t="s">
        <v>3818</v>
      </c>
      <c r="F713">
        <v>117.6903887</v>
      </c>
      <c r="G713" t="s">
        <v>3819</v>
      </c>
      <c r="H713">
        <v>45156</v>
      </c>
      <c r="I713" t="s">
        <v>3820</v>
      </c>
    </row>
    <row r="714" spans="1:9" x14ac:dyDescent="0.25">
      <c r="A714" t="s">
        <v>3817</v>
      </c>
      <c r="B714" t="s">
        <v>3858</v>
      </c>
      <c r="C714" t="s">
        <v>3821</v>
      </c>
      <c r="D714">
        <v>37.575657739999997</v>
      </c>
      <c r="E714" t="s">
        <v>3818</v>
      </c>
      <c r="F714">
        <v>117.77063769999999</v>
      </c>
      <c r="G714" t="s">
        <v>3819</v>
      </c>
      <c r="H714">
        <v>55684</v>
      </c>
      <c r="I714" t="s">
        <v>3820</v>
      </c>
    </row>
    <row r="715" spans="1:9" x14ac:dyDescent="0.25">
      <c r="A715" t="s">
        <v>3817</v>
      </c>
      <c r="B715" t="s">
        <v>4734</v>
      </c>
      <c r="C715" t="s">
        <v>3821</v>
      </c>
      <c r="D715">
        <v>35.173707450000002</v>
      </c>
      <c r="E715" t="s">
        <v>3818</v>
      </c>
      <c r="F715">
        <v>117.4488637</v>
      </c>
      <c r="G715" t="s">
        <v>3819</v>
      </c>
      <c r="H715">
        <v>39412</v>
      </c>
      <c r="I715" t="s">
        <v>3820</v>
      </c>
    </row>
    <row r="716" spans="1:9" x14ac:dyDescent="0.25">
      <c r="A716" t="s">
        <v>3817</v>
      </c>
      <c r="B716" t="s">
        <v>3859</v>
      </c>
      <c r="C716" t="s">
        <v>3821</v>
      </c>
      <c r="D716">
        <v>37.816276350000003</v>
      </c>
      <c r="E716" t="s">
        <v>3818</v>
      </c>
      <c r="F716">
        <v>117.7150819</v>
      </c>
      <c r="G716" t="s">
        <v>3819</v>
      </c>
      <c r="H716">
        <v>48535</v>
      </c>
      <c r="I716" t="s">
        <v>3820</v>
      </c>
    </row>
    <row r="717" spans="1:9" x14ac:dyDescent="0.25">
      <c r="A717" t="s">
        <v>3817</v>
      </c>
      <c r="B717" t="s">
        <v>4107</v>
      </c>
      <c r="C717" t="s">
        <v>3821</v>
      </c>
      <c r="D717">
        <v>36.916262449999998</v>
      </c>
      <c r="E717" t="s">
        <v>3818</v>
      </c>
      <c r="F717">
        <v>117.41352310000001</v>
      </c>
      <c r="G717" t="s">
        <v>3819</v>
      </c>
      <c r="H717">
        <v>34170</v>
      </c>
      <c r="I717" t="s">
        <v>3820</v>
      </c>
    </row>
    <row r="718" spans="1:9" x14ac:dyDescent="0.25">
      <c r="A718" t="s">
        <v>3817</v>
      </c>
      <c r="B718" t="s">
        <v>4513</v>
      </c>
      <c r="C718" t="s">
        <v>3821</v>
      </c>
      <c r="D718">
        <v>35.721607089999999</v>
      </c>
      <c r="E718" t="s">
        <v>3818</v>
      </c>
      <c r="F718">
        <v>116.7655049</v>
      </c>
      <c r="G718" t="s">
        <v>3819</v>
      </c>
      <c r="H718">
        <v>39919</v>
      </c>
      <c r="I718" t="s">
        <v>3820</v>
      </c>
    </row>
    <row r="719" spans="1:9" x14ac:dyDescent="0.25">
      <c r="A719" t="s">
        <v>3817</v>
      </c>
      <c r="B719" t="s">
        <v>4673</v>
      </c>
      <c r="C719" t="s">
        <v>3821</v>
      </c>
      <c r="D719">
        <v>37.320580059999998</v>
      </c>
      <c r="E719" t="s">
        <v>3818</v>
      </c>
      <c r="F719">
        <v>120.63397500000001</v>
      </c>
      <c r="G719" t="s">
        <v>3819</v>
      </c>
      <c r="H719">
        <v>19706</v>
      </c>
      <c r="I719" t="s">
        <v>3820</v>
      </c>
    </row>
    <row r="720" spans="1:9" x14ac:dyDescent="0.25">
      <c r="A720" t="s">
        <v>3817</v>
      </c>
      <c r="B720" t="s">
        <v>4169</v>
      </c>
      <c r="C720" t="s">
        <v>3821</v>
      </c>
      <c r="D720">
        <v>34.908033799999998</v>
      </c>
      <c r="E720" t="s">
        <v>3818</v>
      </c>
      <c r="F720">
        <v>116.3099411</v>
      </c>
      <c r="G720" t="s">
        <v>3819</v>
      </c>
      <c r="H720">
        <v>29199</v>
      </c>
      <c r="I720" t="s">
        <v>3820</v>
      </c>
    </row>
    <row r="721" spans="1:9" x14ac:dyDescent="0.25">
      <c r="A721" t="s">
        <v>3817</v>
      </c>
      <c r="B721" t="s">
        <v>4367</v>
      </c>
      <c r="C721" t="s">
        <v>3821</v>
      </c>
      <c r="D721">
        <v>35.676351560000001</v>
      </c>
      <c r="E721" t="s">
        <v>3818</v>
      </c>
      <c r="F721">
        <v>118.7245552</v>
      </c>
      <c r="G721" t="s">
        <v>3819</v>
      </c>
      <c r="H721">
        <v>55960</v>
      </c>
      <c r="I721" t="s">
        <v>3820</v>
      </c>
    </row>
    <row r="722" spans="1:9" x14ac:dyDescent="0.25">
      <c r="A722" t="s">
        <v>3817</v>
      </c>
      <c r="B722" t="s">
        <v>4570</v>
      </c>
      <c r="C722" t="s">
        <v>3821</v>
      </c>
      <c r="D722">
        <v>36.293260189999998</v>
      </c>
      <c r="E722" t="s">
        <v>3818</v>
      </c>
      <c r="F722">
        <v>118.4348322</v>
      </c>
      <c r="G722" t="s">
        <v>3819</v>
      </c>
      <c r="H722">
        <v>56289</v>
      </c>
      <c r="I722" t="s">
        <v>3820</v>
      </c>
    </row>
    <row r="723" spans="1:9" x14ac:dyDescent="0.25">
      <c r="A723" t="s">
        <v>3817</v>
      </c>
      <c r="B723" t="s">
        <v>4170</v>
      </c>
      <c r="C723" t="s">
        <v>3821</v>
      </c>
      <c r="D723">
        <v>35.526153209999997</v>
      </c>
      <c r="E723" t="s">
        <v>3818</v>
      </c>
      <c r="F723">
        <v>117.42452900000001</v>
      </c>
      <c r="G723" t="s">
        <v>3819</v>
      </c>
      <c r="H723">
        <v>41158</v>
      </c>
      <c r="I723" t="s">
        <v>3820</v>
      </c>
    </row>
    <row r="724" spans="1:9" x14ac:dyDescent="0.25">
      <c r="A724" t="s">
        <v>3817</v>
      </c>
      <c r="B724" t="s">
        <v>4461</v>
      </c>
      <c r="C724" t="s">
        <v>3821</v>
      </c>
      <c r="D724">
        <v>35.723859160000003</v>
      </c>
      <c r="E724" t="s">
        <v>3818</v>
      </c>
      <c r="F724">
        <v>119.3167134</v>
      </c>
      <c r="G724" t="s">
        <v>3819</v>
      </c>
      <c r="H724">
        <v>15957</v>
      </c>
      <c r="I724" t="s">
        <v>3820</v>
      </c>
    </row>
    <row r="725" spans="1:9" x14ac:dyDescent="0.25">
      <c r="A725" t="s">
        <v>3817</v>
      </c>
      <c r="B725" t="s">
        <v>4610</v>
      </c>
      <c r="C725" t="s">
        <v>3821</v>
      </c>
      <c r="D725">
        <v>37.086746550000001</v>
      </c>
      <c r="E725" t="s">
        <v>3818</v>
      </c>
      <c r="F725">
        <v>121.9910556</v>
      </c>
      <c r="G725" t="s">
        <v>3819</v>
      </c>
      <c r="H725">
        <v>37381</v>
      </c>
      <c r="I725" t="s">
        <v>3820</v>
      </c>
    </row>
    <row r="726" spans="1:9" x14ac:dyDescent="0.25">
      <c r="A726" t="s">
        <v>3817</v>
      </c>
      <c r="B726" t="s">
        <v>3926</v>
      </c>
      <c r="C726" t="s">
        <v>3821</v>
      </c>
      <c r="D726">
        <v>37.552444270000002</v>
      </c>
      <c r="E726" t="s">
        <v>3818</v>
      </c>
      <c r="F726">
        <v>116.8610329</v>
      </c>
      <c r="G726" t="s">
        <v>3819</v>
      </c>
      <c r="H726">
        <v>38611</v>
      </c>
      <c r="I726" t="s">
        <v>3820</v>
      </c>
    </row>
    <row r="727" spans="1:9" x14ac:dyDescent="0.25">
      <c r="A727" t="s">
        <v>3817</v>
      </c>
      <c r="B727" t="s">
        <v>4270</v>
      </c>
      <c r="C727" t="s">
        <v>3821</v>
      </c>
      <c r="D727">
        <v>36.875505580000002</v>
      </c>
      <c r="E727" t="s">
        <v>3818</v>
      </c>
      <c r="F727">
        <v>115.883116</v>
      </c>
      <c r="G727" t="s">
        <v>3819</v>
      </c>
      <c r="H727">
        <v>32198</v>
      </c>
      <c r="I727" t="s">
        <v>3820</v>
      </c>
    </row>
    <row r="728" spans="1:9" x14ac:dyDescent="0.25">
      <c r="A728" t="s">
        <v>3817</v>
      </c>
      <c r="B728" t="s">
        <v>3927</v>
      </c>
      <c r="C728" t="s">
        <v>3821</v>
      </c>
      <c r="D728">
        <v>36.919012690000002</v>
      </c>
      <c r="E728" t="s">
        <v>3818</v>
      </c>
      <c r="F728">
        <v>115.929286</v>
      </c>
      <c r="G728" t="s">
        <v>3819</v>
      </c>
      <c r="H728">
        <v>30811</v>
      </c>
      <c r="I728" t="s">
        <v>3820</v>
      </c>
    </row>
    <row r="729" spans="1:9" x14ac:dyDescent="0.25">
      <c r="A729" t="s">
        <v>3817</v>
      </c>
      <c r="B729" t="s">
        <v>4368</v>
      </c>
      <c r="C729" t="s">
        <v>3821</v>
      </c>
      <c r="D729">
        <v>35.606768369999998</v>
      </c>
      <c r="E729" t="s">
        <v>3818</v>
      </c>
      <c r="F729">
        <v>118.5682742</v>
      </c>
      <c r="G729" t="s">
        <v>3819</v>
      </c>
      <c r="H729">
        <v>46366</v>
      </c>
      <c r="I729" t="s">
        <v>3820</v>
      </c>
    </row>
    <row r="730" spans="1:9" x14ac:dyDescent="0.25">
      <c r="A730" t="s">
        <v>3817</v>
      </c>
      <c r="B730" t="s">
        <v>4058</v>
      </c>
      <c r="C730" t="s">
        <v>3821</v>
      </c>
      <c r="D730">
        <v>35.46054857</v>
      </c>
      <c r="E730" t="s">
        <v>3818</v>
      </c>
      <c r="F730">
        <v>116.00721830000001</v>
      </c>
      <c r="G730" t="s">
        <v>3819</v>
      </c>
      <c r="H730">
        <v>48362</v>
      </c>
      <c r="I730" t="s">
        <v>3820</v>
      </c>
    </row>
    <row r="731" spans="1:9" x14ac:dyDescent="0.25">
      <c r="A731" t="s">
        <v>3817</v>
      </c>
      <c r="B731" t="s">
        <v>4059</v>
      </c>
      <c r="C731" t="s">
        <v>3821</v>
      </c>
      <c r="D731">
        <v>34.787006519999998</v>
      </c>
      <c r="E731" t="s">
        <v>3818</v>
      </c>
      <c r="F731">
        <v>115.7913362</v>
      </c>
      <c r="G731" t="s">
        <v>3819</v>
      </c>
      <c r="H731">
        <v>68498</v>
      </c>
      <c r="I731" t="s">
        <v>3820</v>
      </c>
    </row>
    <row r="732" spans="1:9" x14ac:dyDescent="0.25">
      <c r="A732" t="s">
        <v>3817</v>
      </c>
      <c r="B732" t="s">
        <v>4674</v>
      </c>
      <c r="C732" t="s">
        <v>3821</v>
      </c>
      <c r="D732">
        <v>37.41915324</v>
      </c>
      <c r="E732" t="s">
        <v>3818</v>
      </c>
      <c r="F732">
        <v>120.6725781</v>
      </c>
      <c r="G732" t="s">
        <v>3819</v>
      </c>
      <c r="H732">
        <v>32642</v>
      </c>
      <c r="I732" t="s">
        <v>3820</v>
      </c>
    </row>
    <row r="733" spans="1:9" x14ac:dyDescent="0.25">
      <c r="A733" t="s">
        <v>3817</v>
      </c>
      <c r="B733" t="s">
        <v>3928</v>
      </c>
      <c r="C733" t="s">
        <v>3821</v>
      </c>
      <c r="D733">
        <v>37.073848689999998</v>
      </c>
      <c r="E733" t="s">
        <v>3818</v>
      </c>
      <c r="F733">
        <v>116.1246146</v>
      </c>
      <c r="G733" t="s">
        <v>3819</v>
      </c>
      <c r="H733">
        <v>46965</v>
      </c>
      <c r="I733" t="s">
        <v>3820</v>
      </c>
    </row>
    <row r="734" spans="1:9" x14ac:dyDescent="0.25">
      <c r="A734" t="s">
        <v>3817</v>
      </c>
      <c r="B734" t="s">
        <v>4514</v>
      </c>
      <c r="C734" t="s">
        <v>3821</v>
      </c>
      <c r="D734">
        <v>35.974690529999997</v>
      </c>
      <c r="E734" t="s">
        <v>3818</v>
      </c>
      <c r="F734">
        <v>116.6785125</v>
      </c>
      <c r="G734" t="s">
        <v>3819</v>
      </c>
      <c r="H734">
        <v>27872</v>
      </c>
      <c r="I734" t="s">
        <v>3820</v>
      </c>
    </row>
    <row r="735" spans="1:9" x14ac:dyDescent="0.25">
      <c r="A735" t="s">
        <v>3817</v>
      </c>
      <c r="B735" t="s">
        <v>4108</v>
      </c>
      <c r="C735" t="s">
        <v>3821</v>
      </c>
      <c r="D735">
        <v>37.311740039999997</v>
      </c>
      <c r="E735" t="s">
        <v>3818</v>
      </c>
      <c r="F735">
        <v>117.240645</v>
      </c>
      <c r="G735" t="s">
        <v>3819</v>
      </c>
      <c r="H735">
        <v>45898</v>
      </c>
      <c r="I735" t="s">
        <v>3820</v>
      </c>
    </row>
    <row r="736" spans="1:9" x14ac:dyDescent="0.25">
      <c r="A736" t="s">
        <v>3817</v>
      </c>
      <c r="B736" t="s">
        <v>4060</v>
      </c>
      <c r="C736" t="s">
        <v>3821</v>
      </c>
      <c r="D736">
        <v>34.77871348</v>
      </c>
      <c r="E736" t="s">
        <v>3818</v>
      </c>
      <c r="F736">
        <v>115.66948410000001</v>
      </c>
      <c r="G736" t="s">
        <v>3819</v>
      </c>
      <c r="H736">
        <v>44338</v>
      </c>
      <c r="I736" t="s">
        <v>3820</v>
      </c>
    </row>
    <row r="737" spans="1:9" x14ac:dyDescent="0.25">
      <c r="A737" t="s">
        <v>3817</v>
      </c>
      <c r="B737" t="s">
        <v>3860</v>
      </c>
      <c r="C737" t="s">
        <v>3821</v>
      </c>
      <c r="D737">
        <v>37.027253940000001</v>
      </c>
      <c r="E737" t="s">
        <v>3818</v>
      </c>
      <c r="F737">
        <v>117.7179021</v>
      </c>
      <c r="G737" t="s">
        <v>3819</v>
      </c>
      <c r="H737">
        <v>36356</v>
      </c>
      <c r="I737" t="s">
        <v>3820</v>
      </c>
    </row>
    <row r="738" spans="1:9" x14ac:dyDescent="0.25">
      <c r="A738" t="s">
        <v>3817</v>
      </c>
      <c r="B738" t="s">
        <v>4369</v>
      </c>
      <c r="C738" t="s">
        <v>3821</v>
      </c>
      <c r="D738">
        <v>35.545535690000001</v>
      </c>
      <c r="E738" t="s">
        <v>3818</v>
      </c>
      <c r="F738">
        <v>118.2809281</v>
      </c>
      <c r="G738" t="s">
        <v>3819</v>
      </c>
      <c r="H738">
        <v>33401</v>
      </c>
      <c r="I738" t="s">
        <v>3820</v>
      </c>
    </row>
    <row r="739" spans="1:9" x14ac:dyDescent="0.25">
      <c r="A739" t="s">
        <v>3817</v>
      </c>
      <c r="B739" t="s">
        <v>4779</v>
      </c>
      <c r="C739" t="s">
        <v>3821</v>
      </c>
      <c r="D739">
        <v>36.483942620000001</v>
      </c>
      <c r="E739" t="s">
        <v>3818</v>
      </c>
      <c r="F739">
        <v>118.1389473</v>
      </c>
      <c r="G739" t="s">
        <v>3819</v>
      </c>
      <c r="H739">
        <v>51159</v>
      </c>
      <c r="I739" t="s">
        <v>3820</v>
      </c>
    </row>
    <row r="740" spans="1:9" x14ac:dyDescent="0.25">
      <c r="A740" t="s">
        <v>3817</v>
      </c>
      <c r="B740" t="s">
        <v>6714</v>
      </c>
      <c r="C740" t="s">
        <v>3821</v>
      </c>
      <c r="D740">
        <v>35.343669300000002</v>
      </c>
      <c r="E740" t="s">
        <v>3818</v>
      </c>
      <c r="F740">
        <v>115.8513525</v>
      </c>
      <c r="G740" t="s">
        <v>3819</v>
      </c>
      <c r="H740">
        <v>42452</v>
      </c>
      <c r="I740" t="s">
        <v>3820</v>
      </c>
    </row>
    <row r="741" spans="1:9" x14ac:dyDescent="0.25">
      <c r="A741" t="s">
        <v>3817</v>
      </c>
      <c r="B741" t="s">
        <v>6715</v>
      </c>
      <c r="C741" t="s">
        <v>3821</v>
      </c>
      <c r="D741">
        <v>35.350785420000001</v>
      </c>
      <c r="E741" t="s">
        <v>3818</v>
      </c>
      <c r="F741">
        <v>116.8077083</v>
      </c>
      <c r="G741" t="s">
        <v>3819</v>
      </c>
      <c r="H741">
        <v>110992</v>
      </c>
      <c r="I741" t="s">
        <v>3820</v>
      </c>
    </row>
    <row r="742" spans="1:9" x14ac:dyDescent="0.25">
      <c r="A742" t="s">
        <v>3817</v>
      </c>
      <c r="B742" t="s">
        <v>4571</v>
      </c>
      <c r="C742" t="s">
        <v>3821</v>
      </c>
      <c r="D742">
        <v>37.024463879999999</v>
      </c>
      <c r="E742" t="s">
        <v>3818</v>
      </c>
      <c r="F742">
        <v>118.63235109999999</v>
      </c>
      <c r="G742" t="s">
        <v>3819</v>
      </c>
      <c r="H742">
        <v>60354</v>
      </c>
      <c r="I742" t="s">
        <v>3820</v>
      </c>
    </row>
    <row r="743" spans="1:9" x14ac:dyDescent="0.25">
      <c r="A743" t="s">
        <v>3817</v>
      </c>
      <c r="B743" t="s">
        <v>3929</v>
      </c>
      <c r="C743" t="s">
        <v>3821</v>
      </c>
      <c r="D743">
        <v>37.372371600000001</v>
      </c>
      <c r="E743" t="s">
        <v>3818</v>
      </c>
      <c r="F743">
        <v>116.3947335</v>
      </c>
      <c r="G743" t="s">
        <v>3819</v>
      </c>
      <c r="H743">
        <v>24387</v>
      </c>
      <c r="I743" t="s">
        <v>3820</v>
      </c>
    </row>
    <row r="744" spans="1:9" x14ac:dyDescent="0.25">
      <c r="A744" t="s">
        <v>3817</v>
      </c>
      <c r="B744" t="s">
        <v>3861</v>
      </c>
      <c r="C744" t="s">
        <v>3821</v>
      </c>
      <c r="D744">
        <v>37.092310609999998</v>
      </c>
      <c r="E744" t="s">
        <v>3818</v>
      </c>
      <c r="F744">
        <v>117.5078247</v>
      </c>
      <c r="G744" t="s">
        <v>3819</v>
      </c>
      <c r="H744">
        <v>30010</v>
      </c>
      <c r="I744" t="s">
        <v>3820</v>
      </c>
    </row>
    <row r="745" spans="1:9" x14ac:dyDescent="0.25">
      <c r="A745" t="s">
        <v>3817</v>
      </c>
      <c r="B745" t="s">
        <v>4370</v>
      </c>
      <c r="C745" t="s">
        <v>3821</v>
      </c>
      <c r="D745">
        <v>35.807952280000002</v>
      </c>
      <c r="E745" t="s">
        <v>3818</v>
      </c>
      <c r="F745">
        <v>118.1744231</v>
      </c>
      <c r="G745" t="s">
        <v>3819</v>
      </c>
      <c r="H745">
        <v>24853</v>
      </c>
      <c r="I745" t="s">
        <v>3820</v>
      </c>
    </row>
    <row r="746" spans="1:9" x14ac:dyDescent="0.25">
      <c r="A746" t="s">
        <v>3817</v>
      </c>
      <c r="B746" t="s">
        <v>4572</v>
      </c>
      <c r="C746" t="s">
        <v>3821</v>
      </c>
      <c r="D746">
        <v>36.656435180000003</v>
      </c>
      <c r="E746" t="s">
        <v>3818</v>
      </c>
      <c r="F746">
        <v>118.70096119999999</v>
      </c>
      <c r="G746" t="s">
        <v>3819</v>
      </c>
      <c r="H746">
        <v>91460</v>
      </c>
      <c r="I746" t="s">
        <v>3820</v>
      </c>
    </row>
    <row r="747" spans="1:9" x14ac:dyDescent="0.25">
      <c r="A747" t="s">
        <v>3817</v>
      </c>
      <c r="B747" t="s">
        <v>4171</v>
      </c>
      <c r="C747" t="s">
        <v>3821</v>
      </c>
      <c r="D747">
        <v>35.323782450000003</v>
      </c>
      <c r="E747" t="s">
        <v>3818</v>
      </c>
      <c r="F747">
        <v>116.93788170000001</v>
      </c>
      <c r="G747" t="s">
        <v>3819</v>
      </c>
      <c r="H747">
        <v>36446</v>
      </c>
      <c r="I747" t="s">
        <v>3820</v>
      </c>
    </row>
    <row r="748" spans="1:9" x14ac:dyDescent="0.25">
      <c r="A748" t="s">
        <v>3817</v>
      </c>
      <c r="B748" t="s">
        <v>4675</v>
      </c>
      <c r="C748" t="s">
        <v>3821</v>
      </c>
      <c r="D748">
        <v>37.105103990000003</v>
      </c>
      <c r="E748" t="s">
        <v>3818</v>
      </c>
      <c r="F748">
        <v>120.6126304</v>
      </c>
      <c r="G748" t="s">
        <v>3819</v>
      </c>
      <c r="H748">
        <v>45807</v>
      </c>
      <c r="I748" t="s">
        <v>3820</v>
      </c>
    </row>
    <row r="749" spans="1:9" x14ac:dyDescent="0.25">
      <c r="A749" t="s">
        <v>3817</v>
      </c>
      <c r="B749" t="s">
        <v>4780</v>
      </c>
      <c r="C749" t="s">
        <v>3821</v>
      </c>
      <c r="D749">
        <v>37.17897834</v>
      </c>
      <c r="E749" t="s">
        <v>3818</v>
      </c>
      <c r="F749">
        <v>117.98112209999999</v>
      </c>
      <c r="G749" t="s">
        <v>3819</v>
      </c>
      <c r="H749">
        <v>29444</v>
      </c>
      <c r="I749" t="s">
        <v>3820</v>
      </c>
    </row>
    <row r="750" spans="1:9" x14ac:dyDescent="0.25">
      <c r="A750" t="s">
        <v>3817</v>
      </c>
      <c r="B750" t="s">
        <v>4371</v>
      </c>
      <c r="C750" t="s">
        <v>3821</v>
      </c>
      <c r="D750">
        <v>35.087888769999999</v>
      </c>
      <c r="E750" t="s">
        <v>3818</v>
      </c>
      <c r="F750">
        <v>118.560692</v>
      </c>
      <c r="G750" t="s">
        <v>3819</v>
      </c>
      <c r="H750">
        <v>50180</v>
      </c>
      <c r="I750" t="s">
        <v>3820</v>
      </c>
    </row>
    <row r="751" spans="1:9" x14ac:dyDescent="0.25">
      <c r="A751" t="s">
        <v>3817</v>
      </c>
      <c r="B751" t="s">
        <v>4676</v>
      </c>
      <c r="C751" t="s">
        <v>3821</v>
      </c>
      <c r="D751">
        <v>37.215838740000002</v>
      </c>
      <c r="E751" t="s">
        <v>3818</v>
      </c>
      <c r="F751">
        <v>121.0115632</v>
      </c>
      <c r="G751" t="s">
        <v>3819</v>
      </c>
      <c r="H751">
        <v>25001</v>
      </c>
      <c r="I751" t="s">
        <v>3820</v>
      </c>
    </row>
    <row r="752" spans="1:9" x14ac:dyDescent="0.25">
      <c r="A752" t="s">
        <v>3817</v>
      </c>
      <c r="B752" t="s">
        <v>4172</v>
      </c>
      <c r="C752" t="s">
        <v>3821</v>
      </c>
      <c r="D752">
        <v>34.957616309999999</v>
      </c>
      <c r="E752" t="s">
        <v>3818</v>
      </c>
      <c r="F752">
        <v>116.6543958</v>
      </c>
      <c r="G752" t="s">
        <v>3819</v>
      </c>
      <c r="H752">
        <v>30004</v>
      </c>
      <c r="I752" t="s">
        <v>3820</v>
      </c>
    </row>
    <row r="753" spans="1:9" x14ac:dyDescent="0.25">
      <c r="A753" t="s">
        <v>3817</v>
      </c>
      <c r="B753" t="s">
        <v>4061</v>
      </c>
      <c r="C753" t="s">
        <v>3821</v>
      </c>
      <c r="D753">
        <v>35.422259820000001</v>
      </c>
      <c r="E753" t="s">
        <v>3818</v>
      </c>
      <c r="F753">
        <v>115.83565230000001</v>
      </c>
      <c r="G753" t="s">
        <v>3819</v>
      </c>
      <c r="H753">
        <v>46963</v>
      </c>
      <c r="I753" t="s">
        <v>3820</v>
      </c>
    </row>
    <row r="754" spans="1:9" x14ac:dyDescent="0.25">
      <c r="A754" t="s">
        <v>3817</v>
      </c>
      <c r="B754" t="s">
        <v>4781</v>
      </c>
      <c r="C754" t="s">
        <v>3821</v>
      </c>
      <c r="D754">
        <v>36.978608149999999</v>
      </c>
      <c r="E754" t="s">
        <v>3818</v>
      </c>
      <c r="F754">
        <v>118.0480432</v>
      </c>
      <c r="G754" t="s">
        <v>3819</v>
      </c>
      <c r="H754">
        <v>55971</v>
      </c>
      <c r="I754" t="s">
        <v>3820</v>
      </c>
    </row>
    <row r="755" spans="1:9" x14ac:dyDescent="0.25">
      <c r="A755" t="s">
        <v>3817</v>
      </c>
      <c r="B755" t="s">
        <v>4573</v>
      </c>
      <c r="C755" t="s">
        <v>3821</v>
      </c>
      <c r="D755">
        <v>36.405809120000001</v>
      </c>
      <c r="E755" t="s">
        <v>3818</v>
      </c>
      <c r="F755">
        <v>118.82263519999999</v>
      </c>
      <c r="G755" t="s">
        <v>3819</v>
      </c>
      <c r="H755">
        <v>93260</v>
      </c>
      <c r="I755" t="s">
        <v>3820</v>
      </c>
    </row>
    <row r="756" spans="1:9" x14ac:dyDescent="0.25">
      <c r="A756" t="s">
        <v>3817</v>
      </c>
      <c r="B756" t="s">
        <v>4271</v>
      </c>
      <c r="C756" t="s">
        <v>3821</v>
      </c>
      <c r="D756">
        <v>36.494186030000002</v>
      </c>
      <c r="E756" t="s">
        <v>3818</v>
      </c>
      <c r="F756">
        <v>115.78028810000001</v>
      </c>
      <c r="G756" t="s">
        <v>3819</v>
      </c>
      <c r="H756">
        <v>34146</v>
      </c>
      <c r="I756" t="s">
        <v>3820</v>
      </c>
    </row>
    <row r="757" spans="1:9" x14ac:dyDescent="0.25">
      <c r="A757" t="s">
        <v>3817</v>
      </c>
      <c r="B757" t="s">
        <v>4272</v>
      </c>
      <c r="C757" t="s">
        <v>3821</v>
      </c>
      <c r="D757">
        <v>36.750638170000002</v>
      </c>
      <c r="E757" t="s">
        <v>3818</v>
      </c>
      <c r="F757">
        <v>115.57019200000001</v>
      </c>
      <c r="G757" t="s">
        <v>3819</v>
      </c>
      <c r="H757">
        <v>36431</v>
      </c>
      <c r="I757" t="s">
        <v>3820</v>
      </c>
    </row>
    <row r="758" spans="1:9" x14ac:dyDescent="0.25">
      <c r="A758" t="s">
        <v>3817</v>
      </c>
      <c r="B758" t="s">
        <v>4372</v>
      </c>
      <c r="C758" t="s">
        <v>3821</v>
      </c>
      <c r="D758">
        <v>35.181729220000001</v>
      </c>
      <c r="E758" t="s">
        <v>3818</v>
      </c>
      <c r="F758">
        <v>118.07878289999999</v>
      </c>
      <c r="G758" t="s">
        <v>3819</v>
      </c>
      <c r="H758">
        <v>85663</v>
      </c>
      <c r="I758" t="s">
        <v>3820</v>
      </c>
    </row>
    <row r="759" spans="1:9" x14ac:dyDescent="0.25">
      <c r="A759" t="s">
        <v>3817</v>
      </c>
      <c r="B759" t="s">
        <v>4677</v>
      </c>
      <c r="C759" t="s">
        <v>3821</v>
      </c>
      <c r="D759">
        <v>37.254393069999999</v>
      </c>
      <c r="E759" t="s">
        <v>3818</v>
      </c>
      <c r="F759">
        <v>121.1490197</v>
      </c>
      <c r="G759" t="s">
        <v>3819</v>
      </c>
      <c r="H759">
        <v>79158</v>
      </c>
      <c r="I759" t="s">
        <v>3820</v>
      </c>
    </row>
    <row r="760" spans="1:9" x14ac:dyDescent="0.25">
      <c r="A760" t="s">
        <v>3817</v>
      </c>
      <c r="B760" t="s">
        <v>4574</v>
      </c>
      <c r="C760" t="s">
        <v>3821</v>
      </c>
      <c r="D760">
        <v>35.781623500000002</v>
      </c>
      <c r="E760" t="s">
        <v>3818</v>
      </c>
      <c r="F760">
        <v>119.5494412</v>
      </c>
      <c r="G760" t="s">
        <v>3819</v>
      </c>
      <c r="H760">
        <v>31795</v>
      </c>
      <c r="I760" t="s">
        <v>3820</v>
      </c>
    </row>
    <row r="761" spans="1:9" x14ac:dyDescent="0.25">
      <c r="A761" t="s">
        <v>3817</v>
      </c>
      <c r="B761" t="s">
        <v>4462</v>
      </c>
      <c r="C761" t="s">
        <v>3821</v>
      </c>
      <c r="D761">
        <v>35.265286830000001</v>
      </c>
      <c r="E761" t="s">
        <v>3818</v>
      </c>
      <c r="F761">
        <v>119.37129349999999</v>
      </c>
      <c r="G761" t="s">
        <v>3819</v>
      </c>
      <c r="H761">
        <v>61852</v>
      </c>
      <c r="I761" t="s">
        <v>3820</v>
      </c>
    </row>
    <row r="762" spans="1:9" x14ac:dyDescent="0.25">
      <c r="A762" t="s">
        <v>3817</v>
      </c>
      <c r="B762" t="s">
        <v>4062</v>
      </c>
      <c r="C762" t="s">
        <v>3821</v>
      </c>
      <c r="D762">
        <v>35.186642409999997</v>
      </c>
      <c r="E762" t="s">
        <v>3818</v>
      </c>
      <c r="F762">
        <v>116.18025830000001</v>
      </c>
      <c r="G762" t="s">
        <v>3819</v>
      </c>
      <c r="H762">
        <v>35539</v>
      </c>
      <c r="I762" t="s">
        <v>3820</v>
      </c>
    </row>
    <row r="763" spans="1:9" x14ac:dyDescent="0.25">
      <c r="A763" t="s">
        <v>3817</v>
      </c>
      <c r="B763" t="s">
        <v>4373</v>
      </c>
      <c r="C763" t="s">
        <v>3821</v>
      </c>
      <c r="D763">
        <v>35.597326520000003</v>
      </c>
      <c r="E763" t="s">
        <v>3818</v>
      </c>
      <c r="F763">
        <v>117.9741416</v>
      </c>
      <c r="G763" t="s">
        <v>3819</v>
      </c>
      <c r="H763">
        <v>38446</v>
      </c>
      <c r="I763" t="s">
        <v>3820</v>
      </c>
    </row>
    <row r="764" spans="1:9" x14ac:dyDescent="0.25">
      <c r="A764" t="s">
        <v>3817</v>
      </c>
      <c r="B764" t="s">
        <v>4515</v>
      </c>
      <c r="C764" t="s">
        <v>3821</v>
      </c>
      <c r="D764">
        <v>36.131205309999999</v>
      </c>
      <c r="E764" t="s">
        <v>3818</v>
      </c>
      <c r="F764">
        <v>116.6460744</v>
      </c>
      <c r="G764" t="s">
        <v>3819</v>
      </c>
      <c r="H764">
        <v>50638</v>
      </c>
      <c r="I764" t="s">
        <v>3820</v>
      </c>
    </row>
    <row r="765" spans="1:9" x14ac:dyDescent="0.25">
      <c r="A765" t="s">
        <v>3817</v>
      </c>
      <c r="B765" t="s">
        <v>4063</v>
      </c>
      <c r="C765" t="s">
        <v>3821</v>
      </c>
      <c r="D765">
        <v>34.98128518</v>
      </c>
      <c r="E765" t="s">
        <v>3818</v>
      </c>
      <c r="F765">
        <v>115.2412374</v>
      </c>
      <c r="G765" t="s">
        <v>3819</v>
      </c>
      <c r="H765">
        <v>68842</v>
      </c>
      <c r="I765" t="s">
        <v>3820</v>
      </c>
    </row>
    <row r="766" spans="1:9" x14ac:dyDescent="0.25">
      <c r="A766" t="s">
        <v>3817</v>
      </c>
      <c r="B766" t="s">
        <v>4735</v>
      </c>
      <c r="C766" t="s">
        <v>3821</v>
      </c>
      <c r="D766">
        <v>34.860102060000003</v>
      </c>
      <c r="E766" t="s">
        <v>3818</v>
      </c>
      <c r="F766">
        <v>117.31068879999999</v>
      </c>
      <c r="G766" t="s">
        <v>3819</v>
      </c>
      <c r="H766">
        <v>68253</v>
      </c>
      <c r="I766" t="s">
        <v>3820</v>
      </c>
    </row>
    <row r="767" spans="1:9" x14ac:dyDescent="0.25">
      <c r="A767" t="s">
        <v>3817</v>
      </c>
      <c r="B767" t="s">
        <v>4611</v>
      </c>
      <c r="C767" t="s">
        <v>3821</v>
      </c>
      <c r="D767">
        <v>37.061484309999997</v>
      </c>
      <c r="E767" t="s">
        <v>3818</v>
      </c>
      <c r="F767">
        <v>122.3476945</v>
      </c>
      <c r="G767" t="s">
        <v>3819</v>
      </c>
      <c r="H767">
        <v>27116</v>
      </c>
      <c r="I767" t="s">
        <v>3820</v>
      </c>
    </row>
    <row r="768" spans="1:9" x14ac:dyDescent="0.25">
      <c r="A768" t="s">
        <v>3817</v>
      </c>
      <c r="B768" t="s">
        <v>4516</v>
      </c>
      <c r="C768" t="s">
        <v>3821</v>
      </c>
      <c r="D768">
        <v>35.979327679999997</v>
      </c>
      <c r="E768" t="s">
        <v>3818</v>
      </c>
      <c r="F768">
        <v>117.3846532</v>
      </c>
      <c r="G768" t="s">
        <v>3819</v>
      </c>
      <c r="H768">
        <v>71030</v>
      </c>
      <c r="I768" t="s">
        <v>3820</v>
      </c>
    </row>
    <row r="769" spans="1:9" x14ac:dyDescent="0.25">
      <c r="A769" t="s">
        <v>3817</v>
      </c>
      <c r="B769" t="s">
        <v>4432</v>
      </c>
      <c r="C769" t="s">
        <v>3821</v>
      </c>
      <c r="D769">
        <v>36.504832370000003</v>
      </c>
      <c r="E769" t="s">
        <v>3818</v>
      </c>
      <c r="F769">
        <v>120.8655356</v>
      </c>
      <c r="G769" t="s">
        <v>3819</v>
      </c>
      <c r="H769">
        <v>124079</v>
      </c>
      <c r="I769" t="s">
        <v>3820</v>
      </c>
    </row>
    <row r="770" spans="1:9" x14ac:dyDescent="0.25">
      <c r="A770" t="s">
        <v>3817</v>
      </c>
      <c r="B770" t="s">
        <v>4173</v>
      </c>
      <c r="C770" t="s">
        <v>3821</v>
      </c>
      <c r="D770">
        <v>35.437808269999998</v>
      </c>
      <c r="E770" t="s">
        <v>3818</v>
      </c>
      <c r="F770">
        <v>117.273532</v>
      </c>
      <c r="G770" t="s">
        <v>3819</v>
      </c>
      <c r="H770">
        <v>35677</v>
      </c>
      <c r="I770" t="s">
        <v>3820</v>
      </c>
    </row>
    <row r="771" spans="1:9" x14ac:dyDescent="0.25">
      <c r="A771" t="s">
        <v>3817</v>
      </c>
      <c r="B771" t="s">
        <v>4575</v>
      </c>
      <c r="C771" t="s">
        <v>3821</v>
      </c>
      <c r="D771">
        <v>37.007770559999997</v>
      </c>
      <c r="E771" t="s">
        <v>3818</v>
      </c>
      <c r="F771">
        <v>118.7765842</v>
      </c>
      <c r="G771" t="s">
        <v>3819</v>
      </c>
      <c r="H771">
        <v>67165</v>
      </c>
      <c r="I771" t="s">
        <v>3820</v>
      </c>
    </row>
    <row r="772" spans="1:9" x14ac:dyDescent="0.25">
      <c r="A772" t="s">
        <v>3817</v>
      </c>
      <c r="B772" t="s">
        <v>4064</v>
      </c>
      <c r="C772" t="s">
        <v>3821</v>
      </c>
      <c r="D772">
        <v>35.340151040000002</v>
      </c>
      <c r="E772" t="s">
        <v>3818</v>
      </c>
      <c r="F772">
        <v>115.9684626</v>
      </c>
      <c r="G772" t="s">
        <v>3819</v>
      </c>
      <c r="H772">
        <v>36651</v>
      </c>
      <c r="I772" t="s">
        <v>3820</v>
      </c>
    </row>
    <row r="773" spans="1:9" x14ac:dyDescent="0.25">
      <c r="A773" t="s">
        <v>3817</v>
      </c>
      <c r="B773" t="s">
        <v>6716</v>
      </c>
      <c r="C773" t="s">
        <v>3821</v>
      </c>
      <c r="D773">
        <v>35.449181639999999</v>
      </c>
      <c r="E773" t="s">
        <v>3818</v>
      </c>
      <c r="F773">
        <v>116.1076678</v>
      </c>
      <c r="G773" t="s">
        <v>3819</v>
      </c>
      <c r="H773">
        <v>47030</v>
      </c>
      <c r="I773" t="s">
        <v>3820</v>
      </c>
    </row>
    <row r="774" spans="1:9" x14ac:dyDescent="0.25">
      <c r="A774" t="s">
        <v>3817</v>
      </c>
      <c r="B774" t="s">
        <v>6717</v>
      </c>
      <c r="C774" t="s">
        <v>3821</v>
      </c>
      <c r="D774">
        <v>37.006411640000003</v>
      </c>
      <c r="E774" t="s">
        <v>3818</v>
      </c>
      <c r="F774">
        <v>117.9939359</v>
      </c>
      <c r="G774" t="s">
        <v>3819</v>
      </c>
      <c r="H774">
        <v>45130</v>
      </c>
      <c r="I774" t="s">
        <v>3820</v>
      </c>
    </row>
    <row r="775" spans="1:9" x14ac:dyDescent="0.25">
      <c r="A775" t="s">
        <v>3817</v>
      </c>
      <c r="B775" t="s">
        <v>4065</v>
      </c>
      <c r="C775" t="s">
        <v>3821</v>
      </c>
      <c r="D775">
        <v>36.838940690000001</v>
      </c>
      <c r="E775" t="s">
        <v>3818</v>
      </c>
      <c r="F775">
        <v>119.70979850000001</v>
      </c>
      <c r="G775" t="s">
        <v>3819</v>
      </c>
      <c r="H775">
        <v>64957</v>
      </c>
      <c r="I775" t="s">
        <v>3820</v>
      </c>
    </row>
    <row r="776" spans="1:9" x14ac:dyDescent="0.25">
      <c r="A776" t="s">
        <v>3817</v>
      </c>
      <c r="B776" t="s">
        <v>3930</v>
      </c>
      <c r="C776" t="s">
        <v>3821</v>
      </c>
      <c r="D776">
        <v>37.677857119999999</v>
      </c>
      <c r="E776" t="s">
        <v>3818</v>
      </c>
      <c r="F776">
        <v>117.2813373</v>
      </c>
      <c r="G776" t="s">
        <v>3819</v>
      </c>
      <c r="H776">
        <v>25431</v>
      </c>
      <c r="I776" t="s">
        <v>3820</v>
      </c>
    </row>
    <row r="777" spans="1:9" x14ac:dyDescent="0.25">
      <c r="A777" t="s">
        <v>3817</v>
      </c>
      <c r="B777" t="s">
        <v>4517</v>
      </c>
      <c r="C777" t="s">
        <v>3821</v>
      </c>
      <c r="D777">
        <v>36.03351524</v>
      </c>
      <c r="E777" t="s">
        <v>3818</v>
      </c>
      <c r="F777">
        <v>116.36895</v>
      </c>
      <c r="G777" t="s">
        <v>3819</v>
      </c>
      <c r="H777">
        <v>38178</v>
      </c>
      <c r="I777" t="s">
        <v>3820</v>
      </c>
    </row>
    <row r="778" spans="1:9" x14ac:dyDescent="0.25">
      <c r="A778" t="s">
        <v>3817</v>
      </c>
      <c r="B778" t="s">
        <v>4678</v>
      </c>
      <c r="C778" t="s">
        <v>3821</v>
      </c>
      <c r="D778">
        <v>37.355686749999997</v>
      </c>
      <c r="E778" t="s">
        <v>3818</v>
      </c>
      <c r="F778">
        <v>120.996354</v>
      </c>
      <c r="G778" t="s">
        <v>3819</v>
      </c>
      <c r="H778">
        <v>30400</v>
      </c>
      <c r="I778" t="s">
        <v>3820</v>
      </c>
    </row>
    <row r="779" spans="1:9" x14ac:dyDescent="0.25">
      <c r="A779" t="s">
        <v>3817</v>
      </c>
      <c r="B779" t="s">
        <v>3970</v>
      </c>
      <c r="C779" t="s">
        <v>3821</v>
      </c>
      <c r="D779">
        <v>37.770374179999997</v>
      </c>
      <c r="E779" t="s">
        <v>3818</v>
      </c>
      <c r="F779">
        <v>118.5294129</v>
      </c>
      <c r="G779" t="s">
        <v>3819</v>
      </c>
      <c r="H779">
        <v>28911</v>
      </c>
      <c r="I779" t="s">
        <v>3820</v>
      </c>
    </row>
    <row r="780" spans="1:9" x14ac:dyDescent="0.25">
      <c r="A780" t="s">
        <v>3817</v>
      </c>
      <c r="B780" t="s">
        <v>4374</v>
      </c>
      <c r="C780" t="s">
        <v>3821</v>
      </c>
      <c r="D780">
        <v>35.637185410000001</v>
      </c>
      <c r="E780" t="s">
        <v>3818</v>
      </c>
      <c r="F780">
        <v>118.4492829</v>
      </c>
      <c r="G780" t="s">
        <v>3819</v>
      </c>
      <c r="H780">
        <v>51089</v>
      </c>
      <c r="I780" t="s">
        <v>3820</v>
      </c>
    </row>
    <row r="781" spans="1:9" x14ac:dyDescent="0.25">
      <c r="A781" t="s">
        <v>3817</v>
      </c>
      <c r="B781" t="s">
        <v>4375</v>
      </c>
      <c r="C781" t="s">
        <v>3821</v>
      </c>
      <c r="D781">
        <v>35.378140420000001</v>
      </c>
      <c r="E781" t="s">
        <v>3818</v>
      </c>
      <c r="F781">
        <v>117.7316924</v>
      </c>
      <c r="G781" t="s">
        <v>3819</v>
      </c>
      <c r="H781">
        <v>66958</v>
      </c>
      <c r="I781" t="s">
        <v>3820</v>
      </c>
    </row>
    <row r="782" spans="1:9" x14ac:dyDescent="0.25">
      <c r="A782" t="s">
        <v>3817</v>
      </c>
      <c r="B782" t="s">
        <v>4174</v>
      </c>
      <c r="C782" t="s">
        <v>3821</v>
      </c>
      <c r="D782">
        <v>35.42931729</v>
      </c>
      <c r="E782" t="s">
        <v>3818</v>
      </c>
      <c r="F782">
        <v>116.40687029999999</v>
      </c>
      <c r="G782" t="s">
        <v>3819</v>
      </c>
      <c r="H782">
        <v>90480</v>
      </c>
      <c r="I782" t="s">
        <v>3820</v>
      </c>
    </row>
    <row r="783" spans="1:9" x14ac:dyDescent="0.25">
      <c r="A783" t="s">
        <v>3817</v>
      </c>
      <c r="B783" t="s">
        <v>4376</v>
      </c>
      <c r="C783" t="s">
        <v>3821</v>
      </c>
      <c r="D783">
        <v>35.1273719</v>
      </c>
      <c r="E783" t="s">
        <v>3818</v>
      </c>
      <c r="F783">
        <v>119.1252192</v>
      </c>
      <c r="G783" t="s">
        <v>3819</v>
      </c>
      <c r="H783">
        <v>37258</v>
      </c>
      <c r="I783" t="s">
        <v>3820</v>
      </c>
    </row>
    <row r="784" spans="1:9" x14ac:dyDescent="0.25">
      <c r="A784" t="s">
        <v>3817</v>
      </c>
      <c r="B784" t="s">
        <v>4679</v>
      </c>
      <c r="C784" t="s">
        <v>3821</v>
      </c>
      <c r="D784">
        <v>36.749549719999997</v>
      </c>
      <c r="E784" t="s">
        <v>3818</v>
      </c>
      <c r="F784">
        <v>120.63110880000001</v>
      </c>
      <c r="G784" t="s">
        <v>3819</v>
      </c>
      <c r="H784">
        <v>63150</v>
      </c>
      <c r="I784" t="s">
        <v>3820</v>
      </c>
    </row>
    <row r="785" spans="1:9" x14ac:dyDescent="0.25">
      <c r="A785" t="s">
        <v>3817</v>
      </c>
      <c r="B785" t="s">
        <v>4680</v>
      </c>
      <c r="C785" t="s">
        <v>3821</v>
      </c>
      <c r="D785">
        <v>38.164323000000003</v>
      </c>
      <c r="E785" t="s">
        <v>3818</v>
      </c>
      <c r="F785">
        <v>120.7527065</v>
      </c>
      <c r="G785" t="s">
        <v>3819</v>
      </c>
      <c r="H785">
        <v>6758</v>
      </c>
      <c r="I785" t="s">
        <v>3820</v>
      </c>
    </row>
    <row r="786" spans="1:9" x14ac:dyDescent="0.25">
      <c r="A786" t="s">
        <v>3817</v>
      </c>
      <c r="B786" t="s">
        <v>4681</v>
      </c>
      <c r="C786" t="s">
        <v>3821</v>
      </c>
      <c r="D786">
        <v>37.0661348</v>
      </c>
      <c r="E786" t="s">
        <v>3818</v>
      </c>
      <c r="F786">
        <v>119.6583413</v>
      </c>
      <c r="G786" t="s">
        <v>3819</v>
      </c>
      <c r="H786">
        <v>55454</v>
      </c>
      <c r="I786" t="s">
        <v>3820</v>
      </c>
    </row>
    <row r="787" spans="1:9" x14ac:dyDescent="0.25">
      <c r="A787" t="s">
        <v>3817</v>
      </c>
      <c r="B787" t="s">
        <v>4682</v>
      </c>
      <c r="C787" t="s">
        <v>3821</v>
      </c>
      <c r="D787">
        <v>36.903514080000001</v>
      </c>
      <c r="E787" t="s">
        <v>3818</v>
      </c>
      <c r="F787">
        <v>120.886022</v>
      </c>
      <c r="G787" t="s">
        <v>3819</v>
      </c>
      <c r="H787">
        <v>58732</v>
      </c>
      <c r="I787" t="s">
        <v>3820</v>
      </c>
    </row>
    <row r="788" spans="1:9" x14ac:dyDescent="0.25">
      <c r="A788" t="s">
        <v>3817</v>
      </c>
      <c r="B788" t="s">
        <v>4066</v>
      </c>
      <c r="C788" t="s">
        <v>3821</v>
      </c>
      <c r="D788">
        <v>35.154356810000003</v>
      </c>
      <c r="E788" t="s">
        <v>3818</v>
      </c>
      <c r="F788">
        <v>115.9443799</v>
      </c>
      <c r="G788" t="s">
        <v>3819</v>
      </c>
      <c r="H788">
        <v>59034</v>
      </c>
      <c r="I788" t="s">
        <v>3820</v>
      </c>
    </row>
    <row r="789" spans="1:9" x14ac:dyDescent="0.25">
      <c r="A789" t="s">
        <v>3817</v>
      </c>
      <c r="B789" t="s">
        <v>4782</v>
      </c>
      <c r="C789" t="s">
        <v>3821</v>
      </c>
      <c r="D789">
        <v>36.690683669999999</v>
      </c>
      <c r="E789" t="s">
        <v>3818</v>
      </c>
      <c r="F789">
        <v>117.77040119999999</v>
      </c>
      <c r="G789" t="s">
        <v>3819</v>
      </c>
      <c r="H789">
        <v>43025</v>
      </c>
      <c r="I789" t="s">
        <v>3820</v>
      </c>
    </row>
    <row r="790" spans="1:9" x14ac:dyDescent="0.25">
      <c r="A790" t="s">
        <v>3817</v>
      </c>
      <c r="B790" t="s">
        <v>3931</v>
      </c>
      <c r="C790" t="s">
        <v>3821</v>
      </c>
      <c r="D790">
        <v>37.149400640000003</v>
      </c>
      <c r="E790" t="s">
        <v>3818</v>
      </c>
      <c r="F790">
        <v>116.32569410000001</v>
      </c>
      <c r="G790" t="s">
        <v>3819</v>
      </c>
      <c r="H790">
        <v>22430</v>
      </c>
      <c r="I790" t="s">
        <v>3820</v>
      </c>
    </row>
    <row r="791" spans="1:9" x14ac:dyDescent="0.25">
      <c r="A791" t="s">
        <v>3817</v>
      </c>
      <c r="B791" t="s">
        <v>4576</v>
      </c>
      <c r="C791" t="s">
        <v>3821</v>
      </c>
      <c r="D791">
        <v>36.541190569999998</v>
      </c>
      <c r="E791" t="s">
        <v>3818</v>
      </c>
      <c r="F791">
        <v>118.36259750000001</v>
      </c>
      <c r="G791" t="s">
        <v>3819</v>
      </c>
      <c r="H791">
        <v>48052</v>
      </c>
      <c r="I791" t="s">
        <v>3820</v>
      </c>
    </row>
    <row r="792" spans="1:9" x14ac:dyDescent="0.25">
      <c r="A792" t="s">
        <v>3817</v>
      </c>
      <c r="B792" t="s">
        <v>4273</v>
      </c>
      <c r="C792" t="s">
        <v>3821</v>
      </c>
      <c r="D792">
        <v>36.341356359999999</v>
      </c>
      <c r="E792" t="s">
        <v>3818</v>
      </c>
      <c r="F792">
        <v>115.4084483</v>
      </c>
      <c r="G792" t="s">
        <v>3819</v>
      </c>
      <c r="H792">
        <v>43614</v>
      </c>
      <c r="I792" t="s">
        <v>3820</v>
      </c>
    </row>
    <row r="793" spans="1:9" x14ac:dyDescent="0.25">
      <c r="A793" t="s">
        <v>3817</v>
      </c>
      <c r="B793" t="s">
        <v>3932</v>
      </c>
      <c r="C793" t="s">
        <v>3821</v>
      </c>
      <c r="D793">
        <v>37.202011390000003</v>
      </c>
      <c r="E793" t="s">
        <v>3818</v>
      </c>
      <c r="F793">
        <v>116.60498870000001</v>
      </c>
      <c r="G793" t="s">
        <v>3819</v>
      </c>
      <c r="H793">
        <v>51959</v>
      </c>
      <c r="I793" t="s">
        <v>3820</v>
      </c>
    </row>
    <row r="794" spans="1:9" x14ac:dyDescent="0.25">
      <c r="A794" t="s">
        <v>3817</v>
      </c>
      <c r="B794" t="s">
        <v>3933</v>
      </c>
      <c r="C794" t="s">
        <v>3821</v>
      </c>
      <c r="D794">
        <v>37.235183460000002</v>
      </c>
      <c r="E794" t="s">
        <v>3818</v>
      </c>
      <c r="F794">
        <v>116.30393840000001</v>
      </c>
      <c r="G794" t="s">
        <v>3819</v>
      </c>
      <c r="H794">
        <v>28533</v>
      </c>
      <c r="I794" t="s">
        <v>3820</v>
      </c>
    </row>
    <row r="795" spans="1:9" x14ac:dyDescent="0.25">
      <c r="A795" t="s">
        <v>3817</v>
      </c>
      <c r="B795" t="s">
        <v>4683</v>
      </c>
      <c r="C795" t="s">
        <v>3821</v>
      </c>
      <c r="D795">
        <v>37.166650519999997</v>
      </c>
      <c r="E795" t="s">
        <v>3818</v>
      </c>
      <c r="F795">
        <v>121.3867916</v>
      </c>
      <c r="G795" t="s">
        <v>3819</v>
      </c>
      <c r="H795">
        <v>18666</v>
      </c>
      <c r="I795" t="s">
        <v>3820</v>
      </c>
    </row>
    <row r="796" spans="1:9" x14ac:dyDescent="0.25">
      <c r="A796" t="s">
        <v>3817</v>
      </c>
      <c r="B796" t="s">
        <v>4377</v>
      </c>
      <c r="C796" t="s">
        <v>3821</v>
      </c>
      <c r="D796">
        <v>35.307762779999997</v>
      </c>
      <c r="E796" t="s">
        <v>3818</v>
      </c>
      <c r="F796">
        <v>118.2569343</v>
      </c>
      <c r="G796" t="s">
        <v>3819</v>
      </c>
      <c r="H796">
        <v>63554</v>
      </c>
      <c r="I796" t="s">
        <v>3820</v>
      </c>
    </row>
    <row r="797" spans="1:9" x14ac:dyDescent="0.25">
      <c r="A797" t="s">
        <v>3817</v>
      </c>
      <c r="B797" t="s">
        <v>4067</v>
      </c>
      <c r="C797" t="s">
        <v>3821</v>
      </c>
      <c r="D797">
        <v>35.121960090000002</v>
      </c>
      <c r="E797" t="s">
        <v>3818</v>
      </c>
      <c r="F797">
        <v>115.30889259999999</v>
      </c>
      <c r="G797" t="s">
        <v>3819</v>
      </c>
      <c r="H797">
        <v>48230</v>
      </c>
      <c r="I797" t="s">
        <v>3820</v>
      </c>
    </row>
    <row r="798" spans="1:9" x14ac:dyDescent="0.25">
      <c r="A798" t="s">
        <v>3817</v>
      </c>
      <c r="B798" t="s">
        <v>4463</v>
      </c>
      <c r="C798" t="s">
        <v>3821</v>
      </c>
      <c r="D798">
        <v>35.928623260000002</v>
      </c>
      <c r="E798" t="s">
        <v>3818</v>
      </c>
      <c r="F798">
        <v>119.1158298</v>
      </c>
      <c r="G798" t="s">
        <v>3819</v>
      </c>
      <c r="H798">
        <v>20561</v>
      </c>
      <c r="I798" t="s">
        <v>3820</v>
      </c>
    </row>
    <row r="799" spans="1:9" x14ac:dyDescent="0.25">
      <c r="A799" t="s">
        <v>3817</v>
      </c>
      <c r="B799" t="s">
        <v>4175</v>
      </c>
      <c r="C799" t="s">
        <v>3821</v>
      </c>
      <c r="D799">
        <v>35.02436608</v>
      </c>
      <c r="E799" t="s">
        <v>3818</v>
      </c>
      <c r="F799">
        <v>116.61520950000001</v>
      </c>
      <c r="G799" t="s">
        <v>3819</v>
      </c>
      <c r="H799">
        <v>40210</v>
      </c>
      <c r="I799" t="s">
        <v>3820</v>
      </c>
    </row>
    <row r="800" spans="1:9" x14ac:dyDescent="0.25">
      <c r="A800" t="s">
        <v>3817</v>
      </c>
      <c r="B800" t="s">
        <v>6718</v>
      </c>
      <c r="C800" t="s">
        <v>3821</v>
      </c>
      <c r="D800">
        <v>37.032201469999997</v>
      </c>
      <c r="E800" t="s">
        <v>3818</v>
      </c>
      <c r="F800">
        <v>116.4109613</v>
      </c>
      <c r="G800" t="s">
        <v>3819</v>
      </c>
      <c r="H800">
        <v>33340</v>
      </c>
      <c r="I800" t="s">
        <v>3820</v>
      </c>
    </row>
    <row r="801" spans="1:9" x14ac:dyDescent="0.25">
      <c r="A801" t="s">
        <v>3817</v>
      </c>
      <c r="B801" t="s">
        <v>6719</v>
      </c>
      <c r="C801" t="s">
        <v>3821</v>
      </c>
      <c r="D801">
        <v>34.960866119999999</v>
      </c>
      <c r="E801" t="s">
        <v>3818</v>
      </c>
      <c r="F801">
        <v>116.55205410000001</v>
      </c>
      <c r="G801" t="s">
        <v>3819</v>
      </c>
      <c r="H801">
        <v>54954</v>
      </c>
      <c r="I801" t="s">
        <v>3820</v>
      </c>
    </row>
    <row r="802" spans="1:9" x14ac:dyDescent="0.25">
      <c r="A802" t="s">
        <v>3817</v>
      </c>
      <c r="B802" t="s">
        <v>4612</v>
      </c>
      <c r="C802" t="s">
        <v>3821</v>
      </c>
      <c r="D802">
        <v>37.327603830000001</v>
      </c>
      <c r="E802" t="s">
        <v>3818</v>
      </c>
      <c r="F802">
        <v>121.97722039999999</v>
      </c>
      <c r="G802" t="s">
        <v>3819</v>
      </c>
      <c r="H802">
        <v>24061</v>
      </c>
      <c r="I802" t="s">
        <v>3820</v>
      </c>
    </row>
    <row r="803" spans="1:9" x14ac:dyDescent="0.25">
      <c r="A803" t="s">
        <v>3817</v>
      </c>
      <c r="B803" t="s">
        <v>6720</v>
      </c>
      <c r="C803" t="s">
        <v>3821</v>
      </c>
      <c r="D803">
        <v>35.66341516</v>
      </c>
      <c r="E803" t="s">
        <v>3818</v>
      </c>
      <c r="F803">
        <v>117.03348560000001</v>
      </c>
      <c r="G803" t="s">
        <v>3819</v>
      </c>
      <c r="H803">
        <v>44668</v>
      </c>
      <c r="I803" t="s">
        <v>3820</v>
      </c>
    </row>
    <row r="804" spans="1:9" x14ac:dyDescent="0.25">
      <c r="A804" t="s">
        <v>3817</v>
      </c>
      <c r="B804" t="s">
        <v>6721</v>
      </c>
      <c r="C804" t="s">
        <v>3821</v>
      </c>
      <c r="D804">
        <v>36.07076137</v>
      </c>
      <c r="E804" t="s">
        <v>3818</v>
      </c>
      <c r="F804">
        <v>116.607647</v>
      </c>
      <c r="G804" t="s">
        <v>3819</v>
      </c>
      <c r="H804">
        <v>52339</v>
      </c>
      <c r="I804" t="s">
        <v>3820</v>
      </c>
    </row>
    <row r="805" spans="1:9" x14ac:dyDescent="0.25">
      <c r="A805" t="s">
        <v>3817</v>
      </c>
      <c r="B805" t="s">
        <v>4274</v>
      </c>
      <c r="C805" t="s">
        <v>3821</v>
      </c>
      <c r="D805">
        <v>35.994283129999999</v>
      </c>
      <c r="E805" t="s">
        <v>3818</v>
      </c>
      <c r="F805">
        <v>115.4711727</v>
      </c>
      <c r="G805" t="s">
        <v>3819</v>
      </c>
      <c r="H805">
        <v>33221</v>
      </c>
      <c r="I805" t="s">
        <v>3820</v>
      </c>
    </row>
    <row r="806" spans="1:9" x14ac:dyDescent="0.25">
      <c r="A806" t="s">
        <v>3817</v>
      </c>
      <c r="B806" t="s">
        <v>3862</v>
      </c>
      <c r="C806" t="s">
        <v>3821</v>
      </c>
      <c r="D806">
        <v>37.284320719999997</v>
      </c>
      <c r="E806" t="s">
        <v>3818</v>
      </c>
      <c r="F806">
        <v>117.76685000000001</v>
      </c>
      <c r="G806" t="s">
        <v>3819</v>
      </c>
      <c r="H806">
        <v>29930</v>
      </c>
      <c r="I806" t="s">
        <v>3820</v>
      </c>
    </row>
    <row r="807" spans="1:9" x14ac:dyDescent="0.25">
      <c r="A807" t="s">
        <v>3817</v>
      </c>
      <c r="B807" t="s">
        <v>3863</v>
      </c>
      <c r="C807" t="s">
        <v>3821</v>
      </c>
      <c r="D807">
        <v>37.0016915</v>
      </c>
      <c r="E807" t="s">
        <v>3818</v>
      </c>
      <c r="F807">
        <v>117.51616370000001</v>
      </c>
      <c r="G807" t="s">
        <v>3819</v>
      </c>
      <c r="H807">
        <v>90305</v>
      </c>
      <c r="I807" t="s">
        <v>3820</v>
      </c>
    </row>
    <row r="808" spans="1:9" x14ac:dyDescent="0.25">
      <c r="A808" t="s">
        <v>3817</v>
      </c>
      <c r="B808" t="s">
        <v>4176</v>
      </c>
      <c r="C808" t="s">
        <v>3821</v>
      </c>
      <c r="D808">
        <v>34.654419169999997</v>
      </c>
      <c r="E808" t="s">
        <v>3818</v>
      </c>
      <c r="F808">
        <v>117.2370111</v>
      </c>
      <c r="G808" t="s">
        <v>3819</v>
      </c>
      <c r="H808">
        <v>12026</v>
      </c>
      <c r="I808" t="s">
        <v>3820</v>
      </c>
    </row>
    <row r="809" spans="1:9" x14ac:dyDescent="0.25">
      <c r="A809" t="s">
        <v>3817</v>
      </c>
      <c r="B809" t="s">
        <v>6722</v>
      </c>
      <c r="C809" t="s">
        <v>3821</v>
      </c>
      <c r="D809">
        <v>34.874745679999997</v>
      </c>
      <c r="E809" t="s">
        <v>3818</v>
      </c>
      <c r="F809">
        <v>115.37703329999999</v>
      </c>
      <c r="G809" t="s">
        <v>3819</v>
      </c>
      <c r="H809">
        <v>59661</v>
      </c>
      <c r="I809" t="s">
        <v>3820</v>
      </c>
    </row>
    <row r="810" spans="1:9" x14ac:dyDescent="0.25">
      <c r="A810" t="s">
        <v>3817</v>
      </c>
      <c r="B810" t="s">
        <v>6723</v>
      </c>
      <c r="C810" t="s">
        <v>3821</v>
      </c>
      <c r="D810">
        <v>36.7024227</v>
      </c>
      <c r="E810" t="s">
        <v>3818</v>
      </c>
      <c r="F810">
        <v>115.8938747</v>
      </c>
      <c r="G810" t="s">
        <v>3819</v>
      </c>
      <c r="H810">
        <v>22765</v>
      </c>
      <c r="I810" t="s">
        <v>3820</v>
      </c>
    </row>
    <row r="811" spans="1:9" x14ac:dyDescent="0.25">
      <c r="A811" t="s">
        <v>3817</v>
      </c>
      <c r="B811" t="s">
        <v>4275</v>
      </c>
      <c r="C811" t="s">
        <v>3821</v>
      </c>
      <c r="D811">
        <v>36.363126119999997</v>
      </c>
      <c r="E811" t="s">
        <v>3818</v>
      </c>
      <c r="F811">
        <v>115.5761353</v>
      </c>
      <c r="G811" t="s">
        <v>3819</v>
      </c>
      <c r="H811">
        <v>38485</v>
      </c>
      <c r="I811" t="s">
        <v>3820</v>
      </c>
    </row>
    <row r="812" spans="1:9" x14ac:dyDescent="0.25">
      <c r="A812" t="s">
        <v>3817</v>
      </c>
      <c r="B812" t="s">
        <v>4613</v>
      </c>
      <c r="C812" t="s">
        <v>3821</v>
      </c>
      <c r="D812">
        <v>37.236102930000001</v>
      </c>
      <c r="E812" t="s">
        <v>3818</v>
      </c>
      <c r="F812">
        <v>122.18439429999999</v>
      </c>
      <c r="G812" t="s">
        <v>3819</v>
      </c>
      <c r="H812">
        <v>32280</v>
      </c>
      <c r="I812" t="s">
        <v>3820</v>
      </c>
    </row>
    <row r="813" spans="1:9" x14ac:dyDescent="0.25">
      <c r="A813" t="s">
        <v>3817</v>
      </c>
      <c r="B813" t="s">
        <v>3864</v>
      </c>
      <c r="C813" t="s">
        <v>3821</v>
      </c>
      <c r="D813">
        <v>37.618940469999998</v>
      </c>
      <c r="E813" t="s">
        <v>3818</v>
      </c>
      <c r="F813">
        <v>117.34866580000001</v>
      </c>
      <c r="G813" t="s">
        <v>3819</v>
      </c>
      <c r="H813">
        <v>39211</v>
      </c>
      <c r="I813" t="s">
        <v>3820</v>
      </c>
    </row>
    <row r="814" spans="1:9" x14ac:dyDescent="0.25">
      <c r="A814" t="s">
        <v>3817</v>
      </c>
      <c r="B814" t="s">
        <v>4518</v>
      </c>
      <c r="C814" t="s">
        <v>3821</v>
      </c>
      <c r="D814">
        <v>35.801405150000001</v>
      </c>
      <c r="E814" t="s">
        <v>3818</v>
      </c>
      <c r="F814">
        <v>117.7811442</v>
      </c>
      <c r="G814" t="s">
        <v>3819</v>
      </c>
      <c r="H814">
        <v>110530</v>
      </c>
      <c r="I814" t="s">
        <v>3820</v>
      </c>
    </row>
    <row r="815" spans="1:9" x14ac:dyDescent="0.25">
      <c r="A815" t="s">
        <v>3817</v>
      </c>
      <c r="B815" t="s">
        <v>4614</v>
      </c>
      <c r="C815" t="s">
        <v>3821</v>
      </c>
      <c r="D815">
        <v>37.361958029999997</v>
      </c>
      <c r="E815" t="s">
        <v>3818</v>
      </c>
      <c r="F815">
        <v>122.187781</v>
      </c>
      <c r="G815" t="s">
        <v>3819</v>
      </c>
      <c r="H815">
        <v>33486</v>
      </c>
      <c r="I815" t="s">
        <v>3820</v>
      </c>
    </row>
    <row r="816" spans="1:9" x14ac:dyDescent="0.25">
      <c r="A816" t="s">
        <v>3817</v>
      </c>
      <c r="B816" t="s">
        <v>4378</v>
      </c>
      <c r="C816" t="s">
        <v>3821</v>
      </c>
      <c r="D816">
        <v>35.480119000000002</v>
      </c>
      <c r="E816" t="s">
        <v>3818</v>
      </c>
      <c r="F816">
        <v>117.7433752</v>
      </c>
      <c r="G816" t="s">
        <v>3819</v>
      </c>
      <c r="H816">
        <v>29738</v>
      </c>
      <c r="I816" t="s">
        <v>3820</v>
      </c>
    </row>
    <row r="817" spans="1:9" x14ac:dyDescent="0.25">
      <c r="A817" t="s">
        <v>3817</v>
      </c>
      <c r="B817" t="s">
        <v>4379</v>
      </c>
      <c r="C817" t="s">
        <v>3821</v>
      </c>
      <c r="D817">
        <v>35.325253170000003</v>
      </c>
      <c r="E817" t="s">
        <v>3818</v>
      </c>
      <c r="F817">
        <v>119.031081</v>
      </c>
      <c r="G817" t="s">
        <v>3819</v>
      </c>
      <c r="H817">
        <v>35991</v>
      </c>
      <c r="I817" t="s">
        <v>3820</v>
      </c>
    </row>
    <row r="818" spans="1:9" x14ac:dyDescent="0.25">
      <c r="A818" t="s">
        <v>3817</v>
      </c>
      <c r="B818" t="s">
        <v>4519</v>
      </c>
      <c r="C818" t="s">
        <v>3821</v>
      </c>
      <c r="D818">
        <v>35.943883159999999</v>
      </c>
      <c r="E818" t="s">
        <v>3818</v>
      </c>
      <c r="F818">
        <v>116.8694174</v>
      </c>
      <c r="G818" t="s">
        <v>3819</v>
      </c>
      <c r="H818">
        <v>73411</v>
      </c>
      <c r="I818" t="s">
        <v>3820</v>
      </c>
    </row>
    <row r="819" spans="1:9" x14ac:dyDescent="0.25">
      <c r="A819" t="s">
        <v>3817</v>
      </c>
      <c r="B819" t="s">
        <v>4068</v>
      </c>
      <c r="C819" t="s">
        <v>3821</v>
      </c>
      <c r="D819">
        <v>35.499154429999997</v>
      </c>
      <c r="E819" t="s">
        <v>3818</v>
      </c>
      <c r="F819">
        <v>115.8168431</v>
      </c>
      <c r="G819" t="s">
        <v>3819</v>
      </c>
      <c r="H819">
        <v>63645</v>
      </c>
      <c r="I819" t="s">
        <v>3820</v>
      </c>
    </row>
    <row r="820" spans="1:9" x14ac:dyDescent="0.25">
      <c r="A820" t="s">
        <v>3817</v>
      </c>
      <c r="B820" t="s">
        <v>3934</v>
      </c>
      <c r="C820" t="s">
        <v>3821</v>
      </c>
      <c r="D820">
        <v>37.208895849999998</v>
      </c>
      <c r="E820" t="s">
        <v>3818</v>
      </c>
      <c r="F820">
        <v>116.1434098</v>
      </c>
      <c r="G820" t="s">
        <v>3819</v>
      </c>
      <c r="H820">
        <v>57122</v>
      </c>
      <c r="I820" t="s">
        <v>3820</v>
      </c>
    </row>
    <row r="821" spans="1:9" x14ac:dyDescent="0.25">
      <c r="A821" t="s">
        <v>3817</v>
      </c>
      <c r="B821" t="s">
        <v>4177</v>
      </c>
      <c r="C821" t="s">
        <v>3821</v>
      </c>
      <c r="D821">
        <v>35.739578739999999</v>
      </c>
      <c r="E821" t="s">
        <v>3818</v>
      </c>
      <c r="F821">
        <v>116.9892771</v>
      </c>
      <c r="G821" t="s">
        <v>3819</v>
      </c>
      <c r="H821">
        <v>33254</v>
      </c>
      <c r="I821" t="s">
        <v>3820</v>
      </c>
    </row>
    <row r="822" spans="1:9" x14ac:dyDescent="0.25">
      <c r="A822" t="s">
        <v>3817</v>
      </c>
      <c r="B822" t="s">
        <v>4069</v>
      </c>
      <c r="C822" t="s">
        <v>3821</v>
      </c>
      <c r="D822">
        <v>35.322996029999999</v>
      </c>
      <c r="E822" t="s">
        <v>3818</v>
      </c>
      <c r="F822">
        <v>115.3923951</v>
      </c>
      <c r="G822" t="s">
        <v>3819</v>
      </c>
      <c r="H822">
        <v>48570</v>
      </c>
      <c r="I822" t="s">
        <v>3820</v>
      </c>
    </row>
    <row r="823" spans="1:9" x14ac:dyDescent="0.25">
      <c r="A823" t="s">
        <v>3817</v>
      </c>
      <c r="B823" t="s">
        <v>4615</v>
      </c>
      <c r="C823" t="s">
        <v>3821</v>
      </c>
      <c r="D823">
        <v>37.064682750000003</v>
      </c>
      <c r="E823" t="s">
        <v>3818</v>
      </c>
      <c r="F823">
        <v>121.4910058</v>
      </c>
      <c r="G823" t="s">
        <v>3819</v>
      </c>
      <c r="H823">
        <v>23081</v>
      </c>
      <c r="I823" t="s">
        <v>3820</v>
      </c>
    </row>
    <row r="824" spans="1:9" x14ac:dyDescent="0.25">
      <c r="A824" t="s">
        <v>3817</v>
      </c>
      <c r="B824" t="s">
        <v>4577</v>
      </c>
      <c r="C824" t="s">
        <v>3821</v>
      </c>
      <c r="D824">
        <v>36.411581570000003</v>
      </c>
      <c r="E824" t="s">
        <v>3818</v>
      </c>
      <c r="F824">
        <v>118.34224210000001</v>
      </c>
      <c r="G824" t="s">
        <v>3819</v>
      </c>
      <c r="H824">
        <v>60260</v>
      </c>
      <c r="I824" t="s">
        <v>3820</v>
      </c>
    </row>
    <row r="825" spans="1:9" x14ac:dyDescent="0.25">
      <c r="A825" t="s">
        <v>3817</v>
      </c>
      <c r="B825" t="s">
        <v>4578</v>
      </c>
      <c r="C825" t="s">
        <v>3821</v>
      </c>
      <c r="D825">
        <v>36.23918218</v>
      </c>
      <c r="E825" t="s">
        <v>3818</v>
      </c>
      <c r="F825">
        <v>118.8231961</v>
      </c>
      <c r="G825" t="s">
        <v>3819</v>
      </c>
      <c r="H825">
        <v>33881</v>
      </c>
      <c r="I825" t="s">
        <v>3820</v>
      </c>
    </row>
    <row r="826" spans="1:9" x14ac:dyDescent="0.25">
      <c r="A826" t="s">
        <v>3817</v>
      </c>
      <c r="B826" t="s">
        <v>4070</v>
      </c>
      <c r="C826" t="s">
        <v>3821</v>
      </c>
      <c r="D826">
        <v>35.331178199999997</v>
      </c>
      <c r="E826" t="s">
        <v>3818</v>
      </c>
      <c r="F826">
        <v>115.19692879999999</v>
      </c>
      <c r="G826" t="s">
        <v>3819</v>
      </c>
      <c r="H826">
        <v>43812</v>
      </c>
      <c r="I826" t="s">
        <v>3820</v>
      </c>
    </row>
    <row r="827" spans="1:9" x14ac:dyDescent="0.25">
      <c r="A827" t="s">
        <v>3817</v>
      </c>
      <c r="B827" t="s">
        <v>4380</v>
      </c>
      <c r="C827" t="s">
        <v>3821</v>
      </c>
      <c r="D827">
        <v>35.661975050000002</v>
      </c>
      <c r="E827" t="s">
        <v>3818</v>
      </c>
      <c r="F827">
        <v>117.7058794</v>
      </c>
      <c r="G827" t="s">
        <v>3819</v>
      </c>
      <c r="H827">
        <v>32621</v>
      </c>
      <c r="I827" t="s">
        <v>3820</v>
      </c>
    </row>
    <row r="828" spans="1:9" x14ac:dyDescent="0.25">
      <c r="A828" t="s">
        <v>3817</v>
      </c>
      <c r="B828" t="s">
        <v>4616</v>
      </c>
      <c r="C828" t="s">
        <v>3821</v>
      </c>
      <c r="D828">
        <v>37.058135729999996</v>
      </c>
      <c r="E828" t="s">
        <v>3818</v>
      </c>
      <c r="F828">
        <v>121.5981965</v>
      </c>
      <c r="G828" t="s">
        <v>3819</v>
      </c>
      <c r="H828">
        <v>26863</v>
      </c>
      <c r="I828" t="s">
        <v>3820</v>
      </c>
    </row>
    <row r="829" spans="1:9" x14ac:dyDescent="0.25">
      <c r="A829" t="s">
        <v>3817</v>
      </c>
      <c r="B829" t="s">
        <v>4617</v>
      </c>
      <c r="C829" t="s">
        <v>3821</v>
      </c>
      <c r="D829">
        <v>36.949793450000001</v>
      </c>
      <c r="E829" t="s">
        <v>3818</v>
      </c>
      <c r="F829">
        <v>121.5193508</v>
      </c>
      <c r="G829" t="s">
        <v>3819</v>
      </c>
      <c r="H829">
        <v>38792</v>
      </c>
      <c r="I829" t="s">
        <v>3820</v>
      </c>
    </row>
    <row r="830" spans="1:9" x14ac:dyDescent="0.25">
      <c r="A830" t="s">
        <v>3817</v>
      </c>
      <c r="B830" t="s">
        <v>4684</v>
      </c>
      <c r="C830" t="s">
        <v>3821</v>
      </c>
      <c r="D830">
        <v>37.158464279999997</v>
      </c>
      <c r="E830" t="s">
        <v>3818</v>
      </c>
      <c r="F830">
        <v>120.3536649</v>
      </c>
      <c r="G830" t="s">
        <v>3819</v>
      </c>
      <c r="H830">
        <v>39182</v>
      </c>
      <c r="I830" t="s">
        <v>3820</v>
      </c>
    </row>
    <row r="831" spans="1:9" x14ac:dyDescent="0.25">
      <c r="A831" t="s">
        <v>3817</v>
      </c>
      <c r="B831" t="s">
        <v>4685</v>
      </c>
      <c r="C831" t="s">
        <v>3821</v>
      </c>
      <c r="D831">
        <v>37.51361146</v>
      </c>
      <c r="E831" t="s">
        <v>3818</v>
      </c>
      <c r="F831">
        <v>120.5135118</v>
      </c>
      <c r="G831" t="s">
        <v>3819</v>
      </c>
      <c r="H831">
        <v>15534</v>
      </c>
      <c r="I831" t="s">
        <v>3820</v>
      </c>
    </row>
    <row r="832" spans="1:9" x14ac:dyDescent="0.25">
      <c r="A832" t="s">
        <v>3817</v>
      </c>
      <c r="B832" t="s">
        <v>4520</v>
      </c>
      <c r="C832" t="s">
        <v>3821</v>
      </c>
      <c r="D832">
        <v>36.386229210000003</v>
      </c>
      <c r="E832" t="s">
        <v>3818</v>
      </c>
      <c r="F832">
        <v>117.29652</v>
      </c>
      <c r="G832" t="s">
        <v>3819</v>
      </c>
      <c r="H832">
        <v>38680</v>
      </c>
      <c r="I832" t="s">
        <v>3820</v>
      </c>
    </row>
    <row r="833" spans="1:9" x14ac:dyDescent="0.25">
      <c r="A833" t="s">
        <v>3817</v>
      </c>
      <c r="B833" t="s">
        <v>4433</v>
      </c>
      <c r="C833" t="s">
        <v>3821</v>
      </c>
      <c r="D833">
        <v>36.66529929</v>
      </c>
      <c r="E833" t="s">
        <v>3818</v>
      </c>
      <c r="F833">
        <v>120.4335123</v>
      </c>
      <c r="G833" t="s">
        <v>3819</v>
      </c>
      <c r="H833">
        <v>30706</v>
      </c>
      <c r="I833" t="s">
        <v>3820</v>
      </c>
    </row>
    <row r="834" spans="1:9" x14ac:dyDescent="0.25">
      <c r="A834" t="s">
        <v>3817</v>
      </c>
      <c r="B834" t="s">
        <v>4178</v>
      </c>
      <c r="C834" t="s">
        <v>3821</v>
      </c>
      <c r="D834">
        <v>35.30765263</v>
      </c>
      <c r="E834" t="s">
        <v>3818</v>
      </c>
      <c r="F834">
        <v>117.16096349999999</v>
      </c>
      <c r="G834" t="s">
        <v>3819</v>
      </c>
      <c r="H834">
        <v>69731</v>
      </c>
      <c r="I834" t="s">
        <v>3820</v>
      </c>
    </row>
    <row r="835" spans="1:9" x14ac:dyDescent="0.25">
      <c r="A835" t="s">
        <v>3817</v>
      </c>
      <c r="B835" t="s">
        <v>4381</v>
      </c>
      <c r="C835" t="s">
        <v>3821</v>
      </c>
      <c r="D835">
        <v>34.829454890000001</v>
      </c>
      <c r="E835" t="s">
        <v>3818</v>
      </c>
      <c r="F835">
        <v>117.9434459</v>
      </c>
      <c r="G835" t="s">
        <v>3819</v>
      </c>
      <c r="H835">
        <v>88895</v>
      </c>
      <c r="I835" t="s">
        <v>3820</v>
      </c>
    </row>
    <row r="836" spans="1:9" x14ac:dyDescent="0.25">
      <c r="A836" t="s">
        <v>3817</v>
      </c>
      <c r="B836" t="s">
        <v>4382</v>
      </c>
      <c r="C836" t="s">
        <v>3821</v>
      </c>
      <c r="D836">
        <v>35.071882049999999</v>
      </c>
      <c r="E836" t="s">
        <v>3818</v>
      </c>
      <c r="F836">
        <v>118.7585078</v>
      </c>
      <c r="G836" t="s">
        <v>3819</v>
      </c>
      <c r="H836">
        <v>36273</v>
      </c>
      <c r="I836" t="s">
        <v>3820</v>
      </c>
    </row>
    <row r="837" spans="1:9" x14ac:dyDescent="0.25">
      <c r="A837" t="s">
        <v>3817</v>
      </c>
      <c r="B837" t="s">
        <v>3935</v>
      </c>
      <c r="C837" t="s">
        <v>3821</v>
      </c>
      <c r="D837">
        <v>37.690059470000001</v>
      </c>
      <c r="E837" t="s">
        <v>3818</v>
      </c>
      <c r="F837">
        <v>116.68924989999999</v>
      </c>
      <c r="G837" t="s">
        <v>3819</v>
      </c>
      <c r="H837">
        <v>23873</v>
      </c>
      <c r="I837" t="s">
        <v>3820</v>
      </c>
    </row>
    <row r="838" spans="1:9" x14ac:dyDescent="0.25">
      <c r="A838" t="s">
        <v>3817</v>
      </c>
      <c r="B838" t="s">
        <v>3936</v>
      </c>
      <c r="C838" t="s">
        <v>3821</v>
      </c>
      <c r="D838">
        <v>36.924825050000003</v>
      </c>
      <c r="E838" t="s">
        <v>3818</v>
      </c>
      <c r="F838">
        <v>116.1209638</v>
      </c>
      <c r="G838" t="s">
        <v>3819</v>
      </c>
      <c r="H838">
        <v>24875</v>
      </c>
      <c r="I838" t="s">
        <v>3820</v>
      </c>
    </row>
    <row r="839" spans="1:9" x14ac:dyDescent="0.25">
      <c r="A839" t="s">
        <v>3817</v>
      </c>
      <c r="B839" t="s">
        <v>4579</v>
      </c>
      <c r="C839" t="s">
        <v>3821</v>
      </c>
      <c r="D839">
        <v>36.199140790000001</v>
      </c>
      <c r="E839" t="s">
        <v>3818</v>
      </c>
      <c r="F839">
        <v>119.3942402</v>
      </c>
      <c r="G839" t="s">
        <v>3819</v>
      </c>
      <c r="H839">
        <v>61748</v>
      </c>
      <c r="I839" t="s">
        <v>3820</v>
      </c>
    </row>
    <row r="840" spans="1:9" x14ac:dyDescent="0.25">
      <c r="A840" t="s">
        <v>3817</v>
      </c>
      <c r="B840" t="s">
        <v>3971</v>
      </c>
      <c r="C840" t="s">
        <v>3821</v>
      </c>
      <c r="D840">
        <v>38.025475129999997</v>
      </c>
      <c r="E840" t="s">
        <v>3818</v>
      </c>
      <c r="F840">
        <v>118.84247360000001</v>
      </c>
      <c r="G840" t="s">
        <v>3819</v>
      </c>
      <c r="H840">
        <v>45653</v>
      </c>
      <c r="I840" t="s">
        <v>3820</v>
      </c>
    </row>
    <row r="841" spans="1:9" x14ac:dyDescent="0.25">
      <c r="A841" t="s">
        <v>3817</v>
      </c>
      <c r="B841" t="s">
        <v>4179</v>
      </c>
      <c r="C841" t="s">
        <v>3821</v>
      </c>
      <c r="D841">
        <v>35.8578452</v>
      </c>
      <c r="E841" t="s">
        <v>3818</v>
      </c>
      <c r="F841">
        <v>116.1527097</v>
      </c>
      <c r="G841" t="s">
        <v>3819</v>
      </c>
      <c r="H841">
        <v>48760</v>
      </c>
      <c r="I841" t="s">
        <v>3820</v>
      </c>
    </row>
    <row r="842" spans="1:9" x14ac:dyDescent="0.25">
      <c r="A842" t="s">
        <v>3817</v>
      </c>
      <c r="B842" t="s">
        <v>3865</v>
      </c>
      <c r="C842" t="s">
        <v>3821</v>
      </c>
      <c r="D842">
        <v>38.022581840000001</v>
      </c>
      <c r="E842" t="s">
        <v>3818</v>
      </c>
      <c r="F842">
        <v>117.60375019999999</v>
      </c>
      <c r="G842" t="s">
        <v>3819</v>
      </c>
      <c r="H842">
        <v>36122</v>
      </c>
      <c r="I842" t="s">
        <v>3820</v>
      </c>
    </row>
    <row r="843" spans="1:9" x14ac:dyDescent="0.25">
      <c r="A843" t="s">
        <v>3817</v>
      </c>
      <c r="B843" t="s">
        <v>4464</v>
      </c>
      <c r="C843" t="s">
        <v>3821</v>
      </c>
      <c r="D843">
        <v>35.411622569999999</v>
      </c>
      <c r="E843" t="s">
        <v>3818</v>
      </c>
      <c r="F843">
        <v>118.8028174</v>
      </c>
      <c r="G843" t="s">
        <v>3819</v>
      </c>
      <c r="H843">
        <v>46846</v>
      </c>
      <c r="I843" t="s">
        <v>3820</v>
      </c>
    </row>
    <row r="844" spans="1:9" x14ac:dyDescent="0.25">
      <c r="A844" t="s">
        <v>3817</v>
      </c>
      <c r="B844" t="s">
        <v>4618</v>
      </c>
      <c r="C844" t="s">
        <v>3821</v>
      </c>
      <c r="D844">
        <v>36.982206069999997</v>
      </c>
      <c r="E844" t="s">
        <v>3818</v>
      </c>
      <c r="F844">
        <v>121.90051029999999</v>
      </c>
      <c r="G844" t="s">
        <v>3819</v>
      </c>
      <c r="H844">
        <v>36706</v>
      </c>
      <c r="I844" t="s">
        <v>3820</v>
      </c>
    </row>
    <row r="845" spans="1:9" x14ac:dyDescent="0.25">
      <c r="A845" t="s">
        <v>3817</v>
      </c>
      <c r="B845" t="s">
        <v>4686</v>
      </c>
      <c r="C845" t="s">
        <v>3821</v>
      </c>
      <c r="D845">
        <v>36.81987934</v>
      </c>
      <c r="E845" t="s">
        <v>3818</v>
      </c>
      <c r="F845">
        <v>120.9700819</v>
      </c>
      <c r="G845" t="s">
        <v>3819</v>
      </c>
      <c r="H845">
        <v>45658</v>
      </c>
      <c r="I845" t="s">
        <v>3820</v>
      </c>
    </row>
    <row r="846" spans="1:9" x14ac:dyDescent="0.25">
      <c r="A846" t="s">
        <v>3817</v>
      </c>
      <c r="B846" t="s">
        <v>4276</v>
      </c>
      <c r="C846" t="s">
        <v>3821</v>
      </c>
      <c r="D846">
        <v>36.654620459999997</v>
      </c>
      <c r="E846" t="s">
        <v>3818</v>
      </c>
      <c r="F846">
        <v>116.0338959</v>
      </c>
      <c r="G846" t="s">
        <v>3819</v>
      </c>
      <c r="H846">
        <v>21793</v>
      </c>
      <c r="I846" t="s">
        <v>3820</v>
      </c>
    </row>
    <row r="847" spans="1:9" x14ac:dyDescent="0.25">
      <c r="A847" t="s">
        <v>3817</v>
      </c>
      <c r="B847" t="s">
        <v>4071</v>
      </c>
      <c r="C847" t="s">
        <v>3821</v>
      </c>
      <c r="D847">
        <v>35.100976379999999</v>
      </c>
      <c r="E847" t="s">
        <v>3818</v>
      </c>
      <c r="F847">
        <v>115.0879092</v>
      </c>
      <c r="G847" t="s">
        <v>3819</v>
      </c>
      <c r="H847">
        <v>45131</v>
      </c>
      <c r="I847" t="s">
        <v>3820</v>
      </c>
    </row>
    <row r="848" spans="1:9" x14ac:dyDescent="0.25">
      <c r="A848" t="s">
        <v>3817</v>
      </c>
      <c r="B848" t="s">
        <v>4072</v>
      </c>
      <c r="C848" t="s">
        <v>3821</v>
      </c>
      <c r="D848">
        <v>35.376859809999999</v>
      </c>
      <c r="E848" t="s">
        <v>3818</v>
      </c>
      <c r="F848">
        <v>115.4224514</v>
      </c>
      <c r="G848" t="s">
        <v>3819</v>
      </c>
      <c r="H848">
        <v>47600</v>
      </c>
      <c r="I848" t="s">
        <v>3820</v>
      </c>
    </row>
    <row r="849" spans="1:9" x14ac:dyDescent="0.25">
      <c r="A849" t="s">
        <v>3817</v>
      </c>
      <c r="B849" t="s">
        <v>4180</v>
      </c>
      <c r="C849" t="s">
        <v>3821</v>
      </c>
      <c r="D849">
        <v>35.930096040000002</v>
      </c>
      <c r="E849" t="s">
        <v>3818</v>
      </c>
      <c r="F849">
        <v>115.9782615</v>
      </c>
      <c r="G849" t="s">
        <v>3819</v>
      </c>
      <c r="H849">
        <v>45087</v>
      </c>
      <c r="I849" t="s">
        <v>3820</v>
      </c>
    </row>
    <row r="850" spans="1:9" x14ac:dyDescent="0.25">
      <c r="A850" t="s">
        <v>3817</v>
      </c>
      <c r="B850" t="s">
        <v>4181</v>
      </c>
      <c r="C850" t="s">
        <v>3821</v>
      </c>
      <c r="D850">
        <v>35.688541569999998</v>
      </c>
      <c r="E850" t="s">
        <v>3818</v>
      </c>
      <c r="F850">
        <v>116.6778631</v>
      </c>
      <c r="G850" t="s">
        <v>3819</v>
      </c>
      <c r="H850">
        <v>35507</v>
      </c>
      <c r="I850" t="s">
        <v>3820</v>
      </c>
    </row>
    <row r="851" spans="1:9" x14ac:dyDescent="0.25">
      <c r="A851" t="s">
        <v>3817</v>
      </c>
      <c r="B851" t="s">
        <v>4687</v>
      </c>
      <c r="C851" t="s">
        <v>3821</v>
      </c>
      <c r="D851">
        <v>37.63956872</v>
      </c>
      <c r="E851" t="s">
        <v>3818</v>
      </c>
      <c r="F851">
        <v>120.7559183</v>
      </c>
      <c r="G851" t="s">
        <v>3819</v>
      </c>
      <c r="H851">
        <v>35104</v>
      </c>
      <c r="I851" t="s">
        <v>3820</v>
      </c>
    </row>
    <row r="852" spans="1:9" x14ac:dyDescent="0.25">
      <c r="A852" t="s">
        <v>3817</v>
      </c>
      <c r="B852" t="s">
        <v>4521</v>
      </c>
      <c r="C852" t="s">
        <v>3821</v>
      </c>
      <c r="D852">
        <v>35.885280440000002</v>
      </c>
      <c r="E852" t="s">
        <v>3818</v>
      </c>
      <c r="F852">
        <v>117.59722499999999</v>
      </c>
      <c r="G852" t="s">
        <v>3819</v>
      </c>
      <c r="H852">
        <v>44817</v>
      </c>
      <c r="I852" t="s">
        <v>3820</v>
      </c>
    </row>
    <row r="853" spans="1:9" x14ac:dyDescent="0.25">
      <c r="A853" t="s">
        <v>3817</v>
      </c>
      <c r="B853" t="s">
        <v>4182</v>
      </c>
      <c r="C853" t="s">
        <v>3821</v>
      </c>
      <c r="D853">
        <v>34.90094225</v>
      </c>
      <c r="E853" t="s">
        <v>3818</v>
      </c>
      <c r="F853">
        <v>116.3873126</v>
      </c>
      <c r="G853" t="s">
        <v>3819</v>
      </c>
      <c r="H853">
        <v>45897</v>
      </c>
      <c r="I853" t="s">
        <v>3820</v>
      </c>
    </row>
    <row r="854" spans="1:9" x14ac:dyDescent="0.25">
      <c r="A854" t="s">
        <v>3817</v>
      </c>
      <c r="B854" t="s">
        <v>4109</v>
      </c>
      <c r="C854" t="s">
        <v>3821</v>
      </c>
      <c r="D854">
        <v>36.103395499999998</v>
      </c>
      <c r="E854" t="s">
        <v>3818</v>
      </c>
      <c r="F854">
        <v>116.4593818</v>
      </c>
      <c r="G854" t="s">
        <v>3819</v>
      </c>
      <c r="H854">
        <v>52683</v>
      </c>
      <c r="I854" t="s">
        <v>3820</v>
      </c>
    </row>
    <row r="855" spans="1:9" x14ac:dyDescent="0.25">
      <c r="A855" t="s">
        <v>3817</v>
      </c>
      <c r="B855" t="s">
        <v>4688</v>
      </c>
      <c r="C855" t="s">
        <v>3821</v>
      </c>
      <c r="D855">
        <v>37.03336281</v>
      </c>
      <c r="E855" t="s">
        <v>3818</v>
      </c>
      <c r="F855">
        <v>119.89135349999999</v>
      </c>
      <c r="G855" t="s">
        <v>3819</v>
      </c>
      <c r="H855">
        <v>38947</v>
      </c>
      <c r="I855" t="s">
        <v>3820</v>
      </c>
    </row>
    <row r="856" spans="1:9" x14ac:dyDescent="0.25">
      <c r="A856" t="s">
        <v>3817</v>
      </c>
      <c r="B856" t="s">
        <v>3866</v>
      </c>
      <c r="C856" t="s">
        <v>3821</v>
      </c>
      <c r="D856">
        <v>37.705496220000001</v>
      </c>
      <c r="E856" t="s">
        <v>3818</v>
      </c>
      <c r="F856">
        <v>117.9342664</v>
      </c>
      <c r="G856" t="s">
        <v>3819</v>
      </c>
      <c r="H856">
        <v>49016</v>
      </c>
      <c r="I856" t="s">
        <v>3820</v>
      </c>
    </row>
    <row r="857" spans="1:9" x14ac:dyDescent="0.25">
      <c r="A857" t="s">
        <v>3817</v>
      </c>
      <c r="B857" t="s">
        <v>4580</v>
      </c>
      <c r="C857" t="s">
        <v>3821</v>
      </c>
      <c r="D857">
        <v>37.035040469999998</v>
      </c>
      <c r="E857" t="s">
        <v>3818</v>
      </c>
      <c r="F857">
        <v>119.5226759</v>
      </c>
      <c r="G857" t="s">
        <v>3819</v>
      </c>
      <c r="H857">
        <v>23395</v>
      </c>
      <c r="I857" t="s">
        <v>3820</v>
      </c>
    </row>
    <row r="858" spans="1:9" x14ac:dyDescent="0.25">
      <c r="A858" t="s">
        <v>3817</v>
      </c>
      <c r="B858" t="s">
        <v>4383</v>
      </c>
      <c r="C858" t="s">
        <v>3821</v>
      </c>
      <c r="D858">
        <v>35.840189049999999</v>
      </c>
      <c r="E858" t="s">
        <v>3818</v>
      </c>
      <c r="F858">
        <v>118.32712100000001</v>
      </c>
      <c r="G858" t="s">
        <v>3819</v>
      </c>
      <c r="H858">
        <v>44111</v>
      </c>
      <c r="I858" t="s">
        <v>3820</v>
      </c>
    </row>
    <row r="859" spans="1:9" x14ac:dyDescent="0.25">
      <c r="A859" t="s">
        <v>3817</v>
      </c>
      <c r="B859" t="s">
        <v>4522</v>
      </c>
      <c r="C859" t="s">
        <v>3821</v>
      </c>
      <c r="D859">
        <v>36.101130249999997</v>
      </c>
      <c r="E859" t="s">
        <v>3818</v>
      </c>
      <c r="F859">
        <v>116.9439034</v>
      </c>
      <c r="G859" t="s">
        <v>3819</v>
      </c>
      <c r="H859">
        <v>60728</v>
      </c>
      <c r="I859" t="s">
        <v>3820</v>
      </c>
    </row>
    <row r="860" spans="1:9" x14ac:dyDescent="0.25">
      <c r="A860" t="s">
        <v>3817</v>
      </c>
      <c r="B860" t="s">
        <v>6724</v>
      </c>
      <c r="C860" t="s">
        <v>3821</v>
      </c>
      <c r="D860">
        <v>35.421606539999999</v>
      </c>
      <c r="E860" t="s">
        <v>3818</v>
      </c>
      <c r="F860">
        <v>118.6842788</v>
      </c>
      <c r="G860" t="s">
        <v>3819</v>
      </c>
      <c r="H860">
        <v>53529</v>
      </c>
      <c r="I860" t="s">
        <v>3820</v>
      </c>
    </row>
    <row r="861" spans="1:9" x14ac:dyDescent="0.25">
      <c r="A861" t="s">
        <v>3817</v>
      </c>
      <c r="B861" t="s">
        <v>6725</v>
      </c>
      <c r="C861" t="s">
        <v>3821</v>
      </c>
      <c r="D861">
        <v>36.461142029999998</v>
      </c>
      <c r="E861" t="s">
        <v>3818</v>
      </c>
      <c r="F861">
        <v>119.890173</v>
      </c>
      <c r="G861" t="s">
        <v>3819</v>
      </c>
      <c r="H861">
        <v>88710</v>
      </c>
      <c r="I861" t="s">
        <v>3820</v>
      </c>
    </row>
    <row r="862" spans="1:9" x14ac:dyDescent="0.25">
      <c r="A862" t="s">
        <v>3817</v>
      </c>
      <c r="B862" t="s">
        <v>6726</v>
      </c>
      <c r="C862" t="s">
        <v>3821</v>
      </c>
      <c r="D862">
        <v>37.229805200000001</v>
      </c>
      <c r="E862" t="s">
        <v>3818</v>
      </c>
      <c r="F862">
        <v>122.4520454</v>
      </c>
      <c r="G862" t="s">
        <v>3819</v>
      </c>
      <c r="H862">
        <v>11407</v>
      </c>
      <c r="I862" t="s">
        <v>3820</v>
      </c>
    </row>
    <row r="863" spans="1:9" x14ac:dyDescent="0.25">
      <c r="A863" t="s">
        <v>3817</v>
      </c>
      <c r="B863" t="s">
        <v>4689</v>
      </c>
      <c r="C863" t="s">
        <v>3821</v>
      </c>
      <c r="D863">
        <v>37.318073609999999</v>
      </c>
      <c r="E863" t="s">
        <v>3818</v>
      </c>
      <c r="F863">
        <v>120.729305</v>
      </c>
      <c r="G863" t="s">
        <v>3819</v>
      </c>
      <c r="H863">
        <v>19104</v>
      </c>
      <c r="I863" t="s">
        <v>3820</v>
      </c>
    </row>
    <row r="864" spans="1:9" x14ac:dyDescent="0.25">
      <c r="A864" t="s">
        <v>3817</v>
      </c>
      <c r="B864" t="s">
        <v>4073</v>
      </c>
      <c r="C864" t="s">
        <v>3821</v>
      </c>
      <c r="D864">
        <v>34.84482087</v>
      </c>
      <c r="E864" t="s">
        <v>3818</v>
      </c>
      <c r="F864">
        <v>116.07733</v>
      </c>
      <c r="G864" t="s">
        <v>3819</v>
      </c>
      <c r="H864">
        <v>51957</v>
      </c>
      <c r="I864" t="s">
        <v>3820</v>
      </c>
    </row>
    <row r="865" spans="1:9" x14ac:dyDescent="0.25">
      <c r="A865" t="s">
        <v>3817</v>
      </c>
      <c r="B865" t="s">
        <v>4736</v>
      </c>
      <c r="C865" t="s">
        <v>3821</v>
      </c>
      <c r="D865">
        <v>34.964888010000003</v>
      </c>
      <c r="E865" t="s">
        <v>3818</v>
      </c>
      <c r="F865">
        <v>117.0259786</v>
      </c>
      <c r="G865" t="s">
        <v>3819</v>
      </c>
      <c r="H865">
        <v>101610</v>
      </c>
      <c r="I865" t="s">
        <v>3820</v>
      </c>
    </row>
    <row r="866" spans="1:9" x14ac:dyDescent="0.25">
      <c r="A866" t="s">
        <v>3817</v>
      </c>
      <c r="B866" t="s">
        <v>4783</v>
      </c>
      <c r="C866" t="s">
        <v>3821</v>
      </c>
      <c r="D866">
        <v>36.517424560000002</v>
      </c>
      <c r="E866" t="s">
        <v>3818</v>
      </c>
      <c r="F866">
        <v>118.0067244</v>
      </c>
      <c r="G866" t="s">
        <v>3819</v>
      </c>
      <c r="H866">
        <v>46431</v>
      </c>
      <c r="I866" t="s">
        <v>3820</v>
      </c>
    </row>
    <row r="867" spans="1:9" x14ac:dyDescent="0.25">
      <c r="A867" t="s">
        <v>3817</v>
      </c>
      <c r="B867" t="s">
        <v>6727</v>
      </c>
      <c r="C867" t="s">
        <v>3821</v>
      </c>
      <c r="D867">
        <v>36.120872929999997</v>
      </c>
      <c r="E867" t="s">
        <v>3818</v>
      </c>
      <c r="F867">
        <v>115.7025388</v>
      </c>
      <c r="G867" t="s">
        <v>3819</v>
      </c>
      <c r="H867">
        <v>37182</v>
      </c>
      <c r="I867" t="s">
        <v>3820</v>
      </c>
    </row>
    <row r="868" spans="1:9" x14ac:dyDescent="0.25">
      <c r="A868" t="s">
        <v>3817</v>
      </c>
      <c r="B868" t="s">
        <v>6728</v>
      </c>
      <c r="C868" t="s">
        <v>3821</v>
      </c>
      <c r="D868">
        <v>35.437435739999998</v>
      </c>
      <c r="E868" t="s">
        <v>3818</v>
      </c>
      <c r="F868">
        <v>119.22673380000001</v>
      </c>
      <c r="G868" t="s">
        <v>3819</v>
      </c>
      <c r="H868">
        <v>29978</v>
      </c>
      <c r="I868" t="s">
        <v>3820</v>
      </c>
    </row>
    <row r="869" spans="1:9" x14ac:dyDescent="0.25">
      <c r="A869" t="s">
        <v>3817</v>
      </c>
      <c r="B869" t="s">
        <v>4737</v>
      </c>
      <c r="C869" t="s">
        <v>3821</v>
      </c>
      <c r="D869">
        <v>34.94323369</v>
      </c>
      <c r="E869" t="s">
        <v>3818</v>
      </c>
      <c r="F869">
        <v>117.4170177</v>
      </c>
      <c r="G869" t="s">
        <v>3819</v>
      </c>
      <c r="H869">
        <v>29568</v>
      </c>
      <c r="I869" t="s">
        <v>3820</v>
      </c>
    </row>
    <row r="870" spans="1:9" x14ac:dyDescent="0.25">
      <c r="A870" t="s">
        <v>3817</v>
      </c>
      <c r="B870" t="s">
        <v>4784</v>
      </c>
      <c r="C870" t="s">
        <v>3821</v>
      </c>
      <c r="D870">
        <v>35.98659275</v>
      </c>
      <c r="E870" t="s">
        <v>3818</v>
      </c>
      <c r="F870">
        <v>118.27649959999999</v>
      </c>
      <c r="G870" t="s">
        <v>3819</v>
      </c>
      <c r="H870">
        <v>44544</v>
      </c>
      <c r="I870" t="s">
        <v>3820</v>
      </c>
    </row>
    <row r="871" spans="1:9" x14ac:dyDescent="0.25">
      <c r="A871" t="s">
        <v>3817</v>
      </c>
      <c r="B871" t="s">
        <v>4690</v>
      </c>
      <c r="C871" t="s">
        <v>3821</v>
      </c>
      <c r="D871">
        <v>36.643191620000003</v>
      </c>
      <c r="E871" t="s">
        <v>3818</v>
      </c>
      <c r="F871">
        <v>120.99169190000001</v>
      </c>
      <c r="G871" t="s">
        <v>3819</v>
      </c>
      <c r="H871">
        <v>45028</v>
      </c>
      <c r="I871" t="s">
        <v>3820</v>
      </c>
    </row>
    <row r="872" spans="1:9" x14ac:dyDescent="0.25">
      <c r="A872" t="s">
        <v>3817</v>
      </c>
      <c r="B872" t="s">
        <v>4785</v>
      </c>
      <c r="C872" t="s">
        <v>3821</v>
      </c>
      <c r="D872">
        <v>36.959207229999997</v>
      </c>
      <c r="E872" t="s">
        <v>3818</v>
      </c>
      <c r="F872">
        <v>117.9500575</v>
      </c>
      <c r="G872" t="s">
        <v>3819</v>
      </c>
      <c r="H872">
        <v>34233</v>
      </c>
      <c r="I872" t="s">
        <v>3820</v>
      </c>
    </row>
    <row r="873" spans="1:9" x14ac:dyDescent="0.25">
      <c r="A873" t="s">
        <v>3817</v>
      </c>
      <c r="B873" t="s">
        <v>6729</v>
      </c>
      <c r="C873" t="s">
        <v>3821</v>
      </c>
      <c r="D873">
        <v>37.359154019999998</v>
      </c>
      <c r="E873" t="s">
        <v>3818</v>
      </c>
      <c r="F873">
        <v>117.57080190000001</v>
      </c>
      <c r="G873" t="s">
        <v>3819</v>
      </c>
      <c r="H873">
        <v>44334</v>
      </c>
      <c r="I873" t="s">
        <v>3820</v>
      </c>
    </row>
    <row r="874" spans="1:9" x14ac:dyDescent="0.25">
      <c r="A874" t="s">
        <v>3817</v>
      </c>
      <c r="B874" t="s">
        <v>6730</v>
      </c>
      <c r="C874" t="s">
        <v>3821</v>
      </c>
      <c r="D874">
        <v>37.123014480000002</v>
      </c>
      <c r="E874" t="s">
        <v>3818</v>
      </c>
      <c r="F874">
        <v>116.669687</v>
      </c>
      <c r="G874" t="s">
        <v>3819</v>
      </c>
      <c r="H874">
        <v>31804</v>
      </c>
      <c r="I874" t="s">
        <v>3820</v>
      </c>
    </row>
    <row r="875" spans="1:9" x14ac:dyDescent="0.25">
      <c r="A875" t="s">
        <v>3817</v>
      </c>
      <c r="B875" t="s">
        <v>4691</v>
      </c>
      <c r="C875" t="s">
        <v>3821</v>
      </c>
      <c r="D875">
        <v>36.701814890000001</v>
      </c>
      <c r="E875" t="s">
        <v>3818</v>
      </c>
      <c r="F875">
        <v>120.9138322</v>
      </c>
      <c r="G875" t="s">
        <v>3819</v>
      </c>
      <c r="H875">
        <v>44271</v>
      </c>
      <c r="I875" t="s">
        <v>3820</v>
      </c>
    </row>
    <row r="876" spans="1:9" x14ac:dyDescent="0.25">
      <c r="A876" t="s">
        <v>3817</v>
      </c>
      <c r="B876" t="s">
        <v>4183</v>
      </c>
      <c r="C876" t="s">
        <v>3821</v>
      </c>
      <c r="D876">
        <v>35.711749140000002</v>
      </c>
      <c r="E876" t="s">
        <v>3818</v>
      </c>
      <c r="F876">
        <v>117.3970913</v>
      </c>
      <c r="G876" t="s">
        <v>3819</v>
      </c>
      <c r="H876">
        <v>44136</v>
      </c>
      <c r="I876" t="s">
        <v>3820</v>
      </c>
    </row>
    <row r="877" spans="1:9" x14ac:dyDescent="0.25">
      <c r="A877" t="s">
        <v>3817</v>
      </c>
      <c r="B877" t="s">
        <v>3867</v>
      </c>
      <c r="C877" t="s">
        <v>3821</v>
      </c>
      <c r="D877">
        <v>37.022620089999997</v>
      </c>
      <c r="E877" t="s">
        <v>3818</v>
      </c>
      <c r="F877">
        <v>118.2437881</v>
      </c>
      <c r="G877" t="s">
        <v>3819</v>
      </c>
      <c r="H877">
        <v>39618</v>
      </c>
      <c r="I877" t="s">
        <v>3820</v>
      </c>
    </row>
    <row r="878" spans="1:9" x14ac:dyDescent="0.25">
      <c r="A878" t="s">
        <v>3817</v>
      </c>
      <c r="B878" t="s">
        <v>6731</v>
      </c>
      <c r="C878" t="s">
        <v>3821</v>
      </c>
      <c r="D878">
        <v>37.069395129999997</v>
      </c>
      <c r="E878" t="s">
        <v>3818</v>
      </c>
      <c r="F878">
        <v>116.7674517</v>
      </c>
      <c r="G878" t="s">
        <v>3819</v>
      </c>
      <c r="H878">
        <v>38234</v>
      </c>
      <c r="I878" t="s">
        <v>3820</v>
      </c>
    </row>
    <row r="879" spans="1:9" x14ac:dyDescent="0.25">
      <c r="A879" t="s">
        <v>3817</v>
      </c>
      <c r="B879" t="s">
        <v>6732</v>
      </c>
      <c r="C879" t="s">
        <v>3821</v>
      </c>
      <c r="D879">
        <v>34.950530489999998</v>
      </c>
      <c r="E879" t="s">
        <v>3818</v>
      </c>
      <c r="F879">
        <v>116.27523360000001</v>
      </c>
      <c r="G879" t="s">
        <v>3819</v>
      </c>
      <c r="H879">
        <v>36600</v>
      </c>
      <c r="I879" t="s">
        <v>3820</v>
      </c>
    </row>
    <row r="880" spans="1:9" x14ac:dyDescent="0.25">
      <c r="A880" t="s">
        <v>3817</v>
      </c>
      <c r="B880" t="s">
        <v>4434</v>
      </c>
      <c r="C880" t="s">
        <v>3821</v>
      </c>
      <c r="D880">
        <v>36.951759610000003</v>
      </c>
      <c r="E880" t="s">
        <v>3818</v>
      </c>
      <c r="F880">
        <v>119.6779348</v>
      </c>
      <c r="G880" t="s">
        <v>3819</v>
      </c>
      <c r="H880">
        <v>69884</v>
      </c>
      <c r="I880" t="s">
        <v>3820</v>
      </c>
    </row>
    <row r="881" spans="1:9" x14ac:dyDescent="0.25">
      <c r="A881" t="s">
        <v>3817</v>
      </c>
      <c r="B881" t="s">
        <v>4523</v>
      </c>
      <c r="C881" t="s">
        <v>3821</v>
      </c>
      <c r="D881">
        <v>35.854858460000003</v>
      </c>
      <c r="E881" t="s">
        <v>3818</v>
      </c>
      <c r="F881">
        <v>116.27994959999999</v>
      </c>
      <c r="G881" t="s">
        <v>3819</v>
      </c>
      <c r="H881">
        <v>47137</v>
      </c>
      <c r="I881" t="s">
        <v>3820</v>
      </c>
    </row>
    <row r="882" spans="1:9" x14ac:dyDescent="0.25">
      <c r="A882" t="s">
        <v>3817</v>
      </c>
      <c r="B882" t="s">
        <v>3972</v>
      </c>
      <c r="C882" t="s">
        <v>3821</v>
      </c>
      <c r="D882">
        <v>38.020090789999998</v>
      </c>
      <c r="E882" t="s">
        <v>3818</v>
      </c>
      <c r="F882">
        <v>118.34790510000001</v>
      </c>
      <c r="G882" t="s">
        <v>3819</v>
      </c>
      <c r="H882">
        <v>21086</v>
      </c>
      <c r="I882" t="s">
        <v>3820</v>
      </c>
    </row>
    <row r="883" spans="1:9" x14ac:dyDescent="0.25">
      <c r="A883" t="s">
        <v>3817</v>
      </c>
      <c r="B883" t="s">
        <v>6733</v>
      </c>
      <c r="C883" t="s">
        <v>3821</v>
      </c>
      <c r="D883">
        <v>36.544851110000003</v>
      </c>
      <c r="E883" t="s">
        <v>3818</v>
      </c>
      <c r="F883">
        <v>115.69169599999999</v>
      </c>
      <c r="G883" t="s">
        <v>3819</v>
      </c>
      <c r="H883">
        <v>42774</v>
      </c>
      <c r="I883" t="s">
        <v>3820</v>
      </c>
    </row>
    <row r="884" spans="1:9" x14ac:dyDescent="0.25">
      <c r="A884" t="s">
        <v>3817</v>
      </c>
      <c r="B884" t="s">
        <v>6734</v>
      </c>
      <c r="C884" t="s">
        <v>3821</v>
      </c>
      <c r="D884">
        <v>35.51476581</v>
      </c>
      <c r="E884" t="s">
        <v>3818</v>
      </c>
      <c r="F884">
        <v>118.58085149999999</v>
      </c>
      <c r="G884" t="s">
        <v>3819</v>
      </c>
      <c r="H884">
        <v>50737</v>
      </c>
      <c r="I884" t="s">
        <v>3820</v>
      </c>
    </row>
    <row r="885" spans="1:9" x14ac:dyDescent="0.25">
      <c r="A885" t="s">
        <v>3817</v>
      </c>
      <c r="B885" t="s">
        <v>3937</v>
      </c>
      <c r="C885" t="s">
        <v>3821</v>
      </c>
      <c r="D885">
        <v>37.086597650000002</v>
      </c>
      <c r="E885" t="s">
        <v>3818</v>
      </c>
      <c r="F885">
        <v>116.02909219999999</v>
      </c>
      <c r="G885" t="s">
        <v>3819</v>
      </c>
      <c r="H885">
        <v>50556</v>
      </c>
      <c r="I885" t="s">
        <v>3820</v>
      </c>
    </row>
    <row r="886" spans="1:9" x14ac:dyDescent="0.25">
      <c r="A886" t="s">
        <v>3817</v>
      </c>
      <c r="B886" t="s">
        <v>4110</v>
      </c>
      <c r="C886" t="s">
        <v>3821</v>
      </c>
      <c r="D886">
        <v>37.073856370000001</v>
      </c>
      <c r="E886" t="s">
        <v>3818</v>
      </c>
      <c r="F886">
        <v>116.9841711</v>
      </c>
      <c r="G886" t="s">
        <v>3819</v>
      </c>
      <c r="H886">
        <v>35729</v>
      </c>
      <c r="I886" t="s">
        <v>3820</v>
      </c>
    </row>
    <row r="887" spans="1:9" x14ac:dyDescent="0.25">
      <c r="A887" t="s">
        <v>3817</v>
      </c>
      <c r="B887" t="s">
        <v>6735</v>
      </c>
      <c r="C887" t="s">
        <v>3821</v>
      </c>
      <c r="D887">
        <v>34.806042650000002</v>
      </c>
      <c r="E887" t="s">
        <v>3818</v>
      </c>
      <c r="F887">
        <v>117.83593949999999</v>
      </c>
      <c r="G887" t="s">
        <v>3819</v>
      </c>
      <c r="H887">
        <v>39748</v>
      </c>
      <c r="I887" t="s">
        <v>3820</v>
      </c>
    </row>
    <row r="888" spans="1:9" x14ac:dyDescent="0.25">
      <c r="A888" t="s">
        <v>3817</v>
      </c>
      <c r="B888" t="s">
        <v>6736</v>
      </c>
      <c r="C888" t="s">
        <v>3821</v>
      </c>
      <c r="D888">
        <v>36.048094069999998</v>
      </c>
      <c r="E888" t="s">
        <v>3818</v>
      </c>
      <c r="F888">
        <v>119.5626779</v>
      </c>
      <c r="G888" t="s">
        <v>3819</v>
      </c>
      <c r="H888">
        <v>38200</v>
      </c>
      <c r="I888" t="s">
        <v>3820</v>
      </c>
    </row>
    <row r="889" spans="1:9" x14ac:dyDescent="0.25">
      <c r="A889" t="s">
        <v>3817</v>
      </c>
      <c r="B889" t="s">
        <v>4184</v>
      </c>
      <c r="C889" t="s">
        <v>3821</v>
      </c>
      <c r="D889">
        <v>35.550278310000003</v>
      </c>
      <c r="E889" t="s">
        <v>3818</v>
      </c>
      <c r="F889">
        <v>116.760527</v>
      </c>
      <c r="G889" t="s">
        <v>3819</v>
      </c>
      <c r="H889">
        <v>51505</v>
      </c>
      <c r="I889" t="s">
        <v>3820</v>
      </c>
    </row>
    <row r="890" spans="1:9" x14ac:dyDescent="0.25">
      <c r="A890" t="s">
        <v>3817</v>
      </c>
      <c r="B890" t="s">
        <v>3868</v>
      </c>
      <c r="C890" t="s">
        <v>3821</v>
      </c>
      <c r="D890">
        <v>37.810109140000002</v>
      </c>
      <c r="E890" t="s">
        <v>3818</v>
      </c>
      <c r="F890">
        <v>117.6170178</v>
      </c>
      <c r="G890" t="s">
        <v>3819</v>
      </c>
      <c r="H890">
        <v>30071</v>
      </c>
      <c r="I890" t="s">
        <v>3820</v>
      </c>
    </row>
    <row r="891" spans="1:9" x14ac:dyDescent="0.25">
      <c r="A891" t="s">
        <v>3817</v>
      </c>
      <c r="B891" t="s">
        <v>4185</v>
      </c>
      <c r="C891" t="s">
        <v>3821</v>
      </c>
      <c r="D891">
        <v>35.637615840000002</v>
      </c>
      <c r="E891" t="s">
        <v>3818</v>
      </c>
      <c r="F891">
        <v>116.6623787</v>
      </c>
      <c r="G891" t="s">
        <v>3819</v>
      </c>
      <c r="H891">
        <v>46765</v>
      </c>
      <c r="I891" t="s">
        <v>3820</v>
      </c>
    </row>
    <row r="892" spans="1:9" x14ac:dyDescent="0.25">
      <c r="A892" t="s">
        <v>3817</v>
      </c>
      <c r="B892" t="s">
        <v>6737</v>
      </c>
      <c r="C892" t="s">
        <v>3821</v>
      </c>
      <c r="D892">
        <v>36.830157649999997</v>
      </c>
      <c r="E892" t="s">
        <v>3818</v>
      </c>
      <c r="F892">
        <v>116.4409617</v>
      </c>
      <c r="G892" t="s">
        <v>3819</v>
      </c>
      <c r="H892">
        <v>39736</v>
      </c>
      <c r="I892" t="s">
        <v>3820</v>
      </c>
    </row>
    <row r="893" spans="1:9" x14ac:dyDescent="0.25">
      <c r="A893" t="s">
        <v>3817</v>
      </c>
      <c r="B893" t="s">
        <v>6738</v>
      </c>
      <c r="C893" t="s">
        <v>3821</v>
      </c>
      <c r="D893">
        <v>36.940375289999999</v>
      </c>
      <c r="E893" t="s">
        <v>3818</v>
      </c>
      <c r="F893">
        <v>117.4984678</v>
      </c>
      <c r="G893" t="s">
        <v>3819</v>
      </c>
      <c r="H893">
        <v>32814</v>
      </c>
      <c r="I893" t="s">
        <v>3820</v>
      </c>
    </row>
    <row r="894" spans="1:9" x14ac:dyDescent="0.25">
      <c r="A894" t="s">
        <v>3817</v>
      </c>
      <c r="B894" t="s">
        <v>6739</v>
      </c>
      <c r="C894" t="s">
        <v>3821</v>
      </c>
      <c r="D894">
        <v>35.087885180000001</v>
      </c>
      <c r="E894" t="s">
        <v>3818</v>
      </c>
      <c r="F894">
        <v>117.8911128</v>
      </c>
      <c r="G894" t="s">
        <v>3819</v>
      </c>
      <c r="H894">
        <v>47596</v>
      </c>
      <c r="I894" t="s">
        <v>3820</v>
      </c>
    </row>
    <row r="895" spans="1:9" x14ac:dyDescent="0.25">
      <c r="A895" t="s">
        <v>3817</v>
      </c>
      <c r="B895" t="s">
        <v>6740</v>
      </c>
      <c r="C895" t="s">
        <v>3821</v>
      </c>
      <c r="D895">
        <v>37.484239420000002</v>
      </c>
      <c r="E895" t="s">
        <v>3818</v>
      </c>
      <c r="F895">
        <v>120.22858239999999</v>
      </c>
      <c r="G895" t="s">
        <v>3819</v>
      </c>
      <c r="H895">
        <v>34096</v>
      </c>
      <c r="I895" t="s">
        <v>3820</v>
      </c>
    </row>
    <row r="896" spans="1:9" x14ac:dyDescent="0.25">
      <c r="A896" t="s">
        <v>3817</v>
      </c>
      <c r="B896" t="s">
        <v>4186</v>
      </c>
      <c r="C896" t="s">
        <v>3821</v>
      </c>
      <c r="D896">
        <v>34.855380779999997</v>
      </c>
      <c r="E896" t="s">
        <v>3818</v>
      </c>
      <c r="F896">
        <v>116.968307</v>
      </c>
      <c r="G896" t="s">
        <v>3819</v>
      </c>
      <c r="H896">
        <v>8446</v>
      </c>
      <c r="I896" t="s">
        <v>3820</v>
      </c>
    </row>
    <row r="897" spans="1:9" x14ac:dyDescent="0.25">
      <c r="A897" t="s">
        <v>3817</v>
      </c>
      <c r="B897" t="s">
        <v>4738</v>
      </c>
      <c r="C897" t="s">
        <v>3821</v>
      </c>
      <c r="D897">
        <v>34.819896059999998</v>
      </c>
      <c r="E897" t="s">
        <v>3818</v>
      </c>
      <c r="F897">
        <v>117.6244914</v>
      </c>
      <c r="G897" t="s">
        <v>3819</v>
      </c>
      <c r="H897">
        <v>41139</v>
      </c>
      <c r="I897" t="s">
        <v>3820</v>
      </c>
    </row>
    <row r="898" spans="1:9" x14ac:dyDescent="0.25">
      <c r="A898" t="s">
        <v>3817</v>
      </c>
      <c r="B898" t="s">
        <v>3869</v>
      </c>
      <c r="C898" t="s">
        <v>3821</v>
      </c>
      <c r="D898">
        <v>37.879522000000001</v>
      </c>
      <c r="E898" t="s">
        <v>3818</v>
      </c>
      <c r="F898">
        <v>117.9101926</v>
      </c>
      <c r="G898" t="s">
        <v>3819</v>
      </c>
      <c r="H898">
        <v>19704</v>
      </c>
      <c r="I898" t="s">
        <v>3820</v>
      </c>
    </row>
    <row r="899" spans="1:9" x14ac:dyDescent="0.25">
      <c r="A899" t="s">
        <v>3817</v>
      </c>
      <c r="B899" t="s">
        <v>4524</v>
      </c>
      <c r="C899" t="s">
        <v>3821</v>
      </c>
      <c r="D899">
        <v>35.94860714</v>
      </c>
      <c r="E899" t="s">
        <v>3818</v>
      </c>
      <c r="F899">
        <v>117.58684239999999</v>
      </c>
      <c r="G899" t="s">
        <v>3819</v>
      </c>
      <c r="H899">
        <v>37875</v>
      </c>
      <c r="I899" t="s">
        <v>3820</v>
      </c>
    </row>
    <row r="900" spans="1:9" x14ac:dyDescent="0.25">
      <c r="A900" t="s">
        <v>3817</v>
      </c>
      <c r="B900" t="s">
        <v>4187</v>
      </c>
      <c r="C900" t="s">
        <v>3821</v>
      </c>
      <c r="D900">
        <v>35.537282750000003</v>
      </c>
      <c r="E900" t="s">
        <v>3818</v>
      </c>
      <c r="F900">
        <v>117.05597640000001</v>
      </c>
      <c r="G900" t="s">
        <v>3819</v>
      </c>
      <c r="H900">
        <v>47364</v>
      </c>
      <c r="I900" t="s">
        <v>3820</v>
      </c>
    </row>
    <row r="901" spans="1:9" x14ac:dyDescent="0.25">
      <c r="A901" t="s">
        <v>3817</v>
      </c>
      <c r="B901" t="s">
        <v>3938</v>
      </c>
      <c r="C901" t="s">
        <v>3821</v>
      </c>
      <c r="D901">
        <v>36.954902869999998</v>
      </c>
      <c r="E901" t="s">
        <v>3818</v>
      </c>
      <c r="F901">
        <v>116.82331189999999</v>
      </c>
      <c r="G901" t="s">
        <v>3819</v>
      </c>
      <c r="H901">
        <v>22506</v>
      </c>
      <c r="I901" t="s">
        <v>3820</v>
      </c>
    </row>
    <row r="902" spans="1:9" x14ac:dyDescent="0.25">
      <c r="A902" t="s">
        <v>3817</v>
      </c>
      <c r="B902" t="s">
        <v>4692</v>
      </c>
      <c r="C902" t="s">
        <v>3821</v>
      </c>
      <c r="D902">
        <v>36.644814789999998</v>
      </c>
      <c r="E902" t="s">
        <v>3818</v>
      </c>
      <c r="F902">
        <v>120.7036951</v>
      </c>
      <c r="G902" t="s">
        <v>3819</v>
      </c>
      <c r="H902">
        <v>56439</v>
      </c>
      <c r="I902" t="s">
        <v>3820</v>
      </c>
    </row>
    <row r="903" spans="1:9" x14ac:dyDescent="0.25">
      <c r="A903" t="s">
        <v>3817</v>
      </c>
      <c r="B903" t="s">
        <v>4384</v>
      </c>
      <c r="C903" t="s">
        <v>3821</v>
      </c>
      <c r="D903">
        <v>35.384253440000002</v>
      </c>
      <c r="E903" t="s">
        <v>3818</v>
      </c>
      <c r="F903">
        <v>118.11379839999999</v>
      </c>
      <c r="G903" t="s">
        <v>3819</v>
      </c>
      <c r="H903">
        <v>51761</v>
      </c>
      <c r="I903" t="s">
        <v>3820</v>
      </c>
    </row>
    <row r="904" spans="1:9" x14ac:dyDescent="0.25">
      <c r="A904" t="s">
        <v>3817</v>
      </c>
      <c r="B904" t="s">
        <v>4619</v>
      </c>
      <c r="C904" t="s">
        <v>3821</v>
      </c>
      <c r="D904">
        <v>36.916271780000002</v>
      </c>
      <c r="E904" t="s">
        <v>3818</v>
      </c>
      <c r="F904">
        <v>121.75342879999999</v>
      </c>
      <c r="G904" t="s">
        <v>3819</v>
      </c>
      <c r="H904">
        <v>17225</v>
      </c>
      <c r="I904" t="s">
        <v>3820</v>
      </c>
    </row>
    <row r="905" spans="1:9" x14ac:dyDescent="0.25">
      <c r="A905" t="s">
        <v>3817</v>
      </c>
      <c r="B905" t="s">
        <v>4693</v>
      </c>
      <c r="C905" t="s">
        <v>3821</v>
      </c>
      <c r="D905">
        <v>37.10099572</v>
      </c>
      <c r="E905" t="s">
        <v>3818</v>
      </c>
      <c r="F905">
        <v>121.02372389999999</v>
      </c>
      <c r="G905" t="s">
        <v>3819</v>
      </c>
      <c r="H905">
        <v>43554</v>
      </c>
      <c r="I905" t="s">
        <v>3820</v>
      </c>
    </row>
    <row r="906" spans="1:9" x14ac:dyDescent="0.25">
      <c r="A906" t="s">
        <v>3817</v>
      </c>
      <c r="B906" t="s">
        <v>4385</v>
      </c>
      <c r="C906" t="s">
        <v>3821</v>
      </c>
      <c r="D906">
        <v>35.7063354</v>
      </c>
      <c r="E906" t="s">
        <v>3818</v>
      </c>
      <c r="F906">
        <v>118.583417</v>
      </c>
      <c r="G906" t="s">
        <v>3819</v>
      </c>
      <c r="H906">
        <v>117318</v>
      </c>
      <c r="I906" t="s">
        <v>3820</v>
      </c>
    </row>
    <row r="907" spans="1:9" x14ac:dyDescent="0.25">
      <c r="A907" t="s">
        <v>3817</v>
      </c>
      <c r="B907" t="s">
        <v>4465</v>
      </c>
      <c r="C907" t="s">
        <v>3821</v>
      </c>
      <c r="D907">
        <v>35.841499810000002</v>
      </c>
      <c r="E907" t="s">
        <v>3818</v>
      </c>
      <c r="F907">
        <v>119.2975455</v>
      </c>
      <c r="G907" t="s">
        <v>3819</v>
      </c>
      <c r="H907">
        <v>51308</v>
      </c>
      <c r="I907" t="s">
        <v>3820</v>
      </c>
    </row>
    <row r="908" spans="1:9" x14ac:dyDescent="0.25">
      <c r="A908" t="s">
        <v>3817</v>
      </c>
      <c r="B908" t="s">
        <v>4277</v>
      </c>
      <c r="C908" t="s">
        <v>3821</v>
      </c>
      <c r="D908">
        <v>36.397637760000002</v>
      </c>
      <c r="E908" t="s">
        <v>3818</v>
      </c>
      <c r="F908">
        <v>116.08370240000001</v>
      </c>
      <c r="G908" t="s">
        <v>3819</v>
      </c>
      <c r="H908">
        <v>37297</v>
      </c>
      <c r="I908" t="s">
        <v>3820</v>
      </c>
    </row>
    <row r="909" spans="1:9" x14ac:dyDescent="0.25">
      <c r="A909" t="s">
        <v>3817</v>
      </c>
      <c r="B909" t="s">
        <v>4074</v>
      </c>
      <c r="C909" t="s">
        <v>3821</v>
      </c>
      <c r="D909">
        <v>34.877974459999997</v>
      </c>
      <c r="E909" t="s">
        <v>3818</v>
      </c>
      <c r="F909">
        <v>116.1987936</v>
      </c>
      <c r="G909" t="s">
        <v>3819</v>
      </c>
      <c r="H909">
        <v>58053</v>
      </c>
      <c r="I909" t="s">
        <v>3820</v>
      </c>
    </row>
    <row r="910" spans="1:9" x14ac:dyDescent="0.25">
      <c r="A910" t="s">
        <v>3817</v>
      </c>
      <c r="B910" t="s">
        <v>6741</v>
      </c>
      <c r="C910" t="s">
        <v>3821</v>
      </c>
      <c r="D910">
        <v>36.062427419999999</v>
      </c>
      <c r="E910" t="s">
        <v>3818</v>
      </c>
      <c r="F910">
        <v>115.6370922</v>
      </c>
      <c r="G910" t="s">
        <v>3819</v>
      </c>
      <c r="H910">
        <v>30974</v>
      </c>
      <c r="I910" t="s">
        <v>3820</v>
      </c>
    </row>
    <row r="911" spans="1:9" x14ac:dyDescent="0.25">
      <c r="A911" t="s">
        <v>3817</v>
      </c>
      <c r="B911" t="s">
        <v>6742</v>
      </c>
      <c r="C911" t="s">
        <v>3821</v>
      </c>
      <c r="D911">
        <v>35.085217270000001</v>
      </c>
      <c r="E911" t="s">
        <v>3818</v>
      </c>
      <c r="F911">
        <v>117.56492799999999</v>
      </c>
      <c r="G911" t="s">
        <v>3819</v>
      </c>
      <c r="H911">
        <v>49345</v>
      </c>
      <c r="I911" t="s">
        <v>3820</v>
      </c>
    </row>
    <row r="912" spans="1:9" x14ac:dyDescent="0.25">
      <c r="A912" t="s">
        <v>3817</v>
      </c>
      <c r="B912" t="s">
        <v>4386</v>
      </c>
      <c r="C912" t="s">
        <v>3821</v>
      </c>
      <c r="D912">
        <v>35.266548620000002</v>
      </c>
      <c r="E912" t="s">
        <v>3818</v>
      </c>
      <c r="F912">
        <v>118.7793171</v>
      </c>
      <c r="G912" t="s">
        <v>3819</v>
      </c>
      <c r="H912">
        <v>42098</v>
      </c>
      <c r="I912" t="s">
        <v>3820</v>
      </c>
    </row>
    <row r="913" spans="1:9" x14ac:dyDescent="0.25">
      <c r="A913" t="s">
        <v>3817</v>
      </c>
      <c r="B913" t="s">
        <v>4188</v>
      </c>
      <c r="C913" t="s">
        <v>3821</v>
      </c>
      <c r="D913">
        <v>35.560428889999997</v>
      </c>
      <c r="E913" t="s">
        <v>3818</v>
      </c>
      <c r="F913">
        <v>116.659722</v>
      </c>
      <c r="G913" t="s">
        <v>3819</v>
      </c>
      <c r="H913">
        <v>59272</v>
      </c>
      <c r="I913" t="s">
        <v>3820</v>
      </c>
    </row>
    <row r="914" spans="1:9" x14ac:dyDescent="0.25">
      <c r="A914" t="s">
        <v>3817</v>
      </c>
      <c r="B914" t="s">
        <v>4278</v>
      </c>
      <c r="C914" t="s">
        <v>3821</v>
      </c>
      <c r="D914">
        <v>36.315054920000001</v>
      </c>
      <c r="E914" t="s">
        <v>3818</v>
      </c>
      <c r="F914">
        <v>115.60755399999999</v>
      </c>
      <c r="G914" t="s">
        <v>3819</v>
      </c>
      <c r="H914">
        <v>37752</v>
      </c>
      <c r="I914" t="s">
        <v>3820</v>
      </c>
    </row>
    <row r="915" spans="1:9" x14ac:dyDescent="0.25">
      <c r="A915" t="s">
        <v>3817</v>
      </c>
      <c r="B915" t="s">
        <v>4279</v>
      </c>
      <c r="C915" t="s">
        <v>3821</v>
      </c>
      <c r="D915">
        <v>36.710588000000001</v>
      </c>
      <c r="E915" t="s">
        <v>3818</v>
      </c>
      <c r="F915">
        <v>115.47758399999999</v>
      </c>
      <c r="G915" t="s">
        <v>3819</v>
      </c>
      <c r="H915">
        <v>40712</v>
      </c>
      <c r="I915" t="s">
        <v>3820</v>
      </c>
    </row>
    <row r="916" spans="1:9" x14ac:dyDescent="0.25">
      <c r="A916" t="s">
        <v>3817</v>
      </c>
      <c r="B916" t="s">
        <v>4075</v>
      </c>
      <c r="C916" t="s">
        <v>3821</v>
      </c>
      <c r="D916">
        <v>34.726044250000001</v>
      </c>
      <c r="E916" t="s">
        <v>3818</v>
      </c>
      <c r="F916">
        <v>115.57130600000001</v>
      </c>
      <c r="G916" t="s">
        <v>3819</v>
      </c>
      <c r="H916">
        <v>48146</v>
      </c>
      <c r="I916" t="s">
        <v>3820</v>
      </c>
    </row>
    <row r="917" spans="1:9" x14ac:dyDescent="0.25">
      <c r="A917" t="s">
        <v>3817</v>
      </c>
      <c r="B917" t="s">
        <v>3939</v>
      </c>
      <c r="C917" t="s">
        <v>3821</v>
      </c>
      <c r="D917">
        <v>37.614917290000001</v>
      </c>
      <c r="E917" t="s">
        <v>3818</v>
      </c>
      <c r="F917">
        <v>117.1267757</v>
      </c>
      <c r="G917" t="s">
        <v>3819</v>
      </c>
      <c r="H917">
        <v>47374</v>
      </c>
      <c r="I917" t="s">
        <v>3820</v>
      </c>
    </row>
    <row r="918" spans="1:9" x14ac:dyDescent="0.25">
      <c r="A918" t="s">
        <v>3817</v>
      </c>
      <c r="B918" t="s">
        <v>4694</v>
      </c>
      <c r="C918" t="s">
        <v>3821</v>
      </c>
      <c r="D918">
        <v>37.19616164</v>
      </c>
      <c r="E918" t="s">
        <v>3818</v>
      </c>
      <c r="F918">
        <v>120.7858768</v>
      </c>
      <c r="G918" t="s">
        <v>3819</v>
      </c>
      <c r="H918">
        <v>24815</v>
      </c>
      <c r="I918" t="s">
        <v>3820</v>
      </c>
    </row>
    <row r="919" spans="1:9" x14ac:dyDescent="0.25">
      <c r="A919" t="s">
        <v>3817</v>
      </c>
      <c r="B919" t="s">
        <v>4189</v>
      </c>
      <c r="C919" t="s">
        <v>3821</v>
      </c>
      <c r="D919">
        <v>35.835541679999999</v>
      </c>
      <c r="E919" t="s">
        <v>3818</v>
      </c>
      <c r="F919">
        <v>116.5501283</v>
      </c>
      <c r="G919" t="s">
        <v>3819</v>
      </c>
      <c r="H919">
        <v>28953</v>
      </c>
      <c r="I919" t="s">
        <v>3820</v>
      </c>
    </row>
    <row r="920" spans="1:9" x14ac:dyDescent="0.25">
      <c r="A920" t="s">
        <v>3817</v>
      </c>
      <c r="B920" t="s">
        <v>4435</v>
      </c>
      <c r="C920" t="s">
        <v>3821</v>
      </c>
      <c r="D920">
        <v>36.11264517</v>
      </c>
      <c r="E920" t="s">
        <v>3818</v>
      </c>
      <c r="F920">
        <v>119.9286388</v>
      </c>
      <c r="G920" t="s">
        <v>3819</v>
      </c>
      <c r="H920">
        <v>50371</v>
      </c>
      <c r="I920" t="s">
        <v>3820</v>
      </c>
    </row>
    <row r="921" spans="1:9" x14ac:dyDescent="0.25">
      <c r="A921" t="s">
        <v>3817</v>
      </c>
      <c r="B921" t="s">
        <v>4387</v>
      </c>
      <c r="C921" t="s">
        <v>3821</v>
      </c>
      <c r="D921">
        <v>34.432928459999999</v>
      </c>
      <c r="E921" t="s">
        <v>3818</v>
      </c>
      <c r="F921">
        <v>118.2234241</v>
      </c>
      <c r="G921" t="s">
        <v>3819</v>
      </c>
      <c r="H921">
        <v>43677</v>
      </c>
      <c r="I921" t="s">
        <v>3820</v>
      </c>
    </row>
    <row r="922" spans="1:9" x14ac:dyDescent="0.25">
      <c r="A922" t="s">
        <v>3817</v>
      </c>
      <c r="B922" t="s">
        <v>4695</v>
      </c>
      <c r="C922" t="s">
        <v>3821</v>
      </c>
      <c r="D922">
        <v>36.662249340000002</v>
      </c>
      <c r="E922" t="s">
        <v>3818</v>
      </c>
      <c r="F922">
        <v>120.8206211</v>
      </c>
      <c r="G922" t="s">
        <v>3819</v>
      </c>
      <c r="H922">
        <v>25603</v>
      </c>
      <c r="I922" t="s">
        <v>3820</v>
      </c>
    </row>
    <row r="923" spans="1:9" x14ac:dyDescent="0.25">
      <c r="A923" t="s">
        <v>3817</v>
      </c>
      <c r="B923" t="s">
        <v>4581</v>
      </c>
      <c r="C923" t="s">
        <v>3821</v>
      </c>
      <c r="D923">
        <v>37.221755450000003</v>
      </c>
      <c r="E923" t="s">
        <v>3818</v>
      </c>
      <c r="F923">
        <v>118.8741388</v>
      </c>
      <c r="G923" t="s">
        <v>3819</v>
      </c>
      <c r="H923">
        <v>60036</v>
      </c>
      <c r="I923" t="s">
        <v>3820</v>
      </c>
    </row>
    <row r="924" spans="1:9" x14ac:dyDescent="0.25">
      <c r="A924" t="s">
        <v>3817</v>
      </c>
      <c r="B924" t="s">
        <v>4525</v>
      </c>
      <c r="C924" t="s">
        <v>3821</v>
      </c>
      <c r="D924">
        <v>36.03844505</v>
      </c>
      <c r="E924" t="s">
        <v>3818</v>
      </c>
      <c r="F924">
        <v>117.5338117</v>
      </c>
      <c r="G924" t="s">
        <v>3819</v>
      </c>
      <c r="H924">
        <v>93584</v>
      </c>
      <c r="I924" t="s">
        <v>3820</v>
      </c>
    </row>
    <row r="925" spans="1:9" x14ac:dyDescent="0.25">
      <c r="A925" t="s">
        <v>3817</v>
      </c>
      <c r="B925" t="s">
        <v>4190</v>
      </c>
      <c r="C925" t="s">
        <v>3821</v>
      </c>
      <c r="D925">
        <v>35.67726751</v>
      </c>
      <c r="E925" t="s">
        <v>3818</v>
      </c>
      <c r="F925">
        <v>117.135761</v>
      </c>
      <c r="G925" t="s">
        <v>3819</v>
      </c>
      <c r="H925">
        <v>33606</v>
      </c>
      <c r="I925" t="s">
        <v>3820</v>
      </c>
    </row>
    <row r="926" spans="1:9" x14ac:dyDescent="0.25">
      <c r="A926" t="s">
        <v>3817</v>
      </c>
      <c r="B926" t="s">
        <v>3870</v>
      </c>
      <c r="C926" t="s">
        <v>3821</v>
      </c>
      <c r="D926">
        <v>37.437666550000003</v>
      </c>
      <c r="E926" t="s">
        <v>3818</v>
      </c>
      <c r="F926">
        <v>117.8840965</v>
      </c>
      <c r="G926" t="s">
        <v>3819</v>
      </c>
      <c r="H926">
        <v>40124</v>
      </c>
      <c r="I926" t="s">
        <v>3820</v>
      </c>
    </row>
    <row r="927" spans="1:9" x14ac:dyDescent="0.25">
      <c r="A927" t="s">
        <v>3817</v>
      </c>
      <c r="B927" t="s">
        <v>4076</v>
      </c>
      <c r="C927" t="s">
        <v>3821</v>
      </c>
      <c r="D927">
        <v>34.60867923</v>
      </c>
      <c r="E927" t="s">
        <v>3818</v>
      </c>
      <c r="F927">
        <v>116.168488</v>
      </c>
      <c r="G927" t="s">
        <v>3819</v>
      </c>
      <c r="H927">
        <v>43436</v>
      </c>
      <c r="I927" t="s">
        <v>3820</v>
      </c>
    </row>
    <row r="928" spans="1:9" x14ac:dyDescent="0.25">
      <c r="A928" t="s">
        <v>3817</v>
      </c>
      <c r="B928" t="s">
        <v>4191</v>
      </c>
      <c r="C928" t="s">
        <v>3821</v>
      </c>
      <c r="D928">
        <v>35.148592549999996</v>
      </c>
      <c r="E928" t="s">
        <v>3818</v>
      </c>
      <c r="F928">
        <v>116.2474146</v>
      </c>
      <c r="G928" t="s">
        <v>3819</v>
      </c>
      <c r="H928">
        <v>50194</v>
      </c>
      <c r="I928" t="s">
        <v>3820</v>
      </c>
    </row>
    <row r="929" spans="1:9" x14ac:dyDescent="0.25">
      <c r="A929" t="s">
        <v>3817</v>
      </c>
      <c r="B929" t="s">
        <v>4620</v>
      </c>
      <c r="C929" t="s">
        <v>3821</v>
      </c>
      <c r="D929">
        <v>37.414567830000003</v>
      </c>
      <c r="E929" t="s">
        <v>3818</v>
      </c>
      <c r="F929">
        <v>122.0311178</v>
      </c>
      <c r="G929" t="s">
        <v>3819</v>
      </c>
      <c r="H929">
        <v>31118</v>
      </c>
      <c r="I929" t="s">
        <v>3820</v>
      </c>
    </row>
    <row r="930" spans="1:9" x14ac:dyDescent="0.25">
      <c r="A930" t="s">
        <v>3817</v>
      </c>
      <c r="B930" t="s">
        <v>4280</v>
      </c>
      <c r="C930" t="s">
        <v>3821</v>
      </c>
      <c r="D930">
        <v>36.789242680000001</v>
      </c>
      <c r="E930" t="s">
        <v>3818</v>
      </c>
      <c r="F930">
        <v>116.3380037</v>
      </c>
      <c r="G930" t="s">
        <v>3819</v>
      </c>
      <c r="H930">
        <v>41994</v>
      </c>
      <c r="I930" t="s">
        <v>3820</v>
      </c>
    </row>
    <row r="931" spans="1:9" x14ac:dyDescent="0.25">
      <c r="A931" t="s">
        <v>3817</v>
      </c>
      <c r="B931" t="s">
        <v>4192</v>
      </c>
      <c r="C931" t="s">
        <v>3821</v>
      </c>
      <c r="D931">
        <v>35.829922709999998</v>
      </c>
      <c r="E931" t="s">
        <v>3818</v>
      </c>
      <c r="F931">
        <v>115.97912460000001</v>
      </c>
      <c r="G931" t="s">
        <v>3819</v>
      </c>
      <c r="H931">
        <v>53626</v>
      </c>
      <c r="I931" t="s">
        <v>3820</v>
      </c>
    </row>
    <row r="932" spans="1:9" x14ac:dyDescent="0.25">
      <c r="A932" t="s">
        <v>3817</v>
      </c>
      <c r="B932" t="s">
        <v>6743</v>
      </c>
      <c r="C932" t="s">
        <v>3821</v>
      </c>
      <c r="D932">
        <v>36.242370000000001</v>
      </c>
      <c r="E932" t="s">
        <v>3818</v>
      </c>
      <c r="F932">
        <v>117.43644999999999</v>
      </c>
      <c r="G932" t="s">
        <v>3819</v>
      </c>
      <c r="H932">
        <v>43046</v>
      </c>
      <c r="I932" t="s">
        <v>3820</v>
      </c>
    </row>
    <row r="933" spans="1:9" x14ac:dyDescent="0.25">
      <c r="A933" t="s">
        <v>3817</v>
      </c>
      <c r="B933" t="s">
        <v>6744</v>
      </c>
      <c r="C933" t="s">
        <v>3821</v>
      </c>
      <c r="D933">
        <v>36.010186590000004</v>
      </c>
      <c r="E933" t="s">
        <v>3818</v>
      </c>
      <c r="F933">
        <v>118.8257356</v>
      </c>
      <c r="G933" t="s">
        <v>3819</v>
      </c>
      <c r="H933">
        <v>54503</v>
      </c>
      <c r="I933" t="s">
        <v>3820</v>
      </c>
    </row>
    <row r="934" spans="1:9" x14ac:dyDescent="0.25">
      <c r="A934" t="s">
        <v>3817</v>
      </c>
      <c r="B934" t="s">
        <v>6745</v>
      </c>
      <c r="C934" t="s">
        <v>3821</v>
      </c>
      <c r="D934">
        <v>34.977168370000001</v>
      </c>
      <c r="E934" t="s">
        <v>3818</v>
      </c>
      <c r="F934">
        <v>117.34590110000001</v>
      </c>
      <c r="G934" t="s">
        <v>3819</v>
      </c>
      <c r="H934">
        <v>66755</v>
      </c>
      <c r="I934" t="s">
        <v>3820</v>
      </c>
    </row>
    <row r="935" spans="1:9" x14ac:dyDescent="0.25">
      <c r="A935" t="s">
        <v>3817</v>
      </c>
      <c r="B935" t="s">
        <v>4077</v>
      </c>
      <c r="C935" t="s">
        <v>3821</v>
      </c>
      <c r="D935">
        <v>35.675713950000002</v>
      </c>
      <c r="E935" t="s">
        <v>3818</v>
      </c>
      <c r="F935">
        <v>116.04203219999999</v>
      </c>
      <c r="G935" t="s">
        <v>3819</v>
      </c>
      <c r="H935">
        <v>50045</v>
      </c>
      <c r="I935" t="s">
        <v>3820</v>
      </c>
    </row>
    <row r="936" spans="1:9" x14ac:dyDescent="0.25">
      <c r="A936" t="s">
        <v>3817</v>
      </c>
      <c r="B936" t="s">
        <v>4281</v>
      </c>
      <c r="C936" t="s">
        <v>3821</v>
      </c>
      <c r="D936">
        <v>36.135123710000002</v>
      </c>
      <c r="E936" t="s">
        <v>3818</v>
      </c>
      <c r="F936">
        <v>115.8872525</v>
      </c>
      <c r="G936" t="s">
        <v>3819</v>
      </c>
      <c r="H936">
        <v>49285</v>
      </c>
      <c r="I936" t="s">
        <v>3820</v>
      </c>
    </row>
    <row r="937" spans="1:9" x14ac:dyDescent="0.25">
      <c r="A937" t="s">
        <v>3817</v>
      </c>
      <c r="B937" t="s">
        <v>4078</v>
      </c>
      <c r="C937" t="s">
        <v>3821</v>
      </c>
      <c r="D937">
        <v>35.451631399999997</v>
      </c>
      <c r="E937" t="s">
        <v>3818</v>
      </c>
      <c r="F937">
        <v>115.6502624</v>
      </c>
      <c r="G937" t="s">
        <v>3819</v>
      </c>
      <c r="H937">
        <v>49418</v>
      </c>
      <c r="I937" t="s">
        <v>3820</v>
      </c>
    </row>
    <row r="938" spans="1:9" x14ac:dyDescent="0.25">
      <c r="A938" t="s">
        <v>3817</v>
      </c>
      <c r="B938" t="s">
        <v>3973</v>
      </c>
      <c r="C938" t="s">
        <v>3821</v>
      </c>
      <c r="D938">
        <v>37.68857577</v>
      </c>
      <c r="E938" t="s">
        <v>3818</v>
      </c>
      <c r="F938">
        <v>118.3706851</v>
      </c>
      <c r="G938" t="s">
        <v>3819</v>
      </c>
      <c r="H938">
        <v>68554</v>
      </c>
      <c r="I938" t="s">
        <v>3820</v>
      </c>
    </row>
    <row r="939" spans="1:9" x14ac:dyDescent="0.25">
      <c r="A939" t="s">
        <v>3817</v>
      </c>
      <c r="B939" t="s">
        <v>4786</v>
      </c>
      <c r="C939" t="s">
        <v>3821</v>
      </c>
      <c r="D939">
        <v>36.098529480000003</v>
      </c>
      <c r="E939" t="s">
        <v>3818</v>
      </c>
      <c r="F939">
        <v>118.18118800000001</v>
      </c>
      <c r="G939" t="s">
        <v>3819</v>
      </c>
      <c r="H939">
        <v>27188</v>
      </c>
      <c r="I939" t="s">
        <v>3820</v>
      </c>
    </row>
    <row r="940" spans="1:9" x14ac:dyDescent="0.25">
      <c r="A940" t="s">
        <v>3817</v>
      </c>
      <c r="B940" t="s">
        <v>4193</v>
      </c>
      <c r="C940" t="s">
        <v>3821</v>
      </c>
      <c r="D940">
        <v>35.662406519999998</v>
      </c>
      <c r="E940" t="s">
        <v>3818</v>
      </c>
      <c r="F940">
        <v>116.91263259999999</v>
      </c>
      <c r="G940" t="s">
        <v>3819</v>
      </c>
      <c r="H940">
        <v>39035</v>
      </c>
      <c r="I940" t="s">
        <v>3820</v>
      </c>
    </row>
    <row r="941" spans="1:9" x14ac:dyDescent="0.25">
      <c r="A941" t="s">
        <v>3817</v>
      </c>
      <c r="B941" t="s">
        <v>4282</v>
      </c>
      <c r="C941" t="s">
        <v>3821</v>
      </c>
      <c r="D941">
        <v>36.387777839999998</v>
      </c>
      <c r="E941" t="s">
        <v>3818</v>
      </c>
      <c r="F941">
        <v>116.360578</v>
      </c>
      <c r="G941" t="s">
        <v>3819</v>
      </c>
      <c r="H941">
        <v>28253</v>
      </c>
      <c r="I941" t="s">
        <v>3820</v>
      </c>
    </row>
    <row r="942" spans="1:9" x14ac:dyDescent="0.25">
      <c r="A942" t="s">
        <v>3817</v>
      </c>
      <c r="B942" t="s">
        <v>3940</v>
      </c>
      <c r="C942" t="s">
        <v>3821</v>
      </c>
      <c r="D942">
        <v>37.047871829999998</v>
      </c>
      <c r="E942" t="s">
        <v>3818</v>
      </c>
      <c r="F942">
        <v>116.2855624</v>
      </c>
      <c r="G942" t="s">
        <v>3819</v>
      </c>
      <c r="H942">
        <v>26420</v>
      </c>
      <c r="I942" t="s">
        <v>3820</v>
      </c>
    </row>
    <row r="943" spans="1:9" x14ac:dyDescent="0.25">
      <c r="A943" t="s">
        <v>3817</v>
      </c>
      <c r="B943" t="s">
        <v>4621</v>
      </c>
      <c r="C943" t="s">
        <v>3821</v>
      </c>
      <c r="D943">
        <v>37.255796410000002</v>
      </c>
      <c r="E943" t="s">
        <v>3818</v>
      </c>
      <c r="F943">
        <v>122.362663</v>
      </c>
      <c r="G943" t="s">
        <v>3819</v>
      </c>
      <c r="H943">
        <v>17575</v>
      </c>
      <c r="I943" t="s">
        <v>3820</v>
      </c>
    </row>
    <row r="944" spans="1:9" x14ac:dyDescent="0.25">
      <c r="A944" t="s">
        <v>3817</v>
      </c>
      <c r="B944" t="s">
        <v>4622</v>
      </c>
      <c r="C944" t="s">
        <v>3821</v>
      </c>
      <c r="D944">
        <v>37.067117459999999</v>
      </c>
      <c r="E944" t="s">
        <v>3818</v>
      </c>
      <c r="F944">
        <v>121.2847022</v>
      </c>
      <c r="G944" t="s">
        <v>3819</v>
      </c>
      <c r="H944">
        <v>37165</v>
      </c>
      <c r="I944" t="s">
        <v>3820</v>
      </c>
    </row>
    <row r="945" spans="1:9" x14ac:dyDescent="0.25">
      <c r="A945" t="s">
        <v>3817</v>
      </c>
      <c r="B945" t="s">
        <v>4388</v>
      </c>
      <c r="C945" t="s">
        <v>3821</v>
      </c>
      <c r="D945">
        <v>35.886434289999997</v>
      </c>
      <c r="E945" t="s">
        <v>3818</v>
      </c>
      <c r="F945">
        <v>118.0638589</v>
      </c>
      <c r="G945" t="s">
        <v>3819</v>
      </c>
      <c r="H945">
        <v>30130</v>
      </c>
      <c r="I945" t="s">
        <v>3820</v>
      </c>
    </row>
    <row r="946" spans="1:9" x14ac:dyDescent="0.25">
      <c r="A946" t="s">
        <v>3817</v>
      </c>
      <c r="B946" t="s">
        <v>4696</v>
      </c>
      <c r="C946" t="s">
        <v>3821</v>
      </c>
      <c r="D946">
        <v>37.231529279999997</v>
      </c>
      <c r="E946" t="s">
        <v>3818</v>
      </c>
      <c r="F946">
        <v>120.1983451</v>
      </c>
      <c r="G946" t="s">
        <v>3819</v>
      </c>
      <c r="H946">
        <v>46682</v>
      </c>
      <c r="I946" t="s">
        <v>3820</v>
      </c>
    </row>
    <row r="947" spans="1:9" x14ac:dyDescent="0.25">
      <c r="A947" t="s">
        <v>3817</v>
      </c>
      <c r="B947" t="s">
        <v>3941</v>
      </c>
      <c r="C947" t="s">
        <v>3821</v>
      </c>
      <c r="D947">
        <v>37.483068269999997</v>
      </c>
      <c r="E947" t="s">
        <v>3818</v>
      </c>
      <c r="F947">
        <v>116.7632404</v>
      </c>
      <c r="G947" t="s">
        <v>3819</v>
      </c>
      <c r="H947">
        <v>33437</v>
      </c>
      <c r="I947" t="s">
        <v>3820</v>
      </c>
    </row>
    <row r="948" spans="1:9" x14ac:dyDescent="0.25">
      <c r="A948" t="s">
        <v>3817</v>
      </c>
      <c r="B948" t="s">
        <v>4436</v>
      </c>
      <c r="C948" t="s">
        <v>3821</v>
      </c>
      <c r="D948">
        <v>36.51809488</v>
      </c>
      <c r="E948" t="s">
        <v>3818</v>
      </c>
      <c r="F948">
        <v>120.2189518</v>
      </c>
      <c r="G948" t="s">
        <v>3819</v>
      </c>
      <c r="H948">
        <v>79813</v>
      </c>
      <c r="I948" t="s">
        <v>3820</v>
      </c>
    </row>
    <row r="949" spans="1:9" x14ac:dyDescent="0.25">
      <c r="A949" t="s">
        <v>3817</v>
      </c>
      <c r="B949" t="s">
        <v>3974</v>
      </c>
      <c r="C949" t="s">
        <v>3821</v>
      </c>
      <c r="D949">
        <v>37.87885653</v>
      </c>
      <c r="E949" t="s">
        <v>3818</v>
      </c>
      <c r="F949">
        <v>118.3702253</v>
      </c>
      <c r="G949" t="s">
        <v>3819</v>
      </c>
      <c r="H949">
        <v>20315</v>
      </c>
      <c r="I949" t="s">
        <v>3820</v>
      </c>
    </row>
    <row r="950" spans="1:9" x14ac:dyDescent="0.25">
      <c r="A950" t="s">
        <v>3817</v>
      </c>
      <c r="B950" t="s">
        <v>6746</v>
      </c>
      <c r="C950" t="s">
        <v>3821</v>
      </c>
      <c r="D950">
        <v>35.14965608</v>
      </c>
      <c r="E950" t="s">
        <v>3818</v>
      </c>
      <c r="F950">
        <v>116.0474081</v>
      </c>
      <c r="G950" t="s">
        <v>3819</v>
      </c>
      <c r="H950">
        <v>33448</v>
      </c>
      <c r="I950" t="s">
        <v>3820</v>
      </c>
    </row>
    <row r="951" spans="1:9" x14ac:dyDescent="0.25">
      <c r="A951" t="s">
        <v>3817</v>
      </c>
      <c r="B951" t="s">
        <v>6747</v>
      </c>
      <c r="C951" t="s">
        <v>3821</v>
      </c>
      <c r="D951">
        <v>37.081676459999997</v>
      </c>
      <c r="E951" t="s">
        <v>3818</v>
      </c>
      <c r="F951">
        <v>118.8522473</v>
      </c>
      <c r="G951" t="s">
        <v>3819</v>
      </c>
      <c r="H951">
        <v>57091</v>
      </c>
      <c r="I951" t="s">
        <v>3820</v>
      </c>
    </row>
    <row r="952" spans="1:9" x14ac:dyDescent="0.25">
      <c r="A952" t="s">
        <v>3817</v>
      </c>
      <c r="B952" t="s">
        <v>4582</v>
      </c>
      <c r="C952" t="s">
        <v>3821</v>
      </c>
      <c r="D952">
        <v>36.522693490000002</v>
      </c>
      <c r="E952" t="s">
        <v>3818</v>
      </c>
      <c r="F952">
        <v>119.0430274</v>
      </c>
      <c r="G952" t="s">
        <v>3819</v>
      </c>
      <c r="H952">
        <v>92564</v>
      </c>
      <c r="I952" t="s">
        <v>3820</v>
      </c>
    </row>
    <row r="953" spans="1:9" x14ac:dyDescent="0.25">
      <c r="A953" t="s">
        <v>3817</v>
      </c>
      <c r="B953" t="s">
        <v>4283</v>
      </c>
      <c r="C953" t="s">
        <v>3821</v>
      </c>
      <c r="D953">
        <v>35.920809040000002</v>
      </c>
      <c r="E953" t="s">
        <v>3818</v>
      </c>
      <c r="F953">
        <v>115.4945336</v>
      </c>
      <c r="G953" t="s">
        <v>3819</v>
      </c>
      <c r="H953">
        <v>56932</v>
      </c>
      <c r="I953" t="s">
        <v>3820</v>
      </c>
    </row>
    <row r="954" spans="1:9" x14ac:dyDescent="0.25">
      <c r="A954" t="s">
        <v>3817</v>
      </c>
      <c r="B954" t="s">
        <v>4284</v>
      </c>
      <c r="C954" t="s">
        <v>3821</v>
      </c>
      <c r="D954">
        <v>36.918538419999997</v>
      </c>
      <c r="E954" t="s">
        <v>3818</v>
      </c>
      <c r="F954">
        <v>116.32570990000001</v>
      </c>
      <c r="G954" t="s">
        <v>3819</v>
      </c>
      <c r="H954">
        <v>31154</v>
      </c>
      <c r="I954" t="s">
        <v>3820</v>
      </c>
    </row>
    <row r="955" spans="1:9" x14ac:dyDescent="0.25">
      <c r="A955" t="s">
        <v>3817</v>
      </c>
      <c r="B955" t="s">
        <v>6748</v>
      </c>
      <c r="C955" t="s">
        <v>3821</v>
      </c>
      <c r="D955">
        <v>35.50682501</v>
      </c>
      <c r="E955" t="s">
        <v>3818</v>
      </c>
      <c r="F955">
        <v>115.6212668</v>
      </c>
      <c r="G955" t="s">
        <v>3819</v>
      </c>
      <c r="H955">
        <v>27608</v>
      </c>
      <c r="I955" t="s">
        <v>3820</v>
      </c>
    </row>
    <row r="956" spans="1:9" x14ac:dyDescent="0.25">
      <c r="A956" t="s">
        <v>3817</v>
      </c>
      <c r="B956" t="s">
        <v>6749</v>
      </c>
      <c r="C956" t="s">
        <v>3821</v>
      </c>
      <c r="D956">
        <v>36.696207620000003</v>
      </c>
      <c r="E956" t="s">
        <v>3818</v>
      </c>
      <c r="F956">
        <v>119.4742533</v>
      </c>
      <c r="G956" t="s">
        <v>3819</v>
      </c>
      <c r="H956">
        <v>83872</v>
      </c>
      <c r="I956" t="s">
        <v>3820</v>
      </c>
    </row>
    <row r="957" spans="1:9" x14ac:dyDescent="0.25">
      <c r="A957" t="s">
        <v>3817</v>
      </c>
      <c r="B957" t="s">
        <v>4739</v>
      </c>
      <c r="C957" t="s">
        <v>3821</v>
      </c>
      <c r="D957">
        <v>34.673857660000003</v>
      </c>
      <c r="E957" t="s">
        <v>3818</v>
      </c>
      <c r="F957">
        <v>117.506687</v>
      </c>
      <c r="G957" t="s">
        <v>3819</v>
      </c>
      <c r="H957">
        <v>47634</v>
      </c>
      <c r="I957" t="s">
        <v>3820</v>
      </c>
    </row>
    <row r="958" spans="1:9" x14ac:dyDescent="0.25">
      <c r="A958" t="s">
        <v>3817</v>
      </c>
      <c r="B958" t="s">
        <v>4526</v>
      </c>
      <c r="C958" t="s">
        <v>3821</v>
      </c>
      <c r="D958">
        <v>36.038570960000001</v>
      </c>
      <c r="E958" t="s">
        <v>3818</v>
      </c>
      <c r="F958">
        <v>116.1414054</v>
      </c>
      <c r="G958" t="s">
        <v>3819</v>
      </c>
      <c r="H958">
        <v>56196</v>
      </c>
      <c r="I958" t="s">
        <v>3820</v>
      </c>
    </row>
    <row r="959" spans="1:9" x14ac:dyDescent="0.25">
      <c r="A959" t="s">
        <v>3817</v>
      </c>
      <c r="B959" t="s">
        <v>4194</v>
      </c>
      <c r="C959" t="s">
        <v>3821</v>
      </c>
      <c r="D959">
        <v>35.734062590000001</v>
      </c>
      <c r="E959" t="s">
        <v>3818</v>
      </c>
      <c r="F959">
        <v>116.391504</v>
      </c>
      <c r="G959" t="s">
        <v>3819</v>
      </c>
      <c r="H959">
        <v>42508</v>
      </c>
      <c r="I959" t="s">
        <v>3820</v>
      </c>
    </row>
    <row r="960" spans="1:9" x14ac:dyDescent="0.25">
      <c r="A960" t="s">
        <v>3817</v>
      </c>
      <c r="B960" t="s">
        <v>4111</v>
      </c>
      <c r="C960" t="s">
        <v>3821</v>
      </c>
      <c r="D960">
        <v>37.419527520000003</v>
      </c>
      <c r="E960" t="s">
        <v>3818</v>
      </c>
      <c r="F960">
        <v>117.1476435</v>
      </c>
      <c r="G960" t="s">
        <v>3819</v>
      </c>
      <c r="H960">
        <v>50779</v>
      </c>
      <c r="I960" t="s">
        <v>3820</v>
      </c>
    </row>
    <row r="961" spans="1:9" x14ac:dyDescent="0.25">
      <c r="A961" t="s">
        <v>3817</v>
      </c>
      <c r="B961" t="s">
        <v>4623</v>
      </c>
      <c r="C961" t="s">
        <v>3821</v>
      </c>
      <c r="D961">
        <v>37.216252230000002</v>
      </c>
      <c r="E961" t="s">
        <v>3818</v>
      </c>
      <c r="F961">
        <v>122.3145842</v>
      </c>
      <c r="G961" t="s">
        <v>3819</v>
      </c>
      <c r="H961">
        <v>11914</v>
      </c>
      <c r="I961" t="s">
        <v>3820</v>
      </c>
    </row>
    <row r="962" spans="1:9" x14ac:dyDescent="0.25">
      <c r="A962" t="s">
        <v>3817</v>
      </c>
      <c r="B962" t="s">
        <v>4195</v>
      </c>
      <c r="C962" t="s">
        <v>3821</v>
      </c>
      <c r="D962">
        <v>35.659532570000003</v>
      </c>
      <c r="E962" t="s">
        <v>3818</v>
      </c>
      <c r="F962">
        <v>116.5711766</v>
      </c>
      <c r="G962" t="s">
        <v>3819</v>
      </c>
      <c r="H962">
        <v>40865</v>
      </c>
      <c r="I962" t="s">
        <v>3820</v>
      </c>
    </row>
    <row r="963" spans="1:9" x14ac:dyDescent="0.25">
      <c r="A963" t="s">
        <v>3817</v>
      </c>
      <c r="B963" t="s">
        <v>4196</v>
      </c>
      <c r="C963" t="s">
        <v>3821</v>
      </c>
      <c r="D963">
        <v>35.313728930000003</v>
      </c>
      <c r="E963" t="s">
        <v>3818</v>
      </c>
      <c r="F963">
        <v>117.0175067</v>
      </c>
      <c r="G963" t="s">
        <v>3819</v>
      </c>
      <c r="H963">
        <v>47720</v>
      </c>
      <c r="I963" t="s">
        <v>3820</v>
      </c>
    </row>
    <row r="964" spans="1:9" x14ac:dyDescent="0.25">
      <c r="A964" t="s">
        <v>3817</v>
      </c>
      <c r="B964" t="s">
        <v>4390</v>
      </c>
      <c r="C964" t="s">
        <v>3821</v>
      </c>
      <c r="D964">
        <v>34.951218320000002</v>
      </c>
      <c r="E964" t="s">
        <v>3818</v>
      </c>
      <c r="F964">
        <v>118.1539531</v>
      </c>
      <c r="G964" t="s">
        <v>3819</v>
      </c>
      <c r="H964">
        <v>47697</v>
      </c>
      <c r="I964" t="s">
        <v>3820</v>
      </c>
    </row>
    <row r="965" spans="1:9" x14ac:dyDescent="0.25">
      <c r="A965" t="s">
        <v>3817</v>
      </c>
      <c r="B965" t="s">
        <v>4389</v>
      </c>
      <c r="C965" t="s">
        <v>3821</v>
      </c>
      <c r="D965">
        <v>35.150074439999997</v>
      </c>
      <c r="E965" t="s">
        <v>3818</v>
      </c>
      <c r="F965">
        <v>118.19917340000001</v>
      </c>
      <c r="G965" t="s">
        <v>3819</v>
      </c>
      <c r="H965">
        <v>135627</v>
      </c>
      <c r="I965" t="s">
        <v>3820</v>
      </c>
    </row>
    <row r="966" spans="1:9" x14ac:dyDescent="0.25">
      <c r="A966" t="s">
        <v>3817</v>
      </c>
      <c r="B966" t="s">
        <v>4391</v>
      </c>
      <c r="C966" t="s">
        <v>3821</v>
      </c>
      <c r="D966">
        <v>35.608225789999999</v>
      </c>
      <c r="E966" t="s">
        <v>3818</v>
      </c>
      <c r="F966">
        <v>118.3432973</v>
      </c>
      <c r="G966" t="s">
        <v>3819</v>
      </c>
      <c r="H966">
        <v>41137</v>
      </c>
      <c r="I966" t="s">
        <v>3820</v>
      </c>
    </row>
    <row r="967" spans="1:9" x14ac:dyDescent="0.25">
      <c r="A967" t="s">
        <v>3817</v>
      </c>
      <c r="B967" t="s">
        <v>6750</v>
      </c>
      <c r="C967" t="s">
        <v>3821</v>
      </c>
      <c r="D967">
        <v>37.566420770000001</v>
      </c>
      <c r="E967" t="s">
        <v>3818</v>
      </c>
      <c r="F967">
        <v>118.7786256</v>
      </c>
      <c r="G967" t="s">
        <v>3819</v>
      </c>
      <c r="H967">
        <v>17436</v>
      </c>
      <c r="I967" t="s">
        <v>3820</v>
      </c>
    </row>
    <row r="968" spans="1:9" x14ac:dyDescent="0.25">
      <c r="A968" t="s">
        <v>3817</v>
      </c>
      <c r="B968" t="s">
        <v>6751</v>
      </c>
      <c r="C968" t="s">
        <v>3821</v>
      </c>
      <c r="D968">
        <v>34.815714589999999</v>
      </c>
      <c r="E968" t="s">
        <v>3818</v>
      </c>
      <c r="F968">
        <v>117.50506009999999</v>
      </c>
      <c r="G968" t="s">
        <v>3819</v>
      </c>
      <c r="H968">
        <v>49422</v>
      </c>
      <c r="I968" t="s">
        <v>3820</v>
      </c>
    </row>
    <row r="969" spans="1:9" x14ac:dyDescent="0.25">
      <c r="A969" t="s">
        <v>3817</v>
      </c>
      <c r="B969" t="s">
        <v>4392</v>
      </c>
      <c r="C969" t="s">
        <v>3821</v>
      </c>
      <c r="D969">
        <v>35.727187180000001</v>
      </c>
      <c r="E969" t="s">
        <v>3818</v>
      </c>
      <c r="F969">
        <v>118.4078444</v>
      </c>
      <c r="G969" t="s">
        <v>3819</v>
      </c>
      <c r="H969">
        <v>23132</v>
      </c>
      <c r="I969" t="s">
        <v>3820</v>
      </c>
    </row>
    <row r="970" spans="1:9" x14ac:dyDescent="0.25">
      <c r="A970" t="s">
        <v>3817</v>
      </c>
      <c r="B970" t="s">
        <v>3942</v>
      </c>
      <c r="C970" t="s">
        <v>3821</v>
      </c>
      <c r="D970">
        <v>37.426954719999998</v>
      </c>
      <c r="E970" t="s">
        <v>3818</v>
      </c>
      <c r="F970">
        <v>116.43786950000001</v>
      </c>
      <c r="G970" t="s">
        <v>3819</v>
      </c>
      <c r="H970">
        <v>20589</v>
      </c>
      <c r="I970" t="s">
        <v>3820</v>
      </c>
    </row>
    <row r="971" spans="1:9" x14ac:dyDescent="0.25">
      <c r="A971" t="s">
        <v>3817</v>
      </c>
      <c r="B971" t="s">
        <v>4787</v>
      </c>
      <c r="C971" t="s">
        <v>3821</v>
      </c>
      <c r="D971">
        <v>36.422913710000003</v>
      </c>
      <c r="E971" t="s">
        <v>3818</v>
      </c>
      <c r="F971">
        <v>118.02741229999999</v>
      </c>
      <c r="G971" t="s">
        <v>3819</v>
      </c>
      <c r="H971">
        <v>31485</v>
      </c>
      <c r="I971" t="s">
        <v>3820</v>
      </c>
    </row>
    <row r="972" spans="1:9" x14ac:dyDescent="0.25">
      <c r="A972" t="s">
        <v>3817</v>
      </c>
      <c r="B972" t="s">
        <v>4437</v>
      </c>
      <c r="C972" t="s">
        <v>3821</v>
      </c>
      <c r="D972">
        <v>36.800703570000003</v>
      </c>
      <c r="E972" t="s">
        <v>3818</v>
      </c>
      <c r="F972">
        <v>120.31823350000001</v>
      </c>
      <c r="G972" t="s">
        <v>3819</v>
      </c>
      <c r="H972">
        <v>74253</v>
      </c>
      <c r="I972" t="s">
        <v>3820</v>
      </c>
    </row>
    <row r="973" spans="1:9" x14ac:dyDescent="0.25">
      <c r="A973" t="s">
        <v>3817</v>
      </c>
      <c r="B973" t="s">
        <v>4197</v>
      </c>
      <c r="C973" t="s">
        <v>3821</v>
      </c>
      <c r="D973">
        <v>35.743053770000003</v>
      </c>
      <c r="E973" t="s">
        <v>3818</v>
      </c>
      <c r="F973">
        <v>116.5705863</v>
      </c>
      <c r="G973" t="s">
        <v>3819</v>
      </c>
      <c r="H973">
        <v>31229</v>
      </c>
      <c r="I973" t="s">
        <v>3820</v>
      </c>
    </row>
    <row r="974" spans="1:9" x14ac:dyDescent="0.25">
      <c r="A974" t="s">
        <v>3817</v>
      </c>
      <c r="B974" t="s">
        <v>4198</v>
      </c>
      <c r="C974" t="s">
        <v>3821</v>
      </c>
      <c r="D974">
        <v>34.935101359999997</v>
      </c>
      <c r="E974" t="s">
        <v>3818</v>
      </c>
      <c r="F974">
        <v>116.4715882</v>
      </c>
      <c r="G974" t="s">
        <v>3819</v>
      </c>
      <c r="H974">
        <v>38985</v>
      </c>
      <c r="I974" t="s">
        <v>3820</v>
      </c>
    </row>
    <row r="975" spans="1:9" x14ac:dyDescent="0.25">
      <c r="A975" t="s">
        <v>3817</v>
      </c>
      <c r="B975" t="s">
        <v>4788</v>
      </c>
      <c r="C975" t="s">
        <v>3821</v>
      </c>
      <c r="D975">
        <v>36.532935369999997</v>
      </c>
      <c r="E975" t="s">
        <v>3818</v>
      </c>
      <c r="F975">
        <v>117.7986324</v>
      </c>
      <c r="G975" t="s">
        <v>3819</v>
      </c>
      <c r="H975">
        <v>75988</v>
      </c>
      <c r="I975" t="s">
        <v>3820</v>
      </c>
    </row>
    <row r="976" spans="1:9" x14ac:dyDescent="0.25">
      <c r="A976" t="s">
        <v>3817</v>
      </c>
      <c r="B976" t="s">
        <v>4527</v>
      </c>
      <c r="C976" t="s">
        <v>3821</v>
      </c>
      <c r="D976">
        <v>35.816155440000003</v>
      </c>
      <c r="E976" t="s">
        <v>3818</v>
      </c>
      <c r="F976">
        <v>117.3880412</v>
      </c>
      <c r="G976" t="s">
        <v>3819</v>
      </c>
      <c r="H976">
        <v>48480</v>
      </c>
      <c r="I976" t="s">
        <v>3820</v>
      </c>
    </row>
    <row r="977" spans="1:9" x14ac:dyDescent="0.25">
      <c r="A977" t="s">
        <v>3817</v>
      </c>
      <c r="B977" t="s">
        <v>4789</v>
      </c>
      <c r="C977" t="s">
        <v>3821</v>
      </c>
      <c r="D977">
        <v>36.231240419999999</v>
      </c>
      <c r="E977" t="s">
        <v>3818</v>
      </c>
      <c r="F977">
        <v>118.27437980000001</v>
      </c>
      <c r="G977" t="s">
        <v>3819</v>
      </c>
      <c r="H977">
        <v>47893</v>
      </c>
      <c r="I977" t="s">
        <v>3820</v>
      </c>
    </row>
    <row r="978" spans="1:9" x14ac:dyDescent="0.25">
      <c r="A978" t="s">
        <v>3817</v>
      </c>
      <c r="B978" t="s">
        <v>6752</v>
      </c>
      <c r="C978" t="s">
        <v>3821</v>
      </c>
      <c r="D978">
        <v>35.649802020000003</v>
      </c>
      <c r="E978" t="s">
        <v>3818</v>
      </c>
      <c r="F978">
        <v>115.7997317</v>
      </c>
      <c r="G978" t="s">
        <v>3819</v>
      </c>
      <c r="H978">
        <v>46709</v>
      </c>
      <c r="I978" t="s">
        <v>3820</v>
      </c>
    </row>
    <row r="979" spans="1:9" x14ac:dyDescent="0.25">
      <c r="A979" t="s">
        <v>3817</v>
      </c>
      <c r="B979" t="s">
        <v>6753</v>
      </c>
      <c r="C979" t="s">
        <v>3821</v>
      </c>
      <c r="D979">
        <v>37.17914657</v>
      </c>
      <c r="E979" t="s">
        <v>3818</v>
      </c>
      <c r="F979">
        <v>117.1196492</v>
      </c>
      <c r="G979" t="s">
        <v>3819</v>
      </c>
      <c r="H979">
        <v>59803</v>
      </c>
      <c r="I979" t="s">
        <v>3820</v>
      </c>
    </row>
    <row r="980" spans="1:9" x14ac:dyDescent="0.25">
      <c r="A980" t="s">
        <v>3817</v>
      </c>
      <c r="B980" t="s">
        <v>4285</v>
      </c>
      <c r="C980" t="s">
        <v>3821</v>
      </c>
      <c r="D980">
        <v>36.320290280000002</v>
      </c>
      <c r="E980" t="s">
        <v>3818</v>
      </c>
      <c r="F980">
        <v>116.055819</v>
      </c>
      <c r="G980" t="s">
        <v>3819</v>
      </c>
      <c r="H980">
        <v>38154</v>
      </c>
      <c r="I980" t="s">
        <v>3820</v>
      </c>
    </row>
    <row r="981" spans="1:9" x14ac:dyDescent="0.25">
      <c r="A981" t="s">
        <v>3817</v>
      </c>
      <c r="B981" t="s">
        <v>4466</v>
      </c>
      <c r="C981" t="s">
        <v>3821</v>
      </c>
      <c r="D981">
        <v>35.826287639999997</v>
      </c>
      <c r="E981" t="s">
        <v>3818</v>
      </c>
      <c r="F981">
        <v>119.0070237</v>
      </c>
      <c r="G981" t="s">
        <v>3819</v>
      </c>
      <c r="H981">
        <v>38679</v>
      </c>
      <c r="I981" t="s">
        <v>3820</v>
      </c>
    </row>
    <row r="982" spans="1:9" x14ac:dyDescent="0.25">
      <c r="A982" t="s">
        <v>3817</v>
      </c>
      <c r="B982" t="s">
        <v>4624</v>
      </c>
      <c r="C982" t="s">
        <v>3821</v>
      </c>
      <c r="D982">
        <v>37.004501939999997</v>
      </c>
      <c r="E982" t="s">
        <v>3818</v>
      </c>
      <c r="F982">
        <v>121.4248322</v>
      </c>
      <c r="G982" t="s">
        <v>3819</v>
      </c>
      <c r="H982">
        <v>27429</v>
      </c>
      <c r="I982" t="s">
        <v>3820</v>
      </c>
    </row>
    <row r="983" spans="1:9" x14ac:dyDescent="0.25">
      <c r="A983" t="s">
        <v>3817</v>
      </c>
      <c r="B983" t="s">
        <v>4697</v>
      </c>
      <c r="C983" t="s">
        <v>3821</v>
      </c>
      <c r="D983">
        <v>37.215131319999998</v>
      </c>
      <c r="E983" t="s">
        <v>3818</v>
      </c>
      <c r="F983">
        <v>121.6597718</v>
      </c>
      <c r="G983" t="s">
        <v>3819</v>
      </c>
      <c r="H983">
        <v>17909</v>
      </c>
      <c r="I983" t="s">
        <v>3820</v>
      </c>
    </row>
    <row r="984" spans="1:9" x14ac:dyDescent="0.25">
      <c r="A984" t="s">
        <v>3817</v>
      </c>
      <c r="B984" t="s">
        <v>4438</v>
      </c>
      <c r="C984" t="s">
        <v>3821</v>
      </c>
      <c r="D984">
        <v>36.819548869999998</v>
      </c>
      <c r="E984" t="s">
        <v>3818</v>
      </c>
      <c r="F984">
        <v>120.1774996</v>
      </c>
      <c r="G984" t="s">
        <v>3819</v>
      </c>
      <c r="H984">
        <v>52249</v>
      </c>
      <c r="I984" t="s">
        <v>3820</v>
      </c>
    </row>
    <row r="985" spans="1:9" x14ac:dyDescent="0.25">
      <c r="A985" t="s">
        <v>3817</v>
      </c>
      <c r="B985" t="s">
        <v>4286</v>
      </c>
      <c r="C985" t="s">
        <v>3821</v>
      </c>
      <c r="D985">
        <v>36.212356210000003</v>
      </c>
      <c r="E985" t="s">
        <v>3818</v>
      </c>
      <c r="F985">
        <v>116.2069791</v>
      </c>
      <c r="G985" t="s">
        <v>3819</v>
      </c>
      <c r="H985">
        <v>21975</v>
      </c>
      <c r="I985" t="s">
        <v>3820</v>
      </c>
    </row>
    <row r="986" spans="1:9" x14ac:dyDescent="0.25">
      <c r="A986" t="s">
        <v>3817</v>
      </c>
      <c r="B986" t="s">
        <v>4393</v>
      </c>
      <c r="C986" t="s">
        <v>3821</v>
      </c>
      <c r="D986">
        <v>34.957702830000002</v>
      </c>
      <c r="E986" t="s">
        <v>3818</v>
      </c>
      <c r="F986">
        <v>118.7863578</v>
      </c>
      <c r="G986" t="s">
        <v>3819</v>
      </c>
      <c r="H986">
        <v>65856</v>
      </c>
      <c r="I986" t="s">
        <v>3820</v>
      </c>
    </row>
    <row r="987" spans="1:9" x14ac:dyDescent="0.25">
      <c r="A987" t="s">
        <v>3817</v>
      </c>
      <c r="B987" t="s">
        <v>4199</v>
      </c>
      <c r="C987" t="s">
        <v>3821</v>
      </c>
      <c r="D987">
        <v>35.207912479999997</v>
      </c>
      <c r="E987" t="s">
        <v>3818</v>
      </c>
      <c r="F987">
        <v>116.5898875</v>
      </c>
      <c r="G987" t="s">
        <v>3819</v>
      </c>
      <c r="H987">
        <v>74065</v>
      </c>
      <c r="I987" t="s">
        <v>3820</v>
      </c>
    </row>
    <row r="988" spans="1:9" x14ac:dyDescent="0.25">
      <c r="A988" t="s">
        <v>3817</v>
      </c>
      <c r="B988" t="s">
        <v>4698</v>
      </c>
      <c r="C988" t="s">
        <v>3821</v>
      </c>
      <c r="D988">
        <v>37.462303499999997</v>
      </c>
      <c r="E988" t="s">
        <v>3818</v>
      </c>
      <c r="F988">
        <v>120.98300159999999</v>
      </c>
      <c r="G988" t="s">
        <v>3819</v>
      </c>
      <c r="H988">
        <v>72864</v>
      </c>
      <c r="I988" t="s">
        <v>3820</v>
      </c>
    </row>
    <row r="989" spans="1:9" x14ac:dyDescent="0.25">
      <c r="A989" t="s">
        <v>3817</v>
      </c>
      <c r="B989" t="s">
        <v>4439</v>
      </c>
      <c r="C989" t="s">
        <v>3821</v>
      </c>
      <c r="D989">
        <v>35.757358349999997</v>
      </c>
      <c r="E989" t="s">
        <v>3818</v>
      </c>
      <c r="F989">
        <v>119.7871294</v>
      </c>
      <c r="G989" t="s">
        <v>3819</v>
      </c>
      <c r="H989">
        <v>26388</v>
      </c>
      <c r="I989" t="s">
        <v>3820</v>
      </c>
    </row>
    <row r="990" spans="1:9" x14ac:dyDescent="0.25">
      <c r="A990" t="s">
        <v>3817</v>
      </c>
      <c r="B990" t="s">
        <v>3871</v>
      </c>
      <c r="C990" t="s">
        <v>3821</v>
      </c>
      <c r="D990">
        <v>37.412176719999998</v>
      </c>
      <c r="E990" t="s">
        <v>3818</v>
      </c>
      <c r="F990">
        <v>117.48362349999999</v>
      </c>
      <c r="G990" t="s">
        <v>3819</v>
      </c>
      <c r="H990">
        <v>30324</v>
      </c>
      <c r="I990" t="s">
        <v>3820</v>
      </c>
    </row>
    <row r="991" spans="1:9" x14ac:dyDescent="0.25">
      <c r="A991" t="s">
        <v>3817</v>
      </c>
      <c r="B991" t="s">
        <v>4394</v>
      </c>
      <c r="C991" t="s">
        <v>3821</v>
      </c>
      <c r="D991">
        <v>35.192416450000003</v>
      </c>
      <c r="E991" t="s">
        <v>3818</v>
      </c>
      <c r="F991">
        <v>118.2892762</v>
      </c>
      <c r="G991" t="s">
        <v>3819</v>
      </c>
      <c r="H991">
        <v>68140</v>
      </c>
      <c r="I991" t="s">
        <v>3820</v>
      </c>
    </row>
    <row r="992" spans="1:9" x14ac:dyDescent="0.25">
      <c r="A992" t="s">
        <v>3817</v>
      </c>
      <c r="B992" t="s">
        <v>4625</v>
      </c>
      <c r="C992" t="s">
        <v>3821</v>
      </c>
      <c r="D992">
        <v>36.95078015</v>
      </c>
      <c r="E992" t="s">
        <v>3818</v>
      </c>
      <c r="F992">
        <v>122.0740255</v>
      </c>
      <c r="G992" t="s">
        <v>3819</v>
      </c>
      <c r="H992">
        <v>24540</v>
      </c>
      <c r="I992" t="s">
        <v>3820</v>
      </c>
    </row>
    <row r="993" spans="1:9" x14ac:dyDescent="0.25">
      <c r="A993" t="s">
        <v>3817</v>
      </c>
      <c r="B993" t="s">
        <v>4626</v>
      </c>
      <c r="C993" t="s">
        <v>3821</v>
      </c>
      <c r="D993">
        <v>37.043148180000003</v>
      </c>
      <c r="E993" t="s">
        <v>3818</v>
      </c>
      <c r="F993">
        <v>121.8954584</v>
      </c>
      <c r="G993" t="s">
        <v>3819</v>
      </c>
      <c r="H993">
        <v>33787</v>
      </c>
      <c r="I993" t="s">
        <v>3820</v>
      </c>
    </row>
    <row r="994" spans="1:9" x14ac:dyDescent="0.25">
      <c r="A994" t="s">
        <v>3817</v>
      </c>
      <c r="B994" t="s">
        <v>4699</v>
      </c>
      <c r="C994" t="s">
        <v>3821</v>
      </c>
      <c r="D994">
        <v>37.071870269999998</v>
      </c>
      <c r="E994" t="s">
        <v>3818</v>
      </c>
      <c r="F994">
        <v>119.99010989999999</v>
      </c>
      <c r="G994" t="s">
        <v>3819</v>
      </c>
      <c r="H994">
        <v>42500</v>
      </c>
      <c r="I994" t="s">
        <v>3820</v>
      </c>
    </row>
    <row r="995" spans="1:9" x14ac:dyDescent="0.25">
      <c r="A995" t="s">
        <v>3817</v>
      </c>
      <c r="B995" t="s">
        <v>4528</v>
      </c>
      <c r="C995" t="s">
        <v>3821</v>
      </c>
      <c r="D995">
        <v>35.934858849999998</v>
      </c>
      <c r="E995" t="s">
        <v>3818</v>
      </c>
      <c r="F995">
        <v>117.6627391</v>
      </c>
      <c r="G995" t="s">
        <v>3819</v>
      </c>
      <c r="H995">
        <v>61248</v>
      </c>
      <c r="I995" t="s">
        <v>3820</v>
      </c>
    </row>
    <row r="996" spans="1:9" x14ac:dyDescent="0.25">
      <c r="A996" t="s">
        <v>3817</v>
      </c>
      <c r="B996" t="s">
        <v>3943</v>
      </c>
      <c r="C996" t="s">
        <v>3821</v>
      </c>
      <c r="D996">
        <v>37.387976299999998</v>
      </c>
      <c r="E996" t="s">
        <v>3818</v>
      </c>
      <c r="F996">
        <v>116.9155031</v>
      </c>
      <c r="G996" t="s">
        <v>3819</v>
      </c>
      <c r="H996">
        <v>20933</v>
      </c>
      <c r="I996" t="s">
        <v>3820</v>
      </c>
    </row>
    <row r="997" spans="1:9" x14ac:dyDescent="0.25">
      <c r="A997" t="s">
        <v>3817</v>
      </c>
      <c r="B997" t="s">
        <v>4112</v>
      </c>
      <c r="C997" t="s">
        <v>3821</v>
      </c>
      <c r="D997">
        <v>36.3049465</v>
      </c>
      <c r="E997" t="s">
        <v>3818</v>
      </c>
      <c r="F997">
        <v>117.4871162</v>
      </c>
      <c r="G997" t="s">
        <v>3819</v>
      </c>
      <c r="H997">
        <v>53601</v>
      </c>
      <c r="I997" t="s">
        <v>3820</v>
      </c>
    </row>
    <row r="998" spans="1:9" x14ac:dyDescent="0.25">
      <c r="A998" t="s">
        <v>3817</v>
      </c>
      <c r="B998" t="s">
        <v>4112</v>
      </c>
      <c r="C998" t="s">
        <v>3821</v>
      </c>
      <c r="D998">
        <v>36.624622420000001</v>
      </c>
      <c r="E998" t="s">
        <v>3818</v>
      </c>
      <c r="F998">
        <v>118.1014213</v>
      </c>
      <c r="G998" t="s">
        <v>3819</v>
      </c>
      <c r="H998">
        <v>55054</v>
      </c>
      <c r="I998" t="s">
        <v>3820</v>
      </c>
    </row>
    <row r="999" spans="1:9" x14ac:dyDescent="0.25">
      <c r="A999" t="s">
        <v>3817</v>
      </c>
      <c r="B999" t="s">
        <v>4467</v>
      </c>
      <c r="C999" t="s">
        <v>3821</v>
      </c>
      <c r="D999">
        <v>35.461381860000003</v>
      </c>
      <c r="E999" t="s">
        <v>3818</v>
      </c>
      <c r="F999">
        <v>118.9212891</v>
      </c>
      <c r="G999" t="s">
        <v>3819</v>
      </c>
      <c r="H999">
        <v>29720</v>
      </c>
      <c r="I999" t="s">
        <v>3820</v>
      </c>
    </row>
    <row r="1000" spans="1:9" x14ac:dyDescent="0.25">
      <c r="A1000" t="s">
        <v>3817</v>
      </c>
      <c r="B1000" t="s">
        <v>3872</v>
      </c>
      <c r="C1000" t="s">
        <v>3821</v>
      </c>
      <c r="D1000">
        <v>37.587772350000002</v>
      </c>
      <c r="E1000" t="s">
        <v>3818</v>
      </c>
      <c r="F1000">
        <v>117.5055334</v>
      </c>
      <c r="G1000" t="s">
        <v>3819</v>
      </c>
      <c r="H1000">
        <v>34333</v>
      </c>
      <c r="I1000" t="s">
        <v>3820</v>
      </c>
    </row>
    <row r="1001" spans="1:9" x14ac:dyDescent="0.25">
      <c r="A1001" t="s">
        <v>3817</v>
      </c>
      <c r="B1001" t="s">
        <v>4627</v>
      </c>
      <c r="C1001" t="s">
        <v>3821</v>
      </c>
      <c r="D1001">
        <v>37.471024040000003</v>
      </c>
      <c r="E1001" t="s">
        <v>3818</v>
      </c>
      <c r="F1001">
        <v>122.02232909999999</v>
      </c>
      <c r="G1001" t="s">
        <v>3819</v>
      </c>
      <c r="H1001">
        <v>58617</v>
      </c>
      <c r="I1001" t="s">
        <v>3820</v>
      </c>
    </row>
    <row r="1002" spans="1:9" x14ac:dyDescent="0.25">
      <c r="A1002" t="s">
        <v>3817</v>
      </c>
      <c r="B1002" t="s">
        <v>3944</v>
      </c>
      <c r="C1002" t="s">
        <v>3821</v>
      </c>
      <c r="D1002">
        <v>37.801172549999997</v>
      </c>
      <c r="E1002" t="s">
        <v>3818</v>
      </c>
      <c r="F1002">
        <v>116.7983629</v>
      </c>
      <c r="G1002" t="s">
        <v>3819</v>
      </c>
      <c r="H1002">
        <v>35461</v>
      </c>
      <c r="I1002" t="s">
        <v>3820</v>
      </c>
    </row>
    <row r="1003" spans="1:9" x14ac:dyDescent="0.25">
      <c r="A1003" t="s">
        <v>3817</v>
      </c>
      <c r="B1003" t="s">
        <v>4113</v>
      </c>
      <c r="C1003" t="s">
        <v>3821</v>
      </c>
      <c r="D1003">
        <v>37.350239139999999</v>
      </c>
      <c r="E1003" t="s">
        <v>3818</v>
      </c>
      <c r="F1003">
        <v>117.083832</v>
      </c>
      <c r="G1003" t="s">
        <v>3819</v>
      </c>
      <c r="H1003">
        <v>20446</v>
      </c>
      <c r="I1003" t="s">
        <v>3820</v>
      </c>
    </row>
    <row r="1004" spans="1:9" x14ac:dyDescent="0.25">
      <c r="A1004" t="s">
        <v>3817</v>
      </c>
      <c r="B1004" t="s">
        <v>4079</v>
      </c>
      <c r="C1004" t="s">
        <v>3821</v>
      </c>
      <c r="D1004">
        <v>35.210352270000001</v>
      </c>
      <c r="E1004" t="s">
        <v>3818</v>
      </c>
      <c r="F1004">
        <v>116.0045432</v>
      </c>
      <c r="G1004" t="s">
        <v>3819</v>
      </c>
      <c r="H1004">
        <v>35603</v>
      </c>
      <c r="I1004" t="s">
        <v>3820</v>
      </c>
    </row>
    <row r="1005" spans="1:9" x14ac:dyDescent="0.25">
      <c r="A1005" t="s">
        <v>3817</v>
      </c>
      <c r="B1005" t="s">
        <v>4700</v>
      </c>
      <c r="C1005" t="s">
        <v>3821</v>
      </c>
      <c r="D1005">
        <v>37.38006798</v>
      </c>
      <c r="E1005" t="s">
        <v>3818</v>
      </c>
      <c r="F1005">
        <v>121.1676181</v>
      </c>
      <c r="G1005" t="s">
        <v>3819</v>
      </c>
      <c r="H1005">
        <v>14672</v>
      </c>
      <c r="I1005" t="s">
        <v>3820</v>
      </c>
    </row>
    <row r="1006" spans="1:9" x14ac:dyDescent="0.25">
      <c r="A1006" t="s">
        <v>3817</v>
      </c>
      <c r="B1006" t="s">
        <v>3945</v>
      </c>
      <c r="C1006" t="s">
        <v>3821</v>
      </c>
      <c r="D1006">
        <v>37.00686443</v>
      </c>
      <c r="E1006" t="s">
        <v>3818</v>
      </c>
      <c r="F1006">
        <v>116.3392357</v>
      </c>
      <c r="G1006" t="s">
        <v>3819</v>
      </c>
      <c r="H1006">
        <v>25195</v>
      </c>
      <c r="I1006" t="s">
        <v>3820</v>
      </c>
    </row>
    <row r="1007" spans="1:9" x14ac:dyDescent="0.25">
      <c r="A1007" t="s">
        <v>3817</v>
      </c>
      <c r="B1007" t="s">
        <v>4200</v>
      </c>
      <c r="C1007" t="s">
        <v>3821</v>
      </c>
      <c r="D1007">
        <v>35.093949479999999</v>
      </c>
      <c r="E1007" t="s">
        <v>3818</v>
      </c>
      <c r="F1007">
        <v>116.5781368</v>
      </c>
      <c r="G1007" t="s">
        <v>3819</v>
      </c>
      <c r="H1007">
        <v>56095</v>
      </c>
      <c r="I1007" t="s">
        <v>3820</v>
      </c>
    </row>
    <row r="1008" spans="1:9" x14ac:dyDescent="0.25">
      <c r="A1008" t="s">
        <v>3817</v>
      </c>
      <c r="B1008" t="s">
        <v>4080</v>
      </c>
      <c r="C1008" t="s">
        <v>3821</v>
      </c>
      <c r="D1008">
        <v>34.820310210000002</v>
      </c>
      <c r="E1008" t="s">
        <v>3818</v>
      </c>
      <c r="F1008">
        <v>116.3526529</v>
      </c>
      <c r="G1008" t="s">
        <v>3819</v>
      </c>
      <c r="H1008">
        <v>40655</v>
      </c>
      <c r="I1008" t="s">
        <v>3820</v>
      </c>
    </row>
    <row r="1009" spans="1:9" x14ac:dyDescent="0.25">
      <c r="A1009" t="s">
        <v>3817</v>
      </c>
      <c r="B1009" t="s">
        <v>4628</v>
      </c>
      <c r="C1009" t="s">
        <v>3821</v>
      </c>
      <c r="D1009">
        <v>37.094806429999998</v>
      </c>
      <c r="E1009" t="s">
        <v>3818</v>
      </c>
      <c r="F1009">
        <v>122.0917542</v>
      </c>
      <c r="G1009" t="s">
        <v>3819</v>
      </c>
      <c r="H1009">
        <v>23040</v>
      </c>
      <c r="I1009" t="s">
        <v>3820</v>
      </c>
    </row>
    <row r="1010" spans="1:9" x14ac:dyDescent="0.25">
      <c r="A1010" t="s">
        <v>3817</v>
      </c>
      <c r="B1010" t="s">
        <v>4790</v>
      </c>
      <c r="C1010" t="s">
        <v>3821</v>
      </c>
      <c r="D1010">
        <v>36.07897311</v>
      </c>
      <c r="E1010" t="s">
        <v>3818</v>
      </c>
      <c r="F1010">
        <v>118.4450397</v>
      </c>
      <c r="G1010" t="s">
        <v>3819</v>
      </c>
      <c r="H1010">
        <v>24432</v>
      </c>
      <c r="I1010" t="s">
        <v>3820</v>
      </c>
    </row>
    <row r="1011" spans="1:9" x14ac:dyDescent="0.25">
      <c r="A1011" t="s">
        <v>3817</v>
      </c>
      <c r="B1011" t="s">
        <v>4201</v>
      </c>
      <c r="C1011" t="s">
        <v>3821</v>
      </c>
      <c r="D1011">
        <v>34.934357419999998</v>
      </c>
      <c r="E1011" t="s">
        <v>3818</v>
      </c>
      <c r="F1011">
        <v>116.8796159</v>
      </c>
      <c r="G1011" t="s">
        <v>3819</v>
      </c>
      <c r="H1011">
        <v>14044</v>
      </c>
      <c r="I1011" t="s">
        <v>3820</v>
      </c>
    </row>
    <row r="1012" spans="1:9" x14ac:dyDescent="0.25">
      <c r="A1012" t="s">
        <v>3817</v>
      </c>
      <c r="B1012" t="s">
        <v>4288</v>
      </c>
      <c r="C1012" t="s">
        <v>3821</v>
      </c>
      <c r="D1012">
        <v>36.261407859999998</v>
      </c>
      <c r="E1012" t="s">
        <v>3818</v>
      </c>
      <c r="F1012">
        <v>115.5342466</v>
      </c>
      <c r="G1012" t="s">
        <v>3819</v>
      </c>
      <c r="H1012">
        <v>48165</v>
      </c>
      <c r="I1012" t="s">
        <v>3820</v>
      </c>
    </row>
    <row r="1013" spans="1:9" x14ac:dyDescent="0.25">
      <c r="A1013" t="s">
        <v>3817</v>
      </c>
      <c r="B1013" t="s">
        <v>4287</v>
      </c>
      <c r="C1013" t="s">
        <v>3821</v>
      </c>
      <c r="D1013">
        <v>36.419319469999998</v>
      </c>
      <c r="E1013" t="s">
        <v>3818</v>
      </c>
      <c r="F1013">
        <v>115.78664310000001</v>
      </c>
      <c r="G1013" t="s">
        <v>3819</v>
      </c>
      <c r="H1013">
        <v>33366</v>
      </c>
      <c r="I1013" t="s">
        <v>3820</v>
      </c>
    </row>
    <row r="1014" spans="1:9" x14ac:dyDescent="0.25">
      <c r="A1014" t="s">
        <v>3817</v>
      </c>
      <c r="B1014" t="s">
        <v>4081</v>
      </c>
      <c r="C1014" t="s">
        <v>3821</v>
      </c>
      <c r="D1014">
        <v>35.702327410000002</v>
      </c>
      <c r="E1014" t="s">
        <v>3818</v>
      </c>
      <c r="F1014">
        <v>115.71660129999999</v>
      </c>
      <c r="G1014" t="s">
        <v>3819</v>
      </c>
      <c r="H1014">
        <v>32239</v>
      </c>
      <c r="I1014" t="s">
        <v>3820</v>
      </c>
    </row>
    <row r="1015" spans="1:9" x14ac:dyDescent="0.25">
      <c r="A1015" t="s">
        <v>3817</v>
      </c>
      <c r="B1015" t="s">
        <v>4289</v>
      </c>
      <c r="C1015" t="s">
        <v>3821</v>
      </c>
      <c r="D1015">
        <v>36.09164097</v>
      </c>
      <c r="E1015" t="s">
        <v>3818</v>
      </c>
      <c r="F1015">
        <v>115.9994815</v>
      </c>
      <c r="G1015" t="s">
        <v>3819</v>
      </c>
      <c r="H1015">
        <v>43685</v>
      </c>
      <c r="I1015" t="s">
        <v>3820</v>
      </c>
    </row>
    <row r="1016" spans="1:9" x14ac:dyDescent="0.25">
      <c r="A1016" t="s">
        <v>3817</v>
      </c>
      <c r="B1016" t="s">
        <v>4740</v>
      </c>
      <c r="C1016" t="s">
        <v>3821</v>
      </c>
      <c r="D1016">
        <v>34.529022329999997</v>
      </c>
      <c r="E1016" t="s">
        <v>3818</v>
      </c>
      <c r="F1016">
        <v>117.48016010000001</v>
      </c>
      <c r="G1016" t="s">
        <v>3819</v>
      </c>
      <c r="H1016">
        <v>40832</v>
      </c>
      <c r="I1016" t="s">
        <v>3820</v>
      </c>
    </row>
    <row r="1017" spans="1:9" x14ac:dyDescent="0.25">
      <c r="A1017" t="s">
        <v>3817</v>
      </c>
      <c r="B1017" t="s">
        <v>4082</v>
      </c>
      <c r="C1017" t="s">
        <v>3821</v>
      </c>
      <c r="D1017">
        <v>35.07561089</v>
      </c>
      <c r="E1017" t="s">
        <v>3818</v>
      </c>
      <c r="F1017">
        <v>115.394125</v>
      </c>
      <c r="G1017" t="s">
        <v>3819</v>
      </c>
      <c r="H1017">
        <v>44975</v>
      </c>
      <c r="I1017" t="s">
        <v>3820</v>
      </c>
    </row>
    <row r="1018" spans="1:9" x14ac:dyDescent="0.25">
      <c r="A1018" t="s">
        <v>3817</v>
      </c>
      <c r="B1018" t="s">
        <v>4741</v>
      </c>
      <c r="C1018" t="s">
        <v>3821</v>
      </c>
      <c r="D1018">
        <v>34.887900809999998</v>
      </c>
      <c r="E1018" t="s">
        <v>3818</v>
      </c>
      <c r="F1018">
        <v>117.1556549</v>
      </c>
      <c r="G1018" t="s">
        <v>3819</v>
      </c>
      <c r="H1018">
        <v>83557</v>
      </c>
      <c r="I1018" t="s">
        <v>3820</v>
      </c>
    </row>
    <row r="1019" spans="1:9" x14ac:dyDescent="0.25">
      <c r="A1019" t="s">
        <v>3817</v>
      </c>
      <c r="B1019" t="s">
        <v>4701</v>
      </c>
      <c r="C1019" t="s">
        <v>3821</v>
      </c>
      <c r="D1019">
        <v>37.484774539999997</v>
      </c>
      <c r="E1019" t="s">
        <v>3818</v>
      </c>
      <c r="F1019">
        <v>120.38074140000001</v>
      </c>
      <c r="G1019" t="s">
        <v>3819</v>
      </c>
      <c r="H1019">
        <v>59563</v>
      </c>
      <c r="I1019" t="s">
        <v>3820</v>
      </c>
    </row>
    <row r="1020" spans="1:9" x14ac:dyDescent="0.25">
      <c r="A1020" t="s">
        <v>3817</v>
      </c>
      <c r="B1020" t="s">
        <v>4290</v>
      </c>
      <c r="C1020" t="s">
        <v>3821</v>
      </c>
      <c r="D1020">
        <v>36.061354190000003</v>
      </c>
      <c r="E1020" t="s">
        <v>3818</v>
      </c>
      <c r="F1020">
        <v>115.48952130000001</v>
      </c>
      <c r="G1020" t="s">
        <v>3819</v>
      </c>
      <c r="H1020">
        <v>43996</v>
      </c>
      <c r="I1020" t="s">
        <v>3820</v>
      </c>
    </row>
    <row r="1021" spans="1:9" x14ac:dyDescent="0.25">
      <c r="A1021" t="s">
        <v>3817</v>
      </c>
      <c r="B1021" t="s">
        <v>6754</v>
      </c>
      <c r="C1021" t="s">
        <v>3821</v>
      </c>
      <c r="D1021">
        <v>37.039799240000001</v>
      </c>
      <c r="E1021" t="s">
        <v>3818</v>
      </c>
      <c r="F1021">
        <v>116.5715649</v>
      </c>
      <c r="G1021" t="s">
        <v>3819</v>
      </c>
      <c r="H1021">
        <v>20630</v>
      </c>
      <c r="I1021" t="s">
        <v>3820</v>
      </c>
    </row>
    <row r="1022" spans="1:9" x14ac:dyDescent="0.25">
      <c r="A1022" t="s">
        <v>3817</v>
      </c>
      <c r="B1022" t="s">
        <v>6755</v>
      </c>
      <c r="C1022" t="s">
        <v>3821</v>
      </c>
      <c r="D1022">
        <v>35.369950490000001</v>
      </c>
      <c r="E1022" t="s">
        <v>3818</v>
      </c>
      <c r="F1022">
        <v>117.24944840000001</v>
      </c>
      <c r="G1022" t="s">
        <v>3819</v>
      </c>
      <c r="H1022">
        <v>61922</v>
      </c>
      <c r="I1022" t="s">
        <v>3820</v>
      </c>
    </row>
    <row r="1023" spans="1:9" x14ac:dyDescent="0.25">
      <c r="A1023" t="s">
        <v>3817</v>
      </c>
      <c r="B1023" t="s">
        <v>6756</v>
      </c>
      <c r="C1023" t="s">
        <v>3821</v>
      </c>
      <c r="D1023">
        <v>35.46062354</v>
      </c>
      <c r="E1023" t="s">
        <v>3818</v>
      </c>
      <c r="F1023">
        <v>118.37921729999999</v>
      </c>
      <c r="G1023" t="s">
        <v>3819</v>
      </c>
      <c r="H1023">
        <v>40129</v>
      </c>
      <c r="I1023" t="s">
        <v>3820</v>
      </c>
    </row>
    <row r="1024" spans="1:9" x14ac:dyDescent="0.25">
      <c r="A1024" t="s">
        <v>3817</v>
      </c>
      <c r="B1024" t="s">
        <v>3946</v>
      </c>
      <c r="C1024" t="s">
        <v>3821</v>
      </c>
      <c r="D1024">
        <v>36.500569830000003</v>
      </c>
      <c r="E1024" t="s">
        <v>3818</v>
      </c>
      <c r="F1024">
        <v>116.5622029</v>
      </c>
      <c r="G1024" t="s">
        <v>3819</v>
      </c>
      <c r="H1024">
        <v>31596</v>
      </c>
      <c r="I1024" t="s">
        <v>3820</v>
      </c>
    </row>
    <row r="1025" spans="1:9" x14ac:dyDescent="0.25">
      <c r="A1025" t="s">
        <v>3817</v>
      </c>
      <c r="B1025" t="s">
        <v>3947</v>
      </c>
      <c r="C1025" t="s">
        <v>3821</v>
      </c>
      <c r="D1025">
        <v>37.49589417</v>
      </c>
      <c r="E1025" t="s">
        <v>3818</v>
      </c>
      <c r="F1025">
        <v>116.5099353</v>
      </c>
      <c r="G1025" t="s">
        <v>3819</v>
      </c>
      <c r="H1025">
        <v>38964</v>
      </c>
      <c r="I1025" t="s">
        <v>3820</v>
      </c>
    </row>
    <row r="1026" spans="1:9" x14ac:dyDescent="0.25">
      <c r="A1026" t="s">
        <v>3817</v>
      </c>
      <c r="B1026" t="s">
        <v>4202</v>
      </c>
      <c r="C1026" t="s">
        <v>3821</v>
      </c>
      <c r="D1026">
        <v>34.776606100000002</v>
      </c>
      <c r="E1026" t="s">
        <v>3818</v>
      </c>
      <c r="F1026">
        <v>116.9775822</v>
      </c>
      <c r="G1026" t="s">
        <v>3819</v>
      </c>
      <c r="H1026">
        <v>13445</v>
      </c>
      <c r="I1026" t="s">
        <v>3820</v>
      </c>
    </row>
    <row r="1027" spans="1:9" x14ac:dyDescent="0.25">
      <c r="A1027" t="s">
        <v>3817</v>
      </c>
      <c r="B1027" t="s">
        <v>4702</v>
      </c>
      <c r="C1027" t="s">
        <v>3821</v>
      </c>
      <c r="D1027">
        <v>36.882402050000003</v>
      </c>
      <c r="E1027" t="s">
        <v>3818</v>
      </c>
      <c r="F1027">
        <v>120.7720277</v>
      </c>
      <c r="G1027" t="s">
        <v>3819</v>
      </c>
      <c r="H1027">
        <v>49980</v>
      </c>
      <c r="I1027" t="s">
        <v>3820</v>
      </c>
    </row>
    <row r="1028" spans="1:9" x14ac:dyDescent="0.25">
      <c r="A1028" t="s">
        <v>3817</v>
      </c>
      <c r="B1028" t="s">
        <v>4468</v>
      </c>
      <c r="C1028" t="s">
        <v>3821</v>
      </c>
      <c r="D1028">
        <v>35.731855920000001</v>
      </c>
      <c r="E1028" t="s">
        <v>3818</v>
      </c>
      <c r="F1028">
        <v>118.9310629</v>
      </c>
      <c r="G1028" t="s">
        <v>3819</v>
      </c>
      <c r="H1028">
        <v>60223</v>
      </c>
      <c r="I1028" t="s">
        <v>3820</v>
      </c>
    </row>
    <row r="1029" spans="1:9" x14ac:dyDescent="0.25">
      <c r="A1029" t="s">
        <v>3817</v>
      </c>
      <c r="B1029" t="s">
        <v>4291</v>
      </c>
      <c r="C1029" t="s">
        <v>3821</v>
      </c>
      <c r="D1029">
        <v>36.773248899999999</v>
      </c>
      <c r="E1029" t="s">
        <v>3818</v>
      </c>
      <c r="F1029">
        <v>116.1645188</v>
      </c>
      <c r="G1029" t="s">
        <v>3819</v>
      </c>
      <c r="H1029">
        <v>32801</v>
      </c>
      <c r="I1029" t="s">
        <v>3820</v>
      </c>
    </row>
    <row r="1030" spans="1:9" x14ac:dyDescent="0.25">
      <c r="A1030" t="s">
        <v>3817</v>
      </c>
      <c r="B1030" t="s">
        <v>4203</v>
      </c>
      <c r="C1030" t="s">
        <v>3821</v>
      </c>
      <c r="D1030">
        <v>35.74338281</v>
      </c>
      <c r="E1030" t="s">
        <v>3818</v>
      </c>
      <c r="F1030">
        <v>117.1608186</v>
      </c>
      <c r="G1030" t="s">
        <v>3819</v>
      </c>
      <c r="H1030">
        <v>29747</v>
      </c>
      <c r="I1030" t="s">
        <v>3820</v>
      </c>
    </row>
    <row r="1031" spans="1:9" x14ac:dyDescent="0.25">
      <c r="A1031" t="s">
        <v>3817</v>
      </c>
      <c r="B1031" t="s">
        <v>3948</v>
      </c>
      <c r="C1031" t="s">
        <v>3821</v>
      </c>
      <c r="D1031">
        <v>37.00022645</v>
      </c>
      <c r="E1031" t="s">
        <v>3818</v>
      </c>
      <c r="F1031">
        <v>115.826424</v>
      </c>
      <c r="G1031" t="s">
        <v>3819</v>
      </c>
      <c r="H1031">
        <v>23421</v>
      </c>
      <c r="I1031" t="s">
        <v>3820</v>
      </c>
    </row>
    <row r="1032" spans="1:9" x14ac:dyDescent="0.25">
      <c r="A1032" t="s">
        <v>3817</v>
      </c>
      <c r="B1032" t="s">
        <v>4395</v>
      </c>
      <c r="C1032" t="s">
        <v>3821</v>
      </c>
      <c r="D1032">
        <v>35.229383230000003</v>
      </c>
      <c r="E1032" t="s">
        <v>3818</v>
      </c>
      <c r="F1032">
        <v>117.6389733</v>
      </c>
      <c r="G1032" t="s">
        <v>3819</v>
      </c>
      <c r="H1032">
        <v>56374</v>
      </c>
      <c r="I1032" t="s">
        <v>3820</v>
      </c>
    </row>
    <row r="1033" spans="1:9" x14ac:dyDescent="0.25">
      <c r="A1033" t="s">
        <v>3817</v>
      </c>
      <c r="B1033" t="s">
        <v>3949</v>
      </c>
      <c r="C1033" t="s">
        <v>3821</v>
      </c>
      <c r="D1033">
        <v>37.505387679999998</v>
      </c>
      <c r="E1033" t="s">
        <v>3818</v>
      </c>
      <c r="F1033">
        <v>117.1248733</v>
      </c>
      <c r="G1033" t="s">
        <v>3819</v>
      </c>
      <c r="H1033">
        <v>59310</v>
      </c>
      <c r="I1033" t="s">
        <v>3820</v>
      </c>
    </row>
    <row r="1034" spans="1:9" x14ac:dyDescent="0.25">
      <c r="A1034" t="s">
        <v>3817</v>
      </c>
      <c r="B1034" t="s">
        <v>4292</v>
      </c>
      <c r="C1034" t="s">
        <v>3821</v>
      </c>
      <c r="D1034">
        <v>36.411518899999997</v>
      </c>
      <c r="E1034" t="s">
        <v>3818</v>
      </c>
      <c r="F1034">
        <v>115.7179325</v>
      </c>
      <c r="G1034" t="s">
        <v>3819</v>
      </c>
      <c r="H1034">
        <v>47872</v>
      </c>
      <c r="I1034" t="s">
        <v>3820</v>
      </c>
    </row>
    <row r="1035" spans="1:9" x14ac:dyDescent="0.25">
      <c r="A1035" t="s">
        <v>3817</v>
      </c>
      <c r="B1035" t="s">
        <v>3950</v>
      </c>
      <c r="C1035" t="s">
        <v>3821</v>
      </c>
      <c r="D1035">
        <v>37.275314039999998</v>
      </c>
      <c r="E1035" t="s">
        <v>3818</v>
      </c>
      <c r="F1035">
        <v>116.73744240000001</v>
      </c>
      <c r="G1035" t="s">
        <v>3819</v>
      </c>
      <c r="H1035">
        <v>43593</v>
      </c>
      <c r="I1035" t="s">
        <v>3820</v>
      </c>
    </row>
    <row r="1036" spans="1:9" x14ac:dyDescent="0.25">
      <c r="A1036" t="s">
        <v>3817</v>
      </c>
      <c r="B1036" t="s">
        <v>4114</v>
      </c>
      <c r="C1036" t="s">
        <v>3821</v>
      </c>
      <c r="D1036">
        <v>37.281267749999998</v>
      </c>
      <c r="E1036" t="s">
        <v>3818</v>
      </c>
      <c r="F1036">
        <v>117.35718129999999</v>
      </c>
      <c r="G1036" t="s">
        <v>3819</v>
      </c>
      <c r="H1036">
        <v>57969</v>
      </c>
      <c r="I1036" t="s">
        <v>3820</v>
      </c>
    </row>
    <row r="1037" spans="1:9" x14ac:dyDescent="0.25">
      <c r="A1037" t="s">
        <v>3817</v>
      </c>
      <c r="B1037" t="s">
        <v>4396</v>
      </c>
      <c r="C1037" t="s">
        <v>3821</v>
      </c>
      <c r="D1037">
        <v>35.164556109999999</v>
      </c>
      <c r="E1037" t="s">
        <v>3818</v>
      </c>
      <c r="F1037">
        <v>118.60636220000001</v>
      </c>
      <c r="G1037" t="s">
        <v>3819</v>
      </c>
      <c r="H1037">
        <v>57883</v>
      </c>
      <c r="I1037" t="s">
        <v>3820</v>
      </c>
    </row>
    <row r="1038" spans="1:9" x14ac:dyDescent="0.25">
      <c r="A1038" t="s">
        <v>3817</v>
      </c>
      <c r="B1038" t="s">
        <v>4083</v>
      </c>
      <c r="C1038" t="s">
        <v>3821</v>
      </c>
      <c r="D1038">
        <v>35.483878570000002</v>
      </c>
      <c r="E1038" t="s">
        <v>3818</v>
      </c>
      <c r="F1038">
        <v>115.54592599999999</v>
      </c>
      <c r="G1038" t="s">
        <v>3819</v>
      </c>
      <c r="H1038">
        <v>50446</v>
      </c>
      <c r="I1038" t="s">
        <v>3820</v>
      </c>
    </row>
    <row r="1039" spans="1:9" x14ac:dyDescent="0.25">
      <c r="A1039" t="s">
        <v>3817</v>
      </c>
      <c r="B1039" t="s">
        <v>4583</v>
      </c>
      <c r="C1039" t="s">
        <v>3821</v>
      </c>
      <c r="D1039">
        <v>36.160941389999998</v>
      </c>
      <c r="E1039" t="s">
        <v>3818</v>
      </c>
      <c r="F1039">
        <v>118.9190747</v>
      </c>
      <c r="G1039" t="s">
        <v>3819</v>
      </c>
      <c r="H1039">
        <v>28333</v>
      </c>
      <c r="I1039" t="s">
        <v>3820</v>
      </c>
    </row>
    <row r="1040" spans="1:9" x14ac:dyDescent="0.25">
      <c r="A1040" t="s">
        <v>3817</v>
      </c>
      <c r="B1040" t="s">
        <v>4204</v>
      </c>
      <c r="C1040" t="s">
        <v>3821</v>
      </c>
      <c r="D1040">
        <v>35.305809019999998</v>
      </c>
      <c r="E1040" t="s">
        <v>3818</v>
      </c>
      <c r="F1040">
        <v>116.31544289999999</v>
      </c>
      <c r="G1040" t="s">
        <v>3819</v>
      </c>
      <c r="H1040">
        <v>79077</v>
      </c>
      <c r="I1040" t="s">
        <v>3820</v>
      </c>
    </row>
    <row r="1041" spans="1:9" x14ac:dyDescent="0.25">
      <c r="A1041" t="s">
        <v>3817</v>
      </c>
      <c r="B1041" t="s">
        <v>4584</v>
      </c>
      <c r="C1041" t="s">
        <v>3821</v>
      </c>
      <c r="D1041">
        <v>35.925908440000001</v>
      </c>
      <c r="E1041" t="s">
        <v>3818</v>
      </c>
      <c r="F1041">
        <v>119.2107793</v>
      </c>
      <c r="G1041" t="s">
        <v>3819</v>
      </c>
      <c r="H1041">
        <v>43152</v>
      </c>
      <c r="I1041" t="s">
        <v>3820</v>
      </c>
    </row>
    <row r="1042" spans="1:9" x14ac:dyDescent="0.25">
      <c r="A1042" t="s">
        <v>3817</v>
      </c>
      <c r="B1042" t="s">
        <v>4791</v>
      </c>
      <c r="C1042" t="s">
        <v>3821</v>
      </c>
      <c r="D1042">
        <v>36.844470129999998</v>
      </c>
      <c r="E1042" t="s">
        <v>3818</v>
      </c>
      <c r="F1042">
        <v>118.1755417</v>
      </c>
      <c r="G1042" t="s">
        <v>3819</v>
      </c>
      <c r="H1042">
        <v>20422</v>
      </c>
      <c r="I1042" t="s">
        <v>3820</v>
      </c>
    </row>
    <row r="1043" spans="1:9" x14ac:dyDescent="0.25">
      <c r="A1043" t="s">
        <v>3817</v>
      </c>
      <c r="B1043" t="s">
        <v>4205</v>
      </c>
      <c r="C1043" t="s">
        <v>3821</v>
      </c>
      <c r="D1043">
        <v>35.722241179999997</v>
      </c>
      <c r="E1043" t="s">
        <v>3818</v>
      </c>
      <c r="F1043">
        <v>117.23823400000001</v>
      </c>
      <c r="G1043" t="s">
        <v>3819</v>
      </c>
      <c r="H1043">
        <v>30290</v>
      </c>
      <c r="I1043" t="s">
        <v>3820</v>
      </c>
    </row>
    <row r="1044" spans="1:9" x14ac:dyDescent="0.25">
      <c r="A1044" t="s">
        <v>3817</v>
      </c>
      <c r="B1044" t="s">
        <v>4397</v>
      </c>
      <c r="C1044" t="s">
        <v>3821</v>
      </c>
      <c r="D1044">
        <v>35.631881049999997</v>
      </c>
      <c r="E1044" t="s">
        <v>3818</v>
      </c>
      <c r="F1044">
        <v>117.6316526</v>
      </c>
      <c r="G1044" t="s">
        <v>3819</v>
      </c>
      <c r="H1044">
        <v>67507</v>
      </c>
      <c r="I1044" t="s">
        <v>3820</v>
      </c>
    </row>
    <row r="1045" spans="1:9" x14ac:dyDescent="0.25">
      <c r="A1045" t="s">
        <v>3817</v>
      </c>
      <c r="B1045" t="s">
        <v>4469</v>
      </c>
      <c r="C1045" t="s">
        <v>3821</v>
      </c>
      <c r="D1045">
        <v>35.401209999999999</v>
      </c>
      <c r="E1045" t="s">
        <v>3818</v>
      </c>
      <c r="F1045">
        <v>118.97845</v>
      </c>
      <c r="G1045" t="s">
        <v>3819</v>
      </c>
      <c r="H1045">
        <v>48705</v>
      </c>
      <c r="I1045" t="s">
        <v>3820</v>
      </c>
    </row>
    <row r="1046" spans="1:9" x14ac:dyDescent="0.25">
      <c r="A1046" t="s">
        <v>3817</v>
      </c>
      <c r="B1046" t="s">
        <v>4206</v>
      </c>
      <c r="C1046" t="s">
        <v>3821</v>
      </c>
      <c r="D1046">
        <v>35.329154750000001</v>
      </c>
      <c r="E1046" t="s">
        <v>3818</v>
      </c>
      <c r="F1046">
        <v>116.2396227</v>
      </c>
      <c r="G1046" t="s">
        <v>3819</v>
      </c>
      <c r="H1046">
        <v>56163</v>
      </c>
      <c r="I1046" t="s">
        <v>3820</v>
      </c>
    </row>
    <row r="1047" spans="1:9" x14ac:dyDescent="0.25">
      <c r="A1047" t="s">
        <v>3817</v>
      </c>
      <c r="B1047" t="s">
        <v>4207</v>
      </c>
      <c r="C1047" t="s">
        <v>3821</v>
      </c>
      <c r="D1047">
        <v>35.45076633</v>
      </c>
      <c r="E1047" t="s">
        <v>3818</v>
      </c>
      <c r="F1047">
        <v>116.936859</v>
      </c>
      <c r="G1047" t="s">
        <v>3819</v>
      </c>
      <c r="H1047">
        <v>80850</v>
      </c>
      <c r="I1047" t="s">
        <v>3820</v>
      </c>
    </row>
    <row r="1048" spans="1:9" x14ac:dyDescent="0.25">
      <c r="A1048" t="s">
        <v>3817</v>
      </c>
      <c r="B1048" t="s">
        <v>4084</v>
      </c>
      <c r="C1048" t="s">
        <v>3821</v>
      </c>
      <c r="D1048">
        <v>34.732745059999999</v>
      </c>
      <c r="E1048" t="s">
        <v>3818</v>
      </c>
      <c r="F1048">
        <v>116.31099279999999</v>
      </c>
      <c r="G1048" t="s">
        <v>3819</v>
      </c>
      <c r="H1048">
        <v>65959</v>
      </c>
      <c r="I1048" t="s">
        <v>3820</v>
      </c>
    </row>
    <row r="1049" spans="1:9" x14ac:dyDescent="0.25">
      <c r="A1049" t="s">
        <v>3817</v>
      </c>
      <c r="B1049" t="s">
        <v>4470</v>
      </c>
      <c r="C1049" t="s">
        <v>3821</v>
      </c>
      <c r="D1049">
        <v>35.76511292</v>
      </c>
      <c r="E1049" t="s">
        <v>3818</v>
      </c>
      <c r="F1049">
        <v>119.0936559</v>
      </c>
      <c r="G1049" t="s">
        <v>3819</v>
      </c>
      <c r="H1049">
        <v>23336</v>
      </c>
      <c r="I1049" t="s">
        <v>3820</v>
      </c>
    </row>
    <row r="1050" spans="1:9" x14ac:dyDescent="0.25">
      <c r="A1050" t="s">
        <v>3817</v>
      </c>
      <c r="B1050" t="s">
        <v>4792</v>
      </c>
      <c r="C1050" t="s">
        <v>3821</v>
      </c>
      <c r="D1050">
        <v>36.056055579999999</v>
      </c>
      <c r="E1050" t="s">
        <v>3818</v>
      </c>
      <c r="F1050">
        <v>118.2336797</v>
      </c>
      <c r="G1050" t="s">
        <v>3819</v>
      </c>
      <c r="H1050">
        <v>28506</v>
      </c>
      <c r="I1050" t="s">
        <v>3820</v>
      </c>
    </row>
    <row r="1051" spans="1:9" x14ac:dyDescent="0.25">
      <c r="A1051" t="s">
        <v>3817</v>
      </c>
      <c r="B1051" t="s">
        <v>4742</v>
      </c>
      <c r="C1051" t="s">
        <v>3821</v>
      </c>
      <c r="D1051">
        <v>34.680537319999999</v>
      </c>
      <c r="E1051" t="s">
        <v>3818</v>
      </c>
      <c r="F1051">
        <v>117.3904986</v>
      </c>
      <c r="G1051" t="s">
        <v>3819</v>
      </c>
      <c r="H1051">
        <v>51591</v>
      </c>
      <c r="I1051" t="s">
        <v>3820</v>
      </c>
    </row>
    <row r="1052" spans="1:9" x14ac:dyDescent="0.25">
      <c r="A1052" t="s">
        <v>3817</v>
      </c>
      <c r="B1052" t="s">
        <v>3951</v>
      </c>
      <c r="C1052" t="s">
        <v>3821</v>
      </c>
      <c r="D1052">
        <v>36.731283769999997</v>
      </c>
      <c r="E1052" t="s">
        <v>3818</v>
      </c>
      <c r="F1052">
        <v>116.741058</v>
      </c>
      <c r="G1052" t="s">
        <v>3819</v>
      </c>
      <c r="H1052">
        <v>57995</v>
      </c>
      <c r="I1052" t="s">
        <v>3820</v>
      </c>
    </row>
    <row r="1053" spans="1:9" x14ac:dyDescent="0.25">
      <c r="A1053" t="s">
        <v>3817</v>
      </c>
      <c r="B1053" t="s">
        <v>4398</v>
      </c>
      <c r="C1053" t="s">
        <v>3821</v>
      </c>
      <c r="D1053">
        <v>35.382158779999997</v>
      </c>
      <c r="E1053" t="s">
        <v>3818</v>
      </c>
      <c r="F1053">
        <v>118.4446035</v>
      </c>
      <c r="G1053" t="s">
        <v>3819</v>
      </c>
      <c r="H1053">
        <v>33532</v>
      </c>
      <c r="I1053" t="s">
        <v>3820</v>
      </c>
    </row>
    <row r="1054" spans="1:9" x14ac:dyDescent="0.25">
      <c r="A1054" t="s">
        <v>3817</v>
      </c>
      <c r="B1054" t="s">
        <v>4399</v>
      </c>
      <c r="C1054" t="s">
        <v>3821</v>
      </c>
      <c r="D1054">
        <v>35.082373850000003</v>
      </c>
      <c r="E1054" t="s">
        <v>3818</v>
      </c>
      <c r="F1054">
        <v>119.0217536</v>
      </c>
      <c r="G1054" t="s">
        <v>3819</v>
      </c>
      <c r="H1054">
        <v>37575</v>
      </c>
      <c r="I1054" t="s">
        <v>3820</v>
      </c>
    </row>
    <row r="1055" spans="1:9" x14ac:dyDescent="0.25">
      <c r="A1055" t="s">
        <v>3817</v>
      </c>
      <c r="B1055" t="s">
        <v>4400</v>
      </c>
      <c r="C1055" t="s">
        <v>3821</v>
      </c>
      <c r="D1055">
        <v>34.742507809999999</v>
      </c>
      <c r="E1055" t="s">
        <v>3818</v>
      </c>
      <c r="F1055">
        <v>118.21866540000001</v>
      </c>
      <c r="G1055" t="s">
        <v>3819</v>
      </c>
      <c r="H1055">
        <v>83515</v>
      </c>
      <c r="I1055" t="s">
        <v>3820</v>
      </c>
    </row>
    <row r="1056" spans="1:9" x14ac:dyDescent="0.25">
      <c r="A1056" t="s">
        <v>3817</v>
      </c>
      <c r="B1056" t="s">
        <v>4085</v>
      </c>
      <c r="C1056" t="s">
        <v>3821</v>
      </c>
      <c r="D1056">
        <v>35.001527179999997</v>
      </c>
      <c r="E1056" t="s">
        <v>3818</v>
      </c>
      <c r="F1056">
        <v>115.1826073</v>
      </c>
      <c r="G1056" t="s">
        <v>3819</v>
      </c>
      <c r="H1056">
        <v>68544</v>
      </c>
      <c r="I1056" t="s">
        <v>3820</v>
      </c>
    </row>
    <row r="1057" spans="1:9" x14ac:dyDescent="0.25">
      <c r="A1057" t="s">
        <v>3817</v>
      </c>
      <c r="B1057" t="s">
        <v>4086</v>
      </c>
      <c r="C1057" t="s">
        <v>3821</v>
      </c>
      <c r="D1057">
        <v>34.939817290000001</v>
      </c>
      <c r="E1057" t="s">
        <v>3818</v>
      </c>
      <c r="F1057">
        <v>115.40715710000001</v>
      </c>
      <c r="G1057" t="s">
        <v>3819</v>
      </c>
      <c r="H1057">
        <v>32359</v>
      </c>
      <c r="I1057" t="s">
        <v>3820</v>
      </c>
    </row>
    <row r="1058" spans="1:9" x14ac:dyDescent="0.25">
      <c r="A1058" t="s">
        <v>3817</v>
      </c>
      <c r="B1058" t="s">
        <v>4401</v>
      </c>
      <c r="C1058" t="s">
        <v>3821</v>
      </c>
      <c r="D1058">
        <v>35.076278449999997</v>
      </c>
      <c r="E1058" t="s">
        <v>3818</v>
      </c>
      <c r="F1058">
        <v>118.8647879</v>
      </c>
      <c r="G1058" t="s">
        <v>3819</v>
      </c>
      <c r="H1058">
        <v>45088</v>
      </c>
      <c r="I1058" t="s">
        <v>3820</v>
      </c>
    </row>
    <row r="1059" spans="1:9" x14ac:dyDescent="0.25">
      <c r="A1059" t="s">
        <v>3817</v>
      </c>
      <c r="B1059" t="s">
        <v>4402</v>
      </c>
      <c r="C1059" t="s">
        <v>3821</v>
      </c>
      <c r="D1059">
        <v>35.967792789999997</v>
      </c>
      <c r="E1059" t="s">
        <v>3818</v>
      </c>
      <c r="F1059">
        <v>118.5377451</v>
      </c>
      <c r="G1059" t="s">
        <v>3819</v>
      </c>
      <c r="H1059">
        <v>62553</v>
      </c>
      <c r="I1059" t="s">
        <v>3820</v>
      </c>
    </row>
    <row r="1060" spans="1:9" x14ac:dyDescent="0.25">
      <c r="A1060" t="s">
        <v>3817</v>
      </c>
      <c r="B1060" t="s">
        <v>6757</v>
      </c>
      <c r="C1060" t="s">
        <v>3821</v>
      </c>
      <c r="D1060">
        <v>37.809748229999997</v>
      </c>
      <c r="E1060" t="s">
        <v>3818</v>
      </c>
      <c r="F1060">
        <v>117.26552700000001</v>
      </c>
      <c r="G1060" t="s">
        <v>3819</v>
      </c>
      <c r="H1060">
        <v>55801</v>
      </c>
      <c r="I1060" t="s">
        <v>3820</v>
      </c>
    </row>
    <row r="1061" spans="1:9" x14ac:dyDescent="0.25">
      <c r="A1061" t="s">
        <v>3817</v>
      </c>
      <c r="B1061" t="s">
        <v>6758</v>
      </c>
      <c r="C1061" t="s">
        <v>3821</v>
      </c>
      <c r="D1061">
        <v>34.660779040000001</v>
      </c>
      <c r="E1061" t="s">
        <v>3818</v>
      </c>
      <c r="F1061">
        <v>116.33058370000001</v>
      </c>
      <c r="G1061" t="s">
        <v>3819</v>
      </c>
      <c r="H1061">
        <v>28454</v>
      </c>
      <c r="I1061" t="s">
        <v>3820</v>
      </c>
    </row>
    <row r="1062" spans="1:9" x14ac:dyDescent="0.25">
      <c r="A1062" t="s">
        <v>3817</v>
      </c>
      <c r="B1062" t="s">
        <v>4293</v>
      </c>
      <c r="C1062" t="s">
        <v>3821</v>
      </c>
      <c r="D1062">
        <v>36.333790479999998</v>
      </c>
      <c r="E1062" t="s">
        <v>3818</v>
      </c>
      <c r="F1062">
        <v>115.9234719</v>
      </c>
      <c r="G1062" t="s">
        <v>3819</v>
      </c>
      <c r="H1062">
        <v>35766</v>
      </c>
      <c r="I1062" t="s">
        <v>3820</v>
      </c>
    </row>
    <row r="1063" spans="1:9" x14ac:dyDescent="0.25">
      <c r="A1063" t="s">
        <v>3817</v>
      </c>
      <c r="B1063" t="s">
        <v>4403</v>
      </c>
      <c r="C1063" t="s">
        <v>3821</v>
      </c>
      <c r="D1063">
        <v>35.271366520000001</v>
      </c>
      <c r="E1063" t="s">
        <v>3818</v>
      </c>
      <c r="F1063">
        <v>119.13353499999999</v>
      </c>
      <c r="G1063" t="s">
        <v>3819</v>
      </c>
      <c r="H1063">
        <v>30679</v>
      </c>
      <c r="I1063" t="s">
        <v>3820</v>
      </c>
    </row>
    <row r="1064" spans="1:9" x14ac:dyDescent="0.25">
      <c r="A1064" t="s">
        <v>3817</v>
      </c>
      <c r="B1064" t="s">
        <v>4703</v>
      </c>
      <c r="C1064" t="s">
        <v>3821</v>
      </c>
      <c r="D1064">
        <v>37.334253189999998</v>
      </c>
      <c r="E1064" t="s">
        <v>3818</v>
      </c>
      <c r="F1064">
        <v>120.1185847</v>
      </c>
      <c r="G1064" t="s">
        <v>3819</v>
      </c>
      <c r="H1064">
        <v>59726</v>
      </c>
      <c r="I1064" t="s">
        <v>3820</v>
      </c>
    </row>
    <row r="1065" spans="1:9" x14ac:dyDescent="0.25">
      <c r="A1065" t="s">
        <v>3817</v>
      </c>
      <c r="B1065" t="s">
        <v>4793</v>
      </c>
      <c r="C1065" t="s">
        <v>3821</v>
      </c>
      <c r="D1065">
        <v>36.949994050000001</v>
      </c>
      <c r="E1065" t="s">
        <v>3818</v>
      </c>
      <c r="F1065">
        <v>118.2345189</v>
      </c>
      <c r="G1065" t="s">
        <v>3819</v>
      </c>
      <c r="H1065">
        <v>49375</v>
      </c>
      <c r="I1065" t="s">
        <v>3820</v>
      </c>
    </row>
    <row r="1066" spans="1:9" x14ac:dyDescent="0.25">
      <c r="A1066" t="s">
        <v>3817</v>
      </c>
      <c r="B1066" t="s">
        <v>4404</v>
      </c>
      <c r="C1066" t="s">
        <v>3821</v>
      </c>
      <c r="D1066">
        <v>35.239865360000003</v>
      </c>
      <c r="E1066" t="s">
        <v>3818</v>
      </c>
      <c r="F1066">
        <v>117.7874206</v>
      </c>
      <c r="G1066" t="s">
        <v>3819</v>
      </c>
      <c r="H1066">
        <v>50623</v>
      </c>
      <c r="I1066" t="s">
        <v>3820</v>
      </c>
    </row>
    <row r="1067" spans="1:9" x14ac:dyDescent="0.25">
      <c r="A1067" t="s">
        <v>3817</v>
      </c>
      <c r="B1067" t="s">
        <v>4629</v>
      </c>
      <c r="C1067" t="s">
        <v>3821</v>
      </c>
      <c r="D1067">
        <v>36.975961920000003</v>
      </c>
      <c r="E1067" t="s">
        <v>3818</v>
      </c>
      <c r="F1067">
        <v>121.3132907</v>
      </c>
      <c r="G1067" t="s">
        <v>3819</v>
      </c>
      <c r="H1067">
        <v>38557</v>
      </c>
      <c r="I1067" t="s">
        <v>3820</v>
      </c>
    </row>
    <row r="1068" spans="1:9" x14ac:dyDescent="0.25">
      <c r="A1068" t="s">
        <v>3817</v>
      </c>
      <c r="B1068" t="s">
        <v>4704</v>
      </c>
      <c r="C1068" t="s">
        <v>3821</v>
      </c>
      <c r="D1068">
        <v>36.916031719999999</v>
      </c>
      <c r="E1068" t="s">
        <v>3818</v>
      </c>
      <c r="F1068">
        <v>121.1167701</v>
      </c>
      <c r="G1068" t="s">
        <v>3819</v>
      </c>
      <c r="H1068">
        <v>35332</v>
      </c>
      <c r="I1068" t="s">
        <v>3820</v>
      </c>
    </row>
    <row r="1069" spans="1:9" x14ac:dyDescent="0.25">
      <c r="A1069" t="s">
        <v>3817</v>
      </c>
      <c r="B1069" t="s">
        <v>4529</v>
      </c>
      <c r="C1069" t="s">
        <v>3821</v>
      </c>
      <c r="D1069">
        <v>36.271260650000002</v>
      </c>
      <c r="E1069" t="s">
        <v>3818</v>
      </c>
      <c r="F1069">
        <v>117.32921709999999</v>
      </c>
      <c r="G1069" t="s">
        <v>3819</v>
      </c>
      <c r="H1069">
        <v>52618</v>
      </c>
      <c r="I1069" t="s">
        <v>3820</v>
      </c>
    </row>
    <row r="1070" spans="1:9" x14ac:dyDescent="0.25">
      <c r="A1070" t="s">
        <v>3817</v>
      </c>
      <c r="B1070" t="s">
        <v>4705</v>
      </c>
      <c r="C1070" t="s">
        <v>3821</v>
      </c>
      <c r="D1070">
        <v>37.703724450000003</v>
      </c>
      <c r="E1070" t="s">
        <v>3818</v>
      </c>
      <c r="F1070">
        <v>120.5642126</v>
      </c>
      <c r="G1070" t="s">
        <v>3819</v>
      </c>
      <c r="H1070">
        <v>51771</v>
      </c>
      <c r="I1070" t="s">
        <v>3820</v>
      </c>
    </row>
    <row r="1071" spans="1:9" x14ac:dyDescent="0.25">
      <c r="A1071" t="s">
        <v>3817</v>
      </c>
      <c r="B1071" t="s">
        <v>3952</v>
      </c>
      <c r="C1071" t="s">
        <v>3821</v>
      </c>
      <c r="D1071">
        <v>37.365883320000002</v>
      </c>
      <c r="E1071" t="s">
        <v>3818</v>
      </c>
      <c r="F1071">
        <v>116.8160549</v>
      </c>
      <c r="G1071" t="s">
        <v>3819</v>
      </c>
      <c r="H1071">
        <v>35326</v>
      </c>
      <c r="I1071" t="s">
        <v>3820</v>
      </c>
    </row>
    <row r="1072" spans="1:9" x14ac:dyDescent="0.25">
      <c r="A1072" t="s">
        <v>3817</v>
      </c>
      <c r="B1072" t="s">
        <v>3873</v>
      </c>
      <c r="C1072" t="s">
        <v>3821</v>
      </c>
      <c r="D1072">
        <v>37.333388849999999</v>
      </c>
      <c r="E1072" t="s">
        <v>3818</v>
      </c>
      <c r="F1072">
        <v>117.445959</v>
      </c>
      <c r="G1072" t="s">
        <v>3819</v>
      </c>
      <c r="H1072">
        <v>30184</v>
      </c>
      <c r="I1072" t="s">
        <v>3820</v>
      </c>
    </row>
    <row r="1073" spans="1:9" x14ac:dyDescent="0.25">
      <c r="A1073" t="s">
        <v>3817</v>
      </c>
      <c r="B1073" t="s">
        <v>4743</v>
      </c>
      <c r="C1073" t="s">
        <v>3821</v>
      </c>
      <c r="D1073">
        <v>34.88509904</v>
      </c>
      <c r="E1073" t="s">
        <v>3818</v>
      </c>
      <c r="F1073">
        <v>117.43334299999999</v>
      </c>
      <c r="G1073" t="s">
        <v>3819</v>
      </c>
      <c r="H1073">
        <v>39102</v>
      </c>
      <c r="I1073" t="s">
        <v>3820</v>
      </c>
    </row>
    <row r="1074" spans="1:9" x14ac:dyDescent="0.25">
      <c r="A1074" t="s">
        <v>3817</v>
      </c>
      <c r="B1074" t="s">
        <v>4294</v>
      </c>
      <c r="C1074" t="s">
        <v>3821</v>
      </c>
      <c r="D1074">
        <v>36.202795309999999</v>
      </c>
      <c r="E1074" t="s">
        <v>3818</v>
      </c>
      <c r="F1074">
        <v>115.5592092</v>
      </c>
      <c r="G1074" t="s">
        <v>3819</v>
      </c>
      <c r="H1074">
        <v>20931</v>
      </c>
      <c r="I1074" t="s">
        <v>3820</v>
      </c>
    </row>
    <row r="1075" spans="1:9" x14ac:dyDescent="0.25">
      <c r="A1075" t="s">
        <v>3817</v>
      </c>
      <c r="B1075" t="s">
        <v>4087</v>
      </c>
      <c r="C1075" t="s">
        <v>3821</v>
      </c>
      <c r="D1075">
        <v>35.697599089999997</v>
      </c>
      <c r="E1075" t="s">
        <v>3818</v>
      </c>
      <c r="F1075">
        <v>115.63741779999999</v>
      </c>
      <c r="G1075" t="s">
        <v>3819</v>
      </c>
      <c r="H1075">
        <v>40220</v>
      </c>
      <c r="I1075" t="s">
        <v>3820</v>
      </c>
    </row>
    <row r="1076" spans="1:9" x14ac:dyDescent="0.25">
      <c r="A1076" t="s">
        <v>3817</v>
      </c>
      <c r="B1076" t="s">
        <v>4794</v>
      </c>
      <c r="C1076" t="s">
        <v>3821</v>
      </c>
      <c r="D1076">
        <v>37.587996199999999</v>
      </c>
      <c r="E1076" t="s">
        <v>3818</v>
      </c>
      <c r="F1076">
        <v>118.7605193</v>
      </c>
      <c r="G1076" t="s">
        <v>3819</v>
      </c>
      <c r="H1076">
        <v>1142500</v>
      </c>
      <c r="I1076" t="s">
        <v>3820</v>
      </c>
    </row>
    <row r="1077" spans="1:9" x14ac:dyDescent="0.25">
      <c r="A1077" t="s">
        <v>3817</v>
      </c>
      <c r="B1077" t="s">
        <v>4795</v>
      </c>
      <c r="C1077" t="s">
        <v>3821</v>
      </c>
      <c r="D1077">
        <v>35.2925173</v>
      </c>
      <c r="E1077" t="s">
        <v>3818</v>
      </c>
      <c r="F1077">
        <v>118.30311500000001</v>
      </c>
      <c r="G1077" t="s">
        <v>3819</v>
      </c>
      <c r="H1077">
        <v>3623145</v>
      </c>
      <c r="I1077" t="s">
        <v>3820</v>
      </c>
    </row>
    <row r="1078" spans="1:9" x14ac:dyDescent="0.25">
      <c r="A1078" t="s">
        <v>3817</v>
      </c>
      <c r="B1078" t="s">
        <v>4796</v>
      </c>
      <c r="C1078" t="s">
        <v>3821</v>
      </c>
      <c r="D1078">
        <v>36.629579399999997</v>
      </c>
      <c r="E1078" t="s">
        <v>3818</v>
      </c>
      <c r="F1078">
        <v>121.5227696</v>
      </c>
      <c r="G1078" t="s">
        <v>3819</v>
      </c>
      <c r="H1078">
        <v>146554</v>
      </c>
      <c r="I1078" t="s">
        <v>3820</v>
      </c>
    </row>
    <row r="1079" spans="1:9" x14ac:dyDescent="0.25">
      <c r="A1079" t="s">
        <v>3817</v>
      </c>
      <c r="B1079" t="s">
        <v>4797</v>
      </c>
      <c r="C1079" t="s">
        <v>3821</v>
      </c>
      <c r="D1079">
        <v>36.998899600000001</v>
      </c>
      <c r="E1079" t="s">
        <v>3818</v>
      </c>
      <c r="F1079">
        <v>122.4377339</v>
      </c>
      <c r="G1079" t="s">
        <v>3819</v>
      </c>
      <c r="H1079">
        <v>377292</v>
      </c>
      <c r="I1079" t="s">
        <v>3820</v>
      </c>
    </row>
    <row r="1080" spans="1:9" x14ac:dyDescent="0.25">
      <c r="A1080" t="s">
        <v>3817</v>
      </c>
      <c r="B1080" t="s">
        <v>4798</v>
      </c>
      <c r="C1080" t="s">
        <v>3821</v>
      </c>
      <c r="D1080">
        <v>36.891537300000003</v>
      </c>
      <c r="E1080" t="s">
        <v>3818</v>
      </c>
      <c r="F1080">
        <v>121.97479420000001</v>
      </c>
      <c r="G1080" t="s">
        <v>3819</v>
      </c>
      <c r="H1080">
        <v>823397</v>
      </c>
      <c r="I1080" t="s">
        <v>3820</v>
      </c>
    </row>
    <row r="1081" spans="1:9" x14ac:dyDescent="0.25">
      <c r="A1081" t="s">
        <v>3817</v>
      </c>
      <c r="B1081" t="s">
        <v>4799</v>
      </c>
      <c r="C1081" t="s">
        <v>3821</v>
      </c>
      <c r="D1081">
        <v>37.644360900000002</v>
      </c>
      <c r="E1081" t="s">
        <v>3818</v>
      </c>
      <c r="F1081">
        <v>117.1255039</v>
      </c>
      <c r="G1081" t="s">
        <v>3819</v>
      </c>
      <c r="H1081">
        <v>174973</v>
      </c>
      <c r="I1081" t="s">
        <v>3820</v>
      </c>
    </row>
    <row r="1082" spans="1:9" x14ac:dyDescent="0.25">
      <c r="A1082" t="s">
        <v>3817</v>
      </c>
      <c r="B1082" t="s">
        <v>4800</v>
      </c>
      <c r="C1082" t="s">
        <v>3821</v>
      </c>
      <c r="D1082">
        <v>36.935636500000001</v>
      </c>
      <c r="E1082" t="s">
        <v>3818</v>
      </c>
      <c r="F1082">
        <v>116.5581481</v>
      </c>
      <c r="G1082" t="s">
        <v>3819</v>
      </c>
      <c r="H1082">
        <v>151441</v>
      </c>
      <c r="I1082" t="s">
        <v>3820</v>
      </c>
    </row>
    <row r="1083" spans="1:9" x14ac:dyDescent="0.25">
      <c r="A1083" t="s">
        <v>3817</v>
      </c>
      <c r="B1083" t="s">
        <v>4801</v>
      </c>
      <c r="C1083" t="s">
        <v>3821</v>
      </c>
      <c r="D1083">
        <v>37.210038900000001</v>
      </c>
      <c r="E1083" t="s">
        <v>3818</v>
      </c>
      <c r="F1083">
        <v>116.6775894</v>
      </c>
      <c r="G1083" t="s">
        <v>3819</v>
      </c>
      <c r="H1083">
        <v>1556886</v>
      </c>
      <c r="I1083" t="s">
        <v>3820</v>
      </c>
    </row>
    <row r="1084" spans="1:9" x14ac:dyDescent="0.25">
      <c r="A1084" t="s">
        <v>3817</v>
      </c>
      <c r="B1084" t="s">
        <v>4802</v>
      </c>
      <c r="C1084" t="s">
        <v>3821</v>
      </c>
      <c r="D1084">
        <v>35.528876400000001</v>
      </c>
      <c r="E1084" t="s">
        <v>3818</v>
      </c>
      <c r="F1084">
        <v>119.3686427</v>
      </c>
      <c r="G1084" t="s">
        <v>3819</v>
      </c>
      <c r="H1084">
        <v>1178255</v>
      </c>
      <c r="I1084" t="s">
        <v>3820</v>
      </c>
    </row>
    <row r="1085" spans="1:9" x14ac:dyDescent="0.25">
      <c r="A1085" t="s">
        <v>3817</v>
      </c>
      <c r="B1085" t="s">
        <v>4803</v>
      </c>
      <c r="C1085" t="s">
        <v>3821</v>
      </c>
      <c r="D1085">
        <v>35.062049100000003</v>
      </c>
      <c r="E1085" t="s">
        <v>3818</v>
      </c>
      <c r="F1085">
        <v>117.1051341</v>
      </c>
      <c r="G1085" t="s">
        <v>3819</v>
      </c>
      <c r="H1085">
        <v>479826</v>
      </c>
      <c r="I1085" t="s">
        <v>3820</v>
      </c>
    </row>
    <row r="1086" spans="1:9" x14ac:dyDescent="0.25">
      <c r="A1086" t="s">
        <v>3817</v>
      </c>
      <c r="B1086" t="s">
        <v>4804</v>
      </c>
      <c r="C1086" t="s">
        <v>3821</v>
      </c>
      <c r="D1086">
        <v>34.892056599999997</v>
      </c>
      <c r="E1086" t="s">
        <v>3818</v>
      </c>
      <c r="F1086">
        <v>117.3177256</v>
      </c>
      <c r="G1086" t="s">
        <v>3819</v>
      </c>
      <c r="H1086">
        <v>516531</v>
      </c>
      <c r="I1086" t="s">
        <v>3820</v>
      </c>
    </row>
    <row r="1087" spans="1:9" x14ac:dyDescent="0.25">
      <c r="A1087" t="s">
        <v>3817</v>
      </c>
      <c r="B1087" t="s">
        <v>4805</v>
      </c>
      <c r="C1087" t="s">
        <v>3821</v>
      </c>
      <c r="D1087">
        <v>35.872893599999998</v>
      </c>
      <c r="E1087" t="s">
        <v>3818</v>
      </c>
      <c r="F1087">
        <v>117.6206639</v>
      </c>
      <c r="G1087" t="s">
        <v>3819</v>
      </c>
      <c r="H1087">
        <v>335500</v>
      </c>
      <c r="I1087" t="s">
        <v>3820</v>
      </c>
    </row>
    <row r="1088" spans="1:9" x14ac:dyDescent="0.25">
      <c r="A1088" t="s">
        <v>3817</v>
      </c>
      <c r="B1088" t="s">
        <v>4806</v>
      </c>
      <c r="C1088" t="s">
        <v>3821</v>
      </c>
      <c r="D1088">
        <v>36.100558700000001</v>
      </c>
      <c r="E1088" t="s">
        <v>3818</v>
      </c>
      <c r="F1088">
        <v>116.7263244</v>
      </c>
      <c r="G1088" t="s">
        <v>3819</v>
      </c>
      <c r="H1088">
        <v>366386</v>
      </c>
      <c r="I1088" t="s">
        <v>3820</v>
      </c>
    </row>
    <row r="1089" spans="1:9" x14ac:dyDescent="0.25">
      <c r="A1089" t="s">
        <v>3817</v>
      </c>
      <c r="B1089" t="s">
        <v>4807</v>
      </c>
      <c r="C1089" t="s">
        <v>3821</v>
      </c>
      <c r="D1089">
        <v>36.055842699999999</v>
      </c>
      <c r="E1089" t="s">
        <v>3818</v>
      </c>
      <c r="F1089">
        <v>117.0190765</v>
      </c>
      <c r="G1089" t="s">
        <v>3819</v>
      </c>
      <c r="H1089">
        <v>1237833</v>
      </c>
      <c r="I1089" t="s">
        <v>3820</v>
      </c>
    </row>
    <row r="1090" spans="1:9" x14ac:dyDescent="0.25">
      <c r="A1090" t="s">
        <v>3817</v>
      </c>
      <c r="B1090" t="s">
        <v>4808</v>
      </c>
      <c r="C1090" t="s">
        <v>3821</v>
      </c>
      <c r="D1090">
        <v>36.765108400000003</v>
      </c>
      <c r="E1090" t="s">
        <v>3818</v>
      </c>
      <c r="F1090">
        <v>117.0959883</v>
      </c>
      <c r="G1090" t="s">
        <v>3819</v>
      </c>
      <c r="H1090">
        <v>7200991</v>
      </c>
      <c r="I1090" t="s">
        <v>4836</v>
      </c>
    </row>
    <row r="1091" spans="1:9" x14ac:dyDescent="0.25">
      <c r="A1091" t="s">
        <v>3817</v>
      </c>
      <c r="B1091" t="s">
        <v>4809</v>
      </c>
      <c r="C1091" t="s">
        <v>3821</v>
      </c>
      <c r="D1091">
        <v>35.628968499999999</v>
      </c>
      <c r="E1091" t="s">
        <v>3818</v>
      </c>
      <c r="F1091">
        <v>117.04296479999999</v>
      </c>
      <c r="G1091" t="s">
        <v>3819</v>
      </c>
      <c r="H1091">
        <v>289909</v>
      </c>
      <c r="I1091" t="s">
        <v>3820</v>
      </c>
    </row>
    <row r="1092" spans="1:9" x14ac:dyDescent="0.25">
      <c r="A1092" t="s">
        <v>3817</v>
      </c>
      <c r="B1092" t="s">
        <v>4810</v>
      </c>
      <c r="C1092" t="s">
        <v>3821</v>
      </c>
      <c r="D1092">
        <v>35.330301300000002</v>
      </c>
      <c r="E1092" t="s">
        <v>3818</v>
      </c>
      <c r="F1092">
        <v>117.1064143</v>
      </c>
      <c r="G1092" t="s">
        <v>3819</v>
      </c>
      <c r="H1092">
        <v>277400</v>
      </c>
      <c r="I1092" t="s">
        <v>3820</v>
      </c>
    </row>
    <row r="1093" spans="1:9" x14ac:dyDescent="0.25">
      <c r="A1093" t="s">
        <v>3817</v>
      </c>
      <c r="B1093" t="s">
        <v>4811</v>
      </c>
      <c r="C1093" t="s">
        <v>3821</v>
      </c>
      <c r="D1093">
        <v>35.2060849</v>
      </c>
      <c r="E1093" t="s">
        <v>3818</v>
      </c>
      <c r="F1093">
        <v>116.72686729999999</v>
      </c>
      <c r="G1093" t="s">
        <v>3819</v>
      </c>
      <c r="H1093">
        <v>2541069</v>
      </c>
      <c r="I1093" t="s">
        <v>3820</v>
      </c>
    </row>
    <row r="1094" spans="1:9" x14ac:dyDescent="0.25">
      <c r="A1094" t="s">
        <v>3817</v>
      </c>
      <c r="B1094" t="s">
        <v>4812</v>
      </c>
      <c r="C1094" t="s">
        <v>3821</v>
      </c>
      <c r="D1094">
        <v>36.603194600000002</v>
      </c>
      <c r="E1094" t="s">
        <v>3818</v>
      </c>
      <c r="F1094">
        <v>118.0309286</v>
      </c>
      <c r="G1094" t="s">
        <v>3819</v>
      </c>
      <c r="H1094">
        <v>2012195</v>
      </c>
      <c r="I1094" t="s">
        <v>3820</v>
      </c>
    </row>
    <row r="1095" spans="1:9" x14ac:dyDescent="0.25">
      <c r="A1095" t="s">
        <v>3817</v>
      </c>
      <c r="B1095" t="s">
        <v>4813</v>
      </c>
      <c r="C1095" t="s">
        <v>3821</v>
      </c>
      <c r="D1095">
        <v>36.9174541</v>
      </c>
      <c r="E1095" t="s">
        <v>3818</v>
      </c>
      <c r="F1095">
        <v>117.63347469999999</v>
      </c>
      <c r="G1095" t="s">
        <v>3819</v>
      </c>
      <c r="H1095">
        <v>298205</v>
      </c>
      <c r="I1095" t="s">
        <v>3820</v>
      </c>
    </row>
    <row r="1096" spans="1:9" x14ac:dyDescent="0.25">
      <c r="A1096" t="s">
        <v>3817</v>
      </c>
      <c r="B1096" t="s">
        <v>4814</v>
      </c>
      <c r="C1096" t="s">
        <v>3821</v>
      </c>
      <c r="D1096">
        <v>37.5435783</v>
      </c>
      <c r="E1096" t="s">
        <v>3818</v>
      </c>
      <c r="F1096">
        <v>117.8360028</v>
      </c>
      <c r="G1096" t="s">
        <v>3819</v>
      </c>
      <c r="H1096">
        <v>1176717</v>
      </c>
      <c r="I1096" t="s">
        <v>3820</v>
      </c>
    </row>
    <row r="1097" spans="1:9" x14ac:dyDescent="0.25">
      <c r="A1097" t="s">
        <v>3817</v>
      </c>
      <c r="B1097" t="s">
        <v>4815</v>
      </c>
      <c r="C1097" t="s">
        <v>3821</v>
      </c>
      <c r="D1097">
        <v>36.319991299999998</v>
      </c>
      <c r="E1097" t="s">
        <v>3818</v>
      </c>
      <c r="F1097">
        <v>119.0964297</v>
      </c>
      <c r="G1097" t="s">
        <v>3819</v>
      </c>
      <c r="H1097">
        <v>463277</v>
      </c>
      <c r="I1097" t="s">
        <v>3820</v>
      </c>
    </row>
    <row r="1098" spans="1:9" x14ac:dyDescent="0.25">
      <c r="A1098" t="s">
        <v>3817</v>
      </c>
      <c r="B1098" t="s">
        <v>4816</v>
      </c>
      <c r="C1098" t="s">
        <v>3821</v>
      </c>
      <c r="D1098">
        <v>37.033199199999999</v>
      </c>
      <c r="E1098" t="s">
        <v>3818</v>
      </c>
      <c r="F1098">
        <v>118.8316655</v>
      </c>
      <c r="G1098" t="s">
        <v>3819</v>
      </c>
      <c r="H1098">
        <v>533769</v>
      </c>
      <c r="I1098" t="s">
        <v>3820</v>
      </c>
    </row>
    <row r="1099" spans="1:9" x14ac:dyDescent="0.25">
      <c r="A1099" t="s">
        <v>3817</v>
      </c>
      <c r="B1099" t="s">
        <v>4817</v>
      </c>
      <c r="C1099" t="s">
        <v>3821</v>
      </c>
      <c r="D1099">
        <v>36.903250300000003</v>
      </c>
      <c r="E1099" t="s">
        <v>3818</v>
      </c>
      <c r="F1099">
        <v>119.4150618</v>
      </c>
      <c r="G1099" t="s">
        <v>3819</v>
      </c>
      <c r="H1099">
        <v>302072</v>
      </c>
      <c r="I1099" t="s">
        <v>3820</v>
      </c>
    </row>
    <row r="1100" spans="1:9" x14ac:dyDescent="0.25">
      <c r="A1100" t="s">
        <v>3817</v>
      </c>
      <c r="B1100" t="s">
        <v>4818</v>
      </c>
      <c r="C1100" t="s">
        <v>3821</v>
      </c>
      <c r="D1100">
        <v>35.999929299999998</v>
      </c>
      <c r="E1100" t="s">
        <v>3818</v>
      </c>
      <c r="F1100">
        <v>119.3592683</v>
      </c>
      <c r="G1100" t="s">
        <v>3819</v>
      </c>
      <c r="H1100">
        <v>499285</v>
      </c>
      <c r="I1100" t="s">
        <v>3820</v>
      </c>
    </row>
    <row r="1101" spans="1:9" x14ac:dyDescent="0.25">
      <c r="A1101" t="s">
        <v>3817</v>
      </c>
      <c r="B1101" t="s">
        <v>4819</v>
      </c>
      <c r="C1101" t="s">
        <v>3821</v>
      </c>
      <c r="D1101">
        <v>36.682069400000003</v>
      </c>
      <c r="E1101" t="s">
        <v>3818</v>
      </c>
      <c r="F1101">
        <v>118.4741753</v>
      </c>
      <c r="G1101" t="s">
        <v>3819</v>
      </c>
      <c r="H1101">
        <v>421531</v>
      </c>
      <c r="I1101" t="s">
        <v>3820</v>
      </c>
    </row>
    <row r="1102" spans="1:9" x14ac:dyDescent="0.25">
      <c r="A1102" t="s">
        <v>3817</v>
      </c>
      <c r="B1102" t="s">
        <v>4820</v>
      </c>
      <c r="C1102" t="s">
        <v>3821</v>
      </c>
      <c r="D1102">
        <v>36.4165603</v>
      </c>
      <c r="E1102" t="s">
        <v>3818</v>
      </c>
      <c r="F1102">
        <v>119.71893679999999</v>
      </c>
      <c r="G1102" t="s">
        <v>3819</v>
      </c>
      <c r="H1102">
        <v>391986</v>
      </c>
      <c r="I1102" t="s">
        <v>3820</v>
      </c>
    </row>
    <row r="1103" spans="1:9" x14ac:dyDescent="0.25">
      <c r="A1103" t="s">
        <v>3817</v>
      </c>
      <c r="B1103" t="s">
        <v>4821</v>
      </c>
      <c r="C1103" t="s">
        <v>3821</v>
      </c>
      <c r="D1103">
        <v>36.544358799999998</v>
      </c>
      <c r="E1103" t="s">
        <v>3818</v>
      </c>
      <c r="F1103">
        <v>119.09019600000001</v>
      </c>
      <c r="G1103" t="s">
        <v>3819</v>
      </c>
      <c r="H1103">
        <v>2800939</v>
      </c>
      <c r="I1103" t="s">
        <v>3820</v>
      </c>
    </row>
    <row r="1104" spans="1:9" x14ac:dyDescent="0.25">
      <c r="A1104" t="s">
        <v>3817</v>
      </c>
      <c r="B1104" t="s">
        <v>4822</v>
      </c>
      <c r="C1104" t="s">
        <v>3821</v>
      </c>
      <c r="D1104">
        <v>37.4222793</v>
      </c>
      <c r="E1104" t="s">
        <v>3818</v>
      </c>
      <c r="F1104">
        <v>120.2737899</v>
      </c>
      <c r="G1104" t="s">
        <v>3819</v>
      </c>
      <c r="H1104">
        <v>220761</v>
      </c>
      <c r="I1104" t="s">
        <v>3820</v>
      </c>
    </row>
    <row r="1105" spans="1:9" x14ac:dyDescent="0.25">
      <c r="A1105" t="s">
        <v>3817</v>
      </c>
      <c r="B1105" t="s">
        <v>4823</v>
      </c>
      <c r="C1105" t="s">
        <v>3821</v>
      </c>
      <c r="D1105">
        <v>37.292025099999996</v>
      </c>
      <c r="E1105" t="s">
        <v>3818</v>
      </c>
      <c r="F1105">
        <v>120.9053942</v>
      </c>
      <c r="G1105" t="s">
        <v>3819</v>
      </c>
      <c r="H1105">
        <v>148511</v>
      </c>
      <c r="I1105" t="s">
        <v>3820</v>
      </c>
    </row>
    <row r="1106" spans="1:9" x14ac:dyDescent="0.25">
      <c r="A1106" t="s">
        <v>3817</v>
      </c>
      <c r="B1106" t="s">
        <v>4824</v>
      </c>
      <c r="C1106" t="s">
        <v>3821</v>
      </c>
      <c r="D1106">
        <v>36.620444200000001</v>
      </c>
      <c r="E1106" t="s">
        <v>3818</v>
      </c>
      <c r="F1106">
        <v>121.2379301</v>
      </c>
      <c r="G1106" t="s">
        <v>3819</v>
      </c>
      <c r="H1106">
        <v>236925</v>
      </c>
      <c r="I1106" t="s">
        <v>3820</v>
      </c>
    </row>
    <row r="1107" spans="1:9" x14ac:dyDescent="0.25">
      <c r="A1107" t="s">
        <v>3817</v>
      </c>
      <c r="B1107" t="s">
        <v>4825</v>
      </c>
      <c r="C1107" t="s">
        <v>3821</v>
      </c>
      <c r="D1107">
        <v>37.338846799999999</v>
      </c>
      <c r="E1107" t="s">
        <v>3818</v>
      </c>
      <c r="F1107">
        <v>119.9294179</v>
      </c>
      <c r="G1107" t="s">
        <v>3819</v>
      </c>
      <c r="H1107">
        <v>314665</v>
      </c>
      <c r="I1107" t="s">
        <v>3820</v>
      </c>
    </row>
    <row r="1108" spans="1:9" x14ac:dyDescent="0.25">
      <c r="A1108" t="s">
        <v>3817</v>
      </c>
      <c r="B1108" t="s">
        <v>4826</v>
      </c>
      <c r="C1108" t="s">
        <v>3821</v>
      </c>
      <c r="D1108">
        <v>36.867983000000002</v>
      </c>
      <c r="E1108" t="s">
        <v>3818</v>
      </c>
      <c r="F1108">
        <v>120.7535374</v>
      </c>
      <c r="G1108" t="s">
        <v>3819</v>
      </c>
      <c r="H1108">
        <v>326290</v>
      </c>
      <c r="I1108" t="s">
        <v>3820</v>
      </c>
    </row>
    <row r="1109" spans="1:9" x14ac:dyDescent="0.25">
      <c r="A1109" t="s">
        <v>3817</v>
      </c>
      <c r="B1109" t="s">
        <v>4827</v>
      </c>
      <c r="C1109" t="s">
        <v>3821</v>
      </c>
      <c r="D1109">
        <v>37.711218899999999</v>
      </c>
      <c r="E1109" t="s">
        <v>3818</v>
      </c>
      <c r="F1109">
        <v>120.3698237</v>
      </c>
      <c r="G1109" t="s">
        <v>3819</v>
      </c>
      <c r="H1109">
        <v>400372</v>
      </c>
      <c r="I1109" t="s">
        <v>3820</v>
      </c>
    </row>
    <row r="1110" spans="1:9" x14ac:dyDescent="0.25">
      <c r="A1110" t="s">
        <v>3817</v>
      </c>
      <c r="B1110" t="s">
        <v>4828</v>
      </c>
      <c r="C1110" t="s">
        <v>3821</v>
      </c>
      <c r="D1110">
        <v>37.312408699999999</v>
      </c>
      <c r="E1110" t="s">
        <v>3818</v>
      </c>
      <c r="F1110">
        <v>120.7389593</v>
      </c>
      <c r="G1110" t="s">
        <v>3819</v>
      </c>
      <c r="H1110">
        <v>2169217</v>
      </c>
      <c r="I1110" t="s">
        <v>3820</v>
      </c>
    </row>
    <row r="1111" spans="1:9" x14ac:dyDescent="0.25">
      <c r="A1111" t="s">
        <v>3817</v>
      </c>
      <c r="B1111" t="s">
        <v>4829</v>
      </c>
      <c r="C1111" t="s">
        <v>3821</v>
      </c>
      <c r="D1111">
        <v>36.780410799999999</v>
      </c>
      <c r="E1111" t="s">
        <v>3818</v>
      </c>
      <c r="F1111">
        <v>115.7485707</v>
      </c>
      <c r="G1111" t="s">
        <v>3819</v>
      </c>
      <c r="H1111">
        <v>284022</v>
      </c>
      <c r="I1111" t="s">
        <v>3820</v>
      </c>
    </row>
    <row r="1112" spans="1:9" x14ac:dyDescent="0.25">
      <c r="A1112" t="s">
        <v>3817</v>
      </c>
      <c r="B1112" t="s">
        <v>4830</v>
      </c>
      <c r="C1112" t="s">
        <v>3821</v>
      </c>
      <c r="D1112">
        <v>36.402152999999998</v>
      </c>
      <c r="E1112" t="s">
        <v>3818</v>
      </c>
      <c r="F1112">
        <v>115.9049035</v>
      </c>
      <c r="G1112" t="s">
        <v>3819</v>
      </c>
      <c r="H1112">
        <v>1658825</v>
      </c>
      <c r="I1112" t="s">
        <v>3820</v>
      </c>
    </row>
    <row r="1113" spans="1:9" x14ac:dyDescent="0.25">
      <c r="A1113" t="s">
        <v>3817</v>
      </c>
      <c r="B1113" t="s">
        <v>4831</v>
      </c>
      <c r="C1113" t="s">
        <v>3821</v>
      </c>
      <c r="D1113">
        <v>35.212778499999999</v>
      </c>
      <c r="E1113" t="s">
        <v>3818</v>
      </c>
      <c r="F1113">
        <v>115.61235859999999</v>
      </c>
      <c r="G1113" t="s">
        <v>3819</v>
      </c>
      <c r="H1113">
        <v>2096747</v>
      </c>
      <c r="I1113" t="s">
        <v>3820</v>
      </c>
    </row>
    <row r="1114" spans="1:9" x14ac:dyDescent="0.25">
      <c r="A1114" t="s">
        <v>3817</v>
      </c>
      <c r="B1114" t="s">
        <v>4832</v>
      </c>
      <c r="C1114" t="s">
        <v>3821</v>
      </c>
      <c r="D1114">
        <v>36.758604599999998</v>
      </c>
      <c r="E1114" t="s">
        <v>3818</v>
      </c>
      <c r="F1114">
        <v>119.92290680000001</v>
      </c>
      <c r="G1114" t="s">
        <v>3819</v>
      </c>
      <c r="H1114">
        <v>542234</v>
      </c>
      <c r="I1114" t="s">
        <v>3820</v>
      </c>
    </row>
    <row r="1115" spans="1:9" x14ac:dyDescent="0.25">
      <c r="A1115" t="s">
        <v>3817</v>
      </c>
      <c r="B1115" t="s">
        <v>4833</v>
      </c>
      <c r="C1115" t="s">
        <v>3821</v>
      </c>
      <c r="D1115">
        <v>36.258750300000003</v>
      </c>
      <c r="E1115" t="s">
        <v>3818</v>
      </c>
      <c r="F1115">
        <v>119.9186947</v>
      </c>
      <c r="G1115" t="s">
        <v>3819</v>
      </c>
      <c r="H1115">
        <v>619266</v>
      </c>
      <c r="I1115" t="s">
        <v>3820</v>
      </c>
    </row>
    <row r="1116" spans="1:9" x14ac:dyDescent="0.25">
      <c r="A1116" t="s">
        <v>3817</v>
      </c>
      <c r="B1116" t="s">
        <v>4834</v>
      </c>
      <c r="C1116" t="s">
        <v>3821</v>
      </c>
      <c r="D1116">
        <v>36.859665100000001</v>
      </c>
      <c r="E1116" t="s">
        <v>3818</v>
      </c>
      <c r="F1116">
        <v>120.42842760000001</v>
      </c>
      <c r="G1116" t="s">
        <v>3819</v>
      </c>
      <c r="H1116">
        <v>341470</v>
      </c>
      <c r="I1116" t="s">
        <v>3820</v>
      </c>
    </row>
    <row r="1117" spans="1:9" x14ac:dyDescent="0.25">
      <c r="A1117" t="s">
        <v>3817</v>
      </c>
      <c r="B1117" t="s">
        <v>4835</v>
      </c>
      <c r="C1117" t="s">
        <v>3821</v>
      </c>
      <c r="D1117">
        <v>36.182946899999997</v>
      </c>
      <c r="E1117" t="s">
        <v>3818</v>
      </c>
      <c r="F1117">
        <v>120.5395568</v>
      </c>
      <c r="G1117" t="s">
        <v>3819</v>
      </c>
      <c r="H1117">
        <v>5046746</v>
      </c>
      <c r="I1117" t="s">
        <v>3820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B097-AAE0-4AF7-A68D-E83D113FE00D}">
  <dimension ref="A1:G154"/>
  <sheetViews>
    <sheetView workbookViewId="0">
      <selection activeCell="A2" sqref="A2:G154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3803</v>
      </c>
      <c r="F1" t="s">
        <v>3804</v>
      </c>
      <c r="G1" t="s">
        <v>3807</v>
      </c>
    </row>
    <row r="2" spans="1:7" ht="15.75" thickBot="1" x14ac:dyDescent="0.3">
      <c r="A2" t="s">
        <v>3628</v>
      </c>
      <c r="B2" s="5" t="s">
        <v>3629</v>
      </c>
      <c r="C2" s="5" t="s">
        <v>3630</v>
      </c>
      <c r="D2" s="6">
        <v>3563921</v>
      </c>
      <c r="E2" s="6">
        <v>3748474</v>
      </c>
      <c r="F2" s="6">
        <v>3928568</v>
      </c>
      <c r="G2" s="12" t="str" cm="1">
        <f t="array" aca="1" ref="G2" ca="1">IF(Background=36,C2,G1)</f>
        <v>滨州市</v>
      </c>
    </row>
    <row r="3" spans="1:7" ht="15.75" thickBot="1" x14ac:dyDescent="0.3">
      <c r="A3" t="s">
        <v>8</v>
      </c>
      <c r="B3" s="1" t="s">
        <v>3631</v>
      </c>
      <c r="C3" s="1" t="s">
        <v>3632</v>
      </c>
      <c r="D3" s="2">
        <v>600883</v>
      </c>
      <c r="E3" s="2">
        <v>682717</v>
      </c>
      <c r="F3" s="2">
        <v>853649</v>
      </c>
      <c r="G3" s="2" t="str" cm="1">
        <f t="array" aca="1" ref="G3" ca="1">IF(Background=36,C3,G2)</f>
        <v>滨州市</v>
      </c>
    </row>
    <row r="4" spans="1:7" ht="15.75" thickBot="1" x14ac:dyDescent="0.3">
      <c r="A4" t="s">
        <v>17</v>
      </c>
      <c r="B4" s="1" t="s">
        <v>3633</v>
      </c>
      <c r="C4" s="1" t="s">
        <v>3634</v>
      </c>
      <c r="D4" s="2">
        <v>462815</v>
      </c>
      <c r="E4" s="2">
        <v>487116</v>
      </c>
      <c r="F4" s="2">
        <v>508140</v>
      </c>
      <c r="G4" s="2" t="str" cm="1">
        <f t="array" aca="1" ref="G4" ca="1">IF(Background=36,C4,G3)</f>
        <v>滨州市</v>
      </c>
    </row>
    <row r="5" spans="1:7" ht="15.75" thickBot="1" x14ac:dyDescent="0.3">
      <c r="A5" t="s">
        <v>42</v>
      </c>
      <c r="B5" s="1" t="s">
        <v>3633</v>
      </c>
      <c r="C5" s="1" t="s">
        <v>3635</v>
      </c>
      <c r="D5" s="2">
        <v>604751</v>
      </c>
      <c r="E5" s="2">
        <v>602491</v>
      </c>
      <c r="F5" s="2">
        <v>569975</v>
      </c>
      <c r="G5" s="2" t="str" cm="1">
        <f t="array" aca="1" ref="G5" ca="1">IF(Background=36,C5,G4)</f>
        <v>滨州市</v>
      </c>
    </row>
    <row r="6" spans="1:7" ht="15.75" thickBot="1" x14ac:dyDescent="0.3">
      <c r="A6" t="s">
        <v>29</v>
      </c>
      <c r="B6" s="1" t="s">
        <v>3633</v>
      </c>
      <c r="C6" s="1" t="s">
        <v>3636</v>
      </c>
      <c r="D6" s="2">
        <v>423113</v>
      </c>
      <c r="E6" s="2">
        <v>418687</v>
      </c>
      <c r="F6" s="2">
        <v>465837</v>
      </c>
      <c r="G6" s="2" t="str" cm="1">
        <f t="array" aca="1" ref="G6" ca="1">IF(Background=36,C6,G5)</f>
        <v>滨州市</v>
      </c>
    </row>
    <row r="7" spans="1:7" ht="15.75" thickBot="1" x14ac:dyDescent="0.3">
      <c r="A7" t="s">
        <v>72</v>
      </c>
      <c r="B7" s="1" t="s">
        <v>3633</v>
      </c>
      <c r="C7" s="1" t="s">
        <v>3637</v>
      </c>
      <c r="D7" s="2">
        <v>419591</v>
      </c>
      <c r="E7" s="2">
        <v>427014</v>
      </c>
      <c r="F7" s="2">
        <v>421502</v>
      </c>
      <c r="G7" s="2" t="str" cm="1">
        <f t="array" aca="1" ref="G7" ca="1">IF(Background=36,C7,G6)</f>
        <v>滨州市</v>
      </c>
    </row>
    <row r="8" spans="1:7" ht="15.75" thickBot="1" x14ac:dyDescent="0.3">
      <c r="A8" t="s">
        <v>14</v>
      </c>
      <c r="B8" s="1" t="s">
        <v>3631</v>
      </c>
      <c r="C8" s="1" t="s">
        <v>3638</v>
      </c>
      <c r="D8" s="2">
        <v>366178</v>
      </c>
      <c r="E8" s="2">
        <v>351672</v>
      </c>
      <c r="F8" s="2">
        <v>334948</v>
      </c>
      <c r="G8" s="2" t="str" cm="1">
        <f t="array" aca="1" ref="G8" ca="1">IF(Background=36,C8,G7)</f>
        <v>滨州市</v>
      </c>
    </row>
    <row r="9" spans="1:7" ht="15.75" thickBot="1" x14ac:dyDescent="0.3">
      <c r="A9" t="s">
        <v>24</v>
      </c>
      <c r="B9" s="1" t="s">
        <v>3639</v>
      </c>
      <c r="C9" s="1" t="s">
        <v>3640</v>
      </c>
      <c r="D9" s="2">
        <v>686590</v>
      </c>
      <c r="E9" s="2">
        <v>778777</v>
      </c>
      <c r="F9" s="2">
        <v>774517</v>
      </c>
      <c r="G9" s="2" t="str" cm="1">
        <f t="array" aca="1" ref="G9" ca="1">IF(Background=36,C9,G8)</f>
        <v>滨州市</v>
      </c>
    </row>
    <row r="10" spans="1:7" ht="15.75" thickBot="1" x14ac:dyDescent="0.3">
      <c r="A10" t="s">
        <v>3641</v>
      </c>
      <c r="B10" s="5" t="s">
        <v>3629</v>
      </c>
      <c r="C10" s="5" t="s">
        <v>3642</v>
      </c>
      <c r="D10" s="6">
        <v>5293674</v>
      </c>
      <c r="E10" s="6">
        <v>5568235</v>
      </c>
      <c r="F10" s="6">
        <v>5611194</v>
      </c>
      <c r="G10" s="2" t="str" cm="1">
        <f t="array" aca="1" ref="G10" ca="1">IF(Background=36,C10,G9)</f>
        <v>德州市</v>
      </c>
    </row>
    <row r="11" spans="1:7" ht="15.75" thickBot="1" x14ac:dyDescent="0.3">
      <c r="A11" t="s">
        <v>229</v>
      </c>
      <c r="B11" s="1" t="s">
        <v>3631</v>
      </c>
      <c r="C11" s="1" t="s">
        <v>3643</v>
      </c>
      <c r="D11" s="2">
        <v>552445</v>
      </c>
      <c r="E11" s="2">
        <v>679535</v>
      </c>
      <c r="F11" s="2">
        <v>980018</v>
      </c>
      <c r="G11" s="2" t="str" cm="1">
        <f t="array" aca="1" ref="G11" ca="1">IF(Background=36,C11,G10)</f>
        <v>德州市</v>
      </c>
    </row>
    <row r="12" spans="1:7" ht="15.75" thickBot="1" x14ac:dyDescent="0.3">
      <c r="A12" t="s">
        <v>242</v>
      </c>
      <c r="B12" s="1" t="s">
        <v>3639</v>
      </c>
      <c r="C12" s="1" t="s">
        <v>3644</v>
      </c>
      <c r="D12" s="2">
        <v>615833</v>
      </c>
      <c r="E12" s="2">
        <v>652415</v>
      </c>
      <c r="F12" s="2">
        <v>559166</v>
      </c>
      <c r="G12" s="2" t="str" cm="1">
        <f t="array" aca="1" ref="G12" ca="1">IF(Background=36,C12,G11)</f>
        <v>德州市</v>
      </c>
    </row>
    <row r="13" spans="1:7" ht="15.75" thickBot="1" x14ac:dyDescent="0.3">
      <c r="A13" t="s">
        <v>201</v>
      </c>
      <c r="B13" s="1" t="s">
        <v>3631</v>
      </c>
      <c r="C13" s="1" t="s">
        <v>3645</v>
      </c>
      <c r="D13" s="2">
        <v>529537</v>
      </c>
      <c r="E13" s="2">
        <v>569007</v>
      </c>
      <c r="F13" s="2">
        <v>511860</v>
      </c>
      <c r="G13" s="2" t="str" cm="1">
        <f t="array" aca="1" ref="G13" ca="1">IF(Background=36,C13,G12)</f>
        <v>德州市</v>
      </c>
    </row>
    <row r="14" spans="1:7" ht="15.75" thickBot="1" x14ac:dyDescent="0.3">
      <c r="A14" t="s">
        <v>245</v>
      </c>
      <c r="B14" s="1" t="s">
        <v>3633</v>
      </c>
      <c r="C14" s="1" t="s">
        <v>3646</v>
      </c>
      <c r="D14" s="2">
        <v>508213</v>
      </c>
      <c r="E14" s="2">
        <v>511105</v>
      </c>
      <c r="F14" s="2">
        <v>473421</v>
      </c>
      <c r="G14" s="2" t="str" cm="1">
        <f t="array" aca="1" ref="G14" ca="1">IF(Background=36,C14,G13)</f>
        <v>德州市</v>
      </c>
    </row>
    <row r="15" spans="1:7" ht="15.75" thickBot="1" x14ac:dyDescent="0.3">
      <c r="A15" t="s">
        <v>213</v>
      </c>
      <c r="B15" s="1" t="s">
        <v>3633</v>
      </c>
      <c r="C15" s="1" t="s">
        <v>3647</v>
      </c>
      <c r="D15" s="2">
        <v>432880</v>
      </c>
      <c r="E15" s="2">
        <v>449891</v>
      </c>
      <c r="F15" s="2">
        <v>473314</v>
      </c>
      <c r="G15" s="2" t="str" cm="1">
        <f t="array" aca="1" ref="G15" ca="1">IF(Background=36,C15,G14)</f>
        <v>德州市</v>
      </c>
    </row>
    <row r="16" spans="1:7" ht="15.75" thickBot="1" x14ac:dyDescent="0.3">
      <c r="A16" t="s">
        <v>248</v>
      </c>
      <c r="B16" s="1" t="s">
        <v>3633</v>
      </c>
      <c r="C16" s="1" t="s">
        <v>3648</v>
      </c>
      <c r="D16" s="2">
        <v>439701</v>
      </c>
      <c r="E16" s="2">
        <v>442948</v>
      </c>
      <c r="F16" s="2">
        <v>419088</v>
      </c>
      <c r="G16" s="2" t="str" cm="1">
        <f t="array" aca="1" ref="G16" ca="1">IF(Background=36,C16,G15)</f>
        <v>德州市</v>
      </c>
    </row>
    <row r="17" spans="1:7" ht="15.75" thickBot="1" x14ac:dyDescent="0.3">
      <c r="A17" t="s">
        <v>207</v>
      </c>
      <c r="B17" s="1" t="s">
        <v>3633</v>
      </c>
      <c r="C17" s="1" t="s">
        <v>3649</v>
      </c>
      <c r="D17" s="2">
        <v>593341</v>
      </c>
      <c r="E17" s="2">
        <v>602042</v>
      </c>
      <c r="F17" s="2">
        <v>576375</v>
      </c>
      <c r="G17" s="2" t="str" cm="1">
        <f t="array" aca="1" ref="G17" ca="1">IF(Background=36,C17,G16)</f>
        <v>德州市</v>
      </c>
    </row>
    <row r="18" spans="1:7" ht="15.75" thickBot="1" x14ac:dyDescent="0.3">
      <c r="A18" t="s">
        <v>222</v>
      </c>
      <c r="B18" s="1" t="s">
        <v>3633</v>
      </c>
      <c r="C18" s="1" t="s">
        <v>3650</v>
      </c>
      <c r="D18" s="2">
        <v>286427</v>
      </c>
      <c r="E18" s="2">
        <v>294684</v>
      </c>
      <c r="F18" s="2">
        <v>318105</v>
      </c>
      <c r="G18" s="2" t="str" cm="1">
        <f t="array" aca="1" ref="G18" ca="1">IF(Background=36,C18,G17)</f>
        <v>德州市</v>
      </c>
    </row>
    <row r="19" spans="1:7" ht="15.75" thickBot="1" x14ac:dyDescent="0.3">
      <c r="A19" t="s">
        <v>271</v>
      </c>
      <c r="B19" s="1" t="s">
        <v>3633</v>
      </c>
      <c r="C19" s="1" t="s">
        <v>3651</v>
      </c>
      <c r="D19" s="2">
        <v>361179</v>
      </c>
      <c r="E19" s="2">
        <v>376063</v>
      </c>
      <c r="F19" s="2">
        <v>353721</v>
      </c>
      <c r="G19" s="2" t="str" cm="1">
        <f t="array" aca="1" ref="G19" ca="1">IF(Background=36,C19,G18)</f>
        <v>德州市</v>
      </c>
    </row>
    <row r="20" spans="1:7" ht="15.75" thickBot="1" x14ac:dyDescent="0.3">
      <c r="A20" t="s">
        <v>210</v>
      </c>
      <c r="B20" s="1" t="s">
        <v>3633</v>
      </c>
      <c r="C20" s="1" t="s">
        <v>3652</v>
      </c>
      <c r="D20" s="2">
        <v>479817</v>
      </c>
      <c r="E20" s="2">
        <v>500514</v>
      </c>
      <c r="F20" s="2">
        <v>458112</v>
      </c>
      <c r="G20" s="2" t="str" cm="1">
        <f t="array" aca="1" ref="G20" ca="1">IF(Background=36,C20,G19)</f>
        <v>德州市</v>
      </c>
    </row>
    <row r="21" spans="1:7" ht="15.75" thickBot="1" x14ac:dyDescent="0.3">
      <c r="A21" t="s">
        <v>204</v>
      </c>
      <c r="B21" s="1" t="s">
        <v>3639</v>
      </c>
      <c r="C21" s="1" t="s">
        <v>3653</v>
      </c>
      <c r="D21" s="2">
        <v>494301</v>
      </c>
      <c r="E21" s="2">
        <v>490031</v>
      </c>
      <c r="F21" s="2">
        <v>488014</v>
      </c>
      <c r="G21" s="2" t="str" cm="1">
        <f t="array" aca="1" ref="G21" ca="1">IF(Background=36,C21,G20)</f>
        <v>德州市</v>
      </c>
    </row>
    <row r="22" spans="1:7" ht="15.75" thickBot="1" x14ac:dyDescent="0.3">
      <c r="A22" t="s">
        <v>3654</v>
      </c>
      <c r="B22" s="5" t="s">
        <v>3629</v>
      </c>
      <c r="C22" s="5" t="s">
        <v>3655</v>
      </c>
      <c r="D22" s="6">
        <v>1793171</v>
      </c>
      <c r="E22" s="6">
        <v>2035338</v>
      </c>
      <c r="F22" s="6">
        <v>2193518</v>
      </c>
      <c r="G22" s="2" t="str" cm="1">
        <f t="array" aca="1" ref="G22" ca="1">IF(Background=36,C22,G21)</f>
        <v>东营市</v>
      </c>
    </row>
    <row r="23" spans="1:7" ht="15.75" thickBot="1" x14ac:dyDescent="0.3">
      <c r="A23" t="s">
        <v>489</v>
      </c>
      <c r="B23" s="1" t="s">
        <v>3631</v>
      </c>
      <c r="C23" s="1" t="s">
        <v>3656</v>
      </c>
      <c r="D23" s="2">
        <v>568510</v>
      </c>
      <c r="E23" s="2">
        <v>756676</v>
      </c>
      <c r="F23" s="2">
        <v>930434</v>
      </c>
      <c r="G23" s="2" t="str" cm="1">
        <f t="array" aca="1" ref="G23" ca="1">IF(Background=36,C23,G22)</f>
        <v>东营市</v>
      </c>
    </row>
    <row r="24" spans="1:7" ht="15.75" thickBot="1" x14ac:dyDescent="0.3">
      <c r="A24" t="s">
        <v>474</v>
      </c>
      <c r="B24" s="1" t="s">
        <v>3633</v>
      </c>
      <c r="C24" s="1" t="s">
        <v>3657</v>
      </c>
      <c r="D24" s="2">
        <v>472841</v>
      </c>
      <c r="E24" s="2">
        <v>507523</v>
      </c>
      <c r="F24" s="2">
        <v>521742</v>
      </c>
      <c r="G24" s="2" t="str" cm="1">
        <f t="array" aca="1" ref="G24" ca="1">IF(Background=36,C24,G23)</f>
        <v>东营市</v>
      </c>
    </row>
    <row r="25" spans="1:7" ht="15.75" thickBot="1" x14ac:dyDescent="0.3">
      <c r="A25" t="s">
        <v>496</v>
      </c>
      <c r="B25" s="1" t="s">
        <v>3631</v>
      </c>
      <c r="C25" s="1" t="s">
        <v>3658</v>
      </c>
      <c r="D25" s="2">
        <v>220334</v>
      </c>
      <c r="E25" s="2">
        <v>247595</v>
      </c>
      <c r="F25" s="2">
        <v>244931</v>
      </c>
      <c r="G25" s="2" t="str" cm="1">
        <f t="array" aca="1" ref="G25" ca="1">IF(Background=36,C25,G24)</f>
        <v>东营市</v>
      </c>
    </row>
    <row r="26" spans="1:7" ht="15.75" thickBot="1" x14ac:dyDescent="0.3">
      <c r="A26" t="s">
        <v>492</v>
      </c>
      <c r="B26" s="1" t="s">
        <v>3631</v>
      </c>
      <c r="C26" s="1" t="s">
        <v>3659</v>
      </c>
      <c r="D26" s="2">
        <v>242654</v>
      </c>
      <c r="E26" s="2">
        <v>242292</v>
      </c>
      <c r="F26" s="2">
        <v>258222</v>
      </c>
      <c r="G26" s="2" t="str" cm="1">
        <f t="array" aca="1" ref="G26" ca="1">IF(Background=36,C26,G25)</f>
        <v>东营市</v>
      </c>
    </row>
    <row r="27" spans="1:7" ht="15.75" thickBot="1" x14ac:dyDescent="0.3">
      <c r="A27" t="s">
        <v>471</v>
      </c>
      <c r="B27" s="1" t="s">
        <v>3633</v>
      </c>
      <c r="C27" s="1" t="s">
        <v>3660</v>
      </c>
      <c r="D27" s="2">
        <v>288832</v>
      </c>
      <c r="E27" s="2">
        <v>281252</v>
      </c>
      <c r="F27" s="2">
        <v>238189</v>
      </c>
      <c r="G27" s="2" t="str" cm="1">
        <f t="array" aca="1" ref="G27" ca="1">IF(Background=36,C27,G26)</f>
        <v>东营市</v>
      </c>
    </row>
    <row r="28" spans="1:7" ht="15.75" thickBot="1" x14ac:dyDescent="0.3">
      <c r="A28" t="s">
        <v>3661</v>
      </c>
      <c r="B28" s="5" t="s">
        <v>3629</v>
      </c>
      <c r="C28" s="5" t="s">
        <v>3662</v>
      </c>
      <c r="D28" s="6">
        <v>8097973</v>
      </c>
      <c r="E28" s="6">
        <v>8287693</v>
      </c>
      <c r="F28" s="6">
        <v>8795939</v>
      </c>
      <c r="G28" s="2" t="str" cm="1">
        <f t="array" aca="1" ref="G28" ca="1">IF(Background=36,C28,G27)</f>
        <v>菏泽市</v>
      </c>
    </row>
    <row r="29" spans="1:7" ht="15.75" thickBot="1" x14ac:dyDescent="0.3">
      <c r="A29" t="s">
        <v>575</v>
      </c>
      <c r="B29" s="1" t="s">
        <v>3633</v>
      </c>
      <c r="C29" s="1" t="s">
        <v>3663</v>
      </c>
      <c r="D29" s="2">
        <v>1335422</v>
      </c>
      <c r="E29" s="2">
        <v>1365675</v>
      </c>
      <c r="F29" s="2">
        <v>1384282</v>
      </c>
      <c r="G29" s="2" t="str" cm="1">
        <f t="array" aca="1" ref="G29" ca="1">IF(Background=36,C29,G28)</f>
        <v>菏泽市</v>
      </c>
    </row>
    <row r="30" spans="1:7" ht="15.75" thickBot="1" x14ac:dyDescent="0.3">
      <c r="A30" t="s">
        <v>617</v>
      </c>
      <c r="B30" s="1" t="s">
        <v>3633</v>
      </c>
      <c r="C30" s="1" t="s">
        <v>3664</v>
      </c>
      <c r="D30" s="2">
        <v>596339</v>
      </c>
      <c r="E30" s="2">
        <v>612016</v>
      </c>
      <c r="F30" s="2">
        <v>595159</v>
      </c>
      <c r="G30" s="2" t="str" cm="1">
        <f t="array" aca="1" ref="G30" ca="1">IF(Background=36,C30,G29)</f>
        <v>菏泽市</v>
      </c>
    </row>
    <row r="31" spans="1:7" ht="15.75" thickBot="1" x14ac:dyDescent="0.3">
      <c r="A31" t="s">
        <v>581</v>
      </c>
      <c r="B31" s="1" t="s">
        <v>3631</v>
      </c>
      <c r="C31" s="1" t="s">
        <v>3665</v>
      </c>
      <c r="D31" s="2">
        <v>563352</v>
      </c>
      <c r="E31" s="2">
        <v>565793</v>
      </c>
      <c r="F31" s="2">
        <v>630000</v>
      </c>
      <c r="G31" s="2" t="str" cm="1">
        <f t="array" aca="1" ref="G31" ca="1">IF(Background=36,C31,G30)</f>
        <v>菏泽市</v>
      </c>
    </row>
    <row r="32" spans="1:7" ht="15.75" thickBot="1" x14ac:dyDescent="0.3">
      <c r="A32" t="s">
        <v>589</v>
      </c>
      <c r="B32" s="1" t="s">
        <v>3633</v>
      </c>
      <c r="C32" s="1" t="s">
        <v>3666</v>
      </c>
      <c r="D32" s="2">
        <v>691206</v>
      </c>
      <c r="E32" s="2">
        <v>711080</v>
      </c>
      <c r="F32" s="2">
        <v>760956</v>
      </c>
      <c r="G32" s="2" t="str" cm="1">
        <f t="array" aca="1" ref="G32" ca="1">IF(Background=36,C32,G31)</f>
        <v>菏泽市</v>
      </c>
    </row>
    <row r="33" spans="1:7" ht="15.75" thickBot="1" x14ac:dyDescent="0.3">
      <c r="A33" t="s">
        <v>644</v>
      </c>
      <c r="B33" s="1" t="s">
        <v>3633</v>
      </c>
      <c r="C33" s="1" t="s">
        <v>3667</v>
      </c>
      <c r="D33" s="2">
        <v>715684</v>
      </c>
      <c r="E33" s="2">
        <v>721898</v>
      </c>
      <c r="F33" s="2">
        <v>747972</v>
      </c>
      <c r="G33" s="2" t="str" cm="1">
        <f t="array" aca="1" ref="G33" ca="1">IF(Background=36,C33,G32)</f>
        <v>菏泽市</v>
      </c>
    </row>
    <row r="34" spans="1:7" ht="15.75" thickBot="1" x14ac:dyDescent="0.3">
      <c r="A34" t="s">
        <v>655</v>
      </c>
      <c r="B34" s="1" t="s">
        <v>3633</v>
      </c>
      <c r="C34" s="1" t="s">
        <v>3668</v>
      </c>
      <c r="D34" s="2">
        <v>839438</v>
      </c>
      <c r="E34" s="2">
        <v>860581</v>
      </c>
      <c r="F34" s="2">
        <v>923923</v>
      </c>
      <c r="G34" s="2" t="str" cm="1">
        <f t="array" aca="1" ref="G34" ca="1">IF(Background=36,C34,G33)</f>
        <v>菏泽市</v>
      </c>
    </row>
    <row r="35" spans="1:7" ht="15.75" thickBot="1" x14ac:dyDescent="0.3">
      <c r="A35" t="s">
        <v>578</v>
      </c>
      <c r="B35" s="1" t="s">
        <v>3631</v>
      </c>
      <c r="C35" s="1" t="s">
        <v>3669</v>
      </c>
      <c r="D35" s="2">
        <v>1280031</v>
      </c>
      <c r="E35" s="2">
        <v>1346717</v>
      </c>
      <c r="F35" s="2">
        <v>1600000</v>
      </c>
      <c r="G35" s="2" t="str" cm="1">
        <f t="array" aca="1" ref="G35" ca="1">IF(Background=36,C35,G34)</f>
        <v>菏泽市</v>
      </c>
    </row>
    <row r="36" spans="1:7" ht="15.75" thickBot="1" x14ac:dyDescent="0.3">
      <c r="A36" t="s">
        <v>582</v>
      </c>
      <c r="B36" s="1" t="s">
        <v>3633</v>
      </c>
      <c r="C36" s="1" t="s">
        <v>3670</v>
      </c>
      <c r="D36" s="2">
        <v>1050701</v>
      </c>
      <c r="E36" s="2">
        <v>1063243</v>
      </c>
      <c r="F36" s="2">
        <v>1026555</v>
      </c>
      <c r="G36" s="2" t="str" cm="1">
        <f t="array" aca="1" ref="G36" ca="1">IF(Background=36,C36,G35)</f>
        <v>菏泽市</v>
      </c>
    </row>
    <row r="37" spans="1:7" ht="15.75" thickBot="1" x14ac:dyDescent="0.3">
      <c r="A37" t="s">
        <v>614</v>
      </c>
      <c r="B37" s="1" t="s">
        <v>3633</v>
      </c>
      <c r="C37" s="1" t="s">
        <v>3671</v>
      </c>
      <c r="D37" s="2">
        <v>1025800</v>
      </c>
      <c r="E37" s="2">
        <v>1040690</v>
      </c>
      <c r="F37" s="2">
        <v>1120854</v>
      </c>
      <c r="G37" s="2" t="str" cm="1">
        <f t="array" aca="1" ref="G37" ca="1">IF(Background=36,C37,G36)</f>
        <v>菏泽市</v>
      </c>
    </row>
    <row r="38" spans="1:7" ht="15.75" thickBot="1" x14ac:dyDescent="0.3">
      <c r="A38" t="s">
        <v>3805</v>
      </c>
      <c r="B38" s="5" t="s">
        <v>3672</v>
      </c>
      <c r="C38" s="5" t="s">
        <v>3673</v>
      </c>
      <c r="D38" s="6">
        <v>7155416</v>
      </c>
      <c r="E38" s="6">
        <v>8112513</v>
      </c>
      <c r="F38" s="6">
        <v>9202432</v>
      </c>
      <c r="G38" s="2" t="str" cm="1">
        <f t="array" aca="1" ref="G38" ca="1">IF(Background=36,C38,G37)</f>
        <v>济南市</v>
      </c>
    </row>
    <row r="39" spans="1:7" ht="15.75" thickBot="1" x14ac:dyDescent="0.3">
      <c r="A39" t="s">
        <v>997</v>
      </c>
      <c r="B39" s="1" t="s">
        <v>3631</v>
      </c>
      <c r="C39" s="1" t="s">
        <v>3674</v>
      </c>
      <c r="D39" s="2">
        <v>506579</v>
      </c>
      <c r="E39" s="2">
        <v>578740</v>
      </c>
      <c r="F39" s="2">
        <v>595549</v>
      </c>
      <c r="G39" s="2" t="str" cm="1">
        <f t="array" aca="1" ref="G39" ca="1">IF(Background=36,C39,G38)</f>
        <v>济南市</v>
      </c>
    </row>
    <row r="40" spans="1:7" ht="15.75" thickBot="1" x14ac:dyDescent="0.3">
      <c r="A40" t="s">
        <v>902</v>
      </c>
      <c r="B40" s="1" t="s">
        <v>3631</v>
      </c>
      <c r="C40" s="1" t="s">
        <v>3675</v>
      </c>
      <c r="D40" s="2">
        <v>234891</v>
      </c>
      <c r="E40" s="2">
        <v>308994</v>
      </c>
      <c r="F40" s="2">
        <v>286966</v>
      </c>
      <c r="G40" s="2" t="str" cm="1">
        <f t="array" aca="1" ref="G40" ca="1">IF(Background=36,C40,G39)</f>
        <v>济南市</v>
      </c>
    </row>
    <row r="41" spans="1:7" ht="15.75" thickBot="1" x14ac:dyDescent="0.3">
      <c r="A41" t="s">
        <v>950</v>
      </c>
      <c r="B41" s="1" t="s">
        <v>3631</v>
      </c>
      <c r="C41" s="1" t="s">
        <v>3676</v>
      </c>
      <c r="D41" s="2">
        <v>396846</v>
      </c>
      <c r="E41" s="2">
        <v>476811</v>
      </c>
      <c r="F41" s="2">
        <v>675048</v>
      </c>
      <c r="G41" s="2" t="str" cm="1">
        <f t="array" aca="1" ref="G41" ca="1">IF(Background=36,C41,G40)</f>
        <v>济南市</v>
      </c>
    </row>
    <row r="42" spans="1:7" ht="15.75" thickBot="1" x14ac:dyDescent="0.3">
      <c r="A42" t="s">
        <v>941</v>
      </c>
      <c r="B42" s="1" t="s">
        <v>3631</v>
      </c>
      <c r="C42" s="1" t="s">
        <v>3677</v>
      </c>
      <c r="D42" s="2">
        <v>518879</v>
      </c>
      <c r="E42" s="2">
        <v>517948</v>
      </c>
      <c r="F42" s="2">
        <v>515679</v>
      </c>
      <c r="G42" s="2" t="str" cm="1">
        <f t="array" aca="1" ref="G42" ca="1">IF(Background=36,C42,G41)</f>
        <v>济南市</v>
      </c>
    </row>
    <row r="43" spans="1:7" ht="15.75" thickBot="1" x14ac:dyDescent="0.3">
      <c r="A43" t="s">
        <v>938</v>
      </c>
      <c r="B43" s="1" t="s">
        <v>3631</v>
      </c>
      <c r="C43" s="1" t="s">
        <v>3678</v>
      </c>
      <c r="D43" s="2">
        <v>998634</v>
      </c>
      <c r="E43" s="2">
        <v>989535</v>
      </c>
      <c r="F43" s="2">
        <v>969632</v>
      </c>
      <c r="G43" s="2" t="str" cm="1">
        <f t="array" aca="1" ref="G43" ca="1">IF(Background=36,C43,G42)</f>
        <v>济南市</v>
      </c>
    </row>
    <row r="44" spans="1:7" ht="15.75" thickBot="1" x14ac:dyDescent="0.3">
      <c r="A44" t="s">
        <v>920</v>
      </c>
      <c r="B44" s="1" t="s">
        <v>3631</v>
      </c>
      <c r="C44" s="1" t="s">
        <v>3679</v>
      </c>
      <c r="D44" s="2">
        <v>878131</v>
      </c>
      <c r="E44" s="2">
        <v>1124306</v>
      </c>
      <c r="F44" s="2">
        <v>1640000</v>
      </c>
      <c r="G44" s="2" t="str" cm="1">
        <f t="array" aca="1" ref="G44" ca="1">IF(Background=36,C44,G43)</f>
        <v>济南市</v>
      </c>
    </row>
    <row r="45" spans="1:7" ht="15.75" thickBot="1" x14ac:dyDescent="0.3">
      <c r="A45" t="s">
        <v>923</v>
      </c>
      <c r="B45" s="1" t="s">
        <v>3631</v>
      </c>
      <c r="C45" s="1" t="s">
        <v>3680</v>
      </c>
      <c r="D45" s="2">
        <v>582520</v>
      </c>
      <c r="E45" s="2">
        <v>754136</v>
      </c>
      <c r="F45" s="2">
        <v>920000</v>
      </c>
      <c r="G45" s="2" t="str" cm="1">
        <f t="array" aca="1" ref="G45" ca="1">IF(Background=36,C45,G44)</f>
        <v>济南市</v>
      </c>
    </row>
    <row r="46" spans="1:7" ht="15.75" thickBot="1" x14ac:dyDescent="0.3">
      <c r="A46" t="s">
        <v>905</v>
      </c>
      <c r="B46" s="1" t="s">
        <v>3633</v>
      </c>
      <c r="C46" s="1" t="s">
        <v>3681</v>
      </c>
      <c r="D46" s="2">
        <v>344386</v>
      </c>
      <c r="E46" s="2">
        <v>331712</v>
      </c>
      <c r="F46" s="2">
        <v>323072</v>
      </c>
      <c r="G46" s="2" t="str" cm="1">
        <f t="array" aca="1" ref="G46" ca="1">IF(Background=36,C46,G45)</f>
        <v>济南市</v>
      </c>
    </row>
    <row r="47" spans="1:7" ht="15.75" thickBot="1" x14ac:dyDescent="0.3">
      <c r="A47" t="s">
        <v>911</v>
      </c>
      <c r="B47" s="1" t="s">
        <v>3633</v>
      </c>
      <c r="C47" s="1" t="s">
        <v>3682</v>
      </c>
      <c r="D47" s="2">
        <v>574789</v>
      </c>
      <c r="E47" s="2">
        <v>564125</v>
      </c>
      <c r="F47" s="2">
        <v>527311</v>
      </c>
      <c r="G47" s="2" t="str" cm="1">
        <f t="array" aca="1" ref="G47" ca="1">IF(Background=36,C47,G46)</f>
        <v>济南市</v>
      </c>
    </row>
    <row r="48" spans="1:7" ht="15.75" thickBot="1" x14ac:dyDescent="0.3">
      <c r="A48" t="s">
        <v>908</v>
      </c>
      <c r="B48" s="1" t="s">
        <v>3631</v>
      </c>
      <c r="C48" s="1" t="s">
        <v>3683</v>
      </c>
      <c r="D48" s="2">
        <v>572141</v>
      </c>
      <c r="E48" s="2">
        <v>713581</v>
      </c>
      <c r="F48" s="2">
        <v>903714</v>
      </c>
      <c r="G48" s="2" t="str" cm="1">
        <f t="array" aca="1" ref="G48" ca="1">IF(Background=36,C48,G47)</f>
        <v>济南市</v>
      </c>
    </row>
    <row r="49" spans="1:7" ht="15.75" thickBot="1" x14ac:dyDescent="0.3">
      <c r="A49" t="s">
        <v>917</v>
      </c>
      <c r="B49" s="1" t="s">
        <v>3631</v>
      </c>
      <c r="C49" s="1" t="s">
        <v>3684</v>
      </c>
      <c r="D49" s="2">
        <v>570296</v>
      </c>
      <c r="E49" s="2">
        <v>688415</v>
      </c>
      <c r="F49" s="2">
        <v>770202</v>
      </c>
      <c r="G49" s="2" t="str" cm="1">
        <f t="array" aca="1" ref="G49" ca="1">IF(Background=36,C49,G48)</f>
        <v>济南市</v>
      </c>
    </row>
    <row r="50" spans="1:7" ht="15.75" thickBot="1" x14ac:dyDescent="0.3">
      <c r="A50" t="s">
        <v>914</v>
      </c>
      <c r="B50" s="1" t="s">
        <v>3631</v>
      </c>
      <c r="C50" s="1" t="s">
        <v>3685</v>
      </c>
      <c r="D50" s="2">
        <v>977324</v>
      </c>
      <c r="E50" s="2">
        <v>1064210</v>
      </c>
      <c r="F50" s="2">
        <v>1075784</v>
      </c>
      <c r="G50" s="2" t="str" cm="1">
        <f t="array" aca="1" ref="G50" ca="1">IF(Background=36,C50,G49)</f>
        <v>济南市</v>
      </c>
    </row>
    <row r="51" spans="1:7" ht="15.75" thickBot="1" x14ac:dyDescent="0.3">
      <c r="A51" t="s">
        <v>3686</v>
      </c>
      <c r="B51" s="5" t="s">
        <v>3629</v>
      </c>
      <c r="C51" s="5" t="s">
        <v>3687</v>
      </c>
      <c r="D51" s="6">
        <v>7740281</v>
      </c>
      <c r="E51" s="6">
        <v>8081905</v>
      </c>
      <c r="F51" s="6">
        <v>8357897</v>
      </c>
      <c r="G51" s="2" t="str" cm="1">
        <f t="array" aca="1" ref="G51" ca="1">IF(Background=36,C51,G50)</f>
        <v>济宁市</v>
      </c>
    </row>
    <row r="52" spans="1:7" ht="15.75" thickBot="1" x14ac:dyDescent="0.3">
      <c r="A52" t="s">
        <v>1261</v>
      </c>
      <c r="B52" s="1" t="s">
        <v>3633</v>
      </c>
      <c r="C52" s="1" t="s">
        <v>3688</v>
      </c>
      <c r="D52" s="2">
        <v>761086</v>
      </c>
      <c r="E52" s="2">
        <v>818188</v>
      </c>
      <c r="F52" s="2">
        <v>820036</v>
      </c>
      <c r="G52" s="2" t="str" cm="1">
        <f t="array" aca="1" ref="G52" ca="1">IF(Background=36,C52,G51)</f>
        <v>济宁市</v>
      </c>
    </row>
    <row r="53" spans="1:7" ht="15.75" thickBot="1" x14ac:dyDescent="0.3">
      <c r="A53" t="s">
        <v>1242</v>
      </c>
      <c r="B53" s="1" t="s">
        <v>3633</v>
      </c>
      <c r="C53" s="1" t="s">
        <v>3689</v>
      </c>
      <c r="D53" s="2">
        <v>602555</v>
      </c>
      <c r="E53" s="2">
        <v>625262</v>
      </c>
      <c r="F53" s="2">
        <v>634144</v>
      </c>
      <c r="G53" s="2" t="str" cm="1">
        <f t="array" aca="1" ref="G53" ca="1">IF(Background=36,C53,G52)</f>
        <v>济宁市</v>
      </c>
    </row>
    <row r="54" spans="1:7" ht="15.75" thickBot="1" x14ac:dyDescent="0.3">
      <c r="A54" t="s">
        <v>1256</v>
      </c>
      <c r="B54" s="1" t="s">
        <v>3633</v>
      </c>
      <c r="C54" s="1" t="s">
        <v>3690</v>
      </c>
      <c r="D54" s="2">
        <v>675392</v>
      </c>
      <c r="E54" s="2">
        <v>730652</v>
      </c>
      <c r="F54" s="2">
        <v>730683</v>
      </c>
      <c r="G54" s="2" t="str" cm="1">
        <f t="array" aca="1" ref="G54" ca="1">IF(Background=36,C54,G53)</f>
        <v>济宁市</v>
      </c>
    </row>
    <row r="55" spans="1:7" ht="15.75" thickBot="1" x14ac:dyDescent="0.3">
      <c r="A55" t="s">
        <v>1264</v>
      </c>
      <c r="B55" s="1" t="s">
        <v>3639</v>
      </c>
      <c r="C55" s="1" t="s">
        <v>3691</v>
      </c>
      <c r="D55" s="2">
        <v>625313</v>
      </c>
      <c r="E55" s="2">
        <v>640498</v>
      </c>
      <c r="F55" s="2">
        <v>621971</v>
      </c>
      <c r="G55" s="2" t="str" cm="1">
        <f t="array" aca="1" ref="G55" ca="1">IF(Background=36,C55,G54)</f>
        <v>济宁市</v>
      </c>
    </row>
    <row r="56" spans="1:7" ht="15.75" thickBot="1" x14ac:dyDescent="0.3">
      <c r="A56" t="s">
        <v>1230</v>
      </c>
      <c r="B56" s="1" t="s">
        <v>3631</v>
      </c>
      <c r="C56" s="1" t="s">
        <v>3692</v>
      </c>
      <c r="D56" s="2">
        <v>1050522</v>
      </c>
      <c r="E56" s="2">
        <v>1241012</v>
      </c>
      <c r="F56" s="2">
        <v>1365000</v>
      </c>
      <c r="G56" s="2" t="str" cm="1">
        <f t="array" aca="1" ref="G56" ca="1">IF(Background=36,C56,G55)</f>
        <v>济宁市</v>
      </c>
    </row>
    <row r="57" spans="1:7" ht="15.75" thickBot="1" x14ac:dyDescent="0.3">
      <c r="A57" t="s">
        <v>1280</v>
      </c>
      <c r="B57" s="1" t="s">
        <v>3633</v>
      </c>
      <c r="C57" s="1" t="s">
        <v>3693</v>
      </c>
      <c r="D57" s="2">
        <v>552028</v>
      </c>
      <c r="E57" s="2">
        <v>536087</v>
      </c>
      <c r="F57" s="2">
        <v>542895</v>
      </c>
      <c r="G57" s="2" t="str" cm="1">
        <f t="array" aca="1" ref="G57" ca="1">IF(Background=36,C57,G56)</f>
        <v>济宁市</v>
      </c>
    </row>
    <row r="58" spans="1:7" ht="15.75" thickBot="1" x14ac:dyDescent="0.3">
      <c r="A58" t="s">
        <v>1267</v>
      </c>
      <c r="B58" s="1" t="s">
        <v>3633</v>
      </c>
      <c r="C58" s="1" t="s">
        <v>3694</v>
      </c>
      <c r="D58" s="2">
        <v>645728</v>
      </c>
      <c r="E58" s="2">
        <v>633357</v>
      </c>
      <c r="F58" s="2">
        <v>613421</v>
      </c>
      <c r="G58" s="2" t="str" cm="1">
        <f t="array" aca="1" ref="G58" ca="1">IF(Background=36,C58,G57)</f>
        <v>济宁市</v>
      </c>
    </row>
    <row r="59" spans="1:7" ht="15.75" thickBot="1" x14ac:dyDescent="0.3">
      <c r="A59" t="s">
        <v>1233</v>
      </c>
      <c r="B59" s="1" t="s">
        <v>3633</v>
      </c>
      <c r="C59" s="1" t="s">
        <v>3695</v>
      </c>
      <c r="D59" s="2">
        <v>702095</v>
      </c>
      <c r="E59" s="2">
        <v>684617</v>
      </c>
      <c r="F59" s="2">
        <v>687544</v>
      </c>
      <c r="G59" s="2" t="str" cm="1">
        <f t="array" aca="1" ref="G59" ca="1">IF(Background=36,C59,G58)</f>
        <v>济宁市</v>
      </c>
    </row>
    <row r="60" spans="1:7" ht="15.75" thickBot="1" x14ac:dyDescent="0.3">
      <c r="A60" t="s">
        <v>1245</v>
      </c>
      <c r="B60" s="1" t="s">
        <v>3631</v>
      </c>
      <c r="C60" s="1" t="s">
        <v>3696</v>
      </c>
      <c r="D60" s="2">
        <v>598387</v>
      </c>
      <c r="E60" s="2">
        <v>618394</v>
      </c>
      <c r="F60" s="2">
        <v>755000</v>
      </c>
      <c r="G60" s="2" t="str" cm="1">
        <f t="array" aca="1" ref="G60" ca="1">IF(Background=36,C60,G59)</f>
        <v>济宁市</v>
      </c>
    </row>
    <row r="61" spans="1:7" ht="15.75" thickBot="1" x14ac:dyDescent="0.3">
      <c r="A61" t="s">
        <v>1239</v>
      </c>
      <c r="B61" s="1" t="s">
        <v>3633</v>
      </c>
      <c r="C61" s="1" t="s">
        <v>3697</v>
      </c>
      <c r="D61" s="2">
        <v>426172</v>
      </c>
      <c r="E61" s="2">
        <v>437146</v>
      </c>
      <c r="F61" s="2">
        <v>420010</v>
      </c>
      <c r="G61" s="2" t="str" cm="1">
        <f t="array" aca="1" ref="G61" ca="1">IF(Background=36,C61,G60)</f>
        <v>济宁市</v>
      </c>
    </row>
    <row r="62" spans="1:7" ht="15.75" thickBot="1" x14ac:dyDescent="0.3">
      <c r="A62" t="s">
        <v>1236</v>
      </c>
      <c r="B62" s="1" t="s">
        <v>3639</v>
      </c>
      <c r="C62" s="1" t="s">
        <v>3698</v>
      </c>
      <c r="D62" s="2">
        <v>1101003</v>
      </c>
      <c r="E62" s="2">
        <v>1116692</v>
      </c>
      <c r="F62" s="2">
        <v>1166559</v>
      </c>
      <c r="G62" s="2" t="str" cm="1">
        <f t="array" aca="1" ref="G62" ca="1">IF(Background=36,C62,G61)</f>
        <v>济宁市</v>
      </c>
    </row>
    <row r="63" spans="1:7" ht="15.75" thickBot="1" x14ac:dyDescent="0.3">
      <c r="A63" t="s">
        <v>3699</v>
      </c>
      <c r="B63" s="5" t="s">
        <v>3629</v>
      </c>
      <c r="C63" s="5" t="s">
        <v>3700</v>
      </c>
      <c r="D63" s="6">
        <v>5412115</v>
      </c>
      <c r="E63" s="6">
        <v>5789863</v>
      </c>
      <c r="F63" s="6">
        <v>5952128</v>
      </c>
      <c r="G63" s="2" t="str" cm="1">
        <f t="array" aca="1" ref="G63" ca="1">IF(Background=36,C63,G62)</f>
        <v>聊城市</v>
      </c>
    </row>
    <row r="64" spans="1:7" ht="15.75" thickBot="1" x14ac:dyDescent="0.3">
      <c r="A64" t="s">
        <v>1549</v>
      </c>
      <c r="B64" s="1" t="s">
        <v>3631</v>
      </c>
      <c r="C64" s="1" t="s">
        <v>3701</v>
      </c>
      <c r="D64" s="2">
        <v>546125</v>
      </c>
      <c r="E64" s="2">
        <v>520016</v>
      </c>
      <c r="F64" s="2">
        <v>517641</v>
      </c>
      <c r="G64" s="2" t="str" cm="1">
        <f t="array" aca="1" ref="G64" ca="1">IF(Background=36,C64,G63)</f>
        <v>聊城市</v>
      </c>
    </row>
    <row r="65" spans="1:7" ht="15.75" thickBot="1" x14ac:dyDescent="0.3">
      <c r="A65" t="s">
        <v>1541</v>
      </c>
      <c r="B65" s="1" t="s">
        <v>3631</v>
      </c>
      <c r="C65" s="1" t="s">
        <v>3702</v>
      </c>
      <c r="D65" s="2">
        <v>950319</v>
      </c>
      <c r="E65" s="2">
        <v>1229768</v>
      </c>
      <c r="F65" s="2">
        <v>1488905</v>
      </c>
      <c r="G65" s="2" t="str" cm="1">
        <f t="array" aca="1" ref="G65" ca="1">IF(Background=36,C65,G64)</f>
        <v>聊城市</v>
      </c>
    </row>
    <row r="66" spans="1:7" ht="15.75" thickBot="1" x14ac:dyDescent="0.3">
      <c r="A66" t="s">
        <v>1555</v>
      </c>
      <c r="B66" s="1" t="s">
        <v>3633</v>
      </c>
      <c r="C66" s="1" t="s">
        <v>3703</v>
      </c>
      <c r="D66" s="2">
        <v>413735</v>
      </c>
      <c r="E66" s="2">
        <v>352630</v>
      </c>
      <c r="F66" s="2">
        <v>346053</v>
      </c>
      <c r="G66" s="2" t="str" cm="1">
        <f t="array" aca="1" ref="G66" ca="1">IF(Background=36,C66,G65)</f>
        <v>聊城市</v>
      </c>
    </row>
    <row r="67" spans="1:7" ht="15.75" thickBot="1" x14ac:dyDescent="0.3">
      <c r="A67" t="s">
        <v>1604</v>
      </c>
      <c r="B67" s="1" t="s">
        <v>3633</v>
      </c>
      <c r="C67" s="1" t="s">
        <v>3704</v>
      </c>
      <c r="D67" s="2">
        <v>456464</v>
      </c>
      <c r="E67" s="2">
        <v>473422</v>
      </c>
      <c r="F67" s="2">
        <v>455193</v>
      </c>
      <c r="G67" s="2" t="str" cm="1">
        <f t="array" aca="1" ref="G67" ca="1">IF(Background=36,C67,G66)</f>
        <v>聊城市</v>
      </c>
    </row>
    <row r="68" spans="1:7" ht="15.75" thickBot="1" x14ac:dyDescent="0.3">
      <c r="A68" t="s">
        <v>1544</v>
      </c>
      <c r="B68" s="1" t="s">
        <v>3633</v>
      </c>
      <c r="C68" s="1" t="s">
        <v>3705</v>
      </c>
      <c r="D68" s="2">
        <v>707137</v>
      </c>
      <c r="E68" s="2">
        <v>764864</v>
      </c>
      <c r="F68" s="2">
        <v>719354</v>
      </c>
      <c r="G68" s="2" t="str" cm="1">
        <f t="array" aca="1" ref="G68" ca="1">IF(Background=36,C68,G67)</f>
        <v>聊城市</v>
      </c>
    </row>
    <row r="69" spans="1:7" ht="15.75" thickBot="1" x14ac:dyDescent="0.3">
      <c r="A69" t="s">
        <v>1540</v>
      </c>
      <c r="B69" s="1" t="s">
        <v>3639</v>
      </c>
      <c r="C69" s="1" t="s">
        <v>3706</v>
      </c>
      <c r="D69" s="2">
        <v>694247</v>
      </c>
      <c r="E69" s="2">
        <v>719611</v>
      </c>
      <c r="F69" s="2">
        <v>794529</v>
      </c>
      <c r="G69" s="2" t="str" cm="1">
        <f t="array" aca="1" ref="G69" ca="1">IF(Background=36,C69,G68)</f>
        <v>聊城市</v>
      </c>
    </row>
    <row r="70" spans="1:7" ht="15.75" thickBot="1" x14ac:dyDescent="0.3">
      <c r="A70" t="s">
        <v>1554</v>
      </c>
      <c r="B70" s="1" t="s">
        <v>3633</v>
      </c>
      <c r="C70" s="1" t="s">
        <v>3707</v>
      </c>
      <c r="D70" s="2">
        <v>921225</v>
      </c>
      <c r="E70" s="2">
        <v>958827</v>
      </c>
      <c r="F70" s="2">
        <v>930370</v>
      </c>
      <c r="G70" s="2" t="str" cm="1">
        <f t="array" aca="1" ref="G70" ca="1">IF(Background=36,C70,G69)</f>
        <v>聊城市</v>
      </c>
    </row>
    <row r="71" spans="1:7" ht="15.75" thickBot="1" x14ac:dyDescent="0.3">
      <c r="A71" t="s">
        <v>1535</v>
      </c>
      <c r="B71" s="1" t="s">
        <v>3633</v>
      </c>
      <c r="C71" s="1" t="s">
        <v>3708</v>
      </c>
      <c r="D71" s="2">
        <v>722863</v>
      </c>
      <c r="E71" s="2">
        <v>770725</v>
      </c>
      <c r="F71" s="2">
        <v>700083</v>
      </c>
      <c r="G71" s="2" t="str" cm="1">
        <f t="array" aca="1" ref="G71" ca="1">IF(Background=36,C71,G70)</f>
        <v>聊城市</v>
      </c>
    </row>
    <row r="72" spans="1:7" ht="15.75" thickBot="1" x14ac:dyDescent="0.3">
      <c r="A72" t="s">
        <v>3709</v>
      </c>
      <c r="B72" s="5" t="s">
        <v>3629</v>
      </c>
      <c r="C72" s="5" t="s">
        <v>3710</v>
      </c>
      <c r="D72" s="6">
        <v>9942652</v>
      </c>
      <c r="E72" s="6">
        <v>10039440</v>
      </c>
      <c r="F72" s="6">
        <v>11018365</v>
      </c>
      <c r="G72" s="2" t="str" cm="1">
        <f t="array" aca="1" ref="G72" ca="1">IF(Background=36,C72,G71)</f>
        <v>临沂市</v>
      </c>
    </row>
    <row r="73" spans="1:7" ht="15.75" thickBot="1" x14ac:dyDescent="0.3">
      <c r="A73" t="s">
        <v>1853</v>
      </c>
      <c r="B73" s="1" t="s">
        <v>3633</v>
      </c>
      <c r="C73" s="1" t="s">
        <v>3711</v>
      </c>
      <c r="D73" s="2">
        <v>761159</v>
      </c>
      <c r="E73" s="2">
        <v>757020</v>
      </c>
      <c r="F73" s="2">
        <v>798403</v>
      </c>
      <c r="G73" s="2" t="str" cm="1">
        <f t="array" aca="1" ref="G73" ca="1">IF(Background=36,C73,G72)</f>
        <v>临沂市</v>
      </c>
    </row>
    <row r="74" spans="1:7" ht="15.75" thickBot="1" x14ac:dyDescent="0.3">
      <c r="A74" t="s">
        <v>1797</v>
      </c>
      <c r="B74" s="1" t="s">
        <v>3631</v>
      </c>
      <c r="C74" s="1" t="s">
        <v>3712</v>
      </c>
      <c r="D74" s="2">
        <v>624136</v>
      </c>
      <c r="E74" s="2">
        <v>665397</v>
      </c>
      <c r="F74" s="2">
        <v>908324</v>
      </c>
      <c r="G74" s="2" t="str" cm="1">
        <f t="array" aca="1" ref="G74" ca="1">IF(Background=36,C74,G73)</f>
        <v>临沂市</v>
      </c>
    </row>
    <row r="75" spans="1:7" ht="15.75" thickBot="1" x14ac:dyDescent="0.3">
      <c r="A75" t="s">
        <v>1813</v>
      </c>
      <c r="B75" s="1" t="s">
        <v>3633</v>
      </c>
      <c r="C75" s="1" t="s">
        <v>3713</v>
      </c>
      <c r="D75" s="2">
        <v>964591</v>
      </c>
      <c r="E75" s="2">
        <v>886376</v>
      </c>
      <c r="F75" s="2">
        <v>841035</v>
      </c>
      <c r="G75" s="2" t="str" cm="1">
        <f t="array" aca="1" ref="G75" ca="1">IF(Background=36,C75,G74)</f>
        <v>临沂市</v>
      </c>
    </row>
    <row r="76" spans="1:7" ht="15.75" thickBot="1" x14ac:dyDescent="0.3">
      <c r="A76" t="s">
        <v>1820</v>
      </c>
      <c r="B76" s="1" t="s">
        <v>3633</v>
      </c>
      <c r="C76" s="1" t="s">
        <v>3714</v>
      </c>
      <c r="D76" s="2">
        <v>1128161</v>
      </c>
      <c r="E76" s="2">
        <v>1161932</v>
      </c>
      <c r="F76" s="2">
        <v>1104391</v>
      </c>
      <c r="G76" s="2" t="str" cm="1">
        <f t="array" aca="1" ref="G76" ca="1">IF(Background=36,C76,G75)</f>
        <v>临沂市</v>
      </c>
    </row>
    <row r="77" spans="1:7" ht="15.75" thickBot="1" x14ac:dyDescent="0.3">
      <c r="A77" t="s">
        <v>1806</v>
      </c>
      <c r="B77" s="1" t="s">
        <v>3631</v>
      </c>
      <c r="C77" s="1" t="s">
        <v>3715</v>
      </c>
      <c r="D77" s="2">
        <v>1081696</v>
      </c>
      <c r="E77" s="2">
        <v>1325636</v>
      </c>
      <c r="F77" s="2">
        <v>1940000</v>
      </c>
      <c r="G77" s="2" t="str" cm="1">
        <f t="array" aca="1" ref="G77" ca="1">IF(Background=36,C77,G76)</f>
        <v>临沂市</v>
      </c>
    </row>
    <row r="78" spans="1:7" ht="15.75" thickBot="1" x14ac:dyDescent="0.3">
      <c r="A78" t="s">
        <v>1803</v>
      </c>
      <c r="B78" s="1" t="s">
        <v>3633</v>
      </c>
      <c r="C78" s="1" t="s">
        <v>3716</v>
      </c>
      <c r="D78" s="2">
        <v>597850</v>
      </c>
      <c r="E78" s="2">
        <v>617081</v>
      </c>
      <c r="F78" s="2">
        <v>586024</v>
      </c>
      <c r="G78" s="2" t="str" cm="1">
        <f t="array" aca="1" ref="G78" ca="1">IF(Background=36,C78,G77)</f>
        <v>临沂市</v>
      </c>
    </row>
    <row r="79" spans="1:7" ht="15.75" thickBot="1" x14ac:dyDescent="0.3">
      <c r="A79" t="s">
        <v>1827</v>
      </c>
      <c r="B79" s="1" t="s">
        <v>3631</v>
      </c>
      <c r="C79" s="1" t="s">
        <v>3717</v>
      </c>
      <c r="D79" s="2">
        <v>514497</v>
      </c>
      <c r="E79" s="2">
        <v>609092</v>
      </c>
      <c r="F79" s="2">
        <v>800000</v>
      </c>
      <c r="G79" s="2" t="str" cm="1">
        <f t="array" aca="1" ref="G79" ca="1">IF(Background=36,C79,G78)</f>
        <v>临沂市</v>
      </c>
    </row>
    <row r="80" spans="1:7" ht="15.75" thickBot="1" x14ac:dyDescent="0.3">
      <c r="A80" t="s">
        <v>1832</v>
      </c>
      <c r="B80" s="1" t="s">
        <v>3633</v>
      </c>
      <c r="C80" s="1" t="s">
        <v>3718</v>
      </c>
      <c r="D80" s="2">
        <v>535070</v>
      </c>
      <c r="E80" s="2">
        <v>489537</v>
      </c>
      <c r="F80" s="2">
        <v>485252</v>
      </c>
      <c r="G80" s="2" t="str" cm="1">
        <f t="array" aca="1" ref="G80" ca="1">IF(Background=36,C80,G79)</f>
        <v>临沂市</v>
      </c>
    </row>
    <row r="81" spans="1:7" ht="15.75" thickBot="1" x14ac:dyDescent="0.3">
      <c r="A81" t="s">
        <v>1800</v>
      </c>
      <c r="B81" s="1" t="s">
        <v>3633</v>
      </c>
      <c r="C81" s="1" t="s">
        <v>3719</v>
      </c>
      <c r="D81" s="2">
        <v>974213</v>
      </c>
      <c r="E81" s="2">
        <v>900167</v>
      </c>
      <c r="F81" s="2">
        <v>892276</v>
      </c>
      <c r="G81" s="2" t="str" cm="1">
        <f t="array" aca="1" ref="G81" ca="1">IF(Background=36,C81,G80)</f>
        <v>临沂市</v>
      </c>
    </row>
    <row r="82" spans="1:7" ht="15.75" thickBot="1" x14ac:dyDescent="0.3">
      <c r="A82" t="s">
        <v>1837</v>
      </c>
      <c r="B82" s="1" t="s">
        <v>3633</v>
      </c>
      <c r="C82" s="1" t="s">
        <v>3720</v>
      </c>
      <c r="D82" s="2">
        <v>870225</v>
      </c>
      <c r="E82" s="2">
        <v>838019</v>
      </c>
      <c r="F82" s="2">
        <v>885156</v>
      </c>
      <c r="G82" s="2" t="str" cm="1">
        <f t="array" aca="1" ref="G82" ca="1">IF(Background=36,C82,G81)</f>
        <v>临沂市</v>
      </c>
    </row>
    <row r="83" spans="1:7" ht="15.75" thickBot="1" x14ac:dyDescent="0.3">
      <c r="A83" t="s">
        <v>1794</v>
      </c>
      <c r="B83" s="1" t="s">
        <v>3633</v>
      </c>
      <c r="C83" s="1" t="s">
        <v>3721</v>
      </c>
      <c r="D83" s="2">
        <v>833296</v>
      </c>
      <c r="E83" s="2">
        <v>790852</v>
      </c>
      <c r="F83" s="2">
        <v>806390</v>
      </c>
      <c r="G83" s="2" t="str" cm="1">
        <f t="array" aca="1" ref="G83" ca="1">IF(Background=36,C83,G82)</f>
        <v>临沂市</v>
      </c>
    </row>
    <row r="84" spans="1:7" ht="15.75" thickBot="1" x14ac:dyDescent="0.3">
      <c r="A84" t="s">
        <v>1842</v>
      </c>
      <c r="B84" s="1" t="s">
        <v>3633</v>
      </c>
      <c r="C84" s="1" t="s">
        <v>3722</v>
      </c>
      <c r="D84" s="2">
        <v>1057758</v>
      </c>
      <c r="E84" s="2">
        <v>998331</v>
      </c>
      <c r="F84" s="2">
        <v>967570</v>
      </c>
      <c r="G84" s="2" t="str" cm="1">
        <f t="array" aca="1" ref="G84" ca="1">IF(Background=36,C84,G83)</f>
        <v>临沂市</v>
      </c>
    </row>
    <row r="85" spans="1:7" ht="15.75" thickBot="1" x14ac:dyDescent="0.3">
      <c r="A85" t="s">
        <v>3723</v>
      </c>
      <c r="B85" s="5" t="s">
        <v>3672</v>
      </c>
      <c r="C85" s="5" t="s">
        <v>3724</v>
      </c>
      <c r="D85" s="6">
        <v>7494194</v>
      </c>
      <c r="E85" s="6">
        <v>8715087</v>
      </c>
      <c r="F85" s="6">
        <v>10071722</v>
      </c>
      <c r="G85" s="2" t="str" cm="1">
        <f t="array" aca="1" ref="G85" ca="1">IF(Background=36,C85,G84)</f>
        <v>青岛市</v>
      </c>
    </row>
    <row r="86" spans="1:7" ht="15.75" thickBot="1" x14ac:dyDescent="0.3">
      <c r="A86" t="s">
        <v>2142</v>
      </c>
      <c r="B86" s="1" t="s">
        <v>3631</v>
      </c>
      <c r="C86" s="1" t="s">
        <v>3725</v>
      </c>
      <c r="D86" s="2">
        <v>494007</v>
      </c>
      <c r="E86" s="2">
        <v>737209</v>
      </c>
      <c r="F86" s="2">
        <v>1109606</v>
      </c>
      <c r="G86" s="2" t="str" cm="1">
        <f t="array" aca="1" ref="G86" ca="1">IF(Background=36,C86,G85)</f>
        <v>青岛市</v>
      </c>
    </row>
    <row r="87" spans="1:7" ht="15.75" thickBot="1" x14ac:dyDescent="0.3">
      <c r="A87" t="s">
        <v>2117</v>
      </c>
      <c r="B87" s="1" t="s">
        <v>3631</v>
      </c>
      <c r="C87" s="1" t="s">
        <v>3726</v>
      </c>
      <c r="D87" s="2">
        <v>1066176</v>
      </c>
      <c r="E87" s="2">
        <v>1392554</v>
      </c>
      <c r="F87" s="2">
        <v>1903595</v>
      </c>
      <c r="G87" s="2" t="str" cm="1">
        <f t="array" aca="1" ref="G87" ca="1">IF(Background=36,C87,G86)</f>
        <v>青岛市</v>
      </c>
    </row>
    <row r="88" spans="1:7" ht="15.75" thickBot="1" x14ac:dyDescent="0.3">
      <c r="A88" t="s">
        <v>2122</v>
      </c>
      <c r="B88" s="1" t="s">
        <v>3639</v>
      </c>
      <c r="C88" s="1" t="s">
        <v>3727</v>
      </c>
      <c r="D88" s="2">
        <v>783478</v>
      </c>
      <c r="E88" s="2">
        <v>843054</v>
      </c>
      <c r="F88" s="2">
        <v>987820</v>
      </c>
      <c r="G88" s="2" t="str" cm="1">
        <f t="array" aca="1" ref="G88" ca="1">IF(Background=36,C88,G87)</f>
        <v>青岛市</v>
      </c>
    </row>
    <row r="89" spans="1:7" ht="15.75" thickBot="1" x14ac:dyDescent="0.3">
      <c r="A89" t="s">
        <v>2104</v>
      </c>
      <c r="B89" s="1" t="s">
        <v>3631</v>
      </c>
      <c r="C89" s="1" t="s">
        <v>3728</v>
      </c>
      <c r="D89" s="2">
        <v>1111202</v>
      </c>
      <c r="E89" s="2">
        <v>1177201</v>
      </c>
      <c r="F89" s="2">
        <v>1336077</v>
      </c>
      <c r="G89" s="2" t="str" cm="1">
        <f t="array" aca="1" ref="G89" ca="1">IF(Background=36,C89,G88)</f>
        <v>青岛市</v>
      </c>
    </row>
    <row r="90" spans="1:7" ht="15.75" thickBot="1" x14ac:dyDescent="0.3">
      <c r="A90" t="s">
        <v>2130</v>
      </c>
      <c r="B90" s="1" t="s">
        <v>3639</v>
      </c>
      <c r="C90" s="1" t="s">
        <v>3729</v>
      </c>
      <c r="D90" s="2">
        <v>728796</v>
      </c>
      <c r="E90" s="2">
        <v>750225</v>
      </c>
      <c r="F90" s="2">
        <v>720103</v>
      </c>
      <c r="G90" s="2" t="str" cm="1">
        <f t="array" aca="1" ref="G90" ca="1">IF(Background=36,C90,G89)</f>
        <v>青岛市</v>
      </c>
    </row>
    <row r="91" spans="1:7" ht="15.75" thickBot="1" x14ac:dyDescent="0.3">
      <c r="A91" t="s">
        <v>2125</v>
      </c>
      <c r="B91" s="1" t="s">
        <v>3631</v>
      </c>
      <c r="C91" s="1" t="s">
        <v>3730</v>
      </c>
      <c r="D91" s="2">
        <v>254625</v>
      </c>
      <c r="E91" s="2">
        <v>379469</v>
      </c>
      <c r="F91" s="2">
        <v>502370</v>
      </c>
      <c r="G91" s="2" t="str" cm="1">
        <f t="array" aca="1" ref="G91" ca="1">IF(Background=36,C91,G90)</f>
        <v>青岛市</v>
      </c>
    </row>
    <row r="92" spans="1:7" ht="15.75" thickBot="1" x14ac:dyDescent="0.3">
      <c r="A92" t="s">
        <v>2135</v>
      </c>
      <c r="B92" s="1" t="s">
        <v>3631</v>
      </c>
      <c r="C92" s="1" t="s">
        <v>3731</v>
      </c>
      <c r="D92" s="2">
        <v>352801</v>
      </c>
      <c r="E92" s="2">
        <v>512389</v>
      </c>
      <c r="F92" s="2">
        <v>737281</v>
      </c>
      <c r="G92" s="2" t="str" cm="1">
        <f t="array" aca="1" ref="G92" ca="1">IF(Background=36,C92,G91)</f>
        <v>青岛市</v>
      </c>
    </row>
    <row r="93" spans="1:7" ht="15.75" thickBot="1" x14ac:dyDescent="0.3">
      <c r="A93" t="s">
        <v>2114</v>
      </c>
      <c r="B93" s="1" t="s">
        <v>3639</v>
      </c>
      <c r="C93" s="1" t="s">
        <v>3732</v>
      </c>
      <c r="D93" s="2">
        <v>1321975</v>
      </c>
      <c r="E93" s="2">
        <v>1357424</v>
      </c>
      <c r="F93" s="2">
        <v>1191348</v>
      </c>
      <c r="G93" s="2" t="str" cm="1">
        <f t="array" aca="1" ref="G93" ca="1">IF(Background=36,C93,G92)</f>
        <v>青岛市</v>
      </c>
    </row>
    <row r="94" spans="1:7" ht="15.75" thickBot="1" x14ac:dyDescent="0.3">
      <c r="A94" t="s">
        <v>2151</v>
      </c>
      <c r="B94" s="1" t="s">
        <v>3631</v>
      </c>
      <c r="C94" s="1" t="s">
        <v>3733</v>
      </c>
      <c r="D94" s="2">
        <v>933602</v>
      </c>
      <c r="E94" s="2">
        <v>1020715</v>
      </c>
      <c r="F94" s="2">
        <v>1096879</v>
      </c>
      <c r="G94" s="2" t="str" cm="1">
        <f t="array" aca="1" ref="G94" ca="1">IF(Background=36,C94,G93)</f>
        <v>青岛市</v>
      </c>
    </row>
    <row r="95" spans="1:7" ht="15.75" thickBot="1" x14ac:dyDescent="0.3">
      <c r="A95" t="s">
        <v>2107</v>
      </c>
      <c r="B95" s="1" t="s">
        <v>3631</v>
      </c>
      <c r="C95" s="1" t="s">
        <v>3734</v>
      </c>
      <c r="D95" s="2">
        <v>447532</v>
      </c>
      <c r="E95" s="2">
        <v>544847</v>
      </c>
      <c r="F95" s="2">
        <v>486643</v>
      </c>
      <c r="G95" s="2" t="str" cm="1">
        <f t="array" aca="1" ref="G95" ca="1">IF(Background=36,C95,G94)</f>
        <v>青岛市</v>
      </c>
    </row>
    <row r="96" spans="1:7" ht="15.75" thickBot="1" x14ac:dyDescent="0.3">
      <c r="A96" t="s">
        <v>3735</v>
      </c>
      <c r="B96" s="5" t="s">
        <v>3629</v>
      </c>
      <c r="C96" s="5" t="s">
        <v>3736</v>
      </c>
      <c r="D96" s="6">
        <v>2685928</v>
      </c>
      <c r="E96" s="6">
        <v>2801013</v>
      </c>
      <c r="F96" s="6">
        <v>2968365</v>
      </c>
      <c r="G96" s="2" t="str" cm="1">
        <f t="array" aca="1" ref="G96" ca="1">IF(Background=36,C96,G95)</f>
        <v>日照市</v>
      </c>
    </row>
    <row r="97" spans="1:7" ht="15.75" thickBot="1" x14ac:dyDescent="0.3">
      <c r="A97" t="s">
        <v>2396</v>
      </c>
      <c r="B97" s="1" t="s">
        <v>3631</v>
      </c>
      <c r="C97" s="1" t="s">
        <v>3737</v>
      </c>
      <c r="D97" s="3" t="s">
        <v>3738</v>
      </c>
      <c r="E97" s="2">
        <v>1022749</v>
      </c>
      <c r="F97" s="2">
        <v>1172205</v>
      </c>
      <c r="G97" s="2" t="str" cm="1">
        <f t="array" aca="1" ref="G97" ca="1">IF(Background=36,C97,G96)</f>
        <v>日照市</v>
      </c>
    </row>
    <row r="98" spans="1:7" ht="15.75" thickBot="1" x14ac:dyDescent="0.3">
      <c r="A98" t="s">
        <v>2393</v>
      </c>
      <c r="B98" s="1" t="s">
        <v>3633</v>
      </c>
      <c r="C98" s="1" t="s">
        <v>3739</v>
      </c>
      <c r="D98" s="2">
        <v>982259</v>
      </c>
      <c r="E98" s="2">
        <v>946847</v>
      </c>
      <c r="F98" s="2">
        <v>973252</v>
      </c>
      <c r="G98" s="2" t="str" cm="1">
        <f t="array" aca="1" ref="G98" ca="1">IF(Background=36,C98,G97)</f>
        <v>日照市</v>
      </c>
    </row>
    <row r="99" spans="1:7" ht="15.75" thickBot="1" x14ac:dyDescent="0.3">
      <c r="A99" t="s">
        <v>1806</v>
      </c>
      <c r="B99" s="1" t="s">
        <v>3631</v>
      </c>
      <c r="C99" s="1" t="s">
        <v>3740</v>
      </c>
      <c r="D99" s="3" t="s">
        <v>3738</v>
      </c>
      <c r="E99" s="2">
        <v>346534</v>
      </c>
      <c r="F99" s="2">
        <v>379308</v>
      </c>
      <c r="G99" s="2" t="str" cm="1">
        <f t="array" aca="1" ref="G99" ca="1">IF(Background=36,C99,G98)</f>
        <v>日照市</v>
      </c>
    </row>
    <row r="100" spans="1:7" ht="15.75" thickBot="1" x14ac:dyDescent="0.3">
      <c r="A100" t="s">
        <v>2403</v>
      </c>
      <c r="B100" s="1" t="s">
        <v>3633</v>
      </c>
      <c r="C100" s="1" t="s">
        <v>3741</v>
      </c>
      <c r="D100" s="2">
        <v>503219</v>
      </c>
      <c r="E100" s="2">
        <v>484883</v>
      </c>
      <c r="F100" s="2">
        <v>443600</v>
      </c>
      <c r="G100" s="2" t="str" cm="1">
        <f t="array" aca="1" ref="G100" ca="1">IF(Background=36,C100,G99)</f>
        <v>日照市</v>
      </c>
    </row>
    <row r="101" spans="1:7" ht="15.75" thickBot="1" x14ac:dyDescent="0.3">
      <c r="A101" t="s">
        <v>3742</v>
      </c>
      <c r="B101" s="5" t="s">
        <v>3629</v>
      </c>
      <c r="C101" s="5" t="s">
        <v>3743</v>
      </c>
      <c r="D101" s="6">
        <v>5334631</v>
      </c>
      <c r="E101" s="6">
        <v>5494207</v>
      </c>
      <c r="F101" s="6">
        <v>5472217</v>
      </c>
      <c r="G101" s="2" t="str" cm="1">
        <f t="array" aca="1" ref="G101" ca="1">IF(Background=36,C101,G100)</f>
        <v>泰安市</v>
      </c>
    </row>
    <row r="102" spans="1:7" ht="15.75" thickBot="1" x14ac:dyDescent="0.3">
      <c r="A102" t="s">
        <v>2508</v>
      </c>
      <c r="B102" s="1" t="s">
        <v>3631</v>
      </c>
      <c r="C102" s="1" t="s">
        <v>3744</v>
      </c>
      <c r="D102" s="2">
        <v>922491</v>
      </c>
      <c r="E102" s="2">
        <v>975380</v>
      </c>
      <c r="F102" s="2">
        <v>1046569</v>
      </c>
      <c r="G102" s="2" t="str" cm="1">
        <f t="array" aca="1" ref="G102" ca="1">IF(Background=36,C102,G101)</f>
        <v>泰安市</v>
      </c>
    </row>
    <row r="103" spans="1:7" ht="15.75" thickBot="1" x14ac:dyDescent="0.3">
      <c r="A103" t="s">
        <v>2502</v>
      </c>
      <c r="B103" s="1" t="s">
        <v>3633</v>
      </c>
      <c r="C103" s="1" t="s">
        <v>3745</v>
      </c>
      <c r="D103" s="2">
        <v>725877</v>
      </c>
      <c r="E103" s="2">
        <v>741566</v>
      </c>
      <c r="F103" s="2">
        <v>687385</v>
      </c>
      <c r="G103" s="2" t="str" cm="1">
        <f t="array" aca="1" ref="G103" ca="1">IF(Background=36,C103,G102)</f>
        <v>泰安市</v>
      </c>
    </row>
    <row r="104" spans="1:7" ht="15.75" thickBot="1" x14ac:dyDescent="0.3">
      <c r="A104" t="s">
        <v>2497</v>
      </c>
      <c r="B104" s="1" t="s">
        <v>3639</v>
      </c>
      <c r="C104" s="1" t="s">
        <v>3746</v>
      </c>
      <c r="D104" s="2">
        <v>948602</v>
      </c>
      <c r="E104" s="2">
        <v>946627</v>
      </c>
      <c r="F104" s="2">
        <v>894115</v>
      </c>
      <c r="G104" s="2" t="str" cm="1">
        <f t="array" aca="1" ref="G104" ca="1">IF(Background=36,C104,G103)</f>
        <v>泰安市</v>
      </c>
    </row>
    <row r="105" spans="1:7" ht="15.75" thickBot="1" x14ac:dyDescent="0.3">
      <c r="A105" t="s">
        <v>2505</v>
      </c>
      <c r="B105" s="1" t="s">
        <v>3633</v>
      </c>
      <c r="C105" s="1" t="s">
        <v>3747</v>
      </c>
      <c r="D105" s="2">
        <v>777546</v>
      </c>
      <c r="E105" s="2">
        <v>754647</v>
      </c>
      <c r="F105" s="2">
        <v>668520</v>
      </c>
      <c r="G105" s="2" t="str" cm="1">
        <f t="array" aca="1" ref="G105" ca="1">IF(Background=36,C105,G104)</f>
        <v>泰安市</v>
      </c>
    </row>
    <row r="106" spans="1:7" ht="15.75" thickBot="1" x14ac:dyDescent="0.3">
      <c r="A106" t="s">
        <v>2513</v>
      </c>
      <c r="B106" s="1" t="s">
        <v>3631</v>
      </c>
      <c r="C106" s="1" t="s">
        <v>3748</v>
      </c>
      <c r="D106" s="2">
        <v>615720</v>
      </c>
      <c r="E106" s="2">
        <v>760045</v>
      </c>
      <c r="F106" s="2">
        <v>837374</v>
      </c>
      <c r="G106" s="2" t="str" cm="1">
        <f t="array" aca="1" ref="G106" ca="1">IF(Background=36,C106,G105)</f>
        <v>泰安市</v>
      </c>
    </row>
    <row r="107" spans="1:7" ht="15.75" thickBot="1" x14ac:dyDescent="0.3">
      <c r="A107" t="s">
        <v>2534</v>
      </c>
      <c r="B107" s="1" t="s">
        <v>3639</v>
      </c>
      <c r="C107" s="1" t="s">
        <v>3749</v>
      </c>
      <c r="D107" s="2">
        <v>1344395</v>
      </c>
      <c r="E107" s="2">
        <v>1315942</v>
      </c>
      <c r="F107" s="2">
        <v>1338254</v>
      </c>
      <c r="G107" s="2" t="str" cm="1">
        <f t="array" aca="1" ref="G107" ca="1">IF(Background=36,C107,G106)</f>
        <v>泰安市</v>
      </c>
    </row>
    <row r="108" spans="1:7" ht="15.75" thickBot="1" x14ac:dyDescent="0.3">
      <c r="A108" t="s">
        <v>3750</v>
      </c>
      <c r="B108" s="5" t="s">
        <v>3629</v>
      </c>
      <c r="C108" s="5" t="s">
        <v>3751</v>
      </c>
      <c r="D108" s="6">
        <v>8495300</v>
      </c>
      <c r="E108" s="6">
        <v>9086241</v>
      </c>
      <c r="F108" s="6">
        <v>9386705</v>
      </c>
      <c r="G108" s="2" t="str" cm="1">
        <f t="array" aca="1" ref="G108" ca="1">IF(Background=36,C108,G107)</f>
        <v>潍坊市</v>
      </c>
    </row>
    <row r="109" spans="1:7" ht="15.75" thickBot="1" x14ac:dyDescent="0.3">
      <c r="A109" t="s">
        <v>2706</v>
      </c>
      <c r="B109" s="1" t="s">
        <v>3639</v>
      </c>
      <c r="C109" s="1" t="s">
        <v>3752</v>
      </c>
      <c r="D109" s="2">
        <v>1096782</v>
      </c>
      <c r="E109" s="2">
        <v>926894</v>
      </c>
      <c r="F109" s="2">
        <v>840553</v>
      </c>
      <c r="G109" s="2" t="str" cm="1">
        <f t="array" aca="1" ref="G109" ca="1">IF(Background=36,C109,G108)</f>
        <v>潍坊市</v>
      </c>
    </row>
    <row r="110" spans="1:7" ht="15.75" thickBot="1" x14ac:dyDescent="0.3">
      <c r="A110" t="s">
        <v>2677</v>
      </c>
      <c r="B110" s="1" t="s">
        <v>3633</v>
      </c>
      <c r="C110" s="1" t="s">
        <v>3753</v>
      </c>
      <c r="D110" s="2">
        <v>593009</v>
      </c>
      <c r="E110" s="2">
        <v>615910</v>
      </c>
      <c r="F110" s="2">
        <v>583799</v>
      </c>
      <c r="G110" s="2" t="str" cm="1">
        <f t="array" aca="1" ref="G110" ca="1">IF(Background=36,C110,G109)</f>
        <v>潍坊市</v>
      </c>
    </row>
    <row r="111" spans="1:7" ht="15.75" thickBot="1" x14ac:dyDescent="0.3">
      <c r="A111" t="s">
        <v>2683</v>
      </c>
      <c r="B111" s="1" t="s">
        <v>3639</v>
      </c>
      <c r="C111" s="1" t="s">
        <v>3754</v>
      </c>
      <c r="D111" s="2">
        <v>683182</v>
      </c>
      <c r="E111" s="2">
        <v>603482</v>
      </c>
      <c r="F111" s="2">
        <v>564501</v>
      </c>
      <c r="G111" s="2" t="str" cm="1">
        <f t="array" aca="1" ref="G111" ca="1">IF(Background=36,C111,G110)</f>
        <v>潍坊市</v>
      </c>
    </row>
    <row r="112" spans="1:7" ht="15.75" thickBot="1" x14ac:dyDescent="0.3">
      <c r="A112" t="s">
        <v>2716</v>
      </c>
      <c r="B112" s="1" t="s">
        <v>3631</v>
      </c>
      <c r="C112" s="1" t="s">
        <v>3755</v>
      </c>
      <c r="D112" s="2">
        <v>256590</v>
      </c>
      <c r="E112" s="2">
        <v>512161</v>
      </c>
      <c r="F112" s="2">
        <v>521025</v>
      </c>
      <c r="G112" s="2" t="str" cm="1">
        <f t="array" aca="1" ref="G112" ca="1">IF(Background=36,C112,G111)</f>
        <v>潍坊市</v>
      </c>
    </row>
    <row r="113" spans="1:7" ht="15.75" thickBot="1" x14ac:dyDescent="0.3">
      <c r="A113" t="s">
        <v>2671</v>
      </c>
      <c r="B113" s="1" t="s">
        <v>3639</v>
      </c>
      <c r="C113" s="1" t="s">
        <v>3756</v>
      </c>
      <c r="D113" s="2">
        <v>842403</v>
      </c>
      <c r="E113" s="2">
        <v>895582</v>
      </c>
      <c r="F113" s="2">
        <v>877393</v>
      </c>
      <c r="G113" s="2" t="str" cm="1">
        <f t="array" aca="1" ref="G113" ca="1">IF(Background=36,C113,G112)</f>
        <v>潍坊市</v>
      </c>
    </row>
    <row r="114" spans="1:7" ht="15.75" thickBot="1" x14ac:dyDescent="0.3">
      <c r="A114" t="s">
        <v>2698</v>
      </c>
      <c r="B114" s="1" t="s">
        <v>3631</v>
      </c>
      <c r="C114" s="1" t="s">
        <v>3757</v>
      </c>
      <c r="D114" s="2">
        <v>355945</v>
      </c>
      <c r="E114" s="2">
        <v>424106</v>
      </c>
      <c r="F114" s="2">
        <v>492862</v>
      </c>
      <c r="G114" s="2" t="str" cm="1">
        <f t="array" aca="1" ref="G114" ca="1">IF(Background=36,C114,G113)</f>
        <v>潍坊市</v>
      </c>
    </row>
    <row r="115" spans="1:7" ht="15.75" thickBot="1" x14ac:dyDescent="0.3">
      <c r="A115" t="s">
        <v>2686</v>
      </c>
      <c r="B115" s="1" t="s">
        <v>3631</v>
      </c>
      <c r="C115" s="1" t="s">
        <v>3758</v>
      </c>
      <c r="D115" s="2">
        <v>384576</v>
      </c>
      <c r="E115" s="2">
        <v>692643</v>
      </c>
      <c r="F115" s="2">
        <v>976466</v>
      </c>
      <c r="G115" s="2" t="str" cm="1">
        <f t="array" aca="1" ref="G115" ca="1">IF(Background=36,C115,G114)</f>
        <v>潍坊市</v>
      </c>
    </row>
    <row r="116" spans="1:7" ht="15.75" thickBot="1" x14ac:dyDescent="0.3">
      <c r="A116" t="s">
        <v>2693</v>
      </c>
      <c r="B116" s="1" t="s">
        <v>3633</v>
      </c>
      <c r="C116" s="1" t="s">
        <v>3759</v>
      </c>
      <c r="D116" s="2">
        <v>869470</v>
      </c>
      <c r="E116" s="2">
        <v>834314</v>
      </c>
      <c r="F116" s="2">
        <v>806314</v>
      </c>
      <c r="G116" s="2" t="str" cm="1">
        <f t="array" aca="1" ref="G116" ca="1">IF(Background=36,C116,G115)</f>
        <v>潍坊市</v>
      </c>
    </row>
    <row r="117" spans="1:7" ht="15.75" thickBot="1" x14ac:dyDescent="0.3">
      <c r="A117" t="s">
        <v>2711</v>
      </c>
      <c r="B117" s="1" t="s">
        <v>3639</v>
      </c>
      <c r="C117" s="1" t="s">
        <v>3760</v>
      </c>
      <c r="D117" s="2">
        <v>894468</v>
      </c>
      <c r="E117" s="2">
        <v>940355</v>
      </c>
      <c r="F117" s="2">
        <v>960882</v>
      </c>
      <c r="G117" s="2" t="str" cm="1">
        <f t="array" aca="1" ref="G117" ca="1">IF(Background=36,C117,G116)</f>
        <v>潍坊市</v>
      </c>
    </row>
    <row r="118" spans="1:7" ht="15.75" thickBot="1" x14ac:dyDescent="0.3">
      <c r="A118" t="s">
        <v>2703</v>
      </c>
      <c r="B118" s="1" t="s">
        <v>3639</v>
      </c>
      <c r="C118" s="1" t="s">
        <v>3761</v>
      </c>
      <c r="D118" s="2">
        <v>1081991</v>
      </c>
      <c r="E118" s="2">
        <v>1139454</v>
      </c>
      <c r="F118" s="2">
        <v>1163364</v>
      </c>
      <c r="G118" s="2" t="str" cm="1">
        <f t="array" aca="1" ref="G118" ca="1">IF(Background=36,C118,G117)</f>
        <v>潍坊市</v>
      </c>
    </row>
    <row r="119" spans="1:7" ht="15.75" thickBot="1" x14ac:dyDescent="0.3">
      <c r="A119" t="s">
        <v>2680</v>
      </c>
      <c r="B119" s="1" t="s">
        <v>3631</v>
      </c>
      <c r="C119" s="1" t="s">
        <v>3762</v>
      </c>
      <c r="D119" s="2">
        <v>383189</v>
      </c>
      <c r="E119" s="2">
        <v>415118</v>
      </c>
      <c r="F119" s="2">
        <v>521368</v>
      </c>
      <c r="G119" s="2" t="str" cm="1">
        <f t="array" aca="1" ref="G119" ca="1">IF(Background=36,C119,G118)</f>
        <v>潍坊市</v>
      </c>
    </row>
    <row r="120" spans="1:7" ht="15.75" thickBot="1" x14ac:dyDescent="0.3">
      <c r="A120" t="s">
        <v>2674</v>
      </c>
      <c r="B120" s="1" t="s">
        <v>3639</v>
      </c>
      <c r="C120" s="1" t="s">
        <v>3763</v>
      </c>
      <c r="D120" s="2">
        <v>1053695</v>
      </c>
      <c r="E120" s="2">
        <v>1086222</v>
      </c>
      <c r="F120" s="2">
        <v>1078178</v>
      </c>
      <c r="G120" s="2" t="str" cm="1">
        <f t="array" aca="1" ref="G120" ca="1">IF(Background=36,C120,G119)</f>
        <v>潍坊市</v>
      </c>
    </row>
    <row r="121" spans="1:7" ht="15.75" thickBot="1" x14ac:dyDescent="0.3">
      <c r="A121" t="s">
        <v>3764</v>
      </c>
      <c r="B121" s="5" t="s">
        <v>3629</v>
      </c>
      <c r="C121" s="5" t="s">
        <v>3765</v>
      </c>
      <c r="D121" s="6">
        <v>2596753</v>
      </c>
      <c r="E121" s="6">
        <v>2804771</v>
      </c>
      <c r="F121" s="6">
        <v>2906548</v>
      </c>
      <c r="G121" s="2" t="str" cm="1">
        <f t="array" aca="1" ref="G121" ca="1">IF(Background=36,C121,G120)</f>
        <v>威海市</v>
      </c>
    </row>
    <row r="122" spans="1:7" ht="15.75" thickBot="1" x14ac:dyDescent="0.3">
      <c r="A122" t="s">
        <v>2899</v>
      </c>
      <c r="B122" s="1" t="s">
        <v>3631</v>
      </c>
      <c r="C122" s="1" t="s">
        <v>3766</v>
      </c>
      <c r="D122" s="2">
        <v>655906</v>
      </c>
      <c r="E122" s="2">
        <v>908198</v>
      </c>
      <c r="F122" s="2">
        <v>1164730</v>
      </c>
      <c r="G122" s="2" t="str" cm="1">
        <f t="array" aca="1" ref="G122" ca="1">IF(Background=36,C122,G121)</f>
        <v>威海市</v>
      </c>
    </row>
    <row r="123" spans="1:7" ht="15.75" thickBot="1" x14ac:dyDescent="0.3">
      <c r="A123" t="s">
        <v>2905</v>
      </c>
      <c r="B123" s="1" t="s">
        <v>3639</v>
      </c>
      <c r="C123" s="1" t="s">
        <v>3767</v>
      </c>
      <c r="D123" s="2">
        <v>732147</v>
      </c>
      <c r="E123" s="2">
        <v>714355</v>
      </c>
      <c r="F123" s="2">
        <v>714211</v>
      </c>
      <c r="G123" s="2" t="str" cm="1">
        <f t="array" aca="1" ref="G123" ca="1">IF(Background=36,C123,G122)</f>
        <v>威海市</v>
      </c>
    </row>
    <row r="124" spans="1:7" ht="15.75" thickBot="1" x14ac:dyDescent="0.3">
      <c r="A124" t="s">
        <v>2896</v>
      </c>
      <c r="B124" s="1" t="s">
        <v>3639</v>
      </c>
      <c r="C124" s="1" t="s">
        <v>3768</v>
      </c>
      <c r="D124" s="2">
        <v>580326</v>
      </c>
      <c r="E124" s="2">
        <v>572481</v>
      </c>
      <c r="F124" s="2">
        <v>464078</v>
      </c>
      <c r="G124" s="2" t="str" cm="1">
        <f t="array" aca="1" ref="G124" ca="1">IF(Background=36,C124,G123)</f>
        <v>威海市</v>
      </c>
    </row>
    <row r="125" spans="1:7" ht="15.75" thickBot="1" x14ac:dyDescent="0.3">
      <c r="A125" t="s">
        <v>2902</v>
      </c>
      <c r="B125" s="1" t="s">
        <v>3631</v>
      </c>
      <c r="C125" s="1" t="s">
        <v>3769</v>
      </c>
      <c r="D125" s="2">
        <v>628374</v>
      </c>
      <c r="E125" s="2">
        <v>609737</v>
      </c>
      <c r="F125" s="2">
        <v>563529</v>
      </c>
      <c r="G125" s="2" t="str" cm="1">
        <f t="array" aca="1" ref="G125" ca="1">IF(Background=36,C125,G124)</f>
        <v>威海市</v>
      </c>
    </row>
    <row r="126" spans="1:7" ht="15.75" thickBot="1" x14ac:dyDescent="0.3">
      <c r="A126" t="s">
        <v>3770</v>
      </c>
      <c r="B126" s="5" t="s">
        <v>3629</v>
      </c>
      <c r="C126" s="5" t="s">
        <v>3771</v>
      </c>
      <c r="D126" s="6">
        <v>6635735</v>
      </c>
      <c r="E126" s="6">
        <v>6968202</v>
      </c>
      <c r="F126" s="6">
        <v>7102116</v>
      </c>
      <c r="G126" s="2" t="str" cm="1">
        <f t="array" aca="1" ref="G126" ca="1">IF(Background=36,C126,G125)</f>
        <v>烟台市</v>
      </c>
    </row>
    <row r="127" spans="1:7" ht="15.75" thickBot="1" x14ac:dyDescent="0.3">
      <c r="A127" t="s">
        <v>3044</v>
      </c>
      <c r="B127" s="1" t="s">
        <v>3631</v>
      </c>
      <c r="C127" s="1" t="s">
        <v>3772</v>
      </c>
      <c r="D127" s="2">
        <v>438970</v>
      </c>
      <c r="E127" s="2">
        <v>673332</v>
      </c>
      <c r="F127" s="2">
        <v>869005</v>
      </c>
      <c r="G127" s="2" t="str" cm="1">
        <f t="array" aca="1" ref="G127" ca="1">IF(Background=36,C127,G126)</f>
        <v>烟台市</v>
      </c>
    </row>
    <row r="128" spans="1:7" ht="15.75" thickBot="1" x14ac:dyDescent="0.3">
      <c r="A128" t="s">
        <v>3098</v>
      </c>
      <c r="B128" s="1" t="s">
        <v>3639</v>
      </c>
      <c r="C128" s="1" t="s">
        <v>3773</v>
      </c>
      <c r="D128" s="2">
        <v>654594</v>
      </c>
      <c r="E128" s="2">
        <v>638729</v>
      </c>
      <c r="F128" s="2">
        <v>582711</v>
      </c>
      <c r="G128" s="2" t="str" cm="1">
        <f t="array" aca="1" ref="G128" ca="1">IF(Background=36,C128,G127)</f>
        <v>烟台市</v>
      </c>
    </row>
    <row r="129" spans="1:7" ht="15.75" thickBot="1" x14ac:dyDescent="0.3">
      <c r="A129" t="s">
        <v>3060</v>
      </c>
      <c r="B129" s="1" t="s">
        <v>3631</v>
      </c>
      <c r="C129" s="1" t="s">
        <v>3774</v>
      </c>
      <c r="D129" s="2">
        <v>181963</v>
      </c>
      <c r="E129" s="2">
        <v>329304</v>
      </c>
      <c r="F129" s="2">
        <v>473341</v>
      </c>
      <c r="G129" s="2" t="str" cm="1">
        <f t="array" aca="1" ref="G129" ca="1">IF(Background=36,C129,G128)</f>
        <v>烟台市</v>
      </c>
    </row>
    <row r="130" spans="1:7" ht="15.75" thickBot="1" x14ac:dyDescent="0.3">
      <c r="A130" t="s">
        <v>3038</v>
      </c>
      <c r="B130" s="1" t="s">
        <v>3639</v>
      </c>
      <c r="C130" s="1" t="s">
        <v>3775</v>
      </c>
      <c r="D130" s="2">
        <v>897681</v>
      </c>
      <c r="E130" s="2">
        <v>878591</v>
      </c>
      <c r="F130" s="2">
        <v>794986</v>
      </c>
      <c r="G130" s="2" t="str" cm="1">
        <f t="array" aca="1" ref="G130" ca="1">IF(Background=36,C130,G129)</f>
        <v>烟台市</v>
      </c>
    </row>
    <row r="131" spans="1:7" ht="15.75" thickBot="1" x14ac:dyDescent="0.3">
      <c r="A131" t="s">
        <v>3067</v>
      </c>
      <c r="B131" s="1" t="s">
        <v>3639</v>
      </c>
      <c r="C131" s="1" t="s">
        <v>3776</v>
      </c>
      <c r="D131" s="2">
        <v>889361</v>
      </c>
      <c r="E131" s="2">
        <v>883896</v>
      </c>
      <c r="F131" s="2">
        <v>824708</v>
      </c>
      <c r="G131" s="2" t="str" cm="1">
        <f t="array" aca="1" ref="G131" ca="1">IF(Background=36,C131,G130)</f>
        <v>烟台市</v>
      </c>
    </row>
    <row r="132" spans="1:7" ht="15.75" thickBot="1" x14ac:dyDescent="0.3">
      <c r="A132" t="s">
        <v>3054</v>
      </c>
      <c r="B132" s="1" t="s">
        <v>3639</v>
      </c>
      <c r="C132" s="1" t="s">
        <v>3777</v>
      </c>
      <c r="D132" s="2">
        <v>671335</v>
      </c>
      <c r="E132" s="2">
        <v>688255</v>
      </c>
      <c r="F132" s="2">
        <v>729880</v>
      </c>
      <c r="G132" s="2" t="str" cm="1">
        <f t="array" aca="1" ref="G132" ca="1">IF(Background=36,C132,G131)</f>
        <v>烟台市</v>
      </c>
    </row>
    <row r="133" spans="1:7" ht="15.75" thickBot="1" x14ac:dyDescent="0.3">
      <c r="A133" t="s">
        <v>3093</v>
      </c>
      <c r="B133" s="1" t="s">
        <v>3631</v>
      </c>
      <c r="C133" s="1" t="s">
        <v>3778</v>
      </c>
      <c r="D133" s="2">
        <v>498999</v>
      </c>
      <c r="E133" s="2">
        <v>467907</v>
      </c>
      <c r="F133" s="2">
        <v>462323</v>
      </c>
      <c r="G133" s="2" t="str" cm="1">
        <f t="array" aca="1" ref="G133" ca="1">IF(Background=36,C133,G132)</f>
        <v>烟台市</v>
      </c>
    </row>
    <row r="134" spans="1:7" ht="15.75" thickBot="1" x14ac:dyDescent="0.3">
      <c r="A134" t="s">
        <v>3047</v>
      </c>
      <c r="B134" s="1" t="s">
        <v>3631</v>
      </c>
      <c r="C134" s="1" t="s">
        <v>3779</v>
      </c>
      <c r="D134" s="2">
        <v>553298</v>
      </c>
      <c r="E134" s="2">
        <v>495134</v>
      </c>
      <c r="F134" s="2">
        <v>509393</v>
      </c>
      <c r="G134" s="2" t="str" cm="1">
        <f t="array" aca="1" ref="G134" ca="1">IF(Background=36,C134,G133)</f>
        <v>烟台市</v>
      </c>
    </row>
    <row r="135" spans="1:7" ht="15.75" thickBot="1" x14ac:dyDescent="0.3">
      <c r="A135" t="s">
        <v>3076</v>
      </c>
      <c r="B135" s="1" t="s">
        <v>3639</v>
      </c>
      <c r="C135" s="1" t="s">
        <v>3780</v>
      </c>
      <c r="D135" s="2">
        <v>568190</v>
      </c>
      <c r="E135" s="2">
        <v>516756</v>
      </c>
      <c r="F135" s="2">
        <v>435405</v>
      </c>
      <c r="G135" s="2" t="str" cm="1">
        <f t="array" aca="1" ref="G135" ca="1">IF(Background=36,C135,G134)</f>
        <v>烟台市</v>
      </c>
    </row>
    <row r="136" spans="1:7" ht="15.75" thickBot="1" x14ac:dyDescent="0.3">
      <c r="A136" t="s">
        <v>3057</v>
      </c>
      <c r="B136" s="1" t="s">
        <v>3639</v>
      </c>
      <c r="C136" s="1" t="s">
        <v>3781</v>
      </c>
      <c r="D136" s="2">
        <v>593705</v>
      </c>
      <c r="E136" s="2">
        <v>566244</v>
      </c>
      <c r="F136" s="2">
        <v>543127</v>
      </c>
      <c r="G136" s="2" t="str" cm="1">
        <f t="array" aca="1" ref="G136" ca="1">IF(Background=36,C136,G135)</f>
        <v>烟台市</v>
      </c>
    </row>
    <row r="137" spans="1:7" ht="15.75" thickBot="1" x14ac:dyDescent="0.3">
      <c r="A137" t="s">
        <v>3041</v>
      </c>
      <c r="B137" s="1" t="s">
        <v>3631</v>
      </c>
      <c r="C137" s="1" t="s">
        <v>3782</v>
      </c>
      <c r="D137" s="2">
        <v>687639</v>
      </c>
      <c r="E137" s="2">
        <v>830054</v>
      </c>
      <c r="F137" s="2">
        <v>877237</v>
      </c>
      <c r="G137" s="2" t="str" cm="1">
        <f t="array" aca="1" ref="G137" ca="1">IF(Background=36,C137,G136)</f>
        <v>烟台市</v>
      </c>
    </row>
    <row r="138" spans="1:7" ht="15.75" thickBot="1" x14ac:dyDescent="0.3">
      <c r="A138" t="s">
        <v>3783</v>
      </c>
      <c r="B138" s="5" t="s">
        <v>3629</v>
      </c>
      <c r="C138" s="5" t="s">
        <v>3784</v>
      </c>
      <c r="D138" s="6">
        <v>3545615</v>
      </c>
      <c r="E138" s="6">
        <v>3729140</v>
      </c>
      <c r="F138" s="6">
        <v>3855601</v>
      </c>
      <c r="G138" s="2" t="str" cm="1">
        <f t="array" aca="1" ref="G138" ca="1">IF(Background=36,C138,G137)</f>
        <v>枣庄市</v>
      </c>
    </row>
    <row r="139" spans="1:7" ht="15.75" thickBot="1" x14ac:dyDescent="0.3">
      <c r="A139" t="s">
        <v>3351</v>
      </c>
      <c r="B139" s="1" t="s">
        <v>3631</v>
      </c>
      <c r="C139" s="1" t="s">
        <v>3785</v>
      </c>
      <c r="D139" s="2">
        <v>443983</v>
      </c>
      <c r="E139" s="2">
        <v>464804</v>
      </c>
      <c r="F139" s="2">
        <v>406722</v>
      </c>
      <c r="G139" s="2" t="str" cm="1">
        <f t="array" aca="1" ref="G139" ca="1">IF(Background=36,C139,G138)</f>
        <v>枣庄市</v>
      </c>
    </row>
    <row r="140" spans="1:7" ht="15.75" thickBot="1" x14ac:dyDescent="0.3">
      <c r="A140" t="s">
        <v>908</v>
      </c>
      <c r="B140" s="1" t="s">
        <v>3631</v>
      </c>
      <c r="C140" s="1" t="s">
        <v>3683</v>
      </c>
      <c r="D140" s="2">
        <v>482444</v>
      </c>
      <c r="E140" s="2">
        <v>535515</v>
      </c>
      <c r="F140" s="2">
        <v>613015</v>
      </c>
      <c r="G140" s="2" t="str" cm="1">
        <f t="array" aca="1" ref="G140" ca="1">IF(Background=36,C140,G139)</f>
        <v>枣庄市</v>
      </c>
    </row>
    <row r="141" spans="1:7" ht="15.75" thickBot="1" x14ac:dyDescent="0.3">
      <c r="A141" t="s">
        <v>3388</v>
      </c>
      <c r="B141" s="1" t="s">
        <v>3631</v>
      </c>
      <c r="C141" s="1" t="s">
        <v>3786</v>
      </c>
      <c r="D141" s="2">
        <v>276340</v>
      </c>
      <c r="E141" s="2">
        <v>279474</v>
      </c>
      <c r="F141" s="2">
        <v>305102</v>
      </c>
      <c r="G141" s="2" t="str" cm="1">
        <f t="array" aca="1" ref="G141" ca="1">IF(Background=36,C141,G140)</f>
        <v>枣庄市</v>
      </c>
    </row>
    <row r="142" spans="1:7" ht="15.75" thickBot="1" x14ac:dyDescent="0.3">
      <c r="A142" t="s">
        <v>3346</v>
      </c>
      <c r="B142" s="1" t="s">
        <v>3639</v>
      </c>
      <c r="C142" s="1" t="s">
        <v>3787</v>
      </c>
      <c r="D142" s="2">
        <v>1548817</v>
      </c>
      <c r="E142" s="2">
        <v>1603659</v>
      </c>
      <c r="F142" s="2">
        <v>1574648</v>
      </c>
      <c r="G142" s="2" t="str" cm="1">
        <f t="array" aca="1" ref="G142" ca="1">IF(Background=36,C142,G141)</f>
        <v>枣庄市</v>
      </c>
    </row>
    <row r="143" spans="1:7" ht="15.75" thickBot="1" x14ac:dyDescent="0.3">
      <c r="A143" t="s">
        <v>3356</v>
      </c>
      <c r="B143" s="1" t="s">
        <v>3631</v>
      </c>
      <c r="C143" s="1" t="s">
        <v>3788</v>
      </c>
      <c r="D143" s="2">
        <v>454051</v>
      </c>
      <c r="E143" s="2">
        <v>481450</v>
      </c>
      <c r="F143" s="2">
        <v>593590</v>
      </c>
      <c r="G143" s="2" t="str" cm="1">
        <f t="array" aca="1" ref="G143" ca="1">IF(Background=36,C143,G142)</f>
        <v>枣庄市</v>
      </c>
    </row>
    <row r="144" spans="1:7" ht="15.75" thickBot="1" x14ac:dyDescent="0.3">
      <c r="A144" t="s">
        <v>3363</v>
      </c>
      <c r="B144" s="1" t="s">
        <v>3631</v>
      </c>
      <c r="C144" s="1" t="s">
        <v>3789</v>
      </c>
      <c r="D144" s="2">
        <v>339980</v>
      </c>
      <c r="E144" s="2">
        <v>364238</v>
      </c>
      <c r="F144" s="2">
        <v>362524</v>
      </c>
      <c r="G144" s="2" t="str" cm="1">
        <f t="array" aca="1" ref="G144" ca="1">IF(Background=36,C144,G143)</f>
        <v>枣庄市</v>
      </c>
    </row>
    <row r="145" spans="1:7" ht="15.75" thickBot="1" x14ac:dyDescent="0.3">
      <c r="A145" t="s">
        <v>3790</v>
      </c>
      <c r="B145" s="5" t="s">
        <v>3629</v>
      </c>
      <c r="C145" s="5" t="s">
        <v>3791</v>
      </c>
      <c r="D145" s="6">
        <v>4184430</v>
      </c>
      <c r="E145" s="6">
        <v>4530597</v>
      </c>
      <c r="F145" s="6">
        <v>4704138</v>
      </c>
      <c r="G145" s="2" t="str" cm="1">
        <f t="array" aca="1" ref="G145" ca="1">IF(Background=36,C145,G144)</f>
        <v>淄博市</v>
      </c>
    </row>
    <row r="146" spans="1:7" ht="15.75" thickBot="1" x14ac:dyDescent="0.3">
      <c r="A146" t="s">
        <v>3462</v>
      </c>
      <c r="B146" s="1" t="s">
        <v>3631</v>
      </c>
      <c r="C146" s="1" t="s">
        <v>3792</v>
      </c>
      <c r="D146" s="2">
        <v>473653</v>
      </c>
      <c r="E146" s="2">
        <v>463013</v>
      </c>
      <c r="F146" s="2">
        <v>410643</v>
      </c>
      <c r="G146" s="2" t="str" cm="1">
        <f t="array" aca="1" ref="G146" ca="1">IF(Background=36,C146,G145)</f>
        <v>淄博市</v>
      </c>
    </row>
    <row r="147" spans="1:7" ht="15.75" thickBot="1" x14ac:dyDescent="0.3">
      <c r="A147" t="s">
        <v>3473</v>
      </c>
      <c r="B147" s="1" t="s">
        <v>3633</v>
      </c>
      <c r="C147" s="1" t="s">
        <v>3793</v>
      </c>
      <c r="D147" s="2">
        <v>351348</v>
      </c>
      <c r="E147" s="2">
        <v>347867</v>
      </c>
      <c r="F147" s="2">
        <v>313130</v>
      </c>
      <c r="G147" s="2" t="str" cm="1">
        <f t="array" aca="1" ref="G147" ca="1">IF(Background=36,C147,G146)</f>
        <v>淄博市</v>
      </c>
    </row>
    <row r="148" spans="1:7" ht="15.75" thickBot="1" x14ac:dyDescent="0.3">
      <c r="A148" t="s">
        <v>3502</v>
      </c>
      <c r="B148" s="1" t="s">
        <v>3633</v>
      </c>
      <c r="C148" s="1" t="s">
        <v>3794</v>
      </c>
      <c r="D148" s="2">
        <v>474908</v>
      </c>
      <c r="E148" s="2">
        <v>504011</v>
      </c>
      <c r="F148" s="2">
        <v>489479</v>
      </c>
      <c r="G148" s="2" t="str" cm="1">
        <f t="array" aca="1" ref="G148" ca="1">IF(Background=36,C148,G147)</f>
        <v>淄博市</v>
      </c>
    </row>
    <row r="149" spans="1:7" ht="15.75" thickBot="1" x14ac:dyDescent="0.3">
      <c r="A149" t="s">
        <v>3491</v>
      </c>
      <c r="B149" s="1" t="s">
        <v>3631</v>
      </c>
      <c r="C149" s="1" t="s">
        <v>3795</v>
      </c>
      <c r="D149" s="2">
        <v>607189</v>
      </c>
      <c r="E149" s="2">
        <v>642831</v>
      </c>
      <c r="F149" s="2">
        <v>649160</v>
      </c>
      <c r="G149" s="2" t="str" cm="1">
        <f t="array" aca="1" ref="G149" ca="1">IF(Background=36,C149,G148)</f>
        <v>淄博市</v>
      </c>
    </row>
    <row r="150" spans="1:7" ht="15.75" thickBot="1" x14ac:dyDescent="0.3">
      <c r="A150" t="s">
        <v>3485</v>
      </c>
      <c r="B150" s="1" t="s">
        <v>3633</v>
      </c>
      <c r="C150" s="1" t="s">
        <v>3796</v>
      </c>
      <c r="D150" s="2">
        <v>540695</v>
      </c>
      <c r="E150" s="2">
        <v>549491</v>
      </c>
      <c r="F150" s="2">
        <v>515058</v>
      </c>
      <c r="G150" s="2" t="str" cm="1">
        <f t="array" aca="1" ref="G150" ca="1">IF(Background=36,C150,G149)</f>
        <v>淄博市</v>
      </c>
    </row>
    <row r="151" spans="1:7" ht="15.75" thickBot="1" x14ac:dyDescent="0.3">
      <c r="A151" t="s">
        <v>3478</v>
      </c>
      <c r="B151" s="1" t="s">
        <v>3631</v>
      </c>
      <c r="C151" s="1" t="s">
        <v>3797</v>
      </c>
      <c r="D151" s="2">
        <v>712290</v>
      </c>
      <c r="E151" s="2">
        <v>929242</v>
      </c>
      <c r="F151" s="2">
        <v>1272967</v>
      </c>
      <c r="G151" s="2" t="str" cm="1">
        <f t="array" aca="1" ref="G151" ca="1">IF(Background=36,C151,G150)</f>
        <v>淄博市</v>
      </c>
    </row>
    <row r="152" spans="1:7" ht="15.75" thickBot="1" x14ac:dyDescent="0.3">
      <c r="A152" t="s">
        <v>3470</v>
      </c>
      <c r="B152" s="1" t="s">
        <v>3631</v>
      </c>
      <c r="C152" s="1" t="s">
        <v>3798</v>
      </c>
      <c r="D152" s="2">
        <v>354514</v>
      </c>
      <c r="E152" s="2">
        <v>381967</v>
      </c>
      <c r="F152" s="2">
        <v>407016</v>
      </c>
      <c r="G152" s="2" t="str" cm="1">
        <f t="array" aca="1" ref="G152" ca="1">IF(Background=36,C152,G151)</f>
        <v>淄博市</v>
      </c>
    </row>
    <row r="153" spans="1:7" ht="15.75" thickBot="1" x14ac:dyDescent="0.3">
      <c r="A153" t="s">
        <v>3467</v>
      </c>
      <c r="B153" s="1" t="s">
        <v>3631</v>
      </c>
      <c r="C153" s="1" t="s">
        <v>3799</v>
      </c>
      <c r="D153" s="2">
        <v>669833</v>
      </c>
      <c r="E153" s="2">
        <v>712175</v>
      </c>
      <c r="F153" s="2">
        <v>646685</v>
      </c>
      <c r="G153" s="2" t="str" cm="1">
        <f t="array" aca="1" ref="G153" ca="1">IF(Background=36,C153,G152)</f>
        <v>淄博市</v>
      </c>
    </row>
    <row r="154" spans="1:7" x14ac:dyDescent="0.25">
      <c r="A154" s="7" t="s">
        <v>3800</v>
      </c>
      <c r="B154" s="7" t="s">
        <v>3801</v>
      </c>
      <c r="C154" s="7" t="s">
        <v>3802</v>
      </c>
      <c r="D154" s="8">
        <v>89971789</v>
      </c>
      <c r="E154" s="8">
        <v>95792719</v>
      </c>
      <c r="F154" s="8">
        <v>101527453</v>
      </c>
      <c r="G154" s="13" t="str" cm="1">
        <f t="array" aca="1" ref="G154" ca="1">IF(Background=36,C154,G153)</f>
        <v>淄博市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binzhou</vt:lpstr>
      <vt:lpstr>dezhou</vt:lpstr>
      <vt:lpstr>dongying</vt:lpstr>
      <vt:lpstr>heze</vt:lpstr>
      <vt:lpstr>jinan</vt:lpstr>
      <vt:lpstr>jining</vt:lpstr>
      <vt:lpstr>liaocheng</vt:lpstr>
      <vt:lpstr>linyi</vt:lpstr>
      <vt:lpstr>qingdao</vt:lpstr>
      <vt:lpstr>rizhao</vt:lpstr>
      <vt:lpstr>tai'an</vt:lpstr>
      <vt:lpstr>weifang</vt:lpstr>
      <vt:lpstr>weihai</vt:lpstr>
      <vt:lpstr>yantai</vt:lpstr>
      <vt:lpstr>zaozhuang</vt:lpstr>
      <vt:lpstr>zibo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2024-04-02T23:35:22Z</dcterms:created>
  <dcterms:modified xsi:type="dcterms:W3CDTF">2024-05-04T15:53:12Z</dcterms:modified>
</cp:coreProperties>
</file>